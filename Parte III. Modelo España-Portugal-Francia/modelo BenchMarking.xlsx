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Parte III. Modelo España-Portugal-Francia\"/>
    </mc:Choice>
  </mc:AlternateContent>
  <xr:revisionPtr revIDLastSave="0" documentId="13_ncr:1_{34328C60-9754-4069-93CA-E2DEF4F7AB67}" xr6:coauthVersionLast="47" xr6:coauthVersionMax="47" xr10:uidLastSave="{00000000-0000-0000-0000-000000000000}"/>
  <bookViews>
    <workbookView xWindow="-110" yWindow="-110" windowWidth="19420" windowHeight="10300" tabRatio="752" firstSheet="4" activeTab="10" xr2:uid="{00000000-000D-0000-FFFF-FFFF00000000}"/>
  </bookViews>
  <sheets>
    <sheet name="Guide Sheet" sheetId="8" r:id="rId1"/>
    <sheet name="carriers" sheetId="2" r:id="rId2"/>
    <sheet name="buses_2busSRES" sheetId="15" r:id="rId3"/>
    <sheet name="generators_2busSRES" sheetId="17" r:id="rId4"/>
    <sheet name="links_2busSRES" sheetId="16" r:id="rId5"/>
    <sheet name="loads" sheetId="5" r:id="rId6"/>
    <sheet name="run_of_river_inflow" sheetId="12" r:id="rId7"/>
    <sheet name="store" sheetId="7" r:id="rId8"/>
    <sheet name="storage_units" sheetId="6" r:id="rId9"/>
    <sheet name="demands" sheetId="11" r:id="rId10"/>
    <sheet name="profiles" sheetId="10" r:id="rId11"/>
    <sheet name="Origen de Datos" sheetId="2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7" l="1"/>
  <c r="AL4" i="20"/>
  <c r="AL5" i="20"/>
  <c r="AL6" i="20"/>
  <c r="AL7" i="20"/>
  <c r="AL8" i="20"/>
  <c r="AL9" i="20"/>
  <c r="AL10" i="20"/>
  <c r="AL11" i="20"/>
  <c r="AL12" i="20"/>
  <c r="AL13" i="20"/>
  <c r="AL14" i="20"/>
  <c r="AL15" i="20"/>
  <c r="AL16" i="20"/>
  <c r="AL17" i="20"/>
  <c r="AL18" i="20"/>
  <c r="AL19" i="20"/>
  <c r="AL20" i="20"/>
  <c r="AL21" i="20"/>
  <c r="AL22" i="20"/>
  <c r="AL23" i="20"/>
  <c r="AL24" i="20"/>
  <c r="AL25" i="20"/>
  <c r="AL26" i="20"/>
  <c r="AL27" i="20"/>
  <c r="AL28" i="20"/>
  <c r="AL29" i="20"/>
  <c r="AL30" i="20"/>
  <c r="AL31" i="20"/>
  <c r="AL32" i="20"/>
  <c r="AL33" i="20"/>
  <c r="AL34" i="20"/>
  <c r="AL35" i="20"/>
  <c r="AL36" i="20"/>
  <c r="AL37" i="20"/>
  <c r="AL38" i="20"/>
  <c r="AL39" i="20"/>
  <c r="AL40" i="20"/>
  <c r="AL41" i="20"/>
  <c r="AL42" i="20"/>
  <c r="AL43" i="20"/>
  <c r="AL44" i="20"/>
  <c r="AL45" i="20"/>
  <c r="AL46" i="20"/>
  <c r="AL47" i="20"/>
  <c r="AL48" i="20"/>
  <c r="AL49" i="20"/>
  <c r="AL50" i="20"/>
  <c r="AL51" i="20"/>
  <c r="AL52" i="20"/>
  <c r="AL53" i="20"/>
  <c r="AL54" i="20"/>
  <c r="AL55" i="20"/>
  <c r="AL56" i="20"/>
  <c r="AL57" i="20"/>
  <c r="AL58" i="20"/>
  <c r="AL59" i="20"/>
  <c r="AL60" i="20"/>
  <c r="AL61" i="20"/>
  <c r="AL62" i="20"/>
  <c r="AL63" i="20"/>
  <c r="AL64" i="20"/>
  <c r="AL65" i="20"/>
  <c r="AL66" i="20"/>
  <c r="AL67" i="20"/>
  <c r="AL68" i="20"/>
  <c r="AL69" i="20"/>
  <c r="AL70" i="20"/>
  <c r="AL71" i="20"/>
  <c r="AL72" i="20"/>
  <c r="AL73" i="20"/>
  <c r="AL74" i="20"/>
  <c r="AL75" i="20"/>
  <c r="AL76" i="20"/>
  <c r="AL77" i="20"/>
  <c r="AL78" i="20"/>
  <c r="AL79" i="20"/>
  <c r="AL80" i="20"/>
  <c r="AL81" i="20"/>
  <c r="AL82" i="20"/>
  <c r="AL83" i="20"/>
  <c r="AL84" i="20"/>
  <c r="AL85" i="20"/>
  <c r="AL86" i="20"/>
  <c r="AL87" i="20"/>
  <c r="AL88" i="20"/>
  <c r="AL89" i="20"/>
  <c r="AL90" i="20"/>
  <c r="AL91" i="20"/>
  <c r="AL92" i="20"/>
  <c r="AL93" i="20"/>
  <c r="AL94" i="20"/>
  <c r="AL95" i="20"/>
  <c r="AL96" i="20"/>
  <c r="AL97" i="20"/>
  <c r="AL98" i="20"/>
  <c r="AL99" i="20"/>
  <c r="AL100" i="20"/>
  <c r="AL101" i="20"/>
  <c r="AL102" i="20"/>
  <c r="AL103" i="20"/>
  <c r="AL104" i="20"/>
  <c r="AL105" i="20"/>
  <c r="AL106" i="20"/>
  <c r="AL107" i="20"/>
  <c r="AL108" i="20"/>
  <c r="AL109" i="20"/>
  <c r="AL110" i="20"/>
  <c r="AL111" i="20"/>
  <c r="AL112" i="20"/>
  <c r="AL113" i="20"/>
  <c r="AL114" i="20"/>
  <c r="AL115" i="20"/>
  <c r="AL116" i="20"/>
  <c r="AL117" i="20"/>
  <c r="AL118" i="20"/>
  <c r="AL119" i="20"/>
  <c r="AL120" i="20"/>
  <c r="AL121" i="20"/>
  <c r="AL122" i="20"/>
  <c r="AL123" i="20"/>
  <c r="AL124" i="20"/>
  <c r="AL125" i="20"/>
  <c r="AL126" i="20"/>
  <c r="AL127" i="20"/>
  <c r="AL128" i="20"/>
  <c r="AL129" i="20"/>
  <c r="AL130" i="20"/>
  <c r="AL131" i="20"/>
  <c r="AL132" i="20"/>
  <c r="AL133" i="20"/>
  <c r="AL134" i="20"/>
  <c r="AL135" i="20"/>
  <c r="AL136" i="20"/>
  <c r="AL137" i="20"/>
  <c r="AL138" i="20"/>
  <c r="AL139" i="20"/>
  <c r="AL140" i="20"/>
  <c r="AL141" i="20"/>
  <c r="AL142" i="20"/>
  <c r="AL143" i="20"/>
  <c r="AL144" i="20"/>
  <c r="AL145" i="20"/>
  <c r="AL146" i="20"/>
  <c r="AL147" i="20"/>
  <c r="AL148" i="20"/>
  <c r="AL149" i="20"/>
  <c r="AL150" i="20"/>
  <c r="AL151" i="20"/>
  <c r="AL152" i="20"/>
  <c r="AL153" i="20"/>
  <c r="AL154" i="20"/>
  <c r="AL155" i="20"/>
  <c r="AL156" i="20"/>
  <c r="AL157" i="20"/>
  <c r="AL158" i="20"/>
  <c r="AL159" i="20"/>
  <c r="AL160" i="20"/>
  <c r="AL161" i="20"/>
  <c r="AL162" i="20"/>
  <c r="AL163" i="20"/>
  <c r="AL164" i="20"/>
  <c r="AL165" i="20"/>
  <c r="AL166" i="20"/>
  <c r="AL167" i="20"/>
  <c r="AL168" i="20"/>
  <c r="AL169" i="20"/>
  <c r="AL170" i="20"/>
  <c r="AL3" i="20"/>
  <c r="AI4" i="20"/>
  <c r="AI5" i="20"/>
  <c r="AI6" i="20"/>
  <c r="AI7" i="20"/>
  <c r="AI8" i="20"/>
  <c r="AI9" i="20"/>
  <c r="AI10" i="20"/>
  <c r="AI11" i="20"/>
  <c r="AI12" i="20"/>
  <c r="AI13" i="20"/>
  <c r="AI14" i="20"/>
  <c r="AI15" i="20"/>
  <c r="AI16" i="20"/>
  <c r="AI17" i="20"/>
  <c r="AI18" i="20"/>
  <c r="AI19" i="20"/>
  <c r="AI20" i="20"/>
  <c r="AI21" i="20"/>
  <c r="AI22" i="20"/>
  <c r="AI23" i="20"/>
  <c r="AI24" i="20"/>
  <c r="AI25" i="20"/>
  <c r="AI26" i="20"/>
  <c r="AI27" i="20"/>
  <c r="AI28" i="20"/>
  <c r="AI29" i="20"/>
  <c r="AI30" i="20"/>
  <c r="AI31" i="20"/>
  <c r="AI32" i="20"/>
  <c r="AI33" i="20"/>
  <c r="AI34" i="20"/>
  <c r="AI35" i="20"/>
  <c r="AI36" i="20"/>
  <c r="AI37" i="20"/>
  <c r="AI38" i="20"/>
  <c r="AI39" i="20"/>
  <c r="AI40" i="20"/>
  <c r="AI41" i="20"/>
  <c r="AI42" i="20"/>
  <c r="AI43" i="20"/>
  <c r="AI44" i="20"/>
  <c r="AI45" i="20"/>
  <c r="AI46" i="20"/>
  <c r="AI47" i="20"/>
  <c r="AI48" i="20"/>
  <c r="AI49" i="20"/>
  <c r="AI50" i="20"/>
  <c r="AI51" i="20"/>
  <c r="AI52" i="20"/>
  <c r="AI53" i="20"/>
  <c r="AI54" i="20"/>
  <c r="AI55" i="20"/>
  <c r="AI56" i="20"/>
  <c r="AI57" i="20"/>
  <c r="AI58" i="20"/>
  <c r="AI59" i="20"/>
  <c r="AI60" i="20"/>
  <c r="AI61" i="20"/>
  <c r="AI62" i="20"/>
  <c r="AI63" i="20"/>
  <c r="AI64" i="20"/>
  <c r="AI65" i="20"/>
  <c r="AI66" i="20"/>
  <c r="AI67" i="20"/>
  <c r="AI68" i="20"/>
  <c r="AI69" i="20"/>
  <c r="AI70" i="20"/>
  <c r="AI71" i="20"/>
  <c r="AI72" i="20"/>
  <c r="AI73" i="20"/>
  <c r="AI74" i="20"/>
  <c r="AI75" i="20"/>
  <c r="AI76" i="20"/>
  <c r="AI77" i="20"/>
  <c r="AI78" i="20"/>
  <c r="AI79" i="20"/>
  <c r="AI80" i="20"/>
  <c r="AI81" i="20"/>
  <c r="AI82" i="20"/>
  <c r="AI83" i="20"/>
  <c r="AI84" i="20"/>
  <c r="AI85" i="20"/>
  <c r="AI86" i="20"/>
  <c r="AI87" i="20"/>
  <c r="AI88" i="20"/>
  <c r="AI89" i="20"/>
  <c r="AI90" i="20"/>
  <c r="AI91" i="20"/>
  <c r="AI92" i="20"/>
  <c r="AI93" i="20"/>
  <c r="AI94" i="20"/>
  <c r="AI95" i="20"/>
  <c r="AI96" i="20"/>
  <c r="AI97" i="20"/>
  <c r="AI98" i="20"/>
  <c r="AI99" i="20"/>
  <c r="AI100" i="20"/>
  <c r="AI101" i="20"/>
  <c r="AI102" i="20"/>
  <c r="AI103" i="20"/>
  <c r="AI104" i="20"/>
  <c r="AI105" i="20"/>
  <c r="AI106" i="20"/>
  <c r="AI107" i="20"/>
  <c r="AI108" i="20"/>
  <c r="AI109" i="20"/>
  <c r="AI110" i="20"/>
  <c r="AI111" i="20"/>
  <c r="AI112" i="20"/>
  <c r="AI113" i="20"/>
  <c r="AI114" i="20"/>
  <c r="AI115" i="20"/>
  <c r="AI116" i="20"/>
  <c r="AI117" i="20"/>
  <c r="AI118" i="20"/>
  <c r="AI119" i="20"/>
  <c r="AI120" i="20"/>
  <c r="AI121" i="20"/>
  <c r="AI122" i="20"/>
  <c r="AI123" i="20"/>
  <c r="AI124" i="20"/>
  <c r="AI125" i="20"/>
  <c r="AI126" i="20"/>
  <c r="AI127" i="20"/>
  <c r="AI128" i="20"/>
  <c r="AI129" i="20"/>
  <c r="AI130" i="20"/>
  <c r="AI131" i="20"/>
  <c r="AI132" i="20"/>
  <c r="AI133" i="20"/>
  <c r="AI134" i="20"/>
  <c r="AI135" i="20"/>
  <c r="AI136" i="20"/>
  <c r="AI137" i="20"/>
  <c r="AI138" i="20"/>
  <c r="AI139" i="20"/>
  <c r="AI140" i="20"/>
  <c r="AI141" i="20"/>
  <c r="AI142" i="20"/>
  <c r="AI143" i="20"/>
  <c r="AI144" i="20"/>
  <c r="AI145" i="20"/>
  <c r="AI146" i="20"/>
  <c r="AI147" i="20"/>
  <c r="AI148" i="20"/>
  <c r="AI149" i="20"/>
  <c r="AI150" i="20"/>
  <c r="AI151" i="20"/>
  <c r="AI152" i="20"/>
  <c r="AI153" i="20"/>
  <c r="AI154" i="20"/>
  <c r="AI155" i="20"/>
  <c r="AI156" i="20"/>
  <c r="AI157" i="20"/>
  <c r="AI158" i="20"/>
  <c r="AI159" i="20"/>
  <c r="AI160" i="20"/>
  <c r="AI161" i="20"/>
  <c r="AI162" i="20"/>
  <c r="AI163" i="20"/>
  <c r="AI164" i="20"/>
  <c r="AI165" i="20"/>
  <c r="AI166" i="20"/>
  <c r="AI167" i="20"/>
  <c r="AI168" i="20"/>
  <c r="AI169" i="20"/>
  <c r="AI170" i="20"/>
  <c r="AI3" i="20"/>
  <c r="O4" i="20" l="1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3" i="20"/>
  <c r="AF4" i="20"/>
  <c r="AF5" i="20"/>
  <c r="AF6" i="20"/>
  <c r="AF7" i="20"/>
  <c r="AF8" i="20"/>
  <c r="AF9" i="20"/>
  <c r="AF10" i="20"/>
  <c r="AF11" i="20"/>
  <c r="AF12" i="20"/>
  <c r="AF13" i="20"/>
  <c r="AF14" i="20"/>
  <c r="AF15" i="20"/>
  <c r="AF16" i="20"/>
  <c r="AF17" i="20"/>
  <c r="AF18" i="20"/>
  <c r="AF19" i="20"/>
  <c r="AF20" i="20"/>
  <c r="AF21" i="20"/>
  <c r="AF22" i="20"/>
  <c r="AF23" i="20"/>
  <c r="AF24" i="20"/>
  <c r="AF25" i="20"/>
  <c r="AF26" i="20"/>
  <c r="AF27" i="20"/>
  <c r="AF28" i="20"/>
  <c r="AF29" i="20"/>
  <c r="AF30" i="20"/>
  <c r="AF31" i="20"/>
  <c r="AF32" i="20"/>
  <c r="AF33" i="20"/>
  <c r="AF34" i="20"/>
  <c r="AF35" i="20"/>
  <c r="AF36" i="20"/>
  <c r="AF37" i="20"/>
  <c r="AF38" i="20"/>
  <c r="AF39" i="20"/>
  <c r="AF40" i="20"/>
  <c r="AF41" i="20"/>
  <c r="AF42" i="20"/>
  <c r="AF43" i="20"/>
  <c r="AF44" i="20"/>
  <c r="AF45" i="20"/>
  <c r="AF46" i="20"/>
  <c r="AF47" i="20"/>
  <c r="AF48" i="20"/>
  <c r="AF49" i="20"/>
  <c r="AF50" i="20"/>
  <c r="AF51" i="20"/>
  <c r="AF52" i="20"/>
  <c r="AF53" i="20"/>
  <c r="AF54" i="20"/>
  <c r="AF55" i="20"/>
  <c r="AF56" i="20"/>
  <c r="AF57" i="20"/>
  <c r="AF58" i="20"/>
  <c r="AF59" i="20"/>
  <c r="AF60" i="20"/>
  <c r="AF61" i="20"/>
  <c r="AF62" i="20"/>
  <c r="AF63" i="20"/>
  <c r="AF64" i="20"/>
  <c r="AF65" i="20"/>
  <c r="AF66" i="20"/>
  <c r="AF67" i="20"/>
  <c r="AF68" i="20"/>
  <c r="AF69" i="20"/>
  <c r="AF70" i="20"/>
  <c r="AF71" i="20"/>
  <c r="AF72" i="20"/>
  <c r="AF73" i="20"/>
  <c r="AF74" i="20"/>
  <c r="AF75" i="20"/>
  <c r="AF76" i="20"/>
  <c r="AF77" i="20"/>
  <c r="AF78" i="20"/>
  <c r="AF79" i="20"/>
  <c r="AF80" i="20"/>
  <c r="AF81" i="20"/>
  <c r="AF82" i="20"/>
  <c r="AF83" i="20"/>
  <c r="AF84" i="20"/>
  <c r="AF85" i="20"/>
  <c r="AF86" i="20"/>
  <c r="AF87" i="20"/>
  <c r="AF88" i="20"/>
  <c r="AF89" i="20"/>
  <c r="AF90" i="20"/>
  <c r="AF91" i="20"/>
  <c r="AF92" i="20"/>
  <c r="AF93" i="20"/>
  <c r="AF94" i="20"/>
  <c r="AF95" i="20"/>
  <c r="AF96" i="20"/>
  <c r="AF97" i="20"/>
  <c r="AF98" i="20"/>
  <c r="AF99" i="20"/>
  <c r="AF100" i="20"/>
  <c r="AF101" i="20"/>
  <c r="AF102" i="20"/>
  <c r="AF103" i="20"/>
  <c r="AF104" i="20"/>
  <c r="AF105" i="20"/>
  <c r="AF106" i="20"/>
  <c r="AF107" i="20"/>
  <c r="AF108" i="20"/>
  <c r="AF109" i="20"/>
  <c r="AF110" i="20"/>
  <c r="AF111" i="20"/>
  <c r="AF112" i="20"/>
  <c r="AF113" i="20"/>
  <c r="AF114" i="20"/>
  <c r="AF115" i="20"/>
  <c r="AF116" i="20"/>
  <c r="AF117" i="20"/>
  <c r="AF118" i="20"/>
  <c r="AF119" i="20"/>
  <c r="AF120" i="20"/>
  <c r="AF121" i="20"/>
  <c r="AF122" i="20"/>
  <c r="AF123" i="20"/>
  <c r="AF124" i="20"/>
  <c r="AF125" i="20"/>
  <c r="AF126" i="20"/>
  <c r="AF127" i="20"/>
  <c r="AF128" i="20"/>
  <c r="AF129" i="20"/>
  <c r="AF130" i="20"/>
  <c r="AF131" i="20"/>
  <c r="AF132" i="20"/>
  <c r="AF133" i="20"/>
  <c r="AF134" i="20"/>
  <c r="AF135" i="20"/>
  <c r="AF136" i="20"/>
  <c r="AF137" i="20"/>
  <c r="AF138" i="20"/>
  <c r="AF139" i="20"/>
  <c r="AF140" i="20"/>
  <c r="AF141" i="20"/>
  <c r="AF142" i="20"/>
  <c r="AF143" i="20"/>
  <c r="AF144" i="20"/>
  <c r="AF145" i="20"/>
  <c r="AF146" i="20"/>
  <c r="AF147" i="20"/>
  <c r="AF148" i="20"/>
  <c r="AF149" i="20"/>
  <c r="AF150" i="20"/>
  <c r="AF151" i="20"/>
  <c r="AF152" i="20"/>
  <c r="AF153" i="20"/>
  <c r="AF154" i="20"/>
  <c r="AF155" i="20"/>
  <c r="AF156" i="20"/>
  <c r="AF157" i="20"/>
  <c r="AF158" i="20"/>
  <c r="AF159" i="20"/>
  <c r="AF160" i="20"/>
  <c r="AF161" i="20"/>
  <c r="AF162" i="20"/>
  <c r="AF163" i="20"/>
  <c r="AF164" i="20"/>
  <c r="AF165" i="20"/>
  <c r="AF166" i="20"/>
  <c r="AF167" i="20"/>
  <c r="AF168" i="20"/>
  <c r="AF169" i="20"/>
  <c r="AF170" i="20"/>
  <c r="AF3" i="20"/>
  <c r="AE4" i="20"/>
  <c r="AE5" i="20"/>
  <c r="AE6" i="20"/>
  <c r="AE7" i="20"/>
  <c r="AE8" i="20"/>
  <c r="AE9" i="20"/>
  <c r="AE10" i="20"/>
  <c r="AE11" i="20"/>
  <c r="AE12" i="20"/>
  <c r="AE13" i="20"/>
  <c r="AE14" i="20"/>
  <c r="AE15" i="20"/>
  <c r="AE16" i="20"/>
  <c r="AE17" i="20"/>
  <c r="AE18" i="20"/>
  <c r="AE19" i="20"/>
  <c r="AE20" i="20"/>
  <c r="AE21" i="20"/>
  <c r="AE22" i="20"/>
  <c r="AE23" i="20"/>
  <c r="AE24" i="20"/>
  <c r="AE25" i="20"/>
  <c r="AE26" i="20"/>
  <c r="AE27" i="20"/>
  <c r="AE28" i="20"/>
  <c r="AE29" i="20"/>
  <c r="AE30" i="20"/>
  <c r="AE31" i="20"/>
  <c r="AE32" i="20"/>
  <c r="AE33" i="20"/>
  <c r="AE34" i="20"/>
  <c r="AE35" i="20"/>
  <c r="AE36" i="20"/>
  <c r="AE37" i="20"/>
  <c r="AE38" i="20"/>
  <c r="AE39" i="20"/>
  <c r="AE40" i="20"/>
  <c r="AE41" i="20"/>
  <c r="AE42" i="20"/>
  <c r="AE43" i="20"/>
  <c r="AE44" i="20"/>
  <c r="AE45" i="20"/>
  <c r="AE46" i="20"/>
  <c r="AE47" i="20"/>
  <c r="AE48" i="20"/>
  <c r="AE49" i="20"/>
  <c r="AE50" i="20"/>
  <c r="AE51" i="20"/>
  <c r="AE52" i="20"/>
  <c r="AE53" i="20"/>
  <c r="AE54" i="20"/>
  <c r="AE55" i="20"/>
  <c r="AE56" i="20"/>
  <c r="AE57" i="20"/>
  <c r="AE58" i="20"/>
  <c r="AE59" i="20"/>
  <c r="AE60" i="20"/>
  <c r="AE61" i="20"/>
  <c r="AE62" i="20"/>
  <c r="AE63" i="20"/>
  <c r="AE64" i="20"/>
  <c r="AE65" i="20"/>
  <c r="AE66" i="20"/>
  <c r="AE67" i="20"/>
  <c r="AE68" i="20"/>
  <c r="AE69" i="20"/>
  <c r="AE70" i="20"/>
  <c r="AE71" i="20"/>
  <c r="AE72" i="20"/>
  <c r="AE73" i="20"/>
  <c r="AE74" i="20"/>
  <c r="AE75" i="20"/>
  <c r="AE76" i="20"/>
  <c r="AE77" i="20"/>
  <c r="AE78" i="20"/>
  <c r="AE79" i="20"/>
  <c r="AE80" i="20"/>
  <c r="AE81" i="20"/>
  <c r="AE82" i="20"/>
  <c r="AE83" i="20"/>
  <c r="AE84" i="20"/>
  <c r="AE85" i="20"/>
  <c r="AE86" i="20"/>
  <c r="AE87" i="20"/>
  <c r="AE88" i="20"/>
  <c r="AE89" i="20"/>
  <c r="AE90" i="20"/>
  <c r="AE91" i="20"/>
  <c r="AE92" i="20"/>
  <c r="AE93" i="20"/>
  <c r="AE94" i="20"/>
  <c r="AE95" i="20"/>
  <c r="AE96" i="20"/>
  <c r="AE97" i="20"/>
  <c r="AE98" i="20"/>
  <c r="AE99" i="20"/>
  <c r="AE100" i="20"/>
  <c r="AE101" i="20"/>
  <c r="AE102" i="20"/>
  <c r="AE103" i="20"/>
  <c r="AE104" i="20"/>
  <c r="AE105" i="20"/>
  <c r="AE106" i="20"/>
  <c r="AE107" i="20"/>
  <c r="AE108" i="20"/>
  <c r="AE109" i="20"/>
  <c r="AE110" i="20"/>
  <c r="AE111" i="20"/>
  <c r="AE112" i="20"/>
  <c r="AE113" i="20"/>
  <c r="AE114" i="20"/>
  <c r="AE115" i="20"/>
  <c r="AE116" i="20"/>
  <c r="AE117" i="20"/>
  <c r="AE118" i="20"/>
  <c r="AE119" i="20"/>
  <c r="AE120" i="20"/>
  <c r="AE121" i="20"/>
  <c r="AE122" i="20"/>
  <c r="AE123" i="20"/>
  <c r="AE124" i="20"/>
  <c r="AE125" i="20"/>
  <c r="AE126" i="20"/>
  <c r="AE127" i="20"/>
  <c r="AE128" i="20"/>
  <c r="AE129" i="20"/>
  <c r="AE130" i="20"/>
  <c r="AE131" i="20"/>
  <c r="AE132" i="20"/>
  <c r="AE133" i="20"/>
  <c r="AE134" i="20"/>
  <c r="AE135" i="20"/>
  <c r="AE136" i="20"/>
  <c r="AE137" i="20"/>
  <c r="AE138" i="20"/>
  <c r="AE139" i="20"/>
  <c r="AE140" i="20"/>
  <c r="AE141" i="20"/>
  <c r="AE142" i="20"/>
  <c r="AE143" i="20"/>
  <c r="AE144" i="20"/>
  <c r="AE145" i="20"/>
  <c r="AE146" i="20"/>
  <c r="AE147" i="20"/>
  <c r="AE148" i="20"/>
  <c r="AE149" i="20"/>
  <c r="AE150" i="20"/>
  <c r="AE151" i="20"/>
  <c r="AE152" i="20"/>
  <c r="AE153" i="20"/>
  <c r="AE154" i="20"/>
  <c r="AE155" i="20"/>
  <c r="AE156" i="20"/>
  <c r="AE157" i="20"/>
  <c r="AE158" i="20"/>
  <c r="AE159" i="20"/>
  <c r="AE160" i="20"/>
  <c r="AE161" i="20"/>
  <c r="AE162" i="20"/>
  <c r="AE163" i="20"/>
  <c r="AE164" i="20"/>
  <c r="AE165" i="20"/>
  <c r="AE166" i="20"/>
  <c r="AE167" i="20"/>
  <c r="AE168" i="20"/>
  <c r="AE169" i="20"/>
  <c r="AE170" i="20"/>
  <c r="AE3" i="20"/>
  <c r="P3" i="10" l="1"/>
  <c r="P4" i="10"/>
  <c r="P5" i="10"/>
  <c r="P6" i="10"/>
  <c r="P7" i="10"/>
  <c r="P8" i="10"/>
  <c r="P9" i="10"/>
  <c r="P10" i="10"/>
  <c r="P11" i="10"/>
  <c r="P12" i="10"/>
  <c r="P13" i="10"/>
  <c r="P14" i="10"/>
  <c r="P15" i="10"/>
  <c r="P16" i="10"/>
  <c r="P17" i="10"/>
  <c r="P18" i="10"/>
  <c r="P19" i="10"/>
  <c r="P20" i="10"/>
  <c r="P21" i="10"/>
  <c r="P22" i="10"/>
  <c r="P23" i="10"/>
  <c r="P24" i="10"/>
  <c r="P25" i="10"/>
  <c r="P26" i="10"/>
  <c r="P27" i="10"/>
  <c r="P28" i="10"/>
  <c r="P29" i="10"/>
  <c r="P30" i="10"/>
  <c r="P31" i="10"/>
  <c r="P32" i="10"/>
  <c r="P33" i="10"/>
  <c r="P34" i="10"/>
  <c r="P35" i="10"/>
  <c r="P36" i="10"/>
  <c r="P37" i="10"/>
  <c r="P38" i="10"/>
  <c r="P39" i="10"/>
  <c r="P40" i="10"/>
  <c r="P41" i="10"/>
  <c r="P42" i="10"/>
  <c r="P43" i="10"/>
  <c r="P44" i="10"/>
  <c r="P45" i="10"/>
  <c r="P46" i="10"/>
  <c r="P47" i="10"/>
  <c r="P48" i="10"/>
  <c r="P49" i="10"/>
  <c r="P50" i="10"/>
  <c r="P51" i="10"/>
  <c r="P52" i="10"/>
  <c r="P53" i="10"/>
  <c r="P54" i="10"/>
  <c r="P55" i="10"/>
  <c r="P56" i="10"/>
  <c r="P57" i="10"/>
  <c r="P58" i="10"/>
  <c r="P59" i="10"/>
  <c r="P60" i="10"/>
  <c r="P61" i="10"/>
  <c r="P62" i="10"/>
  <c r="P63" i="10"/>
  <c r="P64" i="10"/>
  <c r="P65" i="10"/>
  <c r="P66" i="10"/>
  <c r="P67" i="10"/>
  <c r="P68" i="10"/>
  <c r="P69" i="10"/>
  <c r="P70" i="10"/>
  <c r="P71" i="10"/>
  <c r="P72" i="10"/>
  <c r="P73" i="10"/>
  <c r="P74" i="10"/>
  <c r="P75" i="10"/>
  <c r="P76" i="10"/>
  <c r="P77" i="10"/>
  <c r="P78" i="10"/>
  <c r="P79" i="10"/>
  <c r="P80" i="10"/>
  <c r="P81" i="10"/>
  <c r="P82" i="10"/>
  <c r="P83" i="10"/>
  <c r="P84" i="10"/>
  <c r="P85" i="10"/>
  <c r="P86" i="10"/>
  <c r="P87" i="10"/>
  <c r="P88" i="10"/>
  <c r="P89" i="10"/>
  <c r="P90" i="10"/>
  <c r="P91" i="10"/>
  <c r="P92" i="10"/>
  <c r="P93" i="10"/>
  <c r="P94" i="10"/>
  <c r="P95" i="10"/>
  <c r="P96" i="10"/>
  <c r="P97" i="10"/>
  <c r="P98" i="10"/>
  <c r="P99" i="10"/>
  <c r="P100" i="10"/>
  <c r="P101" i="10"/>
  <c r="P102" i="10"/>
  <c r="P103" i="10"/>
  <c r="P104" i="10"/>
  <c r="P105" i="10"/>
  <c r="P106" i="10"/>
  <c r="P107" i="10"/>
  <c r="P108" i="10"/>
  <c r="P109" i="10"/>
  <c r="P110" i="10"/>
  <c r="P111" i="10"/>
  <c r="P112" i="10"/>
  <c r="P113" i="10"/>
  <c r="P114" i="10"/>
  <c r="P115" i="10"/>
  <c r="P116" i="10"/>
  <c r="P117" i="10"/>
  <c r="P118" i="10"/>
  <c r="P119" i="10"/>
  <c r="P120" i="10"/>
  <c r="P121" i="10"/>
  <c r="P122" i="10"/>
  <c r="P123" i="10"/>
  <c r="P124" i="10"/>
  <c r="P125" i="10"/>
  <c r="P126" i="10"/>
  <c r="P127" i="10"/>
  <c r="P128" i="10"/>
  <c r="P129" i="10"/>
  <c r="P130" i="10"/>
  <c r="P131" i="10"/>
  <c r="P132" i="10"/>
  <c r="P133" i="10"/>
  <c r="P134" i="10"/>
  <c r="P135" i="10"/>
  <c r="P136" i="10"/>
  <c r="P137" i="10"/>
  <c r="P138" i="10"/>
  <c r="P139" i="10"/>
  <c r="P140" i="10"/>
  <c r="P141" i="10"/>
  <c r="P142" i="10"/>
  <c r="P143" i="10"/>
  <c r="P144" i="10"/>
  <c r="P145" i="10"/>
  <c r="P146" i="10"/>
  <c r="P147" i="10"/>
  <c r="P148" i="10"/>
  <c r="P149" i="10"/>
  <c r="P150" i="10"/>
  <c r="P151" i="10"/>
  <c r="P152" i="10"/>
  <c r="P153" i="10"/>
  <c r="P154" i="10"/>
  <c r="P155" i="10"/>
  <c r="P156" i="10"/>
  <c r="P157" i="10"/>
  <c r="P158" i="10"/>
  <c r="P159" i="10"/>
  <c r="P160" i="10"/>
  <c r="P161" i="10"/>
  <c r="P162" i="10"/>
  <c r="P163" i="10"/>
  <c r="P164" i="10"/>
  <c r="P165" i="10"/>
  <c r="P166" i="10"/>
  <c r="P167" i="10"/>
  <c r="P168" i="10"/>
  <c r="P2" i="10"/>
  <c r="C10" i="17" l="1"/>
  <c r="AA4" i="20" l="1"/>
  <c r="AA5" i="20"/>
  <c r="AA6" i="20"/>
  <c r="AA7" i="20"/>
  <c r="AA8" i="20"/>
  <c r="AA9" i="20"/>
  <c r="AA10" i="20"/>
  <c r="AA11" i="20"/>
  <c r="AA12" i="20"/>
  <c r="AA13" i="20"/>
  <c r="AA14" i="20"/>
  <c r="AA15" i="20"/>
  <c r="AA16" i="20"/>
  <c r="AA17" i="20"/>
  <c r="AA18" i="20"/>
  <c r="AA19" i="20"/>
  <c r="AA20" i="20"/>
  <c r="AA21" i="20"/>
  <c r="AA22" i="20"/>
  <c r="AA23" i="20"/>
  <c r="AA24" i="20"/>
  <c r="AA25" i="20"/>
  <c r="AA26" i="20"/>
  <c r="AA27" i="20"/>
  <c r="AA28" i="20"/>
  <c r="AA29" i="20"/>
  <c r="AA30" i="20"/>
  <c r="AA31" i="20"/>
  <c r="AA32" i="20"/>
  <c r="AA33" i="20"/>
  <c r="AA34" i="20"/>
  <c r="AA35" i="20"/>
  <c r="AA36" i="20"/>
  <c r="AA37" i="20"/>
  <c r="AA38" i="20"/>
  <c r="AA39" i="20"/>
  <c r="AA40" i="20"/>
  <c r="AA41" i="20"/>
  <c r="AA42" i="20"/>
  <c r="AA43" i="20"/>
  <c r="AA44" i="20"/>
  <c r="AA45" i="20"/>
  <c r="AA46" i="20"/>
  <c r="AA47" i="20"/>
  <c r="AA48" i="20"/>
  <c r="AA49" i="20"/>
  <c r="AA50" i="20"/>
  <c r="AA51" i="20"/>
  <c r="AA52" i="20"/>
  <c r="AA53" i="20"/>
  <c r="AA54" i="20"/>
  <c r="AA55" i="20"/>
  <c r="AA56" i="20"/>
  <c r="AA57" i="20"/>
  <c r="AA58" i="20"/>
  <c r="AA59" i="20"/>
  <c r="AA60" i="20"/>
  <c r="AA61" i="20"/>
  <c r="AA62" i="20"/>
  <c r="AA63" i="20"/>
  <c r="AA64" i="20"/>
  <c r="AA65" i="20"/>
  <c r="AA66" i="20"/>
  <c r="AA67" i="20"/>
  <c r="AA68" i="20"/>
  <c r="AA69" i="20"/>
  <c r="AA70" i="20"/>
  <c r="AA71" i="20"/>
  <c r="AA72" i="20"/>
  <c r="AA73" i="20"/>
  <c r="AA74" i="20"/>
  <c r="AA75" i="20"/>
  <c r="AA76" i="20"/>
  <c r="AA77" i="20"/>
  <c r="AA78" i="20"/>
  <c r="AA79" i="20"/>
  <c r="AA80" i="20"/>
  <c r="AA81" i="20"/>
  <c r="AA82" i="20"/>
  <c r="AA83" i="20"/>
  <c r="AA84" i="20"/>
  <c r="AA85" i="20"/>
  <c r="AA86" i="20"/>
  <c r="AA87" i="20"/>
  <c r="AA88" i="20"/>
  <c r="AA89" i="20"/>
  <c r="AA90" i="20"/>
  <c r="AA91" i="20"/>
  <c r="AA92" i="20"/>
  <c r="AA93" i="20"/>
  <c r="AA94" i="20"/>
  <c r="AA95" i="20"/>
  <c r="AA96" i="20"/>
  <c r="AA97" i="20"/>
  <c r="AA98" i="20"/>
  <c r="AA99" i="20"/>
  <c r="AA100" i="20"/>
  <c r="AA101" i="20"/>
  <c r="AA102" i="20"/>
  <c r="AA103" i="20"/>
  <c r="AA104" i="20"/>
  <c r="AA105" i="20"/>
  <c r="AA106" i="20"/>
  <c r="AA107" i="20"/>
  <c r="AA108" i="20"/>
  <c r="AA109" i="20"/>
  <c r="AA110" i="20"/>
  <c r="AA111" i="20"/>
  <c r="AA112" i="20"/>
  <c r="AA113" i="20"/>
  <c r="AA114" i="20"/>
  <c r="AA115" i="20"/>
  <c r="AA116" i="20"/>
  <c r="AA117" i="20"/>
  <c r="AA118" i="20"/>
  <c r="AA119" i="20"/>
  <c r="AA120" i="20"/>
  <c r="AA121" i="20"/>
  <c r="AA122" i="20"/>
  <c r="AA123" i="20"/>
  <c r="AA124" i="20"/>
  <c r="AA125" i="20"/>
  <c r="AA126" i="20"/>
  <c r="AA127" i="20"/>
  <c r="AA128" i="20"/>
  <c r="AA129" i="20"/>
  <c r="AA130" i="20"/>
  <c r="AA131" i="20"/>
  <c r="AA132" i="20"/>
  <c r="AA133" i="20"/>
  <c r="AA134" i="20"/>
  <c r="AA135" i="20"/>
  <c r="AA136" i="20"/>
  <c r="AA137" i="20"/>
  <c r="AA138" i="20"/>
  <c r="AA139" i="20"/>
  <c r="AA140" i="20"/>
  <c r="AA141" i="20"/>
  <c r="AA142" i="20"/>
  <c r="AA143" i="20"/>
  <c r="AA144" i="20"/>
  <c r="AA145" i="20"/>
  <c r="AA146" i="20"/>
  <c r="AA147" i="20"/>
  <c r="AA148" i="20"/>
  <c r="AA149" i="20"/>
  <c r="AA150" i="20"/>
  <c r="AA151" i="20"/>
  <c r="AA152" i="20"/>
  <c r="AA153" i="20"/>
  <c r="AA154" i="20"/>
  <c r="AA155" i="20"/>
  <c r="AA156" i="20"/>
  <c r="AA157" i="20"/>
  <c r="AA158" i="20"/>
  <c r="AA159" i="20"/>
  <c r="AA160" i="20"/>
  <c r="AA161" i="20"/>
  <c r="AA162" i="20"/>
  <c r="AA163" i="20"/>
  <c r="AA164" i="20"/>
  <c r="AA165" i="20"/>
  <c r="AA166" i="20"/>
  <c r="AA167" i="20"/>
  <c r="AA168" i="20"/>
  <c r="AA169" i="20"/>
  <c r="AA170" i="20"/>
  <c r="AA3" i="20"/>
  <c r="Y4" i="20"/>
  <c r="Y5" i="20"/>
  <c r="Y6" i="20"/>
  <c r="Y7" i="20"/>
  <c r="Y8" i="20"/>
  <c r="Y9" i="20"/>
  <c r="Y10" i="20"/>
  <c r="Y11" i="20"/>
  <c r="Y12" i="20"/>
  <c r="Y13" i="20"/>
  <c r="Y14" i="20"/>
  <c r="Y15" i="20"/>
  <c r="Y16" i="20"/>
  <c r="Y17" i="20"/>
  <c r="Y18" i="20"/>
  <c r="Y19" i="20"/>
  <c r="Y20" i="20"/>
  <c r="Y21" i="20"/>
  <c r="Y22" i="20"/>
  <c r="Y23" i="20"/>
  <c r="Y24" i="20"/>
  <c r="Y25" i="20"/>
  <c r="Y26" i="20"/>
  <c r="Y27" i="20"/>
  <c r="Y28" i="20"/>
  <c r="Y29" i="20"/>
  <c r="Y30" i="20"/>
  <c r="Y31" i="20"/>
  <c r="Y32" i="20"/>
  <c r="Y33" i="20"/>
  <c r="Y34" i="20"/>
  <c r="Y35" i="20"/>
  <c r="Y36" i="20"/>
  <c r="Y37" i="20"/>
  <c r="Y38" i="20"/>
  <c r="Y39" i="20"/>
  <c r="Y40" i="20"/>
  <c r="Y41" i="20"/>
  <c r="Y42" i="20"/>
  <c r="Y43" i="20"/>
  <c r="Y44" i="20"/>
  <c r="Y45" i="20"/>
  <c r="Y46" i="20"/>
  <c r="Y47" i="20"/>
  <c r="Y48" i="20"/>
  <c r="Y49" i="20"/>
  <c r="Y50" i="20"/>
  <c r="Y51" i="20"/>
  <c r="Y52" i="20"/>
  <c r="Y53" i="20"/>
  <c r="Y54" i="20"/>
  <c r="Y55" i="20"/>
  <c r="Y56" i="20"/>
  <c r="Y57" i="20"/>
  <c r="Y58" i="20"/>
  <c r="Y59" i="20"/>
  <c r="Y60" i="20"/>
  <c r="Y61" i="20"/>
  <c r="Y62" i="20"/>
  <c r="Y63" i="20"/>
  <c r="Y64" i="20"/>
  <c r="Y65" i="20"/>
  <c r="Y66" i="20"/>
  <c r="Y67" i="20"/>
  <c r="Y68" i="20"/>
  <c r="Y69" i="20"/>
  <c r="Y70" i="20"/>
  <c r="Y71" i="20"/>
  <c r="Y72" i="20"/>
  <c r="Y73" i="20"/>
  <c r="Y74" i="20"/>
  <c r="Y75" i="20"/>
  <c r="Y76" i="20"/>
  <c r="Y77" i="20"/>
  <c r="Y78" i="20"/>
  <c r="Y79" i="20"/>
  <c r="Y80" i="20"/>
  <c r="Y81" i="20"/>
  <c r="Y82" i="20"/>
  <c r="Y83" i="20"/>
  <c r="Y84" i="20"/>
  <c r="Y85" i="20"/>
  <c r="Y86" i="20"/>
  <c r="Y87" i="20"/>
  <c r="Y88" i="20"/>
  <c r="Y89" i="20"/>
  <c r="Y90" i="20"/>
  <c r="Y91" i="20"/>
  <c r="Y92" i="20"/>
  <c r="Y93" i="20"/>
  <c r="Y94" i="20"/>
  <c r="Y95" i="20"/>
  <c r="Y96" i="20"/>
  <c r="Y97" i="20"/>
  <c r="Y98" i="20"/>
  <c r="Y99" i="20"/>
  <c r="Y100" i="20"/>
  <c r="Y101" i="20"/>
  <c r="Y102" i="20"/>
  <c r="Y103" i="20"/>
  <c r="Y104" i="20"/>
  <c r="Y105" i="20"/>
  <c r="Y106" i="20"/>
  <c r="Y107" i="20"/>
  <c r="Y108" i="20"/>
  <c r="Y109" i="20"/>
  <c r="Y110" i="20"/>
  <c r="Y111" i="20"/>
  <c r="Y112" i="20"/>
  <c r="Y113" i="20"/>
  <c r="Y114" i="20"/>
  <c r="Y115" i="20"/>
  <c r="Y116" i="20"/>
  <c r="Y117" i="20"/>
  <c r="Y118" i="20"/>
  <c r="Y119" i="20"/>
  <c r="Y120" i="20"/>
  <c r="Y121" i="20"/>
  <c r="Y122" i="20"/>
  <c r="Y123" i="20"/>
  <c r="Y124" i="20"/>
  <c r="Y125" i="20"/>
  <c r="Y126" i="20"/>
  <c r="Y127" i="20"/>
  <c r="Y128" i="20"/>
  <c r="Y129" i="20"/>
  <c r="Y130" i="20"/>
  <c r="Y131" i="20"/>
  <c r="Y132" i="20"/>
  <c r="Y133" i="20"/>
  <c r="Y134" i="20"/>
  <c r="Y135" i="20"/>
  <c r="Y136" i="20"/>
  <c r="Y137" i="20"/>
  <c r="Y138" i="20"/>
  <c r="Y139" i="20"/>
  <c r="Y140" i="20"/>
  <c r="Y141" i="20"/>
  <c r="Y142" i="20"/>
  <c r="Y143" i="20"/>
  <c r="Y144" i="20"/>
  <c r="Y145" i="20"/>
  <c r="Y146" i="20"/>
  <c r="Y147" i="20"/>
  <c r="Y148" i="20"/>
  <c r="Y149" i="20"/>
  <c r="Y150" i="20"/>
  <c r="Y151" i="20"/>
  <c r="Y152" i="20"/>
  <c r="Y153" i="20"/>
  <c r="Y154" i="20"/>
  <c r="Y155" i="20"/>
  <c r="Y156" i="20"/>
  <c r="Y157" i="20"/>
  <c r="Y158" i="20"/>
  <c r="Y159" i="20"/>
  <c r="Y160" i="20"/>
  <c r="Y161" i="20"/>
  <c r="Y162" i="20"/>
  <c r="Y163" i="20"/>
  <c r="Y164" i="20"/>
  <c r="Y165" i="20"/>
  <c r="Y166" i="20"/>
  <c r="Y167" i="20"/>
  <c r="Y168" i="20"/>
  <c r="Y169" i="20"/>
  <c r="Y170" i="20"/>
  <c r="Y3" i="20"/>
  <c r="W4" i="20"/>
  <c r="W5" i="20"/>
  <c r="W6" i="20"/>
  <c r="W7" i="20"/>
  <c r="W8" i="20"/>
  <c r="W9" i="20"/>
  <c r="W10" i="20"/>
  <c r="W11" i="20"/>
  <c r="W12" i="20"/>
  <c r="W13" i="20"/>
  <c r="W14" i="20"/>
  <c r="W15" i="20"/>
  <c r="W16" i="20"/>
  <c r="W17" i="20"/>
  <c r="W18" i="20"/>
  <c r="W19" i="20"/>
  <c r="W20" i="20"/>
  <c r="W21" i="20"/>
  <c r="W22" i="20"/>
  <c r="W23" i="20"/>
  <c r="W24" i="20"/>
  <c r="W25" i="20"/>
  <c r="W26" i="20"/>
  <c r="W27" i="20"/>
  <c r="W28" i="20"/>
  <c r="W29" i="20"/>
  <c r="W30" i="20"/>
  <c r="W31" i="20"/>
  <c r="W32" i="20"/>
  <c r="W33" i="20"/>
  <c r="W34" i="20"/>
  <c r="W35" i="20"/>
  <c r="W36" i="20"/>
  <c r="W37" i="20"/>
  <c r="W38" i="20"/>
  <c r="W39" i="20"/>
  <c r="W40" i="20"/>
  <c r="W41" i="20"/>
  <c r="W42" i="20"/>
  <c r="W43" i="20"/>
  <c r="W44" i="20"/>
  <c r="W45" i="20"/>
  <c r="W46" i="20"/>
  <c r="W47" i="20"/>
  <c r="W48" i="20"/>
  <c r="W49" i="20"/>
  <c r="W50" i="20"/>
  <c r="W51" i="20"/>
  <c r="W52" i="20"/>
  <c r="W53" i="20"/>
  <c r="W54" i="20"/>
  <c r="W55" i="20"/>
  <c r="W56" i="20"/>
  <c r="W57" i="20"/>
  <c r="W58" i="20"/>
  <c r="W59" i="20"/>
  <c r="W60" i="20"/>
  <c r="W61" i="20"/>
  <c r="W62" i="20"/>
  <c r="W63" i="20"/>
  <c r="W64" i="20"/>
  <c r="W65" i="20"/>
  <c r="W66" i="20"/>
  <c r="W67" i="20"/>
  <c r="W68" i="20"/>
  <c r="W69" i="20"/>
  <c r="W70" i="20"/>
  <c r="W71" i="20"/>
  <c r="W72" i="20"/>
  <c r="W73" i="20"/>
  <c r="W74" i="20"/>
  <c r="W75" i="20"/>
  <c r="W76" i="20"/>
  <c r="W77" i="20"/>
  <c r="W78" i="20"/>
  <c r="W79" i="20"/>
  <c r="W80" i="20"/>
  <c r="W81" i="20"/>
  <c r="W82" i="20"/>
  <c r="W83" i="20"/>
  <c r="W84" i="20"/>
  <c r="W85" i="20"/>
  <c r="W86" i="20"/>
  <c r="W87" i="20"/>
  <c r="W88" i="20"/>
  <c r="W89" i="20"/>
  <c r="W90" i="20"/>
  <c r="W91" i="20"/>
  <c r="W92" i="20"/>
  <c r="W93" i="20"/>
  <c r="W94" i="20"/>
  <c r="W95" i="20"/>
  <c r="W96" i="20"/>
  <c r="W97" i="20"/>
  <c r="W98" i="20"/>
  <c r="W99" i="20"/>
  <c r="W100" i="20"/>
  <c r="W101" i="20"/>
  <c r="W102" i="20"/>
  <c r="W103" i="20"/>
  <c r="W104" i="20"/>
  <c r="W105" i="20"/>
  <c r="W106" i="20"/>
  <c r="W107" i="20"/>
  <c r="W108" i="20"/>
  <c r="W109" i="20"/>
  <c r="W110" i="20"/>
  <c r="W111" i="20"/>
  <c r="W112" i="20"/>
  <c r="W113" i="20"/>
  <c r="W114" i="20"/>
  <c r="W115" i="20"/>
  <c r="W116" i="20"/>
  <c r="W117" i="20"/>
  <c r="W118" i="20"/>
  <c r="W119" i="20"/>
  <c r="W120" i="20"/>
  <c r="W121" i="20"/>
  <c r="W122" i="20"/>
  <c r="W123" i="20"/>
  <c r="W124" i="20"/>
  <c r="W125" i="20"/>
  <c r="W126" i="20"/>
  <c r="W127" i="20"/>
  <c r="W128" i="20"/>
  <c r="W129" i="20"/>
  <c r="W130" i="20"/>
  <c r="W131" i="20"/>
  <c r="W132" i="20"/>
  <c r="W133" i="20"/>
  <c r="W134" i="20"/>
  <c r="W135" i="20"/>
  <c r="W136" i="20"/>
  <c r="W137" i="20"/>
  <c r="W138" i="20"/>
  <c r="W139" i="20"/>
  <c r="W140" i="20"/>
  <c r="W141" i="20"/>
  <c r="W142" i="20"/>
  <c r="W143" i="20"/>
  <c r="W144" i="20"/>
  <c r="W145" i="20"/>
  <c r="W146" i="20"/>
  <c r="W147" i="20"/>
  <c r="W148" i="20"/>
  <c r="W149" i="20"/>
  <c r="W150" i="20"/>
  <c r="W151" i="20"/>
  <c r="W152" i="20"/>
  <c r="W153" i="20"/>
  <c r="W154" i="20"/>
  <c r="W155" i="20"/>
  <c r="W156" i="20"/>
  <c r="W157" i="20"/>
  <c r="W158" i="20"/>
  <c r="W159" i="20"/>
  <c r="W160" i="20"/>
  <c r="W161" i="20"/>
  <c r="W162" i="20"/>
  <c r="W163" i="20"/>
  <c r="W164" i="20"/>
  <c r="W165" i="20"/>
  <c r="W166" i="20"/>
  <c r="W167" i="20"/>
  <c r="W168" i="20"/>
  <c r="W169" i="20"/>
  <c r="W170" i="20"/>
  <c r="W3" i="20"/>
  <c r="U4" i="20"/>
  <c r="U5" i="20"/>
  <c r="U6" i="20"/>
  <c r="U7" i="20"/>
  <c r="U8" i="20"/>
  <c r="U9" i="20"/>
  <c r="U10" i="20"/>
  <c r="U11" i="20"/>
  <c r="U12" i="20"/>
  <c r="U13" i="20"/>
  <c r="U14" i="20"/>
  <c r="U15" i="20"/>
  <c r="U16" i="20"/>
  <c r="U17" i="20"/>
  <c r="U18" i="20"/>
  <c r="U19" i="20"/>
  <c r="U20" i="20"/>
  <c r="U21" i="20"/>
  <c r="U22" i="20"/>
  <c r="U23" i="20"/>
  <c r="U24" i="20"/>
  <c r="U25" i="20"/>
  <c r="U26" i="20"/>
  <c r="U27" i="20"/>
  <c r="U28" i="20"/>
  <c r="U29" i="20"/>
  <c r="U30" i="20"/>
  <c r="U31" i="20"/>
  <c r="U32" i="20"/>
  <c r="U33" i="20"/>
  <c r="U34" i="20"/>
  <c r="U35" i="20"/>
  <c r="U36" i="20"/>
  <c r="U37" i="20"/>
  <c r="U38" i="20"/>
  <c r="U39" i="20"/>
  <c r="U40" i="20"/>
  <c r="U41" i="20"/>
  <c r="U42" i="20"/>
  <c r="U43" i="20"/>
  <c r="U44" i="20"/>
  <c r="U45" i="20"/>
  <c r="U46" i="20"/>
  <c r="U47" i="20"/>
  <c r="U48" i="20"/>
  <c r="U49" i="20"/>
  <c r="U50" i="20"/>
  <c r="U51" i="20"/>
  <c r="U52" i="20"/>
  <c r="U53" i="20"/>
  <c r="U54" i="20"/>
  <c r="U55" i="20"/>
  <c r="U56" i="20"/>
  <c r="U57" i="20"/>
  <c r="U58" i="20"/>
  <c r="U59" i="20"/>
  <c r="U60" i="20"/>
  <c r="U61" i="20"/>
  <c r="U62" i="20"/>
  <c r="U63" i="20"/>
  <c r="U64" i="20"/>
  <c r="U65" i="20"/>
  <c r="U66" i="20"/>
  <c r="U67" i="20"/>
  <c r="U68" i="20"/>
  <c r="U69" i="20"/>
  <c r="U70" i="20"/>
  <c r="U71" i="20"/>
  <c r="U72" i="20"/>
  <c r="U73" i="20"/>
  <c r="U74" i="20"/>
  <c r="U75" i="20"/>
  <c r="U76" i="20"/>
  <c r="U77" i="20"/>
  <c r="U78" i="20"/>
  <c r="U79" i="20"/>
  <c r="U80" i="20"/>
  <c r="U81" i="20"/>
  <c r="U82" i="20"/>
  <c r="U83" i="20"/>
  <c r="U84" i="20"/>
  <c r="U85" i="20"/>
  <c r="U86" i="20"/>
  <c r="U87" i="20"/>
  <c r="U88" i="20"/>
  <c r="U89" i="20"/>
  <c r="U90" i="20"/>
  <c r="U91" i="20"/>
  <c r="U92" i="20"/>
  <c r="U93" i="20"/>
  <c r="U94" i="20"/>
  <c r="U95" i="20"/>
  <c r="U96" i="20"/>
  <c r="U97" i="20"/>
  <c r="U98" i="20"/>
  <c r="U99" i="20"/>
  <c r="U100" i="20"/>
  <c r="U101" i="20"/>
  <c r="U102" i="20"/>
  <c r="U103" i="20"/>
  <c r="U104" i="20"/>
  <c r="U105" i="20"/>
  <c r="U106" i="20"/>
  <c r="U107" i="20"/>
  <c r="U108" i="20"/>
  <c r="U109" i="20"/>
  <c r="U110" i="20"/>
  <c r="U111" i="20"/>
  <c r="U112" i="20"/>
  <c r="U113" i="20"/>
  <c r="U114" i="20"/>
  <c r="U115" i="20"/>
  <c r="U116" i="20"/>
  <c r="U117" i="20"/>
  <c r="U118" i="20"/>
  <c r="U119" i="20"/>
  <c r="U120" i="20"/>
  <c r="U121" i="20"/>
  <c r="U122" i="20"/>
  <c r="U123" i="20"/>
  <c r="U124" i="20"/>
  <c r="U125" i="20"/>
  <c r="U126" i="20"/>
  <c r="U127" i="20"/>
  <c r="U128" i="20"/>
  <c r="U129" i="20"/>
  <c r="U130" i="20"/>
  <c r="U131" i="20"/>
  <c r="U132" i="20"/>
  <c r="U133" i="20"/>
  <c r="U134" i="20"/>
  <c r="U135" i="20"/>
  <c r="U136" i="20"/>
  <c r="U137" i="20"/>
  <c r="U138" i="20"/>
  <c r="U139" i="20"/>
  <c r="U140" i="20"/>
  <c r="U141" i="20"/>
  <c r="U142" i="20"/>
  <c r="U143" i="20"/>
  <c r="U144" i="20"/>
  <c r="U145" i="20"/>
  <c r="U146" i="20"/>
  <c r="U147" i="20"/>
  <c r="U148" i="20"/>
  <c r="U149" i="20"/>
  <c r="U150" i="20"/>
  <c r="U151" i="20"/>
  <c r="U152" i="20"/>
  <c r="U153" i="20"/>
  <c r="U154" i="20"/>
  <c r="U155" i="20"/>
  <c r="U156" i="20"/>
  <c r="U157" i="20"/>
  <c r="U158" i="20"/>
  <c r="U159" i="20"/>
  <c r="U160" i="20"/>
  <c r="U161" i="20"/>
  <c r="U162" i="20"/>
  <c r="U163" i="20"/>
  <c r="U164" i="20"/>
  <c r="U165" i="20"/>
  <c r="U166" i="20"/>
  <c r="U167" i="20"/>
  <c r="U168" i="20"/>
  <c r="U169" i="20"/>
  <c r="U170" i="20"/>
  <c r="U3" i="20"/>
  <c r="R4" i="20" l="1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3" i="20"/>
  <c r="J4" i="20"/>
  <c r="J5" i="20"/>
  <c r="J6" i="20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71" i="20"/>
  <c r="J72" i="20"/>
  <c r="J73" i="20"/>
  <c r="J74" i="20"/>
  <c r="J75" i="20"/>
  <c r="J76" i="20"/>
  <c r="J77" i="20"/>
  <c r="J78" i="20"/>
  <c r="J79" i="20"/>
  <c r="J80" i="20"/>
  <c r="J81" i="20"/>
  <c r="J82" i="20"/>
  <c r="J83" i="20"/>
  <c r="J84" i="20"/>
  <c r="J85" i="20"/>
  <c r="J86" i="20"/>
  <c r="J87" i="20"/>
  <c r="J88" i="20"/>
  <c r="J89" i="20"/>
  <c r="J90" i="20"/>
  <c r="J91" i="20"/>
  <c r="J92" i="20"/>
  <c r="J93" i="20"/>
  <c r="J94" i="20"/>
  <c r="J95" i="20"/>
  <c r="J96" i="20"/>
  <c r="J97" i="20"/>
  <c r="J98" i="20"/>
  <c r="J99" i="20"/>
  <c r="J100" i="20"/>
  <c r="J101" i="20"/>
  <c r="J102" i="20"/>
  <c r="J103" i="20"/>
  <c r="J104" i="20"/>
  <c r="J105" i="20"/>
  <c r="J106" i="20"/>
  <c r="J107" i="20"/>
  <c r="J108" i="20"/>
  <c r="J109" i="20"/>
  <c r="J110" i="20"/>
  <c r="J111" i="20"/>
  <c r="J112" i="20"/>
  <c r="J113" i="20"/>
  <c r="J114" i="20"/>
  <c r="J115" i="20"/>
  <c r="J116" i="20"/>
  <c r="J117" i="20"/>
  <c r="J118" i="20"/>
  <c r="J119" i="20"/>
  <c r="J120" i="20"/>
  <c r="J121" i="20"/>
  <c r="J122" i="20"/>
  <c r="J123" i="20"/>
  <c r="J124" i="20"/>
  <c r="J125" i="20"/>
  <c r="J126" i="20"/>
  <c r="J127" i="20"/>
  <c r="J128" i="20"/>
  <c r="J129" i="20"/>
  <c r="J130" i="20"/>
  <c r="J131" i="20"/>
  <c r="J132" i="20"/>
  <c r="J133" i="20"/>
  <c r="J134" i="20"/>
  <c r="J135" i="20"/>
  <c r="J136" i="20"/>
  <c r="J137" i="20"/>
  <c r="J138" i="20"/>
  <c r="J139" i="20"/>
  <c r="J140" i="20"/>
  <c r="J141" i="20"/>
  <c r="J142" i="20"/>
  <c r="J143" i="20"/>
  <c r="J144" i="20"/>
  <c r="J145" i="20"/>
  <c r="J146" i="20"/>
  <c r="J147" i="20"/>
  <c r="J148" i="20"/>
  <c r="J149" i="20"/>
  <c r="J150" i="20"/>
  <c r="J151" i="20"/>
  <c r="J152" i="20"/>
  <c r="J153" i="20"/>
  <c r="J154" i="20"/>
  <c r="J155" i="20"/>
  <c r="J156" i="20"/>
  <c r="J157" i="20"/>
  <c r="J158" i="20"/>
  <c r="J159" i="20"/>
  <c r="J160" i="20"/>
  <c r="J161" i="20"/>
  <c r="J162" i="20"/>
  <c r="J163" i="20"/>
  <c r="J164" i="20"/>
  <c r="J165" i="20"/>
  <c r="J166" i="20"/>
  <c r="J167" i="20"/>
  <c r="J168" i="20"/>
  <c r="J169" i="20"/>
  <c r="J170" i="20"/>
  <c r="J3" i="20"/>
  <c r="D3" i="20"/>
  <c r="D4" i="20" s="1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D15" i="20" s="1"/>
  <c r="D16" i="20" s="1"/>
  <c r="D17" i="20" s="1"/>
  <c r="D18" i="20" s="1"/>
  <c r="D19" i="20" s="1"/>
  <c r="D20" i="20" s="1"/>
  <c r="D21" i="20" s="1"/>
  <c r="D22" i="20" s="1"/>
  <c r="D23" i="20" s="1"/>
  <c r="D24" i="20" s="1"/>
  <c r="D25" i="20" s="1"/>
  <c r="D26" i="20" s="1"/>
  <c r="D27" i="20" s="1"/>
  <c r="D28" i="20" s="1"/>
  <c r="D29" i="20" s="1"/>
  <c r="D30" i="20" s="1"/>
  <c r="D31" i="20" s="1"/>
  <c r="D32" i="20" s="1"/>
  <c r="D33" i="20" s="1"/>
  <c r="D34" i="20" s="1"/>
  <c r="D35" i="20" s="1"/>
  <c r="D36" i="20" s="1"/>
  <c r="D37" i="20" s="1"/>
  <c r="D38" i="20" s="1"/>
  <c r="D39" i="20" s="1"/>
  <c r="D40" i="20" s="1"/>
  <c r="D41" i="20" s="1"/>
  <c r="D42" i="20" s="1"/>
  <c r="D43" i="20" s="1"/>
  <c r="D44" i="20" s="1"/>
  <c r="D45" i="20" s="1"/>
  <c r="D46" i="20" s="1"/>
  <c r="D47" i="20" s="1"/>
  <c r="D48" i="20" s="1"/>
  <c r="D49" i="20" s="1"/>
  <c r="D50" i="20" s="1"/>
  <c r="D51" i="20" s="1"/>
  <c r="D52" i="20" s="1"/>
  <c r="D53" i="20" s="1"/>
  <c r="D54" i="20" s="1"/>
  <c r="D55" i="20" s="1"/>
  <c r="D56" i="20" s="1"/>
  <c r="D57" i="20" s="1"/>
  <c r="D58" i="20" s="1"/>
  <c r="D59" i="20" s="1"/>
  <c r="D60" i="20" s="1"/>
  <c r="D61" i="20" s="1"/>
  <c r="D62" i="20" s="1"/>
  <c r="D63" i="20" s="1"/>
  <c r="D64" i="20" s="1"/>
  <c r="D65" i="20" s="1"/>
  <c r="D66" i="20" s="1"/>
  <c r="D67" i="20" s="1"/>
  <c r="D68" i="20" s="1"/>
  <c r="D69" i="20" s="1"/>
  <c r="D70" i="20" s="1"/>
  <c r="D71" i="20" s="1"/>
  <c r="D72" i="20" s="1"/>
  <c r="D73" i="20" s="1"/>
  <c r="D74" i="20" s="1"/>
  <c r="D75" i="20" s="1"/>
  <c r="D76" i="20" s="1"/>
  <c r="D77" i="20" s="1"/>
  <c r="D78" i="20" s="1"/>
  <c r="D79" i="20" s="1"/>
  <c r="D80" i="20" s="1"/>
  <c r="D81" i="20" s="1"/>
  <c r="D82" i="20" s="1"/>
  <c r="D83" i="20" s="1"/>
  <c r="D84" i="20" s="1"/>
  <c r="D85" i="20" s="1"/>
  <c r="D86" i="20" s="1"/>
  <c r="D87" i="20" s="1"/>
  <c r="D88" i="20" s="1"/>
  <c r="D89" i="20" s="1"/>
  <c r="D90" i="20" s="1"/>
  <c r="D91" i="20" s="1"/>
  <c r="D92" i="20" s="1"/>
  <c r="D93" i="20" s="1"/>
  <c r="D94" i="20" s="1"/>
  <c r="D95" i="20" s="1"/>
  <c r="D96" i="20" s="1"/>
  <c r="D97" i="20" s="1"/>
  <c r="D98" i="20" s="1"/>
  <c r="D99" i="20" s="1"/>
  <c r="D100" i="20" s="1"/>
  <c r="D101" i="20" s="1"/>
  <c r="D102" i="20" s="1"/>
  <c r="D103" i="20" s="1"/>
  <c r="D104" i="20" s="1"/>
  <c r="D105" i="20" s="1"/>
  <c r="D106" i="20" s="1"/>
  <c r="D107" i="20" s="1"/>
  <c r="D108" i="20" s="1"/>
  <c r="D109" i="20" s="1"/>
  <c r="D110" i="20" s="1"/>
  <c r="D111" i="20" s="1"/>
  <c r="D112" i="20" s="1"/>
  <c r="D113" i="20" s="1"/>
  <c r="D114" i="20" s="1"/>
  <c r="D115" i="20" s="1"/>
  <c r="D116" i="20" s="1"/>
  <c r="D117" i="20" s="1"/>
  <c r="D118" i="20" s="1"/>
  <c r="D119" i="20" s="1"/>
  <c r="D120" i="20" s="1"/>
  <c r="D121" i="20" s="1"/>
  <c r="D122" i="20" s="1"/>
  <c r="D123" i="20" s="1"/>
  <c r="D124" i="20" s="1"/>
  <c r="D125" i="20" s="1"/>
  <c r="D126" i="20" s="1"/>
  <c r="D127" i="20" s="1"/>
  <c r="D128" i="20" s="1"/>
  <c r="D129" i="20" s="1"/>
  <c r="D130" i="20" s="1"/>
  <c r="D131" i="20" s="1"/>
  <c r="D132" i="20" s="1"/>
  <c r="D133" i="20" s="1"/>
  <c r="D134" i="20" s="1"/>
  <c r="D135" i="20" s="1"/>
  <c r="D136" i="20" s="1"/>
  <c r="D137" i="20" s="1"/>
  <c r="D138" i="20" s="1"/>
  <c r="D139" i="20" s="1"/>
  <c r="D140" i="20" s="1"/>
  <c r="D141" i="20" s="1"/>
  <c r="D142" i="20" s="1"/>
  <c r="D143" i="20" s="1"/>
  <c r="D144" i="20" s="1"/>
  <c r="D145" i="20" s="1"/>
  <c r="D146" i="20" s="1"/>
  <c r="D147" i="20" s="1"/>
  <c r="D148" i="20" s="1"/>
  <c r="D149" i="20" s="1"/>
  <c r="D150" i="20" s="1"/>
  <c r="D151" i="20" s="1"/>
  <c r="D152" i="20" s="1"/>
  <c r="D153" i="20" s="1"/>
  <c r="D154" i="20" s="1"/>
  <c r="D155" i="20" s="1"/>
  <c r="D156" i="20" s="1"/>
  <c r="D157" i="20" s="1"/>
  <c r="D158" i="20" s="1"/>
  <c r="D159" i="20" s="1"/>
  <c r="D160" i="20" s="1"/>
  <c r="D161" i="20" s="1"/>
  <c r="D162" i="20" s="1"/>
  <c r="D163" i="20" s="1"/>
  <c r="D164" i="20" s="1"/>
  <c r="D165" i="20" s="1"/>
  <c r="D166" i="20" s="1"/>
  <c r="D167" i="20" s="1"/>
  <c r="D168" i="20" s="1"/>
  <c r="D169" i="20" s="1"/>
  <c r="D170" i="20" s="1"/>
  <c r="C19" i="17"/>
  <c r="A4" i="12" l="1"/>
  <c r="A5" i="12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3" i="12"/>
  <c r="A2" i="12"/>
  <c r="D32" i="17" l="1"/>
  <c r="D3" i="7" l="1"/>
  <c r="C3" i="7"/>
  <c r="C2" i="7"/>
  <c r="D2" i="7" s="1"/>
  <c r="C2" i="6" l="1"/>
  <c r="C16" i="17" l="1"/>
  <c r="C7" i="17"/>
  <c r="D4" i="16" l="1"/>
  <c r="D3" i="16"/>
</calcChain>
</file>

<file path=xl/sharedStrings.xml><?xml version="1.0" encoding="utf-8"?>
<sst xmlns="http://schemas.openxmlformats.org/spreadsheetml/2006/main" count="544" uniqueCount="185">
  <si>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</si>
  <si>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</si>
  <si>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</si>
  <si>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</si>
  <si>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</si>
  <si>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</si>
  <si>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</si>
  <si>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</si>
  <si>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</si>
  <si>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</si>
  <si>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</si>
  <si>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</si>
  <si>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</si>
  <si>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</si>
  <si>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</si>
  <si>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</si>
  <si>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</si>
  <si>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</si>
  <si>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</si>
  <si>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</si>
  <si>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</si>
  <si>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</si>
  <si>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</si>
  <si>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</si>
  <si>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</si>
  <si>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</si>
  <si>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</si>
  <si>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</si>
  <si>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</si>
  <si>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</si>
  <si>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</si>
  <si>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</si>
  <si>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</si>
  <si>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</si>
  <si>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</si>
  <si>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</si>
  <si>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</si>
  <si>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</si>
  <si>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</si>
  <si>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</si>
  <si>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</si>
  <si>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</si>
  <si>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</si>
  <si>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</si>
  <si>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</si>
  <si>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</si>
  <si>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ES_wind</t>
  </si>
  <si>
    <t>ES_biomass</t>
  </si>
  <si>
    <t>ES_gas</t>
  </si>
  <si>
    <t xml:space="preserve">ES_water 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</si>
  <si>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</si>
  <si>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</si>
  <si>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</si>
  <si>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</si>
  <si>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</si>
  <si>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</si>
  <si>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</si>
  <si>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</si>
  <si>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</si>
  <si>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</si>
  <si>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</si>
  <si>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</si>
  <si>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ES_wind_profile</t>
  </si>
  <si>
    <t>ES_hydraulic_profile</t>
  </si>
  <si>
    <t>PT_hydraulic_profile</t>
  </si>
  <si>
    <t>MW</t>
  </si>
  <si>
    <t>euros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</si>
  <si>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</si>
  <si>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</si>
  <si>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</si>
  <si>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</si>
  <si>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</si>
  <si>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</si>
  <si>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</si>
  <si>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</si>
  <si>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</si>
  <si>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</si>
  <si>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</si>
  <si>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</si>
  <si>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ES_load_shedding</t>
  </si>
  <si>
    <t>PT_load_shedding</t>
  </si>
  <si>
    <t>ES_load_shedding_h2</t>
  </si>
  <si>
    <t>PT_load_shedding_h2</t>
  </si>
  <si>
    <t>x</t>
  </si>
  <si>
    <t>y</t>
  </si>
  <si>
    <t>FR_electricity_market_bus</t>
  </si>
  <si>
    <t>FR_hydrogen_bus</t>
  </si>
  <si>
    <t>ES_FR_interconexion_electricidad</t>
  </si>
  <si>
    <t>nuclear</t>
  </si>
  <si>
    <t>FR_demand_2040</t>
  </si>
  <si>
    <t>FR_hydrogen_demand</t>
  </si>
  <si>
    <t>FR_ES_interconexion_electricidad</t>
  </si>
  <si>
    <t>Demandas</t>
  </si>
  <si>
    <t>FR_load_shedding_h2</t>
  </si>
  <si>
    <t>FR_load_shedding</t>
  </si>
  <si>
    <t>ES_SRES_excedentes_bus</t>
  </si>
  <si>
    <t>ES_SRES_electrolyzer_bus</t>
  </si>
  <si>
    <t>PT_SRES_excedentes_bus</t>
  </si>
  <si>
    <t>PT_SRES_electrolyzer_bus</t>
  </si>
  <si>
    <t>MA_hydrogen_bus</t>
  </si>
  <si>
    <t>MA_h2lowband</t>
  </si>
  <si>
    <t>MA_h2highband</t>
  </si>
  <si>
    <t>MA_ES_interconexion_hidrogeno</t>
  </si>
  <si>
    <t>FRSW_hydrogen_demand</t>
  </si>
  <si>
    <t>FRS_hydrogen_bus</t>
  </si>
  <si>
    <t>FRSW_hydrogen_bus</t>
  </si>
  <si>
    <t>FRS_load_shedding_h2</t>
  </si>
  <si>
    <t>FRSW_load_shedding_h2</t>
  </si>
  <si>
    <t xml:space="preserve"> </t>
  </si>
  <si>
    <t>ES_FR_interconexion_hidrogeno_BarMar</t>
  </si>
  <si>
    <t>ES_FR_interconexion_hidrogeno_IrunLarrau</t>
  </si>
  <si>
    <t>FR_FR_interconexion_hidrogeno_SWtoS</t>
  </si>
  <si>
    <t>FR_FR_interconexion_hidrogeno_StoFRh2</t>
  </si>
  <si>
    <t>FR_FR_interconexion_hidrogeno_FRh2toS</t>
  </si>
  <si>
    <t>FRS_hydrogen_storage</t>
  </si>
  <si>
    <t>FRSW_hydrogen_storage</t>
  </si>
  <si>
    <t>FR_hydraulic_profile</t>
  </si>
  <si>
    <t>FR00_generation</t>
  </si>
  <si>
    <t>FR_ES_interconexion_hidrogeno_BarMar</t>
  </si>
  <si>
    <t>FRh2SW_generation</t>
  </si>
  <si>
    <t>FR_electricity_generator</t>
  </si>
  <si>
    <t>FR_hydrogen_generator_FRSW</t>
  </si>
  <si>
    <t>FR_hydrogen_generator_FRH2</t>
  </si>
  <si>
    <t>FRh2_generation</t>
  </si>
  <si>
    <t>PT_electrolyzer_profile</t>
  </si>
  <si>
    <t>PT_excedentes_profile</t>
  </si>
  <si>
    <t>ES_excedentes_profile</t>
  </si>
  <si>
    <t>ES_electrolyzer_profile</t>
  </si>
  <si>
    <t>FRh2SW_storage</t>
  </si>
  <si>
    <t>FRh2S_storage</t>
  </si>
  <si>
    <t>sres_electrolyzer</t>
  </si>
  <si>
    <t>sres_excedentes</t>
  </si>
  <si>
    <t>hora</t>
  </si>
  <si>
    <t>MA_hydrogen_profile_low</t>
  </si>
  <si>
    <t>MA_hydrogen_profile_high</t>
  </si>
  <si>
    <t>ES_solar_csp_profile</t>
  </si>
  <si>
    <t>ES_solar_rooftop_profile</t>
  </si>
  <si>
    <t>ES_solar_pv_profile</t>
  </si>
  <si>
    <t>ES_solar_pv</t>
  </si>
  <si>
    <t>ES_solar_csp</t>
  </si>
  <si>
    <t>ES_solar_rooftop</t>
  </si>
  <si>
    <t>PT_solar_pv</t>
  </si>
  <si>
    <t>PT_solar_rooftop</t>
  </si>
  <si>
    <t>PT_solar_rooftop_profile</t>
  </si>
  <si>
    <t>Origen de datos</t>
  </si>
  <si>
    <t>Horas</t>
  </si>
  <si>
    <t>Capacidades Instaladas</t>
  </si>
  <si>
    <t>ES Solar Rooftop</t>
  </si>
  <si>
    <t>ES Solar CSP</t>
  </si>
  <si>
    <t>ES Solar PV Utility</t>
  </si>
  <si>
    <t>PT Solar PV Utility</t>
  </si>
  <si>
    <t>PT Solar Rooftop</t>
  </si>
  <si>
    <t>Demanda ES00RETE</t>
  </si>
  <si>
    <t>ES00 Solar PV Utility</t>
  </si>
  <si>
    <t>PT00 Solar PV Utility</t>
  </si>
  <si>
    <t>Demanda PT00RETE</t>
  </si>
  <si>
    <t>Demanda ES00</t>
  </si>
  <si>
    <t>Demanda PT00</t>
  </si>
  <si>
    <t>PT_solar_pv_profile</t>
  </si>
  <si>
    <t>solar_pv</t>
  </si>
  <si>
    <t>solar_rooftop</t>
  </si>
  <si>
    <t>solar_csp</t>
  </si>
  <si>
    <t>ES00 Solar CSP</t>
  </si>
  <si>
    <t>Perfil</t>
  </si>
  <si>
    <t>PT00RETE Solar PV Rooftop</t>
  </si>
  <si>
    <t>p_min_pu</t>
  </si>
  <si>
    <t>PT00 Wind Offshore Radial</t>
  </si>
  <si>
    <t>PT00 Wind Onshore</t>
  </si>
  <si>
    <t xml:space="preserve">Perfil W Offshore </t>
  </si>
  <si>
    <t>Perfil W Onshore</t>
  </si>
  <si>
    <t>PT WIND</t>
  </si>
  <si>
    <t>PT_wind_onshore_profile</t>
  </si>
  <si>
    <t>PT_wind_offshore_profile</t>
  </si>
  <si>
    <t>PT_wind_onshore</t>
  </si>
  <si>
    <t>PT_wind_offshore</t>
  </si>
  <si>
    <t>wind_onshore</t>
  </si>
  <si>
    <t>wind_offshore</t>
  </si>
  <si>
    <t>ES00 Other RES</t>
  </si>
  <si>
    <t>ES Biomasa</t>
  </si>
  <si>
    <t>PT Biomasa</t>
  </si>
  <si>
    <t>Biomasa ES Perfil</t>
  </si>
  <si>
    <t>Biomasa PT Perfil</t>
  </si>
  <si>
    <t xml:space="preserve">PT00 Other RES </t>
  </si>
  <si>
    <t>ES_biomass_profile</t>
  </si>
  <si>
    <t>PT_biomass_profile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</si>
</sst>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"/>
      <family val="2"/>
    </font>
    <font>
      <sz val="10"/>
      <color theme="1"/>
      <name val="Aptos"/>
      <family val="2"/>
    </font>
    <font>
      <sz val="11"/>
      <name val="Aptos"/>
      <family val="2"/>
    </font>
    <font>
      <i/>
      <sz val="11"/>
      <color theme="1"/>
      <name val="Aptos"/>
      <family val="2"/>
    </font>
    <font>
      <sz val="11"/>
      <color rgb="FF0070C0"/>
      <name val="Aptos"/>
      <family val="2"/>
    </font>
    <font>
      <sz val="11"/>
      <color rgb="FFFF0000"/>
      <name val="Aptos"/>
      <family val="2"/>
    </font>
    <font>
      <b/>
      <sz val="11"/>
      <color theme="1"/>
      <name val="Aptos"/>
      <family val="2"/>
    </font>
    <font>
      <sz val="11"/>
      <color rgb="FF000000"/>
      <name val="Aptos"/>
      <family val="2"/>
    </font>
    <font>
      <b/>
      <sz val="20"/>
      <color theme="1"/>
      <name val="Aptos"/>
      <family val="2"/>
    </font>
    <font>
      <sz val="8"/>
      <color theme="1"/>
      <name val="Aptos"/>
      <family val="2"/>
    </font>
  </fonts>
  <fills count="51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FFED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DFFE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7">
    <xf numFmtId="0" fontId="0" fillId="0" borderId="0"/>
    <xf numFmtId="0" fontId="2" fillId="4" borderId="0">
      <alignment horizontal="left"/>
    </xf>
    <xf numFmtId="0" fontId="3" fillId="4" borderId="0">
      <alignment horizontal="left"/>
    </xf>
    <xf numFmtId="0" fontId="4" fillId="0" borderId="0"/>
    <xf numFmtId="0" fontId="5" fillId="4" borderId="2">
      <alignment horizontal="left"/>
    </xf>
    <xf numFmtId="49" fontId="6" fillId="0" borderId="2">
      <alignment horizontal="right"/>
    </xf>
    <xf numFmtId="0" fontId="5" fillId="4" borderId="2">
      <alignment horizontal="right"/>
    </xf>
    <xf numFmtId="0" fontId="2" fillId="4" borderId="0">
      <alignment horizontal="left"/>
    </xf>
    <xf numFmtId="0" fontId="5" fillId="4" borderId="2">
      <alignment horizontal="right"/>
    </xf>
    <xf numFmtId="2" fontId="6" fillId="0" borderId="2">
      <alignment horizontal="right" vertical="top" wrapText="1"/>
    </xf>
    <xf numFmtId="1" fontId="6" fillId="0" borderId="2">
      <alignment horizontal="right" vertical="top" wrapText="1"/>
    </xf>
    <xf numFmtId="1" fontId="6" fillId="0" borderId="2">
      <alignment horizontal="right" vertical="top" wrapText="1"/>
    </xf>
    <xf numFmtId="1" fontId="4" fillId="0" borderId="2">
      <alignment horizontal="right" vertical="top" wrapText="1"/>
    </xf>
    <xf numFmtId="0" fontId="7" fillId="4" borderId="2">
      <alignment horizontal="right"/>
    </xf>
    <xf numFmtId="0" fontId="8" fillId="5" borderId="0">
      <alignment horizontal="left"/>
    </xf>
    <xf numFmtId="0" fontId="4" fillId="0" borderId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12" fillId="0" borderId="6" applyNumberFormat="0" applyFill="0" applyAlignment="0" applyProtection="0"/>
    <xf numFmtId="0" fontId="13" fillId="0" borderId="7" applyNumberFormat="0" applyFill="0" applyAlignment="0" applyProtection="0"/>
    <xf numFmtId="0" fontId="13" fillId="0" borderId="0" applyNumberFormat="0" applyFill="0" applyBorder="0" applyAlignment="0" applyProtection="0"/>
    <xf numFmtId="0" fontId="14" fillId="15" borderId="0" applyNumberFormat="0" applyBorder="0" applyAlignment="0" applyProtection="0"/>
    <xf numFmtId="0" fontId="15" fillId="16" borderId="0" applyNumberFormat="0" applyBorder="0" applyAlignment="0" applyProtection="0"/>
    <xf numFmtId="0" fontId="16" fillId="17" borderId="0" applyNumberFormat="0" applyBorder="0" applyAlignment="0" applyProtection="0"/>
    <xf numFmtId="0" fontId="17" fillId="18" borderId="8" applyNumberFormat="0" applyAlignment="0" applyProtection="0"/>
    <xf numFmtId="0" fontId="18" fillId="19" borderId="9" applyNumberFormat="0" applyAlignment="0" applyProtection="0"/>
    <xf numFmtId="0" fontId="19" fillId="19" borderId="8" applyNumberFormat="0" applyAlignment="0" applyProtection="0"/>
    <xf numFmtId="0" fontId="20" fillId="0" borderId="10" applyNumberFormat="0" applyFill="0" applyAlignment="0" applyProtection="0"/>
    <xf numFmtId="0" fontId="21" fillId="20" borderId="11" applyNumberFormat="0" applyAlignment="0" applyProtection="0"/>
    <xf numFmtId="0" fontId="22" fillId="0" borderId="0" applyNumberFormat="0" applyFill="0" applyBorder="0" applyAlignment="0" applyProtection="0"/>
    <xf numFmtId="0" fontId="9" fillId="21" borderId="12" applyNumberFormat="0" applyFont="0" applyAlignment="0" applyProtection="0"/>
    <xf numFmtId="0" fontId="23" fillId="0" borderId="0" applyNumberFormat="0" applyFill="0" applyBorder="0" applyAlignment="0" applyProtection="0"/>
    <xf numFmtId="0" fontId="24" fillId="0" borderId="13" applyNumberFormat="0" applyFill="0" applyAlignment="0" applyProtection="0"/>
    <xf numFmtId="0" fontId="25" fillId="22" borderId="0" applyNumberFormat="0" applyBorder="0" applyAlignment="0" applyProtection="0"/>
    <xf numFmtId="0" fontId="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5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5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25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7" borderId="0" applyNumberFormat="0" applyBorder="0" applyAlignment="0" applyProtection="0"/>
    <xf numFmtId="0" fontId="25" fillId="38" borderId="0" applyNumberFormat="0" applyBorder="0" applyAlignment="0" applyProtection="0"/>
    <xf numFmtId="0" fontId="9" fillId="39" borderId="0" applyNumberFormat="0" applyBorder="0" applyAlignment="0" applyProtection="0"/>
    <xf numFmtId="0" fontId="9" fillId="40" borderId="0" applyNumberFormat="0" applyBorder="0" applyAlignment="0" applyProtection="0"/>
    <xf numFmtId="0" fontId="9" fillId="41" borderId="0" applyNumberFormat="0" applyBorder="0" applyAlignment="0" applyProtection="0"/>
    <xf numFmtId="0" fontId="25" fillId="42" borderId="0" applyNumberFormat="0" applyBorder="0" applyAlignment="0" applyProtection="0"/>
    <xf numFmtId="0" fontId="9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</cellStyleXfs>
  <cellXfs count="99">
    <xf numFmtId="0" fontId="0" fillId="0" borderId="0" xfId="0"/>
    <xf numFmtId="0" fontId="1" fillId="7" borderId="0" xfId="0" applyFont="1" applyFill="1"/>
    <xf numFmtId="0" fontId="0" fillId="7" borderId="0" xfId="0" applyFill="1"/>
    <xf numFmtId="0" fontId="26" fillId="7" borderId="0" xfId="0" applyFont="1" applyFill="1"/>
    <xf numFmtId="0" fontId="28" fillId="11" borderId="1" xfId="0" applyFont="1" applyFill="1" applyBorder="1"/>
    <xf numFmtId="0" fontId="28" fillId="7" borderId="0" xfId="0" applyFont="1" applyFill="1"/>
    <xf numFmtId="0" fontId="28" fillId="2" borderId="0" xfId="0" applyFont="1" applyFill="1"/>
    <xf numFmtId="0" fontId="28" fillId="7" borderId="1" xfId="0" applyFont="1" applyFill="1" applyBorder="1"/>
    <xf numFmtId="0" fontId="28" fillId="3" borderId="0" xfId="0" applyFont="1" applyFill="1"/>
    <xf numFmtId="1" fontId="28" fillId="7" borderId="0" xfId="0" applyNumberFormat="1" applyFont="1" applyFill="1"/>
    <xf numFmtId="0" fontId="28" fillId="6" borderId="0" xfId="0" applyFont="1" applyFill="1"/>
    <xf numFmtId="0" fontId="28" fillId="6" borderId="1" xfId="0" applyFont="1" applyFill="1" applyBorder="1"/>
    <xf numFmtId="0" fontId="28" fillId="8" borderId="16" xfId="0" applyFont="1" applyFill="1" applyBorder="1"/>
    <xf numFmtId="0" fontId="28" fillId="7" borderId="16" xfId="0" applyFont="1" applyFill="1" applyBorder="1"/>
    <xf numFmtId="0" fontId="28" fillId="8" borderId="0" xfId="0" applyFont="1" applyFill="1"/>
    <xf numFmtId="0" fontId="28" fillId="8" borderId="1" xfId="0" applyFont="1" applyFill="1" applyBorder="1"/>
    <xf numFmtId="0" fontId="28" fillId="9" borderId="16" xfId="0" applyFont="1" applyFill="1" applyBorder="1"/>
    <xf numFmtId="0" fontId="28" fillId="9" borderId="1" xfId="0" applyFont="1" applyFill="1" applyBorder="1"/>
    <xf numFmtId="0" fontId="29" fillId="7" borderId="0" xfId="0" applyFont="1" applyFill="1"/>
    <xf numFmtId="0" fontId="28" fillId="7" borderId="2" xfId="0" applyFont="1" applyFill="1" applyBorder="1"/>
    <xf numFmtId="0" fontId="28" fillId="7" borderId="3" xfId="0" applyFont="1" applyFill="1" applyBorder="1"/>
    <xf numFmtId="0" fontId="28" fillId="7" borderId="4" xfId="0" applyFont="1" applyFill="1" applyBorder="1"/>
    <xf numFmtId="0" fontId="28" fillId="7" borderId="19" xfId="0" applyFont="1" applyFill="1" applyBorder="1"/>
    <xf numFmtId="0" fontId="28" fillId="7" borderId="20" xfId="0" applyFont="1" applyFill="1" applyBorder="1"/>
    <xf numFmtId="0" fontId="30" fillId="11" borderId="0" xfId="0" applyFont="1" applyFill="1"/>
    <xf numFmtId="0" fontId="31" fillId="2" borderId="0" xfId="0" applyFont="1" applyFill="1"/>
    <xf numFmtId="0" fontId="31" fillId="3" borderId="0" xfId="0" applyFont="1" applyFill="1"/>
    <xf numFmtId="0" fontId="28" fillId="9" borderId="0" xfId="0" applyFont="1" applyFill="1"/>
    <xf numFmtId="0" fontId="28" fillId="11" borderId="0" xfId="0" applyFont="1" applyFill="1"/>
    <xf numFmtId="0" fontId="32" fillId="7" borderId="0" xfId="0" applyFont="1" applyFill="1"/>
    <xf numFmtId="0" fontId="28" fillId="7" borderId="0" xfId="0" applyFont="1" applyFill="1" applyAlignment="1">
      <alignment horizontal="right" wrapText="1"/>
    </xf>
    <xf numFmtId="0" fontId="28" fillId="12" borderId="0" xfId="0" applyFont="1" applyFill="1"/>
    <xf numFmtId="0" fontId="30" fillId="7" borderId="0" xfId="0" applyFont="1" applyFill="1" applyAlignment="1">
      <alignment horizontal="right"/>
    </xf>
    <xf numFmtId="0" fontId="28" fillId="13" borderId="0" xfId="0" applyFont="1" applyFill="1"/>
    <xf numFmtId="0" fontId="33" fillId="7" borderId="0" xfId="0" applyFont="1" applyFill="1"/>
    <xf numFmtId="0" fontId="28" fillId="14" borderId="0" xfId="0" applyFont="1" applyFill="1"/>
    <xf numFmtId="0" fontId="28" fillId="0" borderId="0" xfId="0" applyFont="1"/>
    <xf numFmtId="0" fontId="28" fillId="7" borderId="4" xfId="0" applyFont="1" applyFill="1" applyBorder="1" applyAlignment="1">
      <alignment horizontal="center" vertical="center"/>
    </xf>
    <xf numFmtId="0" fontId="28" fillId="10" borderId="4" xfId="0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4" fillId="7" borderId="0" xfId="0" applyFont="1" applyFill="1"/>
    <xf numFmtId="1" fontId="28" fillId="7" borderId="3" xfId="0" applyNumberFormat="1" applyFont="1" applyFill="1" applyBorder="1" applyAlignment="1">
      <alignment horizontal="center"/>
    </xf>
    <xf numFmtId="164" fontId="28" fillId="7" borderId="3" xfId="0" applyNumberFormat="1" applyFont="1" applyFill="1" applyBorder="1" applyAlignment="1">
      <alignment horizontal="center" vertical="center"/>
    </xf>
    <xf numFmtId="164" fontId="30" fillId="7" borderId="3" xfId="0" applyNumberFormat="1" applyFont="1" applyFill="1" applyBorder="1" applyAlignment="1">
      <alignment horizontal="center" vertical="center"/>
    </xf>
    <xf numFmtId="0" fontId="28" fillId="7" borderId="0" xfId="0" applyFont="1" applyFill="1" applyAlignment="1">
      <alignment horizontal="center" vertical="center"/>
    </xf>
    <xf numFmtId="0" fontId="28" fillId="7" borderId="0" xfId="0" applyFont="1" applyFill="1" applyAlignment="1">
      <alignment horizontal="center"/>
    </xf>
    <xf numFmtId="0" fontId="30" fillId="7" borderId="0" xfId="0" applyFont="1" applyFill="1" applyAlignment="1">
      <alignment horizontal="center"/>
    </xf>
    <xf numFmtId="0" fontId="30" fillId="7" borderId="0" xfId="0" applyFont="1" applyFill="1"/>
    <xf numFmtId="0" fontId="30" fillId="2" borderId="0" xfId="0" applyFont="1" applyFill="1"/>
    <xf numFmtId="0" fontId="30" fillId="3" borderId="0" xfId="0" applyFont="1" applyFill="1"/>
    <xf numFmtId="2" fontId="32" fillId="7" borderId="0" xfId="0" applyNumberFormat="1" applyFont="1" applyFill="1"/>
    <xf numFmtId="2" fontId="28" fillId="7" borderId="0" xfId="0" applyNumberFormat="1" applyFont="1" applyFill="1"/>
    <xf numFmtId="0" fontId="28" fillId="2" borderId="1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8" fillId="8" borderId="1" xfId="0" applyFont="1" applyFill="1" applyBorder="1" applyAlignment="1">
      <alignment horizontal="center"/>
    </xf>
    <xf numFmtId="0" fontId="34" fillId="7" borderId="0" xfId="0" applyFont="1" applyFill="1" applyAlignment="1">
      <alignment horizontal="center"/>
    </xf>
    <xf numFmtId="2" fontId="28" fillId="7" borderId="0" xfId="0" applyNumberFormat="1" applyFont="1" applyFill="1" applyAlignment="1">
      <alignment horizontal="center"/>
    </xf>
    <xf numFmtId="2" fontId="35" fillId="7" borderId="0" xfId="0" applyNumberFormat="1" applyFont="1" applyFill="1" applyAlignment="1">
      <alignment horizontal="center"/>
    </xf>
    <xf numFmtId="0" fontId="28" fillId="2" borderId="4" xfId="0" applyFont="1" applyFill="1" applyBorder="1" applyAlignment="1">
      <alignment horizontal="center"/>
    </xf>
    <xf numFmtId="0" fontId="28" fillId="3" borderId="4" xfId="0" applyFont="1" applyFill="1" applyBorder="1" applyAlignment="1">
      <alignment horizontal="center"/>
    </xf>
    <xf numFmtId="0" fontId="28" fillId="46" borderId="14" xfId="0" applyFont="1" applyFill="1" applyBorder="1" applyAlignment="1">
      <alignment horizontal="center"/>
    </xf>
    <xf numFmtId="0" fontId="28" fillId="8" borderId="4" xfId="0" applyFont="1" applyFill="1" applyBorder="1" applyAlignment="1">
      <alignment horizontal="center"/>
    </xf>
    <xf numFmtId="2" fontId="28" fillId="7" borderId="3" xfId="0" applyNumberFormat="1" applyFont="1" applyFill="1" applyBorder="1" applyAlignment="1">
      <alignment horizontal="center" vertical="center"/>
    </xf>
    <xf numFmtId="2" fontId="28" fillId="7" borderId="3" xfId="0" applyNumberFormat="1" applyFont="1" applyFill="1" applyBorder="1" applyAlignment="1">
      <alignment horizontal="center"/>
    </xf>
    <xf numFmtId="2" fontId="28" fillId="7" borderId="15" xfId="0" applyNumberFormat="1" applyFont="1" applyFill="1" applyBorder="1" applyAlignment="1">
      <alignment horizontal="center" vertical="center"/>
    </xf>
    <xf numFmtId="2" fontId="30" fillId="7" borderId="15" xfId="0" applyNumberFormat="1" applyFont="1" applyFill="1" applyBorder="1" applyAlignment="1">
      <alignment horizontal="center" vertical="center"/>
    </xf>
    <xf numFmtId="2" fontId="30" fillId="7" borderId="3" xfId="0" applyNumberFormat="1" applyFont="1" applyFill="1" applyBorder="1" applyAlignment="1">
      <alignment horizontal="center" vertical="center"/>
    </xf>
    <xf numFmtId="2" fontId="28" fillId="7" borderId="15" xfId="0" applyNumberFormat="1" applyFont="1" applyFill="1" applyBorder="1" applyAlignment="1">
      <alignment horizontal="center"/>
    </xf>
    <xf numFmtId="2" fontId="30" fillId="7" borderId="0" xfId="0" applyNumberFormat="1" applyFont="1" applyFill="1" applyAlignment="1">
      <alignment horizontal="center" vertical="center"/>
    </xf>
    <xf numFmtId="164" fontId="28" fillId="7" borderId="0" xfId="0" applyNumberFormat="1" applyFont="1" applyFill="1" applyAlignment="1">
      <alignment horizontal="center"/>
    </xf>
    <xf numFmtId="0" fontId="36" fillId="7" borderId="0" xfId="0" applyFont="1" applyFill="1"/>
    <xf numFmtId="0" fontId="29" fillId="7" borderId="2" xfId="0" applyFont="1" applyFill="1" applyBorder="1" applyAlignment="1">
      <alignment horizontal="center"/>
    </xf>
    <xf numFmtId="0" fontId="29" fillId="49" borderId="2" xfId="0" applyFont="1" applyFill="1" applyBorder="1" applyAlignment="1">
      <alignment horizontal="center"/>
    </xf>
    <xf numFmtId="0" fontId="29" fillId="10" borderId="2" xfId="0" applyFont="1" applyFill="1" applyBorder="1" applyAlignment="1">
      <alignment horizontal="center"/>
    </xf>
    <xf numFmtId="0" fontId="29" fillId="49" borderId="21" xfId="0" applyFont="1" applyFill="1" applyBorder="1" applyAlignment="1">
      <alignment horizontal="center"/>
    </xf>
    <xf numFmtId="0" fontId="29" fillId="48" borderId="2" xfId="0" applyFont="1" applyFill="1" applyBorder="1" applyAlignment="1">
      <alignment horizontal="center"/>
    </xf>
    <xf numFmtId="0" fontId="29" fillId="3" borderId="2" xfId="0" applyFont="1" applyFill="1" applyBorder="1" applyAlignment="1">
      <alignment horizontal="center"/>
    </xf>
    <xf numFmtId="0" fontId="29" fillId="7" borderId="0" xfId="0" applyFont="1" applyFill="1" applyAlignment="1">
      <alignment horizontal="center"/>
    </xf>
    <xf numFmtId="0" fontId="29" fillId="50" borderId="2" xfId="0" applyFont="1" applyFill="1" applyBorder="1"/>
    <xf numFmtId="0" fontId="37" fillId="7" borderId="15" xfId="0" applyFont="1" applyFill="1" applyBorder="1" applyAlignment="1">
      <alignment horizontal="center"/>
    </xf>
    <xf numFmtId="0" fontId="37" fillId="7" borderId="19" xfId="0" applyFont="1" applyFill="1" applyBorder="1" applyAlignment="1">
      <alignment horizontal="center"/>
    </xf>
    <xf numFmtId="0" fontId="37" fillId="7" borderId="0" xfId="0" applyFont="1" applyFill="1" applyAlignment="1">
      <alignment horizontal="center"/>
    </xf>
    <xf numFmtId="0" fontId="37" fillId="7" borderId="3" xfId="0" applyFont="1" applyFill="1" applyBorder="1" applyAlignment="1">
      <alignment horizontal="center"/>
    </xf>
    <xf numFmtId="0" fontId="29" fillId="7" borderId="19" xfId="0" applyFont="1" applyFill="1" applyBorder="1"/>
    <xf numFmtId="0" fontId="29" fillId="7" borderId="17" xfId="0" applyFont="1" applyFill="1" applyBorder="1"/>
    <xf numFmtId="0" fontId="29" fillId="7" borderId="18" xfId="0" applyFont="1" applyFill="1" applyBorder="1"/>
    <xf numFmtId="0" fontId="29" fillId="7" borderId="3" xfId="0" applyFont="1" applyFill="1" applyBorder="1"/>
    <xf numFmtId="0" fontId="29" fillId="7" borderId="20" xfId="0" applyFont="1" applyFill="1" applyBorder="1"/>
    <xf numFmtId="0" fontId="29" fillId="7" borderId="4" xfId="0" applyFont="1" applyFill="1" applyBorder="1"/>
    <xf numFmtId="0" fontId="29" fillId="7" borderId="21" xfId="0" applyFont="1" applyFill="1" applyBorder="1"/>
    <xf numFmtId="0" fontId="29" fillId="7" borderId="22" xfId="0" applyFont="1" applyFill="1" applyBorder="1"/>
    <xf numFmtId="0" fontId="37" fillId="7" borderId="14" xfId="0" applyFont="1" applyFill="1" applyBorder="1" applyAlignment="1">
      <alignment horizontal="center"/>
    </xf>
    <xf numFmtId="0" fontId="37" fillId="7" borderId="20" xfId="0" applyFont="1" applyFill="1" applyBorder="1" applyAlignment="1">
      <alignment horizontal="center"/>
    </xf>
    <xf numFmtId="0" fontId="37" fillId="7" borderId="1" xfId="0" applyFont="1" applyFill="1" applyBorder="1" applyAlignment="1">
      <alignment horizontal="center"/>
    </xf>
    <xf numFmtId="0" fontId="37" fillId="7" borderId="4" xfId="0" applyFont="1" applyFill="1" applyBorder="1" applyAlignment="1">
      <alignment horizontal="center"/>
    </xf>
    <xf numFmtId="0" fontId="29" fillId="7" borderId="1" xfId="0" applyFont="1" applyFill="1" applyBorder="1"/>
    <xf numFmtId="0" fontId="29" fillId="47" borderId="21" xfId="0" applyFont="1" applyFill="1" applyBorder="1" applyAlignment="1">
      <alignment horizontal="center"/>
    </xf>
    <xf numFmtId="0" fontId="29" fillId="47" borderId="22" xfId="0" applyFont="1" applyFill="1" applyBorder="1" applyAlignment="1">
      <alignment horizontal="center"/>
    </xf>
  </cellXfs>
  <cellStyles count="57">
    <cellStyle name="20% - Énfasis1" xfId="34" builtinId="30" customBuiltin="1"/>
    <cellStyle name="20% - Énfasis2" xfId="38" builtinId="34" customBuiltin="1"/>
    <cellStyle name="20% - Énfasis3" xfId="42" builtinId="38" customBuiltin="1"/>
    <cellStyle name="20% - Énfasis4" xfId="46" builtinId="42" customBuiltin="1"/>
    <cellStyle name="20% - Énfasis5" xfId="50" builtinId="46" customBuiltin="1"/>
    <cellStyle name="20% - Énfasis6" xfId="54" builtinId="50" customBuiltin="1"/>
    <cellStyle name="40% - Énfasis1" xfId="35" builtinId="31" customBuiltin="1"/>
    <cellStyle name="40% - Énfasis2" xfId="39" builtinId="35" customBuiltin="1"/>
    <cellStyle name="40% - Énfasis3" xfId="43" builtinId="39" customBuiltin="1"/>
    <cellStyle name="40% - Énfasis4" xfId="47" builtinId="43" customBuiltin="1"/>
    <cellStyle name="40% - Énfasis5" xfId="51" builtinId="47" customBuiltin="1"/>
    <cellStyle name="40% - Énfasis6" xfId="55" builtinId="51" customBuiltin="1"/>
    <cellStyle name="60% - Énfasis1" xfId="36" builtinId="32" customBuiltin="1"/>
    <cellStyle name="60% - Énfasis2" xfId="40" builtinId="36" customBuiltin="1"/>
    <cellStyle name="60% - Énfasis3" xfId="44" builtinId="40" customBuiltin="1"/>
    <cellStyle name="60% - Énfasis4" xfId="48" builtinId="44" customBuiltin="1"/>
    <cellStyle name="60% - Énfasis5" xfId="52" builtinId="48" customBuiltin="1"/>
    <cellStyle name="60% - Énfasis6" xfId="56" builtinId="52" customBuiltin="1"/>
    <cellStyle name="Bueno" xfId="21" builtinId="26" customBuiltin="1"/>
    <cellStyle name="Cálculo" xfId="26" builtinId="22" customBuiltin="1"/>
    <cellStyle name="Celda de comprobación" xfId="28" builtinId="23" customBuiltin="1"/>
    <cellStyle name="Celda vinculada" xfId="27" builtinId="24" customBuiltin="1"/>
    <cellStyle name="Encabezado 1" xfId="17" builtinId="16" customBuiltin="1"/>
    <cellStyle name="Encabezado 4" xfId="20" builtinId="19" customBuiltin="1"/>
    <cellStyle name="Énfasis1" xfId="33" builtinId="29" customBuiltin="1"/>
    <cellStyle name="Énfasis2" xfId="37" builtinId="33" customBuiltin="1"/>
    <cellStyle name="Énfasis3" xfId="41" builtinId="37" customBuiltin="1"/>
    <cellStyle name="Énfasis4" xfId="45" builtinId="41" customBuiltin="1"/>
    <cellStyle name="Énfasis5" xfId="49" builtinId="45" customBuiltin="1"/>
    <cellStyle name="Énfasis6" xfId="53" builtinId="49" customBuiltin="1"/>
    <cellStyle name="Entrada" xfId="24" builtinId="20" customBuiltin="1"/>
    <cellStyle name="Incorrecto" xfId="22" builtinId="27" customBuiltin="1"/>
    <cellStyle name="Neutral" xfId="23" builtinId="28" customBuiltin="1"/>
    <cellStyle name="Normal" xfId="0" builtinId="0"/>
    <cellStyle name="Normal 2" xfId="15" xr:uid="{AAD8AE07-B562-4B07-873C-96B68EC0EA0C}"/>
    <cellStyle name="Normal 2 2" xfId="3" xr:uid="{ACDAB3D8-5837-4D52-AECB-CCA284CDF9FC}"/>
    <cellStyle name="Notas" xfId="30" builtinId="10" customBuiltin="1"/>
    <cellStyle name="Salida" xfId="25" builtinId="21" customBuiltin="1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  <cellStyle name="Texto de advertencia" xfId="29" builtinId="11" customBuiltin="1"/>
    <cellStyle name="Texto explicativo" xfId="31" builtinId="53" customBuiltin="1"/>
    <cellStyle name="Título" xfId="16" builtinId="15" customBuiltin="1"/>
    <cellStyle name="Título 2" xfId="18" builtinId="17" customBuiltin="1"/>
    <cellStyle name="Título 3" xfId="19" builtinId="18" customBuiltin="1"/>
    <cellStyle name="Total" xfId="32" builtinId="25" customBuiltin="1"/>
  </cellStyles>
  <dxfs count="0"/>
  <tableStyles count="0" defaultTableStyle="TableStyleMedium2" defaultPivotStyle="PivotStyleLight16"/>
  <colors>
    <mruColors>
      <color rgb="FFDFFED6"/>
      <color rgb="FFFF7171"/>
      <color rgb="FFCDFFE6"/>
      <color rgb="FF99FFCC"/>
      <color rgb="FFFFFFCC"/>
      <color rgb="FF93E3FF"/>
      <color rgb="FFD9F5FF"/>
      <color rgb="FFFFB3B3"/>
      <color rgb="FF98FB7D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'Origen de Datos'!$E$3:$E$170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4.2000000000000003E-2</c:v>
                </c:pt>
                <c:pt idx="10">
                  <c:v>0.157</c:v>
                </c:pt>
                <c:pt idx="11">
                  <c:v>0.22800000000000001</c:v>
                </c:pt>
                <c:pt idx="12">
                  <c:v>0.245</c:v>
                </c:pt>
                <c:pt idx="13">
                  <c:v>0.23500000000000001</c:v>
                </c:pt>
                <c:pt idx="14">
                  <c:v>0.15</c:v>
                </c:pt>
                <c:pt idx="15">
                  <c:v>0.03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7.6999999999999999E-2</c:v>
                </c:pt>
                <c:pt idx="34">
                  <c:v>0.22</c:v>
                </c:pt>
                <c:pt idx="35">
                  <c:v>0.28399999999999997</c:v>
                </c:pt>
                <c:pt idx="36">
                  <c:v>0.26</c:v>
                </c:pt>
                <c:pt idx="37">
                  <c:v>0.18</c:v>
                </c:pt>
                <c:pt idx="38">
                  <c:v>6.7000000000000004E-2</c:v>
                </c:pt>
                <c:pt idx="39">
                  <c:v>2.6000000000000002E-2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4.8000000000000001E-2</c:v>
                </c:pt>
                <c:pt idx="58">
                  <c:v>0.16300000000000001</c:v>
                </c:pt>
                <c:pt idx="59">
                  <c:v>0.23</c:v>
                </c:pt>
                <c:pt idx="60">
                  <c:v>0.22600000000000001</c:v>
                </c:pt>
                <c:pt idx="61">
                  <c:v>0.19600000000000001</c:v>
                </c:pt>
                <c:pt idx="62">
                  <c:v>0.125</c:v>
                </c:pt>
                <c:pt idx="63">
                  <c:v>3.1000000000000003E-2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5.89999999999999E-2</c:v>
                </c:pt>
                <c:pt idx="82">
                  <c:v>0.20399999999999999</c:v>
                </c:pt>
                <c:pt idx="83">
                  <c:v>0.27700000000000002</c:v>
                </c:pt>
                <c:pt idx="84">
                  <c:v>0.28100000000000003</c:v>
                </c:pt>
                <c:pt idx="85">
                  <c:v>0.253</c:v>
                </c:pt>
                <c:pt idx="86">
                  <c:v>0.16</c:v>
                </c:pt>
                <c:pt idx="87">
                  <c:v>3.5000000000000003E-2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2.1999999999999902E-2</c:v>
                </c:pt>
                <c:pt idx="107">
                  <c:v>2.7999999999999997E-2</c:v>
                </c:pt>
                <c:pt idx="108">
                  <c:v>2.3E-2</c:v>
                </c:pt>
                <c:pt idx="109">
                  <c:v>1.2E-2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0.01</c:v>
                </c:pt>
                <c:pt idx="130">
                  <c:v>3.59999999999999E-2</c:v>
                </c:pt>
                <c:pt idx="131">
                  <c:v>6.2000000000000006E-2</c:v>
                </c:pt>
                <c:pt idx="132">
                  <c:v>6.7000000000000004E-2</c:v>
                </c:pt>
                <c:pt idx="133">
                  <c:v>5.4000000000000006E-2</c:v>
                </c:pt>
                <c:pt idx="134">
                  <c:v>3.1000000000000003E-2</c:v>
                </c:pt>
                <c:pt idx="135">
                  <c:v>0.01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4.4999999999999998E-2</c:v>
                </c:pt>
                <c:pt idx="154">
                  <c:v>0.13900000000000001</c:v>
                </c:pt>
                <c:pt idx="155">
                  <c:v>0.19399999999999998</c:v>
                </c:pt>
                <c:pt idx="156">
                  <c:v>0.189</c:v>
                </c:pt>
                <c:pt idx="157">
                  <c:v>0.159</c:v>
                </c:pt>
                <c:pt idx="158">
                  <c:v>9.9000000000000005E-2</c:v>
                </c:pt>
                <c:pt idx="159">
                  <c:v>3.4000000000000002E-2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0E-40F8-A126-749573136A0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'Origen de Datos'!$G$3:$G$170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0.13100000000000001</c:v>
                </c:pt>
                <c:pt idx="10">
                  <c:v>0.30499999999999999</c:v>
                </c:pt>
                <c:pt idx="11">
                  <c:v>0.442</c:v>
                </c:pt>
                <c:pt idx="12">
                  <c:v>0.51</c:v>
                </c:pt>
                <c:pt idx="13">
                  <c:v>0.51100000000000001</c:v>
                </c:pt>
                <c:pt idx="14">
                  <c:v>0.45100000000000001</c:v>
                </c:pt>
                <c:pt idx="15">
                  <c:v>0.34899999999999998</c:v>
                </c:pt>
                <c:pt idx="16">
                  <c:v>0.20699999999999999</c:v>
                </c:pt>
                <c:pt idx="17">
                  <c:v>5.2000000000000005E-2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0.113</c:v>
                </c:pt>
                <c:pt idx="34">
                  <c:v>0.27399999999999997</c:v>
                </c:pt>
                <c:pt idx="35">
                  <c:v>0.40600000000000003</c:v>
                </c:pt>
                <c:pt idx="36">
                  <c:v>0.49</c:v>
                </c:pt>
                <c:pt idx="37">
                  <c:v>0.51100000000000001</c:v>
                </c:pt>
                <c:pt idx="38">
                  <c:v>0.47</c:v>
                </c:pt>
                <c:pt idx="39">
                  <c:v>0.36199999999999904</c:v>
                </c:pt>
                <c:pt idx="40">
                  <c:v>0.21299999999999999</c:v>
                </c:pt>
                <c:pt idx="41">
                  <c:v>5.4000000000000006E-2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0.128</c:v>
                </c:pt>
                <c:pt idx="58">
                  <c:v>0.29099999999999898</c:v>
                </c:pt>
                <c:pt idx="59">
                  <c:v>0.41799999999999998</c:v>
                </c:pt>
                <c:pt idx="60">
                  <c:v>0.48899999999999999</c:v>
                </c:pt>
                <c:pt idx="61">
                  <c:v>0.498</c:v>
                </c:pt>
                <c:pt idx="62">
                  <c:v>0.44700000000000001</c:v>
                </c:pt>
                <c:pt idx="63">
                  <c:v>0.34299999999999997</c:v>
                </c:pt>
                <c:pt idx="64">
                  <c:v>0.2</c:v>
                </c:pt>
                <c:pt idx="65">
                  <c:v>5.2000000000000005E-2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8.199999999999999E-2</c:v>
                </c:pt>
                <c:pt idx="82">
                  <c:v>0.19399999999999998</c:v>
                </c:pt>
                <c:pt idx="83">
                  <c:v>0.28499999999999903</c:v>
                </c:pt>
                <c:pt idx="84">
                  <c:v>0.34</c:v>
                </c:pt>
                <c:pt idx="85">
                  <c:v>0.34599999999999903</c:v>
                </c:pt>
                <c:pt idx="86">
                  <c:v>0.307</c:v>
                </c:pt>
                <c:pt idx="87">
                  <c:v>0.245</c:v>
                </c:pt>
                <c:pt idx="88">
                  <c:v>0.157</c:v>
                </c:pt>
                <c:pt idx="89">
                  <c:v>5.0999999999999997E-2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7.1999999999999897E-2</c:v>
                </c:pt>
                <c:pt idx="106">
                  <c:v>0.19600000000000001</c:v>
                </c:pt>
                <c:pt idx="107">
                  <c:v>0.313</c:v>
                </c:pt>
                <c:pt idx="108">
                  <c:v>0.40600000000000003</c:v>
                </c:pt>
                <c:pt idx="109">
                  <c:v>0.44900000000000001</c:v>
                </c:pt>
                <c:pt idx="110">
                  <c:v>0.43200000000000005</c:v>
                </c:pt>
                <c:pt idx="111">
                  <c:v>0.33500000000000002</c:v>
                </c:pt>
                <c:pt idx="112">
                  <c:v>0.2</c:v>
                </c:pt>
                <c:pt idx="113">
                  <c:v>5.5999999999999994E-2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0.127</c:v>
                </c:pt>
                <c:pt idx="130">
                  <c:v>0.29699999999999999</c:v>
                </c:pt>
                <c:pt idx="131">
                  <c:v>0.43200000000000005</c:v>
                </c:pt>
                <c:pt idx="132">
                  <c:v>0.496</c:v>
                </c:pt>
                <c:pt idx="133">
                  <c:v>0.496</c:v>
                </c:pt>
                <c:pt idx="134">
                  <c:v>0.43799999999999994</c:v>
                </c:pt>
                <c:pt idx="135">
                  <c:v>0.33500000000000002</c:v>
                </c:pt>
                <c:pt idx="136">
                  <c:v>0.19800000000000001</c:v>
                </c:pt>
                <c:pt idx="137">
                  <c:v>5.5E-2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3.6999999999999901E-2</c:v>
                </c:pt>
                <c:pt idx="154">
                  <c:v>0.107</c:v>
                </c:pt>
                <c:pt idx="155">
                  <c:v>0.17899999999999999</c:v>
                </c:pt>
                <c:pt idx="156">
                  <c:v>0.24</c:v>
                </c:pt>
                <c:pt idx="157">
                  <c:v>0.27200000000000002</c:v>
                </c:pt>
                <c:pt idx="158">
                  <c:v>0.26400000000000001</c:v>
                </c:pt>
                <c:pt idx="159">
                  <c:v>0.20399999999999999</c:v>
                </c:pt>
                <c:pt idx="160">
                  <c:v>0.11899999999999901</c:v>
                </c:pt>
                <c:pt idx="161">
                  <c:v>3.2000000000000001E-2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0E-40F8-A126-749573136A0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'Origen de Datos'!#REF!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0E-40F8-A126-749573136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1141680"/>
        <c:axId val="981142160"/>
      </c:barChart>
      <c:catAx>
        <c:axId val="9811416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1142160"/>
        <c:crosses val="autoZero"/>
        <c:auto val="1"/>
        <c:lblAlgn val="ctr"/>
        <c:lblOffset val="100"/>
        <c:noMultiLvlLbl val="0"/>
      </c:catAx>
      <c:valAx>
        <c:axId val="98114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114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171450</xdr:colOff>
      <xdr:row>137</xdr:row>
      <xdr:rowOff>106362</xdr:rowOff>
    </xdr:from>
    <xdr:to>
      <xdr:col>11</xdr:col>
      <xdr:colOff>1000125</xdr:colOff>
      <xdr:row>164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B1EA91-9906-0FA9-C5A7-0EBC04322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3"/>
  <sheetViews>
    <sheetView workbookViewId="0">
      <selection activeCell="E8" sqref="E8"/>
    </sheetView>
  </sheetViews>
  <sheetFormatPr baseColWidth="10" defaultRowHeight="14.5" x14ac:dyDescent="0.35"/>
  <cols>
    <col min="1" max="1" width="48.54296875" style="2" bestFit="1" customWidth="1"/>
    <col min="2" max="2" width="19.90625" style="2" bestFit="1" customWidth="1"/>
    <col min="3" max="16384" width="10.90625" style="2"/>
  </cols>
  <sheetData>
    <row r="1" spans="1:3" ht="23.5" x14ac:dyDescent="0.55000000000000004">
      <c r="A1" s="1" t="s">
        <v>28</v>
      </c>
    </row>
    <row r="2" spans="1:3" x14ac:dyDescent="0.35">
      <c r="A2" s="2" t="s">
        <v>17</v>
      </c>
    </row>
    <row r="3" spans="1:3" x14ac:dyDescent="0.35">
      <c r="B3" s="2" t="s">
        <v>12</v>
      </c>
      <c r="C3" s="3" t="s">
        <v>65</v>
      </c>
    </row>
    <row r="4" spans="1:3" x14ac:dyDescent="0.35">
      <c r="B4" s="2" t="s">
        <v>92</v>
      </c>
      <c r="C4" s="3" t="s">
        <v>69</v>
      </c>
    </row>
    <row r="5" spans="1:3" x14ac:dyDescent="0.35">
      <c r="B5" s="2" t="s">
        <v>13</v>
      </c>
      <c r="C5" s="3" t="s">
        <v>66</v>
      </c>
    </row>
    <row r="6" spans="1:3" x14ac:dyDescent="0.35">
      <c r="B6" s="2" t="s">
        <v>14</v>
      </c>
      <c r="C6" s="3" t="s">
        <v>66</v>
      </c>
    </row>
    <row r="7" spans="1:3" x14ac:dyDescent="0.35">
      <c r="B7" s="2" t="s">
        <v>18</v>
      </c>
      <c r="C7" s="3"/>
    </row>
    <row r="8" spans="1:3" x14ac:dyDescent="0.35">
      <c r="B8" s="2" t="s">
        <v>19</v>
      </c>
      <c r="C8" s="3"/>
    </row>
    <row r="9" spans="1:3" x14ac:dyDescent="0.35">
      <c r="B9" s="2" t="s">
        <v>24</v>
      </c>
      <c r="C9" s="3" t="s">
        <v>69</v>
      </c>
    </row>
    <row r="10" spans="1:3" x14ac:dyDescent="0.35">
      <c r="B10" s="2" t="s">
        <v>25</v>
      </c>
      <c r="C10" s="3"/>
    </row>
    <row r="11" spans="1:3" x14ac:dyDescent="0.35">
      <c r="B11" s="2" t="s">
        <v>26</v>
      </c>
      <c r="C11" s="3"/>
    </row>
    <row r="12" spans="1:3" x14ac:dyDescent="0.35">
      <c r="B12" s="2" t="s">
        <v>27</v>
      </c>
      <c r="C12" s="3"/>
    </row>
    <row r="13" spans="1:3" x14ac:dyDescent="0.35">
      <c r="C13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theme="4" tint="0.79998168889431442"/>
  </sheetPr>
  <dimension ref="A1:B17"/>
  <sheetViews>
    <sheetView workbookViewId="0">
      <selection activeCell="G7" sqref="G7"/>
    </sheetView>
  </sheetViews>
  <sheetFormatPr baseColWidth="10" defaultRowHeight="14.5" x14ac:dyDescent="0.35"/>
  <cols>
    <col min="1" max="1" width="15.7265625" style="5" bestFit="1" customWidth="1"/>
    <col min="2" max="2" width="9.90625" style="5" customWidth="1"/>
    <col min="3" max="16384" width="10.90625" style="5"/>
  </cols>
  <sheetData>
    <row r="1" spans="1:2" x14ac:dyDescent="0.35">
      <c r="A1" s="4" t="s">
        <v>5</v>
      </c>
      <c r="B1" s="4" t="s">
        <v>1</v>
      </c>
    </row>
    <row r="2" spans="1:2" x14ac:dyDescent="0.35">
      <c r="A2" s="5" t="s">
        <v>7</v>
      </c>
      <c r="B2" s="5" t="s">
        <v>6</v>
      </c>
    </row>
    <row r="3" spans="1:2" x14ac:dyDescent="0.35">
      <c r="A3" s="5" t="s">
        <v>8</v>
      </c>
      <c r="B3" s="5" t="s">
        <v>6</v>
      </c>
    </row>
    <row r="4" spans="1:2" x14ac:dyDescent="0.35">
      <c r="A4" s="5" t="s">
        <v>9</v>
      </c>
      <c r="B4" s="5" t="s">
        <v>6</v>
      </c>
    </row>
    <row r="5" spans="1:2" x14ac:dyDescent="0.35">
      <c r="A5" s="5" t="s">
        <v>3</v>
      </c>
      <c r="B5" s="5" t="s">
        <v>6</v>
      </c>
    </row>
    <row r="6" spans="1:2" x14ac:dyDescent="0.35">
      <c r="A6" s="5" t="s">
        <v>159</v>
      </c>
      <c r="B6" s="5" t="s">
        <v>6</v>
      </c>
    </row>
    <row r="7" spans="1:2" x14ac:dyDescent="0.35">
      <c r="A7" s="5" t="s">
        <v>161</v>
      </c>
      <c r="B7" s="5" t="s">
        <v>6</v>
      </c>
    </row>
    <row r="8" spans="1:2" x14ac:dyDescent="0.35">
      <c r="A8" s="5" t="s">
        <v>160</v>
      </c>
      <c r="B8" s="5" t="s">
        <v>6</v>
      </c>
    </row>
    <row r="9" spans="1:2" x14ac:dyDescent="0.35">
      <c r="A9" s="5" t="s">
        <v>10</v>
      </c>
      <c r="B9" s="5" t="s">
        <v>6</v>
      </c>
    </row>
    <row r="10" spans="1:2" x14ac:dyDescent="0.35">
      <c r="A10" s="5" t="s">
        <v>11</v>
      </c>
      <c r="B10" s="5" t="s">
        <v>6</v>
      </c>
    </row>
    <row r="11" spans="1:2" x14ac:dyDescent="0.35">
      <c r="A11" s="5" t="s">
        <v>4</v>
      </c>
      <c r="B11" s="5" t="s">
        <v>6</v>
      </c>
    </row>
    <row r="12" spans="1:2" x14ac:dyDescent="0.35">
      <c r="A12" s="5" t="s">
        <v>78</v>
      </c>
      <c r="B12" s="5" t="s">
        <v>6</v>
      </c>
    </row>
    <row r="13" spans="1:2" x14ac:dyDescent="0.35">
      <c r="A13" s="5" t="s">
        <v>88</v>
      </c>
      <c r="B13" s="5" t="s">
        <v>6</v>
      </c>
    </row>
    <row r="14" spans="1:2" x14ac:dyDescent="0.35">
      <c r="A14" s="5" t="s">
        <v>130</v>
      </c>
      <c r="B14" s="5" t="s">
        <v>6</v>
      </c>
    </row>
    <row r="15" spans="1:2" x14ac:dyDescent="0.35">
      <c r="A15" s="5" t="s">
        <v>131</v>
      </c>
      <c r="B15" s="5" t="s">
        <v>6</v>
      </c>
    </row>
    <row r="16" spans="1:2" x14ac:dyDescent="0.35">
      <c r="A16" s="5" t="s">
        <v>175</v>
      </c>
      <c r="B16" s="5" t="s">
        <v>6</v>
      </c>
    </row>
    <row r="17" spans="1:2" x14ac:dyDescent="0.35">
      <c r="A17" s="5" t="s">
        <v>176</v>
      </c>
      <c r="B17" s="5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C3D5D-6511-4609-B162-ADBED06D7AFD}">
  <sheetPr>
    <tabColor theme="4" tint="0.79998168889431442"/>
  </sheetPr>
  <dimension ref="A1:H18"/>
  <sheetViews>
    <sheetView workbookViewId="0">
      <selection activeCell="E20" sqref="E20"/>
    </sheetView>
  </sheetViews>
  <sheetFormatPr baseColWidth="10" defaultRowHeight="14.5" x14ac:dyDescent="0.35"/>
  <cols>
    <col min="1" max="1" width="25.1796875" style="5" customWidth="1"/>
    <col min="2" max="16384" width="10.90625" style="5"/>
  </cols>
  <sheetData>
    <row r="1" spans="1:8" x14ac:dyDescent="0.35">
      <c r="A1" s="24" t="s">
        <v>5</v>
      </c>
      <c r="B1" s="24" t="s">
        <v>0</v>
      </c>
      <c r="C1" s="24" t="s">
        <v>1</v>
      </c>
      <c r="D1" s="24" t="s">
        <v>83</v>
      </c>
      <c r="E1" s="24" t="s">
        <v>84</v>
      </c>
    </row>
    <row r="2" spans="1:8" x14ac:dyDescent="0.35">
      <c r="A2" s="6" t="s">
        <v>30</v>
      </c>
      <c r="B2" s="5" t="s">
        <v>7</v>
      </c>
      <c r="C2" s="5" t="s">
        <v>6</v>
      </c>
      <c r="D2" s="5">
        <v>-3.7038000000000002</v>
      </c>
      <c r="E2" s="5">
        <v>40.416800000000002</v>
      </c>
    </row>
    <row r="3" spans="1:8" x14ac:dyDescent="0.35">
      <c r="A3" s="6" t="s">
        <v>31</v>
      </c>
      <c r="B3" s="5" t="s">
        <v>2</v>
      </c>
      <c r="C3" s="5" t="s">
        <v>6</v>
      </c>
      <c r="D3" s="5">
        <v>-3.7038000000000002</v>
      </c>
      <c r="E3" s="5">
        <v>40.416800000000002</v>
      </c>
    </row>
    <row r="4" spans="1:8" x14ac:dyDescent="0.35">
      <c r="A4" s="6" t="s">
        <v>32</v>
      </c>
      <c r="B4" s="5" t="s">
        <v>3</v>
      </c>
      <c r="C4" s="5" t="s">
        <v>6</v>
      </c>
      <c r="D4" s="5">
        <v>-3.7038000000000002</v>
      </c>
      <c r="E4" s="5">
        <v>40.416800000000002</v>
      </c>
    </row>
    <row r="5" spans="1:8" x14ac:dyDescent="0.35">
      <c r="A5" s="6" t="s">
        <v>33</v>
      </c>
      <c r="B5" s="5" t="s">
        <v>4</v>
      </c>
      <c r="C5" s="5" t="s">
        <v>6</v>
      </c>
      <c r="D5" s="5">
        <v>-3.7038000000000002</v>
      </c>
      <c r="E5" s="5">
        <v>40.416800000000002</v>
      </c>
    </row>
    <row r="6" spans="1:8" x14ac:dyDescent="0.35">
      <c r="A6" s="25" t="s">
        <v>95</v>
      </c>
      <c r="B6" s="5" t="s">
        <v>7</v>
      </c>
      <c r="C6" s="5" t="s">
        <v>6</v>
      </c>
      <c r="D6" s="5">
        <v>-3.7038000000000002</v>
      </c>
      <c r="E6" s="5">
        <v>40.416800000000002</v>
      </c>
    </row>
    <row r="7" spans="1:8" x14ac:dyDescent="0.35">
      <c r="A7" s="25" t="s">
        <v>96</v>
      </c>
      <c r="B7" s="5" t="s">
        <v>4</v>
      </c>
      <c r="C7" s="5" t="s">
        <v>6</v>
      </c>
      <c r="D7" s="5">
        <v>-3.7038000000000002</v>
      </c>
      <c r="E7" s="5">
        <v>40.416800000000002</v>
      </c>
    </row>
    <row r="8" spans="1:8" x14ac:dyDescent="0.35">
      <c r="A8" s="8" t="s">
        <v>34</v>
      </c>
      <c r="B8" s="5" t="s">
        <v>7</v>
      </c>
      <c r="C8" s="5" t="s">
        <v>6</v>
      </c>
      <c r="D8" s="5">
        <v>-9.1393000000000004</v>
      </c>
      <c r="E8" s="5">
        <v>38.722299999999997</v>
      </c>
    </row>
    <row r="9" spans="1:8" x14ac:dyDescent="0.35">
      <c r="A9" s="8" t="s">
        <v>35</v>
      </c>
      <c r="B9" s="5" t="s">
        <v>2</v>
      </c>
      <c r="C9" s="5" t="s">
        <v>6</v>
      </c>
      <c r="D9" s="5">
        <v>-9.1393000000000004</v>
      </c>
      <c r="E9" s="5">
        <v>38.722299999999997</v>
      </c>
    </row>
    <row r="10" spans="1:8" x14ac:dyDescent="0.35">
      <c r="A10" s="8" t="s">
        <v>36</v>
      </c>
      <c r="B10" s="5" t="s">
        <v>3</v>
      </c>
      <c r="C10" s="5" t="s">
        <v>6</v>
      </c>
      <c r="D10" s="5">
        <v>-9.1393000000000004</v>
      </c>
      <c r="E10" s="5">
        <v>38.722299999999997</v>
      </c>
    </row>
    <row r="11" spans="1:8" x14ac:dyDescent="0.35">
      <c r="A11" s="8" t="s">
        <v>37</v>
      </c>
      <c r="B11" s="5" t="s">
        <v>4</v>
      </c>
      <c r="C11" s="5" t="s">
        <v>6</v>
      </c>
      <c r="D11" s="5">
        <v>-9.1393000000000004</v>
      </c>
      <c r="E11" s="5">
        <v>38.722299999999997</v>
      </c>
    </row>
    <row r="12" spans="1:8" x14ac:dyDescent="0.35">
      <c r="A12" s="26" t="s">
        <v>97</v>
      </c>
      <c r="B12" s="5" t="s">
        <v>7</v>
      </c>
      <c r="C12" s="5" t="s">
        <v>6</v>
      </c>
      <c r="D12" s="5">
        <v>-9.1393000000000004</v>
      </c>
      <c r="E12" s="5">
        <v>38.722299999999997</v>
      </c>
    </row>
    <row r="13" spans="1:8" x14ac:dyDescent="0.35">
      <c r="A13" s="26" t="s">
        <v>98</v>
      </c>
      <c r="B13" s="5" t="s">
        <v>4</v>
      </c>
      <c r="C13" s="5" t="s">
        <v>6</v>
      </c>
      <c r="D13" s="5">
        <v>-9.1393000000000004</v>
      </c>
      <c r="E13" s="5">
        <v>38.722299999999997</v>
      </c>
    </row>
    <row r="14" spans="1:8" x14ac:dyDescent="0.35">
      <c r="A14" s="14" t="s">
        <v>85</v>
      </c>
      <c r="B14" s="5" t="s">
        <v>7</v>
      </c>
      <c r="C14" s="5" t="s">
        <v>6</v>
      </c>
      <c r="D14" s="5">
        <v>2.3521999999999998</v>
      </c>
      <c r="E14" s="5">
        <v>48.8566</v>
      </c>
    </row>
    <row r="15" spans="1:8" x14ac:dyDescent="0.35">
      <c r="A15" s="14" t="s">
        <v>86</v>
      </c>
      <c r="B15" s="5" t="s">
        <v>4</v>
      </c>
      <c r="C15" s="5" t="s">
        <v>6</v>
      </c>
      <c r="D15" s="5">
        <v>4.3521999999999998</v>
      </c>
      <c r="E15" s="5">
        <v>48.8566</v>
      </c>
    </row>
    <row r="16" spans="1:8" x14ac:dyDescent="0.35">
      <c r="A16" s="14" t="s">
        <v>104</v>
      </c>
      <c r="B16" s="5" t="s">
        <v>4</v>
      </c>
      <c r="C16" s="5" t="s">
        <v>6</v>
      </c>
      <c r="D16" s="5">
        <v>2.8521999999999998</v>
      </c>
      <c r="E16" s="5">
        <v>43.8566</v>
      </c>
      <c r="H16" s="5" t="s">
        <v>108</v>
      </c>
    </row>
    <row r="17" spans="1:5" x14ac:dyDescent="0.35">
      <c r="A17" s="14" t="s">
        <v>105</v>
      </c>
      <c r="B17" s="5" t="s">
        <v>4</v>
      </c>
      <c r="C17" s="5" t="s">
        <v>6</v>
      </c>
      <c r="D17" s="5">
        <v>-1.3522000000000001</v>
      </c>
      <c r="E17" s="5">
        <v>45.8566</v>
      </c>
    </row>
    <row r="18" spans="1:5" x14ac:dyDescent="0.35">
      <c r="A18" s="27" t="s">
        <v>99</v>
      </c>
      <c r="B18" s="5" t="s">
        <v>4</v>
      </c>
      <c r="C18" s="5" t="s">
        <v>6</v>
      </c>
      <c r="D18" s="5">
        <v>-6.84</v>
      </c>
      <c r="E18" s="5">
        <v>34.020000000000003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26B25-9C89-4493-B4E6-04045461670B}">
  <sheetPr>
    <tabColor theme="4" tint="0.79998168889431442"/>
  </sheetPr>
  <dimension ref="A1:F34"/>
  <sheetViews>
    <sheetView workbookViewId="0">
      <selection activeCell="H10" sqref="H10"/>
    </sheetView>
  </sheetViews>
  <sheetFormatPr baseColWidth="10" defaultRowHeight="14.5" x14ac:dyDescent="0.35"/>
  <cols>
    <col min="1" max="1" width="29.1796875" style="5" bestFit="1" customWidth="1"/>
    <col min="2" max="2" width="26.6328125" style="5" customWidth="1"/>
    <col min="3" max="3" width="10.90625" style="5"/>
    <col min="4" max="4" width="13.08984375" style="5" bestFit="1" customWidth="1"/>
    <col min="5" max="5" width="15.7265625" style="5" bestFit="1" customWidth="1"/>
    <col min="6" max="10" width="10.90625" style="5"/>
    <col min="11" max="11" width="11.7265625" style="5" customWidth="1"/>
    <col min="12" max="16384" width="10.90625" style="5"/>
  </cols>
  <sheetData>
    <row r="1" spans="1:6" x14ac:dyDescent="0.35">
      <c r="A1" s="4" t="s">
        <v>5</v>
      </c>
      <c r="B1" s="4" t="s">
        <v>15</v>
      </c>
      <c r="C1" s="4" t="s">
        <v>12</v>
      </c>
      <c r="D1" s="4" t="s">
        <v>14</v>
      </c>
      <c r="E1" s="4" t="s">
        <v>0</v>
      </c>
      <c r="F1" s="4" t="s">
        <v>1</v>
      </c>
    </row>
    <row r="2" spans="1:6" x14ac:dyDescent="0.35">
      <c r="A2" s="6" t="s">
        <v>138</v>
      </c>
      <c r="B2" s="5" t="s">
        <v>30</v>
      </c>
      <c r="C2" s="5">
        <v>83000</v>
      </c>
      <c r="D2" s="5">
        <v>0</v>
      </c>
      <c r="E2" s="5" t="s">
        <v>159</v>
      </c>
      <c r="F2" s="5" t="s">
        <v>6</v>
      </c>
    </row>
    <row r="3" spans="1:6" x14ac:dyDescent="0.35">
      <c r="A3" s="6" t="s">
        <v>139</v>
      </c>
      <c r="B3" s="5" t="s">
        <v>30</v>
      </c>
      <c r="C3" s="5">
        <v>4805</v>
      </c>
      <c r="D3" s="5">
        <v>0</v>
      </c>
      <c r="E3" s="5" t="s">
        <v>161</v>
      </c>
      <c r="F3" s="5" t="s">
        <v>6</v>
      </c>
    </row>
    <row r="4" spans="1:6" x14ac:dyDescent="0.35">
      <c r="A4" s="6" t="s">
        <v>140</v>
      </c>
      <c r="B4" s="5" t="s">
        <v>30</v>
      </c>
      <c r="C4" s="5">
        <v>30000</v>
      </c>
      <c r="D4" s="5">
        <v>0</v>
      </c>
      <c r="E4" s="5" t="s">
        <v>160</v>
      </c>
      <c r="F4" s="5" t="s">
        <v>6</v>
      </c>
    </row>
    <row r="5" spans="1:6" x14ac:dyDescent="0.35">
      <c r="A5" s="6" t="s">
        <v>46</v>
      </c>
      <c r="B5" s="5" t="s">
        <v>30</v>
      </c>
      <c r="C5" s="5">
        <v>91799.794460000019</v>
      </c>
      <c r="D5" s="5">
        <v>0</v>
      </c>
      <c r="E5" s="5" t="s">
        <v>9</v>
      </c>
      <c r="F5" s="5" t="s">
        <v>6</v>
      </c>
    </row>
    <row r="6" spans="1:6" x14ac:dyDescent="0.35">
      <c r="A6" s="6" t="s">
        <v>47</v>
      </c>
      <c r="B6" s="5" t="s">
        <v>30</v>
      </c>
      <c r="C6" s="5">
        <f>2462.66</f>
        <v>2462.66</v>
      </c>
      <c r="D6" s="5">
        <v>6</v>
      </c>
      <c r="E6" s="5" t="s">
        <v>11</v>
      </c>
      <c r="F6" s="5" t="s">
        <v>6</v>
      </c>
    </row>
    <row r="7" spans="1:6" x14ac:dyDescent="0.35">
      <c r="A7" s="6" t="s">
        <v>48</v>
      </c>
      <c r="B7" s="5" t="s">
        <v>32</v>
      </c>
      <c r="C7" s="5">
        <f>1*10^14</f>
        <v>100000000000000</v>
      </c>
      <c r="D7" s="5">
        <v>0</v>
      </c>
      <c r="E7" s="5" t="s">
        <v>3</v>
      </c>
      <c r="F7" s="5" t="s">
        <v>6</v>
      </c>
    </row>
    <row r="8" spans="1:6" x14ac:dyDescent="0.35">
      <c r="A8" s="6" t="s">
        <v>49</v>
      </c>
      <c r="B8" s="5" t="s">
        <v>30</v>
      </c>
      <c r="C8" s="5">
        <v>3117.91912</v>
      </c>
      <c r="D8" s="5">
        <v>0</v>
      </c>
      <c r="E8" s="5" t="s">
        <v>8</v>
      </c>
      <c r="F8" s="5" t="s">
        <v>6</v>
      </c>
    </row>
    <row r="9" spans="1:6" x14ac:dyDescent="0.35">
      <c r="A9" s="5" t="s">
        <v>75</v>
      </c>
      <c r="B9" s="5" t="s">
        <v>95</v>
      </c>
      <c r="C9" s="5">
        <v>32600</v>
      </c>
      <c r="D9" s="5">
        <v>0</v>
      </c>
      <c r="E9" s="5" t="s">
        <v>131</v>
      </c>
      <c r="F9" s="5" t="s">
        <v>6</v>
      </c>
    </row>
    <row r="10" spans="1:6" x14ac:dyDescent="0.35">
      <c r="A10" s="7" t="s">
        <v>74</v>
      </c>
      <c r="B10" s="7" t="s">
        <v>96</v>
      </c>
      <c r="C10" s="7">
        <f>(37999*2)-C9</f>
        <v>43398</v>
      </c>
      <c r="D10" s="7">
        <v>0</v>
      </c>
      <c r="E10" s="7" t="s">
        <v>130</v>
      </c>
      <c r="F10" s="7" t="s">
        <v>6</v>
      </c>
    </row>
    <row r="11" spans="1:6" x14ac:dyDescent="0.35">
      <c r="A11" s="8" t="s">
        <v>141</v>
      </c>
      <c r="B11" s="5" t="s">
        <v>34</v>
      </c>
      <c r="C11" s="5">
        <v>14378.2</v>
      </c>
      <c r="D11" s="5">
        <v>0</v>
      </c>
      <c r="E11" s="5" t="s">
        <v>159</v>
      </c>
      <c r="F11" s="5" t="s">
        <v>6</v>
      </c>
    </row>
    <row r="12" spans="1:6" x14ac:dyDescent="0.35">
      <c r="A12" s="8" t="s">
        <v>142</v>
      </c>
      <c r="B12" s="5" t="s">
        <v>34</v>
      </c>
      <c r="C12" s="5">
        <v>9659.9</v>
      </c>
      <c r="D12" s="5">
        <v>0</v>
      </c>
      <c r="E12" s="5" t="s">
        <v>160</v>
      </c>
      <c r="F12" s="5" t="s">
        <v>6</v>
      </c>
    </row>
    <row r="13" spans="1:6" x14ac:dyDescent="0.35">
      <c r="A13" s="8" t="s">
        <v>173</v>
      </c>
      <c r="B13" s="5" t="s">
        <v>34</v>
      </c>
      <c r="C13" s="18">
        <v>11643.6</v>
      </c>
      <c r="D13" s="5">
        <v>0</v>
      </c>
      <c r="E13" s="5" t="s">
        <v>175</v>
      </c>
      <c r="F13" s="5" t="s">
        <v>6</v>
      </c>
    </row>
    <row r="14" spans="1:6" x14ac:dyDescent="0.35">
      <c r="A14" s="8" t="s">
        <v>174</v>
      </c>
      <c r="B14" s="5" t="s">
        <v>34</v>
      </c>
      <c r="C14" s="18">
        <v>646</v>
      </c>
      <c r="D14" s="5">
        <v>0</v>
      </c>
      <c r="E14" s="5" t="s">
        <v>176</v>
      </c>
      <c r="F14" s="5" t="s">
        <v>6</v>
      </c>
    </row>
    <row r="15" spans="1:6" x14ac:dyDescent="0.35">
      <c r="A15" s="8" t="s">
        <v>50</v>
      </c>
      <c r="B15" s="5" t="s">
        <v>34</v>
      </c>
      <c r="C15" s="5">
        <v>1607</v>
      </c>
      <c r="D15" s="9">
        <v>6</v>
      </c>
      <c r="E15" s="5" t="s">
        <v>11</v>
      </c>
      <c r="F15" s="5" t="s">
        <v>6</v>
      </c>
    </row>
    <row r="16" spans="1:6" x14ac:dyDescent="0.35">
      <c r="A16" s="8" t="s">
        <v>51</v>
      </c>
      <c r="B16" s="5" t="s">
        <v>36</v>
      </c>
      <c r="C16" s="5">
        <f>1*10^14</f>
        <v>100000000000000</v>
      </c>
      <c r="D16" s="5">
        <v>0</v>
      </c>
      <c r="E16" s="5" t="s">
        <v>3</v>
      </c>
      <c r="F16" s="5" t="s">
        <v>6</v>
      </c>
    </row>
    <row r="17" spans="1:6" x14ac:dyDescent="0.35">
      <c r="A17" s="8" t="s">
        <v>52</v>
      </c>
      <c r="B17" s="5" t="s">
        <v>34</v>
      </c>
      <c r="C17" s="5">
        <v>508.3</v>
      </c>
      <c r="D17" s="5">
        <v>0</v>
      </c>
      <c r="E17" s="5" t="s">
        <v>8</v>
      </c>
      <c r="F17" s="5" t="s">
        <v>6</v>
      </c>
    </row>
    <row r="18" spans="1:6" x14ac:dyDescent="0.35">
      <c r="A18" s="5" t="s">
        <v>77</v>
      </c>
      <c r="B18" s="5" t="s">
        <v>97</v>
      </c>
      <c r="C18" s="5">
        <v>13478</v>
      </c>
      <c r="D18" s="5">
        <v>0</v>
      </c>
      <c r="E18" s="5" t="s">
        <v>131</v>
      </c>
      <c r="F18" s="5" t="s">
        <v>6</v>
      </c>
    </row>
    <row r="19" spans="1:6" x14ac:dyDescent="0.35">
      <c r="A19" s="7" t="s">
        <v>76</v>
      </c>
      <c r="B19" s="7" t="s">
        <v>98</v>
      </c>
      <c r="C19" s="7">
        <f>22506.9-C18</f>
        <v>9028.9000000000015</v>
      </c>
      <c r="D19" s="7">
        <v>0</v>
      </c>
      <c r="E19" s="7" t="s">
        <v>130</v>
      </c>
      <c r="F19" s="7" t="s">
        <v>6</v>
      </c>
    </row>
    <row r="20" spans="1:6" x14ac:dyDescent="0.35">
      <c r="A20" s="10" t="s">
        <v>79</v>
      </c>
      <c r="B20" s="5" t="s">
        <v>30</v>
      </c>
      <c r="C20" s="5">
        <v>10000000</v>
      </c>
      <c r="D20" s="5">
        <v>10000</v>
      </c>
      <c r="E20" s="5" t="s">
        <v>78</v>
      </c>
      <c r="F20" s="5" t="s">
        <v>6</v>
      </c>
    </row>
    <row r="21" spans="1:6" x14ac:dyDescent="0.35">
      <c r="A21" s="10" t="s">
        <v>80</v>
      </c>
      <c r="B21" s="5" t="s">
        <v>34</v>
      </c>
      <c r="C21" s="5">
        <v>10000000</v>
      </c>
      <c r="D21" s="5">
        <v>10000</v>
      </c>
      <c r="E21" s="5" t="s">
        <v>78</v>
      </c>
      <c r="F21" s="5" t="s">
        <v>6</v>
      </c>
    </row>
    <row r="22" spans="1:6" x14ac:dyDescent="0.35">
      <c r="A22" s="10" t="s">
        <v>94</v>
      </c>
      <c r="B22" s="5" t="s">
        <v>85</v>
      </c>
      <c r="C22" s="5">
        <v>10000000</v>
      </c>
      <c r="D22" s="5">
        <v>10000</v>
      </c>
      <c r="E22" s="5" t="s">
        <v>78</v>
      </c>
      <c r="F22" s="5" t="s">
        <v>6</v>
      </c>
    </row>
    <row r="23" spans="1:6" x14ac:dyDescent="0.35">
      <c r="A23" s="10" t="s">
        <v>81</v>
      </c>
      <c r="B23" s="5" t="s">
        <v>33</v>
      </c>
      <c r="C23" s="5">
        <v>10000000</v>
      </c>
      <c r="D23" s="5">
        <v>3000</v>
      </c>
      <c r="E23" s="5" t="s">
        <v>78</v>
      </c>
      <c r="F23" s="5" t="s">
        <v>6</v>
      </c>
    </row>
    <row r="24" spans="1:6" x14ac:dyDescent="0.35">
      <c r="A24" s="10" t="s">
        <v>82</v>
      </c>
      <c r="B24" s="5" t="s">
        <v>37</v>
      </c>
      <c r="C24" s="5">
        <v>10000000</v>
      </c>
      <c r="D24" s="5">
        <v>2500</v>
      </c>
      <c r="E24" s="5" t="s">
        <v>78</v>
      </c>
      <c r="F24" s="5" t="s">
        <v>6</v>
      </c>
    </row>
    <row r="25" spans="1:6" x14ac:dyDescent="0.35">
      <c r="A25" s="10" t="s">
        <v>93</v>
      </c>
      <c r="B25" s="5" t="s">
        <v>86</v>
      </c>
      <c r="C25" s="5">
        <v>10000000</v>
      </c>
      <c r="D25" s="5">
        <v>2500</v>
      </c>
      <c r="E25" s="5" t="s">
        <v>78</v>
      </c>
      <c r="F25" s="5" t="s">
        <v>6</v>
      </c>
    </row>
    <row r="26" spans="1:6" x14ac:dyDescent="0.35">
      <c r="A26" s="10" t="s">
        <v>106</v>
      </c>
      <c r="B26" s="5" t="s">
        <v>104</v>
      </c>
      <c r="C26" s="5">
        <v>10000000</v>
      </c>
      <c r="D26" s="5">
        <v>2500</v>
      </c>
      <c r="E26" s="5" t="s">
        <v>78</v>
      </c>
      <c r="F26" s="5" t="s">
        <v>6</v>
      </c>
    </row>
    <row r="27" spans="1:6" x14ac:dyDescent="0.35">
      <c r="A27" s="11" t="s">
        <v>107</v>
      </c>
      <c r="B27" s="7" t="s">
        <v>105</v>
      </c>
      <c r="C27" s="7">
        <v>10000000</v>
      </c>
      <c r="D27" s="7">
        <v>2500</v>
      </c>
      <c r="E27" s="7" t="s">
        <v>78</v>
      </c>
      <c r="F27" s="7" t="s">
        <v>6</v>
      </c>
    </row>
    <row r="28" spans="1:6" x14ac:dyDescent="0.35">
      <c r="A28" s="12" t="s">
        <v>120</v>
      </c>
      <c r="B28" s="13" t="s">
        <v>85</v>
      </c>
      <c r="C28" s="13">
        <v>5000</v>
      </c>
      <c r="D28" s="13">
        <v>0</v>
      </c>
      <c r="E28" s="13" t="s">
        <v>7</v>
      </c>
      <c r="F28" s="13" t="s">
        <v>6</v>
      </c>
    </row>
    <row r="29" spans="1:6" x14ac:dyDescent="0.35">
      <c r="A29" s="14" t="s">
        <v>121</v>
      </c>
      <c r="B29" s="5" t="s">
        <v>105</v>
      </c>
      <c r="C29" s="5">
        <v>1553.672292</v>
      </c>
      <c r="D29" s="5">
        <v>0</v>
      </c>
      <c r="E29" s="5" t="s">
        <v>4</v>
      </c>
      <c r="F29" s="5" t="s">
        <v>6</v>
      </c>
    </row>
    <row r="30" spans="1:6" x14ac:dyDescent="0.35">
      <c r="A30" s="15" t="s">
        <v>122</v>
      </c>
      <c r="B30" s="7" t="s">
        <v>86</v>
      </c>
      <c r="C30" s="7">
        <v>6779.6610170000004</v>
      </c>
      <c r="D30" s="7">
        <v>0</v>
      </c>
      <c r="E30" s="7" t="s">
        <v>4</v>
      </c>
      <c r="F30" s="7" t="s">
        <v>6</v>
      </c>
    </row>
    <row r="31" spans="1:6" x14ac:dyDescent="0.35">
      <c r="A31" s="16" t="s">
        <v>100</v>
      </c>
      <c r="B31" s="13" t="s">
        <v>99</v>
      </c>
      <c r="C31" s="13">
        <v>1517.8</v>
      </c>
      <c r="D31" s="13">
        <v>0</v>
      </c>
      <c r="E31" s="13" t="s">
        <v>4</v>
      </c>
      <c r="F31" s="13" t="s">
        <v>6</v>
      </c>
    </row>
    <row r="32" spans="1:6" x14ac:dyDescent="0.35">
      <c r="A32" s="17" t="s">
        <v>101</v>
      </c>
      <c r="B32" s="7" t="s">
        <v>99</v>
      </c>
      <c r="C32" s="7">
        <v>1422.3673200000001</v>
      </c>
      <c r="D32" s="7">
        <f>73.7</f>
        <v>73.7</v>
      </c>
      <c r="E32" s="7" t="s">
        <v>4</v>
      </c>
      <c r="F32" s="7" t="s">
        <v>6</v>
      </c>
    </row>
    <row r="33" spans="1:6" x14ac:dyDescent="0.35">
      <c r="A33" s="12" t="s">
        <v>114</v>
      </c>
      <c r="B33" s="13" t="s">
        <v>104</v>
      </c>
      <c r="C33" s="13">
        <v>1241</v>
      </c>
      <c r="D33" s="13">
        <v>0</v>
      </c>
      <c r="E33" s="13" t="s">
        <v>4</v>
      </c>
      <c r="F33" s="13" t="s">
        <v>6</v>
      </c>
    </row>
    <row r="34" spans="1:6" x14ac:dyDescent="0.35">
      <c r="A34" s="15" t="s">
        <v>115</v>
      </c>
      <c r="B34" s="7" t="s">
        <v>105</v>
      </c>
      <c r="C34" s="7">
        <v>331</v>
      </c>
      <c r="D34" s="7">
        <v>0</v>
      </c>
      <c r="E34" s="7" t="s">
        <v>4</v>
      </c>
      <c r="F34" s="7" t="s">
        <v>6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CCCA4-8C87-470D-8C51-F78090F52F72}">
  <sheetPr>
    <tabColor theme="4" tint="0.79998168889431442"/>
  </sheetPr>
  <dimension ref="A1:K26"/>
  <sheetViews>
    <sheetView zoomScaleNormal="100" workbookViewId="0">
      <selection activeCell="E4" sqref="E4"/>
    </sheetView>
  </sheetViews>
  <sheetFormatPr baseColWidth="10" defaultRowHeight="14.5" x14ac:dyDescent="0.35"/>
  <cols>
    <col min="1" max="1" width="42.26953125" style="5" customWidth="1"/>
    <col min="2" max="2" width="24.1796875" style="5" customWidth="1"/>
    <col min="3" max="3" width="25.54296875" style="5" customWidth="1"/>
    <col min="4" max="4" width="13.90625" style="5" customWidth="1"/>
    <col min="5" max="5" width="12" style="5" bestFit="1" customWidth="1"/>
    <col min="6" max="11" width="13.90625" style="5" customWidth="1"/>
    <col min="12" max="16384" width="10.90625" style="5"/>
  </cols>
  <sheetData>
    <row r="1" spans="1:11" x14ac:dyDescent="0.35">
      <c r="A1" s="28" t="s">
        <v>5</v>
      </c>
      <c r="B1" s="28" t="s">
        <v>67</v>
      </c>
      <c r="C1" s="28" t="s">
        <v>68</v>
      </c>
      <c r="D1" s="28" t="s">
        <v>12</v>
      </c>
      <c r="E1" s="28" t="s">
        <v>165</v>
      </c>
      <c r="F1" s="28" t="s">
        <v>16</v>
      </c>
      <c r="G1" s="28" t="s">
        <v>14</v>
      </c>
      <c r="H1" s="28" t="s">
        <v>18</v>
      </c>
      <c r="I1" s="28" t="s">
        <v>19</v>
      </c>
      <c r="J1" s="28" t="s">
        <v>0</v>
      </c>
      <c r="K1" s="28" t="s">
        <v>1</v>
      </c>
    </row>
    <row r="2" spans="1:11" x14ac:dyDescent="0.35">
      <c r="A2" s="6" t="s">
        <v>38</v>
      </c>
      <c r="B2" s="5" t="s">
        <v>32</v>
      </c>
      <c r="C2" s="5" t="s">
        <v>30</v>
      </c>
      <c r="D2" s="29">
        <v>6195.8</v>
      </c>
      <c r="E2" s="29"/>
      <c r="F2" s="5">
        <v>0.57999999999999996</v>
      </c>
      <c r="G2" s="30">
        <v>146.19</v>
      </c>
      <c r="J2" s="5" t="s">
        <v>3</v>
      </c>
      <c r="K2" s="5" t="s">
        <v>6</v>
      </c>
    </row>
    <row r="3" spans="1:11" x14ac:dyDescent="0.35">
      <c r="A3" s="6" t="s">
        <v>39</v>
      </c>
      <c r="B3" s="5" t="s">
        <v>31</v>
      </c>
      <c r="C3" s="5" t="s">
        <v>30</v>
      </c>
      <c r="D3" s="29">
        <f>25140.2664733333</f>
        <v>25140.2664733333</v>
      </c>
      <c r="E3" s="29"/>
      <c r="F3" s="5">
        <v>0.85</v>
      </c>
      <c r="G3" s="5">
        <v>0</v>
      </c>
      <c r="J3" s="5" t="s">
        <v>8</v>
      </c>
      <c r="K3" s="5" t="s">
        <v>6</v>
      </c>
    </row>
    <row r="4" spans="1:11" x14ac:dyDescent="0.35">
      <c r="A4" s="6" t="s">
        <v>40</v>
      </c>
      <c r="B4" s="5" t="s">
        <v>30</v>
      </c>
      <c r="C4" s="5" t="s">
        <v>31</v>
      </c>
      <c r="D4" s="29">
        <f>13320.7506329652</f>
        <v>13320.750632965201</v>
      </c>
      <c r="E4" s="29"/>
      <c r="F4" s="5">
        <v>0.75</v>
      </c>
      <c r="G4" s="5">
        <v>0</v>
      </c>
      <c r="J4" s="5" t="s">
        <v>7</v>
      </c>
      <c r="K4" s="5" t="s">
        <v>6</v>
      </c>
    </row>
    <row r="5" spans="1:11" x14ac:dyDescent="0.35">
      <c r="A5" s="6" t="s">
        <v>41</v>
      </c>
      <c r="B5" s="5" t="s">
        <v>30</v>
      </c>
      <c r="C5" s="5" t="s">
        <v>33</v>
      </c>
      <c r="D5" s="29">
        <v>15500</v>
      </c>
      <c r="E5" s="29"/>
      <c r="F5" s="5">
        <v>0.7</v>
      </c>
      <c r="G5" s="5">
        <v>0</v>
      </c>
      <c r="J5" s="5" t="s">
        <v>4</v>
      </c>
      <c r="K5" s="5" t="s">
        <v>6</v>
      </c>
    </row>
    <row r="6" spans="1:11" x14ac:dyDescent="0.35">
      <c r="A6" s="5" t="s">
        <v>74</v>
      </c>
      <c r="B6" s="5" t="s">
        <v>96</v>
      </c>
      <c r="C6" s="5" t="s">
        <v>33</v>
      </c>
      <c r="D6" s="29">
        <v>32600</v>
      </c>
      <c r="E6" s="29"/>
      <c r="F6" s="5">
        <v>0.7</v>
      </c>
      <c r="G6" s="5">
        <v>0</v>
      </c>
      <c r="J6" s="5" t="s">
        <v>4</v>
      </c>
      <c r="K6" s="5" t="s">
        <v>6</v>
      </c>
    </row>
    <row r="7" spans="1:11" x14ac:dyDescent="0.35">
      <c r="A7" s="5" t="s">
        <v>75</v>
      </c>
      <c r="B7" s="5" t="s">
        <v>95</v>
      </c>
      <c r="C7" s="5" t="s">
        <v>30</v>
      </c>
      <c r="D7" s="5">
        <v>100000</v>
      </c>
      <c r="F7" s="5">
        <v>1</v>
      </c>
      <c r="G7" s="5">
        <v>0</v>
      </c>
      <c r="J7" s="5" t="s">
        <v>7</v>
      </c>
      <c r="K7" s="5" t="s">
        <v>6</v>
      </c>
    </row>
    <row r="8" spans="1:11" x14ac:dyDescent="0.35">
      <c r="A8" s="8" t="s">
        <v>42</v>
      </c>
      <c r="B8" s="5" t="s">
        <v>36</v>
      </c>
      <c r="C8" s="5" t="s">
        <v>34</v>
      </c>
      <c r="D8" s="29">
        <v>1357</v>
      </c>
      <c r="E8" s="29"/>
      <c r="F8" s="5">
        <v>0.57999999999999996</v>
      </c>
      <c r="G8" s="30">
        <v>146.19</v>
      </c>
      <c r="J8" s="5" t="s">
        <v>3</v>
      </c>
      <c r="K8" s="5" t="s">
        <v>6</v>
      </c>
    </row>
    <row r="9" spans="1:11" x14ac:dyDescent="0.35">
      <c r="A9" s="8" t="s">
        <v>43</v>
      </c>
      <c r="B9" s="5" t="s">
        <v>35</v>
      </c>
      <c r="C9" s="5" t="s">
        <v>34</v>
      </c>
      <c r="D9" s="29">
        <v>3135</v>
      </c>
      <c r="E9" s="29"/>
      <c r="F9" s="5">
        <v>0.85</v>
      </c>
      <c r="G9" s="5">
        <v>0</v>
      </c>
      <c r="J9" s="5" t="s">
        <v>8</v>
      </c>
      <c r="K9" s="5" t="s">
        <v>6</v>
      </c>
    </row>
    <row r="10" spans="1:11" x14ac:dyDescent="0.35">
      <c r="A10" s="8" t="s">
        <v>44</v>
      </c>
      <c r="B10" s="5" t="s">
        <v>34</v>
      </c>
      <c r="C10" s="5" t="s">
        <v>35</v>
      </c>
      <c r="D10" s="29">
        <v>3837</v>
      </c>
      <c r="E10" s="29"/>
      <c r="F10" s="5">
        <v>0.75</v>
      </c>
      <c r="G10" s="5">
        <v>0</v>
      </c>
      <c r="J10" s="5" t="s">
        <v>7</v>
      </c>
      <c r="K10" s="5" t="s">
        <v>6</v>
      </c>
    </row>
    <row r="11" spans="1:11" x14ac:dyDescent="0.35">
      <c r="A11" s="8" t="s">
        <v>45</v>
      </c>
      <c r="B11" s="5" t="s">
        <v>34</v>
      </c>
      <c r="C11" s="5" t="s">
        <v>37</v>
      </c>
      <c r="D11" s="29">
        <v>0</v>
      </c>
      <c r="E11" s="29"/>
      <c r="F11" s="29">
        <v>0.7</v>
      </c>
      <c r="G11" s="5">
        <v>0</v>
      </c>
      <c r="J11" s="5" t="s">
        <v>4</v>
      </c>
      <c r="K11" s="5" t="s">
        <v>6</v>
      </c>
    </row>
    <row r="12" spans="1:11" x14ac:dyDescent="0.35">
      <c r="A12" s="5" t="s">
        <v>76</v>
      </c>
      <c r="B12" s="5" t="s">
        <v>98</v>
      </c>
      <c r="C12" s="5" t="s">
        <v>37</v>
      </c>
      <c r="D12" s="29">
        <v>13478</v>
      </c>
      <c r="E12" s="29"/>
      <c r="F12" s="29">
        <v>0.7</v>
      </c>
      <c r="G12" s="5">
        <v>0</v>
      </c>
      <c r="J12" s="5" t="s">
        <v>4</v>
      </c>
      <c r="K12" s="5" t="s">
        <v>6</v>
      </c>
    </row>
    <row r="13" spans="1:11" x14ac:dyDescent="0.35">
      <c r="A13" s="5" t="s">
        <v>77</v>
      </c>
      <c r="B13" s="5" t="s">
        <v>97</v>
      </c>
      <c r="C13" s="5" t="s">
        <v>34</v>
      </c>
      <c r="D13" s="5">
        <v>100000</v>
      </c>
      <c r="F13" s="5">
        <v>1</v>
      </c>
      <c r="G13" s="5">
        <v>0</v>
      </c>
      <c r="J13" s="5" t="s">
        <v>7</v>
      </c>
      <c r="K13" s="5" t="s">
        <v>6</v>
      </c>
    </row>
    <row r="14" spans="1:11" x14ac:dyDescent="0.35">
      <c r="A14" s="31" t="s">
        <v>70</v>
      </c>
      <c r="B14" s="5" t="s">
        <v>30</v>
      </c>
      <c r="C14" s="5" t="s">
        <v>34</v>
      </c>
      <c r="D14" s="29">
        <v>4200</v>
      </c>
      <c r="E14" s="29"/>
      <c r="F14" s="32">
        <v>1</v>
      </c>
      <c r="G14" s="5">
        <v>0.1</v>
      </c>
      <c r="J14" s="5" t="s">
        <v>7</v>
      </c>
      <c r="K14" s="5" t="s">
        <v>6</v>
      </c>
    </row>
    <row r="15" spans="1:11" x14ac:dyDescent="0.35">
      <c r="A15" s="33" t="s">
        <v>71</v>
      </c>
      <c r="B15" s="5" t="s">
        <v>33</v>
      </c>
      <c r="C15" s="5" t="s">
        <v>37</v>
      </c>
      <c r="D15" s="29">
        <v>2860.169492</v>
      </c>
      <c r="E15" s="29"/>
      <c r="F15" s="32">
        <v>1</v>
      </c>
      <c r="G15" s="5">
        <v>0.1</v>
      </c>
      <c r="J15" s="5" t="s">
        <v>4</v>
      </c>
      <c r="K15" s="5" t="s">
        <v>6</v>
      </c>
    </row>
    <row r="16" spans="1:11" x14ac:dyDescent="0.35">
      <c r="A16" s="31" t="s">
        <v>72</v>
      </c>
      <c r="B16" s="5" t="s">
        <v>34</v>
      </c>
      <c r="C16" s="5" t="s">
        <v>30</v>
      </c>
      <c r="D16" s="29">
        <v>3500</v>
      </c>
      <c r="E16" s="29"/>
      <c r="F16" s="32">
        <v>1</v>
      </c>
      <c r="G16" s="5">
        <v>0.1</v>
      </c>
      <c r="J16" s="5" t="s">
        <v>7</v>
      </c>
      <c r="K16" s="5" t="s">
        <v>6</v>
      </c>
    </row>
    <row r="17" spans="1:11" x14ac:dyDescent="0.35">
      <c r="A17" s="33" t="s">
        <v>73</v>
      </c>
      <c r="B17" s="5" t="s">
        <v>37</v>
      </c>
      <c r="C17" s="5" t="s">
        <v>33</v>
      </c>
      <c r="D17" s="29">
        <v>2860.169492</v>
      </c>
      <c r="E17" s="29"/>
      <c r="F17" s="32">
        <v>1</v>
      </c>
      <c r="G17" s="5">
        <v>0.1</v>
      </c>
      <c r="J17" s="5" t="s">
        <v>4</v>
      </c>
      <c r="K17" s="5" t="s">
        <v>6</v>
      </c>
    </row>
    <row r="18" spans="1:11" x14ac:dyDescent="0.35">
      <c r="A18" s="31" t="s">
        <v>87</v>
      </c>
      <c r="B18" s="5" t="s">
        <v>30</v>
      </c>
      <c r="C18" s="5" t="s">
        <v>85</v>
      </c>
      <c r="D18" s="29">
        <v>5001</v>
      </c>
      <c r="E18" s="29"/>
      <c r="F18" s="32">
        <v>1</v>
      </c>
      <c r="G18" s="5">
        <v>0.1</v>
      </c>
      <c r="J18" s="5" t="s">
        <v>7</v>
      </c>
      <c r="K18" s="5" t="s">
        <v>6</v>
      </c>
    </row>
    <row r="19" spans="1:11" x14ac:dyDescent="0.35">
      <c r="A19" s="31" t="s">
        <v>91</v>
      </c>
      <c r="B19" s="5" t="s">
        <v>85</v>
      </c>
      <c r="C19" s="5" t="s">
        <v>30</v>
      </c>
      <c r="D19" s="29">
        <v>5001</v>
      </c>
      <c r="E19" s="29"/>
      <c r="F19" s="32">
        <v>1</v>
      </c>
      <c r="G19" s="5">
        <v>0.1</v>
      </c>
      <c r="J19" s="5" t="s">
        <v>7</v>
      </c>
      <c r="K19" s="5" t="s">
        <v>6</v>
      </c>
    </row>
    <row r="20" spans="1:11" x14ac:dyDescent="0.35">
      <c r="A20" s="33" t="s">
        <v>110</v>
      </c>
      <c r="B20" s="5" t="s">
        <v>33</v>
      </c>
      <c r="C20" s="5" t="s">
        <v>105</v>
      </c>
      <c r="D20" s="29">
        <v>5014.1242920000004</v>
      </c>
      <c r="E20" s="29"/>
      <c r="F20" s="32">
        <v>1</v>
      </c>
      <c r="G20" s="5">
        <v>0.1</v>
      </c>
      <c r="H20" s="34"/>
      <c r="I20" s="34"/>
      <c r="J20" s="5" t="s">
        <v>4</v>
      </c>
      <c r="K20" s="5" t="s">
        <v>6</v>
      </c>
    </row>
    <row r="21" spans="1:11" x14ac:dyDescent="0.35">
      <c r="A21" s="33" t="s">
        <v>109</v>
      </c>
      <c r="B21" s="5" t="s">
        <v>33</v>
      </c>
      <c r="C21" s="5" t="s">
        <v>104</v>
      </c>
      <c r="D21" s="29">
        <v>7627.1186459999999</v>
      </c>
      <c r="E21" s="29"/>
      <c r="F21" s="32">
        <v>1</v>
      </c>
      <c r="G21" s="5">
        <v>0.1</v>
      </c>
      <c r="H21" s="34"/>
      <c r="I21" s="34"/>
      <c r="J21" s="5" t="s">
        <v>4</v>
      </c>
      <c r="K21" s="5" t="s">
        <v>6</v>
      </c>
    </row>
    <row r="22" spans="1:11" x14ac:dyDescent="0.35">
      <c r="A22" s="33" t="s">
        <v>118</v>
      </c>
      <c r="B22" s="5" t="s">
        <v>104</v>
      </c>
      <c r="C22" s="5" t="s">
        <v>33</v>
      </c>
      <c r="D22" s="29">
        <v>7627.1186459999999</v>
      </c>
      <c r="E22" s="29"/>
      <c r="F22" s="32">
        <v>1</v>
      </c>
      <c r="G22" s="5">
        <v>0.1</v>
      </c>
      <c r="H22" s="34"/>
      <c r="I22" s="34"/>
      <c r="J22" s="5" t="s">
        <v>4</v>
      </c>
      <c r="K22" s="5" t="s">
        <v>6</v>
      </c>
    </row>
    <row r="23" spans="1:11" x14ac:dyDescent="0.35">
      <c r="A23" s="33" t="s">
        <v>111</v>
      </c>
      <c r="B23" s="5" t="s">
        <v>105</v>
      </c>
      <c r="C23" s="5" t="s">
        <v>104</v>
      </c>
      <c r="D23" s="29">
        <v>1553.672292</v>
      </c>
      <c r="E23" s="29"/>
      <c r="F23" s="32">
        <v>1</v>
      </c>
      <c r="G23" s="5">
        <v>0.1</v>
      </c>
      <c r="H23" s="34"/>
      <c r="I23" s="34"/>
      <c r="J23" s="5" t="s">
        <v>4</v>
      </c>
      <c r="K23" s="5" t="s">
        <v>6</v>
      </c>
    </row>
    <row r="24" spans="1:11" x14ac:dyDescent="0.35">
      <c r="A24" s="33" t="s">
        <v>112</v>
      </c>
      <c r="B24" s="5" t="s">
        <v>104</v>
      </c>
      <c r="C24" s="5" t="s">
        <v>86</v>
      </c>
      <c r="D24" s="29">
        <v>6780.6610170000004</v>
      </c>
      <c r="E24" s="29"/>
      <c r="F24" s="32">
        <v>1</v>
      </c>
      <c r="G24" s="5">
        <v>0.1</v>
      </c>
      <c r="H24" s="34"/>
      <c r="I24" s="34"/>
      <c r="J24" s="5" t="s">
        <v>4</v>
      </c>
      <c r="K24" s="5" t="s">
        <v>6</v>
      </c>
    </row>
    <row r="25" spans="1:11" x14ac:dyDescent="0.35">
      <c r="A25" s="33" t="s">
        <v>113</v>
      </c>
      <c r="B25" s="5" t="s">
        <v>86</v>
      </c>
      <c r="C25" s="5" t="s">
        <v>104</v>
      </c>
      <c r="D25" s="29">
        <v>6780.6610170000004</v>
      </c>
      <c r="E25" s="29"/>
      <c r="F25" s="32">
        <v>1</v>
      </c>
      <c r="G25" s="5">
        <v>0.1</v>
      </c>
      <c r="H25" s="34"/>
      <c r="I25" s="34"/>
      <c r="J25" s="5" t="s">
        <v>4</v>
      </c>
      <c r="K25" s="5" t="s">
        <v>6</v>
      </c>
    </row>
    <row r="26" spans="1:11" x14ac:dyDescent="0.35">
      <c r="A26" s="35" t="s">
        <v>102</v>
      </c>
      <c r="B26" s="5" t="s">
        <v>99</v>
      </c>
      <c r="C26" s="5" t="s">
        <v>33</v>
      </c>
      <c r="D26" s="29">
        <v>3742.94</v>
      </c>
      <c r="E26" s="29">
        <v>0.4</v>
      </c>
      <c r="F26" s="32">
        <v>1</v>
      </c>
      <c r="G26" s="32">
        <v>0</v>
      </c>
      <c r="J26" s="5" t="s">
        <v>4</v>
      </c>
      <c r="K26" s="5" t="s">
        <v>6</v>
      </c>
    </row>
  </sheetData>
  <phoneticPr fontId="2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theme="4" tint="0.79998168889431442"/>
  </sheetPr>
  <dimension ref="A1:D10"/>
  <sheetViews>
    <sheetView workbookViewId="0">
      <selection activeCell="F24" sqref="F24"/>
    </sheetView>
  </sheetViews>
  <sheetFormatPr baseColWidth="10" defaultRowHeight="14.5" x14ac:dyDescent="0.35"/>
  <cols>
    <col min="1" max="1" width="23.7265625" style="5" bestFit="1" customWidth="1"/>
    <col min="2" max="2" width="24.1796875" style="5" bestFit="1" customWidth="1"/>
    <col min="3" max="3" width="9.08984375" style="5" bestFit="1" customWidth="1"/>
    <col min="4" max="16384" width="10.90625" style="5"/>
  </cols>
  <sheetData>
    <row r="1" spans="1:4" x14ac:dyDescent="0.35">
      <c r="A1" s="36" t="s">
        <v>5</v>
      </c>
      <c r="B1" s="5" t="s">
        <v>15</v>
      </c>
      <c r="C1" s="5" t="s">
        <v>0</v>
      </c>
      <c r="D1" s="5" t="s">
        <v>1</v>
      </c>
    </row>
    <row r="2" spans="1:4" x14ac:dyDescent="0.35">
      <c r="A2" s="6" t="s">
        <v>58</v>
      </c>
      <c r="B2" s="5" t="s">
        <v>30</v>
      </c>
      <c r="C2" s="5" t="s">
        <v>7</v>
      </c>
      <c r="D2" s="5" t="s">
        <v>6</v>
      </c>
    </row>
    <row r="3" spans="1:4" x14ac:dyDescent="0.35">
      <c r="A3" s="6" t="s">
        <v>59</v>
      </c>
      <c r="B3" s="5" t="s">
        <v>33</v>
      </c>
      <c r="C3" s="5" t="s">
        <v>4</v>
      </c>
      <c r="D3" s="5" t="s">
        <v>6</v>
      </c>
    </row>
    <row r="4" spans="1:4" x14ac:dyDescent="0.35">
      <c r="A4" s="8" t="s">
        <v>60</v>
      </c>
      <c r="B4" s="5" t="s">
        <v>34</v>
      </c>
      <c r="C4" s="5" t="s">
        <v>7</v>
      </c>
      <c r="D4" s="5" t="s">
        <v>6</v>
      </c>
    </row>
    <row r="5" spans="1:4" x14ac:dyDescent="0.35">
      <c r="A5" s="8" t="s">
        <v>61</v>
      </c>
      <c r="B5" s="5" t="s">
        <v>37</v>
      </c>
      <c r="C5" s="5" t="s">
        <v>4</v>
      </c>
      <c r="D5" s="5" t="s">
        <v>6</v>
      </c>
    </row>
    <row r="6" spans="1:4" x14ac:dyDescent="0.35">
      <c r="A6" s="14" t="s">
        <v>89</v>
      </c>
      <c r="B6" s="5" t="s">
        <v>85</v>
      </c>
      <c r="C6" s="5" t="s">
        <v>7</v>
      </c>
      <c r="D6" s="5" t="s">
        <v>6</v>
      </c>
    </row>
    <row r="7" spans="1:4" x14ac:dyDescent="0.35">
      <c r="A7" s="14" t="s">
        <v>90</v>
      </c>
      <c r="B7" s="5" t="s">
        <v>86</v>
      </c>
      <c r="C7" s="5" t="s">
        <v>4</v>
      </c>
      <c r="D7" s="5" t="s">
        <v>6</v>
      </c>
    </row>
    <row r="8" spans="1:4" x14ac:dyDescent="0.35">
      <c r="A8" s="14" t="s">
        <v>103</v>
      </c>
      <c r="B8" s="5" t="s">
        <v>105</v>
      </c>
      <c r="C8" s="5" t="s">
        <v>4</v>
      </c>
      <c r="D8" s="5" t="s">
        <v>6</v>
      </c>
    </row>
    <row r="9" spans="1:4" x14ac:dyDescent="0.35">
      <c r="A9" s="14" t="s">
        <v>129</v>
      </c>
      <c r="B9" s="5" t="s">
        <v>104</v>
      </c>
      <c r="C9" s="5" t="s">
        <v>4</v>
      </c>
      <c r="D9" s="5" t="s">
        <v>6</v>
      </c>
    </row>
    <row r="10" spans="1:4" x14ac:dyDescent="0.35">
      <c r="A10" s="14" t="s">
        <v>128</v>
      </c>
      <c r="B10" s="5" t="s">
        <v>105</v>
      </c>
      <c r="C10" s="5" t="s">
        <v>4</v>
      </c>
      <c r="D10" s="5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theme="4" tint="0.79998168889431442"/>
  </sheetPr>
  <dimension ref="A1:D169"/>
  <sheetViews>
    <sheetView workbookViewId="0">
      <selection activeCell="L18" sqref="L18"/>
    </sheetView>
  </sheetViews>
  <sheetFormatPr baseColWidth="10" defaultRowHeight="14.5" x14ac:dyDescent="0.35"/>
  <cols>
    <col min="1" max="1" width="5.7265625" style="45" bestFit="1" customWidth="1"/>
    <col min="2" max="2" width="20.26953125" style="46" bestFit="1" customWidth="1"/>
    <col min="3" max="3" width="20.26953125" style="47" bestFit="1" customWidth="1"/>
    <col min="4" max="4" width="18.81640625" style="46" customWidth="1"/>
    <col min="5" max="16384" width="10.90625" style="5"/>
  </cols>
  <sheetData>
    <row r="1" spans="1:4" s="41" customFormat="1" x14ac:dyDescent="0.35">
      <c r="A1" s="37" t="s">
        <v>132</v>
      </c>
      <c r="B1" s="38" t="s">
        <v>63</v>
      </c>
      <c r="C1" s="39" t="s">
        <v>64</v>
      </c>
      <c r="D1" s="40" t="s">
        <v>116</v>
      </c>
    </row>
    <row r="2" spans="1:4" x14ac:dyDescent="0.35">
      <c r="A2" s="42">
        <f>0</f>
        <v>0</v>
      </c>
      <c r="B2" s="43">
        <v>0.25493919022938366</v>
      </c>
      <c r="C2" s="44">
        <v>0.72203423175290182</v>
      </c>
      <c r="D2" s="44">
        <v>0.50275862068965516</v>
      </c>
    </row>
    <row r="3" spans="1:4" x14ac:dyDescent="0.35">
      <c r="A3" s="42">
        <f>A2+1</f>
        <v>1</v>
      </c>
      <c r="B3" s="43">
        <v>0.25493919022938366</v>
      </c>
      <c r="C3" s="44">
        <v>0.72203423175290182</v>
      </c>
      <c r="D3" s="44">
        <v>0.50275862068965516</v>
      </c>
    </row>
    <row r="4" spans="1:4" x14ac:dyDescent="0.35">
      <c r="A4" s="42">
        <f t="shared" ref="A4:A67" si="0">A3+1</f>
        <v>2</v>
      </c>
      <c r="B4" s="43">
        <v>0.25493919022938366</v>
      </c>
      <c r="C4" s="44">
        <v>0.72203423175290182</v>
      </c>
      <c r="D4" s="44">
        <v>0.50275862068965516</v>
      </c>
    </row>
    <row r="5" spans="1:4" x14ac:dyDescent="0.35">
      <c r="A5" s="42">
        <f t="shared" si="0"/>
        <v>3</v>
      </c>
      <c r="B5" s="43">
        <v>0.25493919022938366</v>
      </c>
      <c r="C5" s="44">
        <v>0.72203423175290182</v>
      </c>
      <c r="D5" s="44">
        <v>0.50275862068965516</v>
      </c>
    </row>
    <row r="6" spans="1:4" x14ac:dyDescent="0.35">
      <c r="A6" s="42">
        <f t="shared" si="0"/>
        <v>4</v>
      </c>
      <c r="B6" s="43">
        <v>0.25493919022938366</v>
      </c>
      <c r="C6" s="44">
        <v>0.72203423175290182</v>
      </c>
      <c r="D6" s="44">
        <v>0.50275862068965516</v>
      </c>
    </row>
    <row r="7" spans="1:4" x14ac:dyDescent="0.35">
      <c r="A7" s="42">
        <f t="shared" si="0"/>
        <v>5</v>
      </c>
      <c r="B7" s="43">
        <v>0.25493919022938366</v>
      </c>
      <c r="C7" s="44">
        <v>0.72203423175290182</v>
      </c>
      <c r="D7" s="44">
        <v>0.50275862068965516</v>
      </c>
    </row>
    <row r="8" spans="1:4" x14ac:dyDescent="0.35">
      <c r="A8" s="42">
        <f t="shared" si="0"/>
        <v>6</v>
      </c>
      <c r="B8" s="43">
        <v>0.25493919022938366</v>
      </c>
      <c r="C8" s="44">
        <v>0.72203423175290182</v>
      </c>
      <c r="D8" s="44">
        <v>0.50275862068965516</v>
      </c>
    </row>
    <row r="9" spans="1:4" x14ac:dyDescent="0.35">
      <c r="A9" s="42">
        <f t="shared" si="0"/>
        <v>7</v>
      </c>
      <c r="B9" s="43">
        <v>0.25493919022938366</v>
      </c>
      <c r="C9" s="44">
        <v>0.72203423175290182</v>
      </c>
      <c r="D9" s="44">
        <v>0.50275862068965516</v>
      </c>
    </row>
    <row r="10" spans="1:4" x14ac:dyDescent="0.35">
      <c r="A10" s="42">
        <f t="shared" si="0"/>
        <v>8</v>
      </c>
      <c r="B10" s="43">
        <v>0.25493919022938366</v>
      </c>
      <c r="C10" s="44">
        <v>0.72203423175290182</v>
      </c>
      <c r="D10" s="44">
        <v>0.50275862068965516</v>
      </c>
    </row>
    <row r="11" spans="1:4" x14ac:dyDescent="0.35">
      <c r="A11" s="42">
        <f t="shared" si="0"/>
        <v>9</v>
      </c>
      <c r="B11" s="43">
        <v>0.25493919022938366</v>
      </c>
      <c r="C11" s="44">
        <v>0.72203423175290182</v>
      </c>
      <c r="D11" s="44">
        <v>0.50275862068965516</v>
      </c>
    </row>
    <row r="12" spans="1:4" x14ac:dyDescent="0.35">
      <c r="A12" s="42">
        <f t="shared" si="0"/>
        <v>10</v>
      </c>
      <c r="B12" s="43">
        <v>0.25493919022938366</v>
      </c>
      <c r="C12" s="44">
        <v>0.72203423175290182</v>
      </c>
      <c r="D12" s="44">
        <v>0.50275862068965516</v>
      </c>
    </row>
    <row r="13" spans="1:4" x14ac:dyDescent="0.35">
      <c r="A13" s="42">
        <f t="shared" si="0"/>
        <v>11</v>
      </c>
      <c r="B13" s="43">
        <v>0.25493919022938366</v>
      </c>
      <c r="C13" s="44">
        <v>0.72203423175290182</v>
      </c>
      <c r="D13" s="44">
        <v>0.50275862068965516</v>
      </c>
    </row>
    <row r="14" spans="1:4" x14ac:dyDescent="0.35">
      <c r="A14" s="42">
        <f t="shared" si="0"/>
        <v>12</v>
      </c>
      <c r="B14" s="43">
        <v>0.25493919022938366</v>
      </c>
      <c r="C14" s="44">
        <v>0.72203423175290182</v>
      </c>
      <c r="D14" s="44">
        <v>0.50275862068965516</v>
      </c>
    </row>
    <row r="15" spans="1:4" x14ac:dyDescent="0.35">
      <c r="A15" s="42">
        <f t="shared" si="0"/>
        <v>13</v>
      </c>
      <c r="B15" s="43">
        <v>0.25493919022938366</v>
      </c>
      <c r="C15" s="44">
        <v>0.72203423175290182</v>
      </c>
      <c r="D15" s="44">
        <v>0.50275862068965516</v>
      </c>
    </row>
    <row r="16" spans="1:4" x14ac:dyDescent="0.35">
      <c r="A16" s="42">
        <f t="shared" si="0"/>
        <v>14</v>
      </c>
      <c r="B16" s="43">
        <v>0.25493919022938366</v>
      </c>
      <c r="C16" s="44">
        <v>0.72203423175290182</v>
      </c>
      <c r="D16" s="44">
        <v>0.50275862068965516</v>
      </c>
    </row>
    <row r="17" spans="1:4" x14ac:dyDescent="0.35">
      <c r="A17" s="42">
        <f t="shared" si="0"/>
        <v>15</v>
      </c>
      <c r="B17" s="43">
        <v>0.25493919022938366</v>
      </c>
      <c r="C17" s="44">
        <v>0.72203423175290182</v>
      </c>
      <c r="D17" s="44">
        <v>0.50275862068965516</v>
      </c>
    </row>
    <row r="18" spans="1:4" x14ac:dyDescent="0.35">
      <c r="A18" s="42">
        <f t="shared" si="0"/>
        <v>16</v>
      </c>
      <c r="B18" s="43">
        <v>0.25493919022938366</v>
      </c>
      <c r="C18" s="44">
        <v>0.72203423175290182</v>
      </c>
      <c r="D18" s="44">
        <v>0.50275862068965516</v>
      </c>
    </row>
    <row r="19" spans="1:4" x14ac:dyDescent="0.35">
      <c r="A19" s="42">
        <f t="shared" si="0"/>
        <v>17</v>
      </c>
      <c r="B19" s="43">
        <v>0.25493919022938366</v>
      </c>
      <c r="C19" s="44">
        <v>0.72203423175290182</v>
      </c>
      <c r="D19" s="44">
        <v>0.50275862068965516</v>
      </c>
    </row>
    <row r="20" spans="1:4" x14ac:dyDescent="0.35">
      <c r="A20" s="42">
        <f t="shared" si="0"/>
        <v>18</v>
      </c>
      <c r="B20" s="43">
        <v>0.25493919022938366</v>
      </c>
      <c r="C20" s="44">
        <v>0.72203423175290182</v>
      </c>
      <c r="D20" s="44">
        <v>0.50275862068965516</v>
      </c>
    </row>
    <row r="21" spans="1:4" x14ac:dyDescent="0.35">
      <c r="A21" s="42">
        <f t="shared" si="0"/>
        <v>19</v>
      </c>
      <c r="B21" s="43">
        <v>0.25493919022938366</v>
      </c>
      <c r="C21" s="44">
        <v>0.72203423175290182</v>
      </c>
      <c r="D21" s="44">
        <v>0.50275862068965516</v>
      </c>
    </row>
    <row r="22" spans="1:4" x14ac:dyDescent="0.35">
      <c r="A22" s="42">
        <f t="shared" si="0"/>
        <v>20</v>
      </c>
      <c r="B22" s="43">
        <v>0.25493919022938366</v>
      </c>
      <c r="C22" s="44">
        <v>0.72203423175290182</v>
      </c>
      <c r="D22" s="44">
        <v>0.50275862068965516</v>
      </c>
    </row>
    <row r="23" spans="1:4" x14ac:dyDescent="0.35">
      <c r="A23" s="42">
        <f t="shared" si="0"/>
        <v>21</v>
      </c>
      <c r="B23" s="43">
        <v>0.25493919022938366</v>
      </c>
      <c r="C23" s="44">
        <v>0.72203423175290182</v>
      </c>
      <c r="D23" s="44">
        <v>0.50275862068965516</v>
      </c>
    </row>
    <row r="24" spans="1:4" x14ac:dyDescent="0.35">
      <c r="A24" s="42">
        <f t="shared" si="0"/>
        <v>22</v>
      </c>
      <c r="B24" s="43">
        <v>0.25493919022938366</v>
      </c>
      <c r="C24" s="44">
        <v>0.72203423175290182</v>
      </c>
      <c r="D24" s="44">
        <v>0.50275862068965516</v>
      </c>
    </row>
    <row r="25" spans="1:4" x14ac:dyDescent="0.35">
      <c r="A25" s="42">
        <f t="shared" si="0"/>
        <v>23</v>
      </c>
      <c r="B25" s="43">
        <v>0.25493919022938366</v>
      </c>
      <c r="C25" s="44">
        <v>0.72203423175290182</v>
      </c>
      <c r="D25" s="44">
        <v>0.50275862068965516</v>
      </c>
    </row>
    <row r="26" spans="1:4" x14ac:dyDescent="0.35">
      <c r="A26" s="42">
        <f t="shared" si="0"/>
        <v>24</v>
      </c>
      <c r="B26" s="43">
        <v>0.25493919022938366</v>
      </c>
      <c r="C26" s="44">
        <v>0.72203423175290182</v>
      </c>
      <c r="D26" s="44">
        <v>0.50275862068965516</v>
      </c>
    </row>
    <row r="27" spans="1:4" x14ac:dyDescent="0.35">
      <c r="A27" s="42">
        <f t="shared" si="0"/>
        <v>25</v>
      </c>
      <c r="B27" s="43">
        <v>0.25493919022938366</v>
      </c>
      <c r="C27" s="44">
        <v>0.72203423175290182</v>
      </c>
      <c r="D27" s="44">
        <v>0.50275862068965516</v>
      </c>
    </row>
    <row r="28" spans="1:4" x14ac:dyDescent="0.35">
      <c r="A28" s="42">
        <f t="shared" si="0"/>
        <v>26</v>
      </c>
      <c r="B28" s="43">
        <v>0.25493919022938366</v>
      </c>
      <c r="C28" s="44">
        <v>0.72203423175290182</v>
      </c>
      <c r="D28" s="44">
        <v>0.50275862068965516</v>
      </c>
    </row>
    <row r="29" spans="1:4" x14ac:dyDescent="0.35">
      <c r="A29" s="42">
        <f t="shared" si="0"/>
        <v>27</v>
      </c>
      <c r="B29" s="43">
        <v>0.25493919022938366</v>
      </c>
      <c r="C29" s="44">
        <v>0.72203423175290182</v>
      </c>
      <c r="D29" s="44">
        <v>0.50275862068965516</v>
      </c>
    </row>
    <row r="30" spans="1:4" x14ac:dyDescent="0.35">
      <c r="A30" s="42">
        <f t="shared" si="0"/>
        <v>28</v>
      </c>
      <c r="B30" s="43">
        <v>0.25493919022938366</v>
      </c>
      <c r="C30" s="44">
        <v>0.72203423175290182</v>
      </c>
      <c r="D30" s="44">
        <v>0.50275862068965516</v>
      </c>
    </row>
    <row r="31" spans="1:4" x14ac:dyDescent="0.35">
      <c r="A31" s="42">
        <f t="shared" si="0"/>
        <v>29</v>
      </c>
      <c r="B31" s="43">
        <v>0.25493919022938366</v>
      </c>
      <c r="C31" s="44">
        <v>0.72203423175290182</v>
      </c>
      <c r="D31" s="44">
        <v>0.50275862068965516</v>
      </c>
    </row>
    <row r="32" spans="1:4" x14ac:dyDescent="0.35">
      <c r="A32" s="42">
        <f t="shared" si="0"/>
        <v>30</v>
      </c>
      <c r="B32" s="43">
        <v>0.25493919022938366</v>
      </c>
      <c r="C32" s="44">
        <v>0.72203423175290182</v>
      </c>
      <c r="D32" s="44">
        <v>0.50275862068965516</v>
      </c>
    </row>
    <row r="33" spans="1:4" x14ac:dyDescent="0.35">
      <c r="A33" s="42">
        <f t="shared" si="0"/>
        <v>31</v>
      </c>
      <c r="B33" s="43">
        <v>0.25493919022938366</v>
      </c>
      <c r="C33" s="44">
        <v>0.72203423175290182</v>
      </c>
      <c r="D33" s="44">
        <v>0.50275862068965516</v>
      </c>
    </row>
    <row r="34" spans="1:4" x14ac:dyDescent="0.35">
      <c r="A34" s="42">
        <f t="shared" si="0"/>
        <v>32</v>
      </c>
      <c r="B34" s="43">
        <v>0.25493919022938366</v>
      </c>
      <c r="C34" s="44">
        <v>0.72203423175290182</v>
      </c>
      <c r="D34" s="44">
        <v>0.50275862068965516</v>
      </c>
    </row>
    <row r="35" spans="1:4" x14ac:dyDescent="0.35">
      <c r="A35" s="42">
        <f t="shared" si="0"/>
        <v>33</v>
      </c>
      <c r="B35" s="43">
        <v>0.25493919022938366</v>
      </c>
      <c r="C35" s="44">
        <v>0.72203423175290182</v>
      </c>
      <c r="D35" s="44">
        <v>0.50275862068965516</v>
      </c>
    </row>
    <row r="36" spans="1:4" x14ac:dyDescent="0.35">
      <c r="A36" s="42">
        <f t="shared" si="0"/>
        <v>34</v>
      </c>
      <c r="B36" s="43">
        <v>0.25493919022938366</v>
      </c>
      <c r="C36" s="44">
        <v>0.72203423175290182</v>
      </c>
      <c r="D36" s="44">
        <v>0.50275862068965516</v>
      </c>
    </row>
    <row r="37" spans="1:4" x14ac:dyDescent="0.35">
      <c r="A37" s="42">
        <f t="shared" si="0"/>
        <v>35</v>
      </c>
      <c r="B37" s="43">
        <v>0.25493919022938366</v>
      </c>
      <c r="C37" s="44">
        <v>0.72203423175290182</v>
      </c>
      <c r="D37" s="44">
        <v>0.50275862068965516</v>
      </c>
    </row>
    <row r="38" spans="1:4" x14ac:dyDescent="0.35">
      <c r="A38" s="42">
        <f t="shared" si="0"/>
        <v>36</v>
      </c>
      <c r="B38" s="43">
        <v>0.25493919022938366</v>
      </c>
      <c r="C38" s="44">
        <v>0.72203423175290182</v>
      </c>
      <c r="D38" s="44">
        <v>0.50275862068965516</v>
      </c>
    </row>
    <row r="39" spans="1:4" x14ac:dyDescent="0.35">
      <c r="A39" s="42">
        <f t="shared" si="0"/>
        <v>37</v>
      </c>
      <c r="B39" s="43">
        <v>0.25493919022938366</v>
      </c>
      <c r="C39" s="44">
        <v>0.72203423175290182</v>
      </c>
      <c r="D39" s="44">
        <v>0.50275862068965516</v>
      </c>
    </row>
    <row r="40" spans="1:4" x14ac:dyDescent="0.35">
      <c r="A40" s="42">
        <f t="shared" si="0"/>
        <v>38</v>
      </c>
      <c r="B40" s="43">
        <v>0.25493919022938366</v>
      </c>
      <c r="C40" s="44">
        <v>0.72203423175290182</v>
      </c>
      <c r="D40" s="44">
        <v>0.50275862068965516</v>
      </c>
    </row>
    <row r="41" spans="1:4" x14ac:dyDescent="0.35">
      <c r="A41" s="42">
        <f t="shared" si="0"/>
        <v>39</v>
      </c>
      <c r="B41" s="43">
        <v>0.25493919022938366</v>
      </c>
      <c r="C41" s="44">
        <v>0.72203423175290182</v>
      </c>
      <c r="D41" s="44">
        <v>0.50275862068965516</v>
      </c>
    </row>
    <row r="42" spans="1:4" x14ac:dyDescent="0.35">
      <c r="A42" s="42">
        <f t="shared" si="0"/>
        <v>40</v>
      </c>
      <c r="B42" s="43">
        <v>0.25493919022938366</v>
      </c>
      <c r="C42" s="44">
        <v>0.72203423175290182</v>
      </c>
      <c r="D42" s="44">
        <v>0.50275862068965516</v>
      </c>
    </row>
    <row r="43" spans="1:4" x14ac:dyDescent="0.35">
      <c r="A43" s="42">
        <f t="shared" si="0"/>
        <v>41</v>
      </c>
      <c r="B43" s="43">
        <v>0.25493919022938366</v>
      </c>
      <c r="C43" s="44">
        <v>0.72203423175290182</v>
      </c>
      <c r="D43" s="44">
        <v>0.50275862068965516</v>
      </c>
    </row>
    <row r="44" spans="1:4" x14ac:dyDescent="0.35">
      <c r="A44" s="42">
        <f t="shared" si="0"/>
        <v>42</v>
      </c>
      <c r="B44" s="43">
        <v>0.25493919022938366</v>
      </c>
      <c r="C44" s="44">
        <v>0.72203423175290182</v>
      </c>
      <c r="D44" s="44">
        <v>0.50275862068965516</v>
      </c>
    </row>
    <row r="45" spans="1:4" x14ac:dyDescent="0.35">
      <c r="A45" s="42">
        <f t="shared" si="0"/>
        <v>43</v>
      </c>
      <c r="B45" s="43">
        <v>0.25493919022938366</v>
      </c>
      <c r="C45" s="44">
        <v>0.72203423175290182</v>
      </c>
      <c r="D45" s="44">
        <v>0.50275862068965516</v>
      </c>
    </row>
    <row r="46" spans="1:4" x14ac:dyDescent="0.35">
      <c r="A46" s="42">
        <f t="shared" si="0"/>
        <v>44</v>
      </c>
      <c r="B46" s="43">
        <v>0.25493919022938366</v>
      </c>
      <c r="C46" s="44">
        <v>0.72203423175290182</v>
      </c>
      <c r="D46" s="44">
        <v>0.50275862068965516</v>
      </c>
    </row>
    <row r="47" spans="1:4" x14ac:dyDescent="0.35">
      <c r="A47" s="42">
        <f t="shared" si="0"/>
        <v>45</v>
      </c>
      <c r="B47" s="43">
        <v>0.25493919022938366</v>
      </c>
      <c r="C47" s="44">
        <v>0.72203423175290182</v>
      </c>
      <c r="D47" s="44">
        <v>0.50275862068965516</v>
      </c>
    </row>
    <row r="48" spans="1:4" x14ac:dyDescent="0.35">
      <c r="A48" s="42">
        <f t="shared" si="0"/>
        <v>46</v>
      </c>
      <c r="B48" s="43">
        <v>0.25493919022938366</v>
      </c>
      <c r="C48" s="44">
        <v>0.72203423175290182</v>
      </c>
      <c r="D48" s="44">
        <v>0.50275862068965516</v>
      </c>
    </row>
    <row r="49" spans="1:4" x14ac:dyDescent="0.35">
      <c r="A49" s="42">
        <f t="shared" si="0"/>
        <v>47</v>
      </c>
      <c r="B49" s="43">
        <v>0.25493919022938366</v>
      </c>
      <c r="C49" s="44">
        <v>0.72203423175290182</v>
      </c>
      <c r="D49" s="44">
        <v>0.50275862068965516</v>
      </c>
    </row>
    <row r="50" spans="1:4" x14ac:dyDescent="0.35">
      <c r="A50" s="42">
        <f t="shared" si="0"/>
        <v>48</v>
      </c>
      <c r="B50" s="43">
        <v>0.25493919022938366</v>
      </c>
      <c r="C50" s="44">
        <v>0.72203423175290182</v>
      </c>
      <c r="D50" s="44">
        <v>0.50275862068965516</v>
      </c>
    </row>
    <row r="51" spans="1:4" x14ac:dyDescent="0.35">
      <c r="A51" s="42">
        <f t="shared" si="0"/>
        <v>49</v>
      </c>
      <c r="B51" s="43">
        <v>0.25493919022938366</v>
      </c>
      <c r="C51" s="44">
        <v>0.72203423175290182</v>
      </c>
      <c r="D51" s="44">
        <v>0.50275862068965516</v>
      </c>
    </row>
    <row r="52" spans="1:4" x14ac:dyDescent="0.35">
      <c r="A52" s="42">
        <f t="shared" si="0"/>
        <v>50</v>
      </c>
      <c r="B52" s="43">
        <v>0.25493919022938366</v>
      </c>
      <c r="C52" s="44">
        <v>0.72203423175290182</v>
      </c>
      <c r="D52" s="44">
        <v>0.50275862068965516</v>
      </c>
    </row>
    <row r="53" spans="1:4" x14ac:dyDescent="0.35">
      <c r="A53" s="42">
        <f t="shared" si="0"/>
        <v>51</v>
      </c>
      <c r="B53" s="43">
        <v>0.25493919022938366</v>
      </c>
      <c r="C53" s="44">
        <v>0.72203423175290182</v>
      </c>
      <c r="D53" s="44">
        <v>0.50275862068965516</v>
      </c>
    </row>
    <row r="54" spans="1:4" x14ac:dyDescent="0.35">
      <c r="A54" s="42">
        <f t="shared" si="0"/>
        <v>52</v>
      </c>
      <c r="B54" s="43">
        <v>0.25493919022938366</v>
      </c>
      <c r="C54" s="44">
        <v>0.72203423175290182</v>
      </c>
      <c r="D54" s="44">
        <v>0.50275862068965516</v>
      </c>
    </row>
    <row r="55" spans="1:4" x14ac:dyDescent="0.35">
      <c r="A55" s="42">
        <f t="shared" si="0"/>
        <v>53</v>
      </c>
      <c r="B55" s="43">
        <v>0.25493919022938366</v>
      </c>
      <c r="C55" s="44">
        <v>0.72203423175290182</v>
      </c>
      <c r="D55" s="44">
        <v>0.50275862068965516</v>
      </c>
    </row>
    <row r="56" spans="1:4" x14ac:dyDescent="0.35">
      <c r="A56" s="42">
        <f t="shared" si="0"/>
        <v>54</v>
      </c>
      <c r="B56" s="43">
        <v>0.25493919022938366</v>
      </c>
      <c r="C56" s="44">
        <v>0.72203423175290182</v>
      </c>
      <c r="D56" s="44">
        <v>0.50275862068965516</v>
      </c>
    </row>
    <row r="57" spans="1:4" x14ac:dyDescent="0.35">
      <c r="A57" s="42">
        <f t="shared" si="0"/>
        <v>55</v>
      </c>
      <c r="B57" s="43">
        <v>0.25493919022938366</v>
      </c>
      <c r="C57" s="44">
        <v>0.72203423175290182</v>
      </c>
      <c r="D57" s="44">
        <v>0.50275862068965516</v>
      </c>
    </row>
    <row r="58" spans="1:4" x14ac:dyDescent="0.35">
      <c r="A58" s="42">
        <f t="shared" si="0"/>
        <v>56</v>
      </c>
      <c r="B58" s="43">
        <v>0.25493919022938366</v>
      </c>
      <c r="C58" s="44">
        <v>0.72203423175290182</v>
      </c>
      <c r="D58" s="44">
        <v>0.50275862068965516</v>
      </c>
    </row>
    <row r="59" spans="1:4" x14ac:dyDescent="0.35">
      <c r="A59" s="42">
        <f t="shared" si="0"/>
        <v>57</v>
      </c>
      <c r="B59" s="43">
        <v>0.25493919022938366</v>
      </c>
      <c r="C59" s="44">
        <v>0.72203423175290182</v>
      </c>
      <c r="D59" s="44">
        <v>0.50275862068965516</v>
      </c>
    </row>
    <row r="60" spans="1:4" x14ac:dyDescent="0.35">
      <c r="A60" s="42">
        <f t="shared" si="0"/>
        <v>58</v>
      </c>
      <c r="B60" s="43">
        <v>0.25493919022938366</v>
      </c>
      <c r="C60" s="44">
        <v>0.72203423175290182</v>
      </c>
      <c r="D60" s="44">
        <v>0.50275862068965516</v>
      </c>
    </row>
    <row r="61" spans="1:4" x14ac:dyDescent="0.35">
      <c r="A61" s="42">
        <f t="shared" si="0"/>
        <v>59</v>
      </c>
      <c r="B61" s="43">
        <v>0.25493919022938366</v>
      </c>
      <c r="C61" s="44">
        <v>0.72203423175290182</v>
      </c>
      <c r="D61" s="44">
        <v>0.50275862068965516</v>
      </c>
    </row>
    <row r="62" spans="1:4" x14ac:dyDescent="0.35">
      <c r="A62" s="42">
        <f t="shared" si="0"/>
        <v>60</v>
      </c>
      <c r="B62" s="43">
        <v>0.25493919022938366</v>
      </c>
      <c r="C62" s="44">
        <v>0.72203423175290182</v>
      </c>
      <c r="D62" s="44">
        <v>0.50275862068965516</v>
      </c>
    </row>
    <row r="63" spans="1:4" x14ac:dyDescent="0.35">
      <c r="A63" s="42">
        <f t="shared" si="0"/>
        <v>61</v>
      </c>
      <c r="B63" s="43">
        <v>0.25493919022938366</v>
      </c>
      <c r="C63" s="44">
        <v>0.72203423175290182</v>
      </c>
      <c r="D63" s="44">
        <v>0.50275862068965516</v>
      </c>
    </row>
    <row r="64" spans="1:4" x14ac:dyDescent="0.35">
      <c r="A64" s="42">
        <f t="shared" si="0"/>
        <v>62</v>
      </c>
      <c r="B64" s="43">
        <v>0.25493919022938366</v>
      </c>
      <c r="C64" s="44">
        <v>0.72203423175290182</v>
      </c>
      <c r="D64" s="44">
        <v>0.50275862068965516</v>
      </c>
    </row>
    <row r="65" spans="1:4" x14ac:dyDescent="0.35">
      <c r="A65" s="42">
        <f t="shared" si="0"/>
        <v>63</v>
      </c>
      <c r="B65" s="43">
        <v>0.25493919022938366</v>
      </c>
      <c r="C65" s="44">
        <v>0.72203423175290182</v>
      </c>
      <c r="D65" s="44">
        <v>0.50275862068965516</v>
      </c>
    </row>
    <row r="66" spans="1:4" x14ac:dyDescent="0.35">
      <c r="A66" s="42">
        <f t="shared" si="0"/>
        <v>64</v>
      </c>
      <c r="B66" s="43">
        <v>0.25493919022938366</v>
      </c>
      <c r="C66" s="44">
        <v>0.72203423175290182</v>
      </c>
      <c r="D66" s="44">
        <v>0.50275862068965516</v>
      </c>
    </row>
    <row r="67" spans="1:4" x14ac:dyDescent="0.35">
      <c r="A67" s="42">
        <f t="shared" si="0"/>
        <v>65</v>
      </c>
      <c r="B67" s="43">
        <v>0.25493919022938366</v>
      </c>
      <c r="C67" s="44">
        <v>0.72203423175290182</v>
      </c>
      <c r="D67" s="44">
        <v>0.50275862068965516</v>
      </c>
    </row>
    <row r="68" spans="1:4" x14ac:dyDescent="0.35">
      <c r="A68" s="42">
        <f t="shared" ref="A68:A131" si="1">A67+1</f>
        <v>66</v>
      </c>
      <c r="B68" s="43">
        <v>0.25493919022938366</v>
      </c>
      <c r="C68" s="44">
        <v>0.72203423175290182</v>
      </c>
      <c r="D68" s="44">
        <v>0.50275862068965516</v>
      </c>
    </row>
    <row r="69" spans="1:4" x14ac:dyDescent="0.35">
      <c r="A69" s="42">
        <f t="shared" si="1"/>
        <v>67</v>
      </c>
      <c r="B69" s="43">
        <v>0.25493919022938366</v>
      </c>
      <c r="C69" s="44">
        <v>0.72203423175290182</v>
      </c>
      <c r="D69" s="44">
        <v>0.50275862068965516</v>
      </c>
    </row>
    <row r="70" spans="1:4" x14ac:dyDescent="0.35">
      <c r="A70" s="42">
        <f t="shared" si="1"/>
        <v>68</v>
      </c>
      <c r="B70" s="43">
        <v>0.25493919022938366</v>
      </c>
      <c r="C70" s="44">
        <v>0.72203423175290182</v>
      </c>
      <c r="D70" s="44">
        <v>0.50275862068965516</v>
      </c>
    </row>
    <row r="71" spans="1:4" x14ac:dyDescent="0.35">
      <c r="A71" s="42">
        <f t="shared" si="1"/>
        <v>69</v>
      </c>
      <c r="B71" s="43">
        <v>0.25493919022938366</v>
      </c>
      <c r="C71" s="44">
        <v>0.72203423175290182</v>
      </c>
      <c r="D71" s="44">
        <v>0.50275862068965516</v>
      </c>
    </row>
    <row r="72" spans="1:4" x14ac:dyDescent="0.35">
      <c r="A72" s="42">
        <f t="shared" si="1"/>
        <v>70</v>
      </c>
      <c r="B72" s="43">
        <v>0.25493919022938366</v>
      </c>
      <c r="C72" s="44">
        <v>0.72203423175290182</v>
      </c>
      <c r="D72" s="44">
        <v>0.50275862068965516</v>
      </c>
    </row>
    <row r="73" spans="1:4" x14ac:dyDescent="0.35">
      <c r="A73" s="42">
        <f t="shared" si="1"/>
        <v>71</v>
      </c>
      <c r="B73" s="43">
        <v>0.25493919022938366</v>
      </c>
      <c r="C73" s="44">
        <v>0.72203423175290182</v>
      </c>
      <c r="D73" s="44">
        <v>0.50275862068965516</v>
      </c>
    </row>
    <row r="74" spans="1:4" x14ac:dyDescent="0.35">
      <c r="A74" s="42">
        <f t="shared" si="1"/>
        <v>72</v>
      </c>
      <c r="B74" s="43">
        <v>0.25493919022938366</v>
      </c>
      <c r="C74" s="44">
        <v>0.72203423175290182</v>
      </c>
      <c r="D74" s="44">
        <v>0.50275862068965516</v>
      </c>
    </row>
    <row r="75" spans="1:4" x14ac:dyDescent="0.35">
      <c r="A75" s="42">
        <f t="shared" si="1"/>
        <v>73</v>
      </c>
      <c r="B75" s="43">
        <v>0.25493919022938366</v>
      </c>
      <c r="C75" s="44">
        <v>0.72203423175290182</v>
      </c>
      <c r="D75" s="44">
        <v>0.50275862068965516</v>
      </c>
    </row>
    <row r="76" spans="1:4" x14ac:dyDescent="0.35">
      <c r="A76" s="42">
        <f t="shared" si="1"/>
        <v>74</v>
      </c>
      <c r="B76" s="43">
        <v>0.25493919022938366</v>
      </c>
      <c r="C76" s="44">
        <v>0.72203423175290182</v>
      </c>
      <c r="D76" s="44">
        <v>0.50275862068965516</v>
      </c>
    </row>
    <row r="77" spans="1:4" x14ac:dyDescent="0.35">
      <c r="A77" s="42">
        <f t="shared" si="1"/>
        <v>75</v>
      </c>
      <c r="B77" s="43">
        <v>0.25493919022938366</v>
      </c>
      <c r="C77" s="44">
        <v>0.72203423175290182</v>
      </c>
      <c r="D77" s="44">
        <v>0.50275862068965516</v>
      </c>
    </row>
    <row r="78" spans="1:4" x14ac:dyDescent="0.35">
      <c r="A78" s="42">
        <f t="shared" si="1"/>
        <v>76</v>
      </c>
      <c r="B78" s="43">
        <v>0.25493919022938366</v>
      </c>
      <c r="C78" s="44">
        <v>0.72203423175290182</v>
      </c>
      <c r="D78" s="44">
        <v>0.50275862068965516</v>
      </c>
    </row>
    <row r="79" spans="1:4" x14ac:dyDescent="0.35">
      <c r="A79" s="42">
        <f t="shared" si="1"/>
        <v>77</v>
      </c>
      <c r="B79" s="43">
        <v>0.25493919022938366</v>
      </c>
      <c r="C79" s="44">
        <v>0.72203423175290182</v>
      </c>
      <c r="D79" s="44">
        <v>0.50275862068965516</v>
      </c>
    </row>
    <row r="80" spans="1:4" x14ac:dyDescent="0.35">
      <c r="A80" s="42">
        <f t="shared" si="1"/>
        <v>78</v>
      </c>
      <c r="B80" s="43">
        <v>0.25493919022938366</v>
      </c>
      <c r="C80" s="44">
        <v>0.72203423175290182</v>
      </c>
      <c r="D80" s="44">
        <v>0.50275862068965516</v>
      </c>
    </row>
    <row r="81" spans="1:4" x14ac:dyDescent="0.35">
      <c r="A81" s="42">
        <f t="shared" si="1"/>
        <v>79</v>
      </c>
      <c r="B81" s="43">
        <v>0.25493919022938366</v>
      </c>
      <c r="C81" s="44">
        <v>0.72203423175290182</v>
      </c>
      <c r="D81" s="44">
        <v>0.50275862068965516</v>
      </c>
    </row>
    <row r="82" spans="1:4" x14ac:dyDescent="0.35">
      <c r="A82" s="42">
        <f t="shared" si="1"/>
        <v>80</v>
      </c>
      <c r="B82" s="43">
        <v>0.25493919022938366</v>
      </c>
      <c r="C82" s="44">
        <v>0.72203423175290182</v>
      </c>
      <c r="D82" s="44">
        <v>0.50275862068965516</v>
      </c>
    </row>
    <row r="83" spans="1:4" x14ac:dyDescent="0.35">
      <c r="A83" s="42">
        <f t="shared" si="1"/>
        <v>81</v>
      </c>
      <c r="B83" s="43">
        <v>0.25493919022938366</v>
      </c>
      <c r="C83" s="44">
        <v>0.72203423175290182</v>
      </c>
      <c r="D83" s="44">
        <v>0.50275862068965516</v>
      </c>
    </row>
    <row r="84" spans="1:4" x14ac:dyDescent="0.35">
      <c r="A84" s="42">
        <f t="shared" si="1"/>
        <v>82</v>
      </c>
      <c r="B84" s="43">
        <v>0.25493919022938366</v>
      </c>
      <c r="C84" s="44">
        <v>0.72203423175290182</v>
      </c>
      <c r="D84" s="44">
        <v>0.50275862068965516</v>
      </c>
    </row>
    <row r="85" spans="1:4" x14ac:dyDescent="0.35">
      <c r="A85" s="42">
        <f t="shared" si="1"/>
        <v>83</v>
      </c>
      <c r="B85" s="43">
        <v>0.25493919022938366</v>
      </c>
      <c r="C85" s="44">
        <v>0.72203423175290182</v>
      </c>
      <c r="D85" s="44">
        <v>0.50275862068965516</v>
      </c>
    </row>
    <row r="86" spans="1:4" x14ac:dyDescent="0.35">
      <c r="A86" s="42">
        <f t="shared" si="1"/>
        <v>84</v>
      </c>
      <c r="B86" s="43">
        <v>0.25493919022938366</v>
      </c>
      <c r="C86" s="44">
        <v>0.72203423175290182</v>
      </c>
      <c r="D86" s="44">
        <v>0.50275862068965516</v>
      </c>
    </row>
    <row r="87" spans="1:4" x14ac:dyDescent="0.35">
      <c r="A87" s="42">
        <f t="shared" si="1"/>
        <v>85</v>
      </c>
      <c r="B87" s="43">
        <v>0.25493919022938366</v>
      </c>
      <c r="C87" s="44">
        <v>0.72203423175290182</v>
      </c>
      <c r="D87" s="44">
        <v>0.50275862068965516</v>
      </c>
    </row>
    <row r="88" spans="1:4" x14ac:dyDescent="0.35">
      <c r="A88" s="42">
        <f t="shared" si="1"/>
        <v>86</v>
      </c>
      <c r="B88" s="43">
        <v>0.25493919022938366</v>
      </c>
      <c r="C88" s="44">
        <v>0.72203423175290182</v>
      </c>
      <c r="D88" s="44">
        <v>0.50275862068965516</v>
      </c>
    </row>
    <row r="89" spans="1:4" x14ac:dyDescent="0.35">
      <c r="A89" s="42">
        <f t="shared" si="1"/>
        <v>87</v>
      </c>
      <c r="B89" s="43">
        <v>0.25493919022938366</v>
      </c>
      <c r="C89" s="44">
        <v>0.72203423175290182</v>
      </c>
      <c r="D89" s="44">
        <v>0.50275862068965516</v>
      </c>
    </row>
    <row r="90" spans="1:4" x14ac:dyDescent="0.35">
      <c r="A90" s="42">
        <f t="shared" si="1"/>
        <v>88</v>
      </c>
      <c r="B90" s="43">
        <v>0.25493919022938366</v>
      </c>
      <c r="C90" s="44">
        <v>0.72203423175290182</v>
      </c>
      <c r="D90" s="44">
        <v>0.50275862068965516</v>
      </c>
    </row>
    <row r="91" spans="1:4" x14ac:dyDescent="0.35">
      <c r="A91" s="42">
        <f t="shared" si="1"/>
        <v>89</v>
      </c>
      <c r="B91" s="43">
        <v>0.25493919022938366</v>
      </c>
      <c r="C91" s="44">
        <v>0.72203423175290182</v>
      </c>
      <c r="D91" s="44">
        <v>0.50275862068965516</v>
      </c>
    </row>
    <row r="92" spans="1:4" x14ac:dyDescent="0.35">
      <c r="A92" s="42">
        <f t="shared" si="1"/>
        <v>90</v>
      </c>
      <c r="B92" s="43">
        <v>0.25493919022938366</v>
      </c>
      <c r="C92" s="44">
        <v>0.72203423175290182</v>
      </c>
      <c r="D92" s="44">
        <v>0.50275862068965516</v>
      </c>
    </row>
    <row r="93" spans="1:4" x14ac:dyDescent="0.35">
      <c r="A93" s="42">
        <f t="shared" si="1"/>
        <v>91</v>
      </c>
      <c r="B93" s="43">
        <v>0.25493919022938366</v>
      </c>
      <c r="C93" s="44">
        <v>0.72203423175290182</v>
      </c>
      <c r="D93" s="44">
        <v>0.50275862068965516</v>
      </c>
    </row>
    <row r="94" spans="1:4" x14ac:dyDescent="0.35">
      <c r="A94" s="42">
        <f t="shared" si="1"/>
        <v>92</v>
      </c>
      <c r="B94" s="43">
        <v>0.25493919022938366</v>
      </c>
      <c r="C94" s="44">
        <v>0.72203423175290182</v>
      </c>
      <c r="D94" s="44">
        <v>0.50275862068965516</v>
      </c>
    </row>
    <row r="95" spans="1:4" x14ac:dyDescent="0.35">
      <c r="A95" s="42">
        <f t="shared" si="1"/>
        <v>93</v>
      </c>
      <c r="B95" s="43">
        <v>0.25493919022938366</v>
      </c>
      <c r="C95" s="44">
        <v>0.72203423175290182</v>
      </c>
      <c r="D95" s="44">
        <v>0.50275862068965516</v>
      </c>
    </row>
    <row r="96" spans="1:4" x14ac:dyDescent="0.35">
      <c r="A96" s="42">
        <f t="shared" si="1"/>
        <v>94</v>
      </c>
      <c r="B96" s="43">
        <v>0.25493919022938366</v>
      </c>
      <c r="C96" s="44">
        <v>0.72203423175290182</v>
      </c>
      <c r="D96" s="44">
        <v>0.50275862068965516</v>
      </c>
    </row>
    <row r="97" spans="1:4" x14ac:dyDescent="0.35">
      <c r="A97" s="42">
        <f t="shared" si="1"/>
        <v>95</v>
      </c>
      <c r="B97" s="43">
        <v>0.25493919022938366</v>
      </c>
      <c r="C97" s="44">
        <v>0.72203423175290182</v>
      </c>
      <c r="D97" s="44">
        <v>0.50275862068965516</v>
      </c>
    </row>
    <row r="98" spans="1:4" x14ac:dyDescent="0.35">
      <c r="A98" s="42">
        <f t="shared" si="1"/>
        <v>96</v>
      </c>
      <c r="B98" s="43">
        <v>0.25493919022938366</v>
      </c>
      <c r="C98" s="44">
        <v>0.72203423175290182</v>
      </c>
      <c r="D98" s="44">
        <v>0.50275862068965516</v>
      </c>
    </row>
    <row r="99" spans="1:4" x14ac:dyDescent="0.35">
      <c r="A99" s="42">
        <f t="shared" si="1"/>
        <v>97</v>
      </c>
      <c r="B99" s="43">
        <v>0.25493919022938366</v>
      </c>
      <c r="C99" s="44">
        <v>0.72203423175290182</v>
      </c>
      <c r="D99" s="44">
        <v>0.50275862068965516</v>
      </c>
    </row>
    <row r="100" spans="1:4" x14ac:dyDescent="0.35">
      <c r="A100" s="42">
        <f t="shared" si="1"/>
        <v>98</v>
      </c>
      <c r="B100" s="43">
        <v>0.25493919022938366</v>
      </c>
      <c r="C100" s="44">
        <v>0.72203423175290182</v>
      </c>
      <c r="D100" s="44">
        <v>0.50275862068965516</v>
      </c>
    </row>
    <row r="101" spans="1:4" x14ac:dyDescent="0.35">
      <c r="A101" s="42">
        <f t="shared" si="1"/>
        <v>99</v>
      </c>
      <c r="B101" s="43">
        <v>0.25493919022938366</v>
      </c>
      <c r="C101" s="44">
        <v>0.72203423175290182</v>
      </c>
      <c r="D101" s="44">
        <v>0.50275862068965516</v>
      </c>
    </row>
    <row r="102" spans="1:4" x14ac:dyDescent="0.35">
      <c r="A102" s="42">
        <f t="shared" si="1"/>
        <v>100</v>
      </c>
      <c r="B102" s="43">
        <v>0.25493919022938366</v>
      </c>
      <c r="C102" s="44">
        <v>0.72203423175290182</v>
      </c>
      <c r="D102" s="44">
        <v>0.50275862068965516</v>
      </c>
    </row>
    <row r="103" spans="1:4" x14ac:dyDescent="0.35">
      <c r="A103" s="42">
        <f t="shared" si="1"/>
        <v>101</v>
      </c>
      <c r="B103" s="43">
        <v>0.25493919022938366</v>
      </c>
      <c r="C103" s="44">
        <v>0.72203423175290182</v>
      </c>
      <c r="D103" s="44">
        <v>0.50275862068965516</v>
      </c>
    </row>
    <row r="104" spans="1:4" x14ac:dyDescent="0.35">
      <c r="A104" s="42">
        <f t="shared" si="1"/>
        <v>102</v>
      </c>
      <c r="B104" s="43">
        <v>0.25493919022938366</v>
      </c>
      <c r="C104" s="44">
        <v>0.72203423175290182</v>
      </c>
      <c r="D104" s="44">
        <v>0.50275862068965516</v>
      </c>
    </row>
    <row r="105" spans="1:4" x14ac:dyDescent="0.35">
      <c r="A105" s="42">
        <f t="shared" si="1"/>
        <v>103</v>
      </c>
      <c r="B105" s="43">
        <v>0.25493919022938366</v>
      </c>
      <c r="C105" s="44">
        <v>0.72203423175290182</v>
      </c>
      <c r="D105" s="44">
        <v>0.50275862068965516</v>
      </c>
    </row>
    <row r="106" spans="1:4" x14ac:dyDescent="0.35">
      <c r="A106" s="42">
        <f t="shared" si="1"/>
        <v>104</v>
      </c>
      <c r="B106" s="43">
        <v>0.25493919022938366</v>
      </c>
      <c r="C106" s="44">
        <v>0.72203423175290182</v>
      </c>
      <c r="D106" s="44">
        <v>0.50275862068965516</v>
      </c>
    </row>
    <row r="107" spans="1:4" x14ac:dyDescent="0.35">
      <c r="A107" s="42">
        <f t="shared" si="1"/>
        <v>105</v>
      </c>
      <c r="B107" s="43">
        <v>0.25493919022938366</v>
      </c>
      <c r="C107" s="44">
        <v>0.72203423175290182</v>
      </c>
      <c r="D107" s="44">
        <v>0.50275862068965516</v>
      </c>
    </row>
    <row r="108" spans="1:4" x14ac:dyDescent="0.35">
      <c r="A108" s="42">
        <f t="shared" si="1"/>
        <v>106</v>
      </c>
      <c r="B108" s="43">
        <v>0.25493919022938366</v>
      </c>
      <c r="C108" s="44">
        <v>0.72203423175290182</v>
      </c>
      <c r="D108" s="44">
        <v>0.50275862068965516</v>
      </c>
    </row>
    <row r="109" spans="1:4" x14ac:dyDescent="0.35">
      <c r="A109" s="42">
        <f t="shared" si="1"/>
        <v>107</v>
      </c>
      <c r="B109" s="43">
        <v>0.25493919022938366</v>
      </c>
      <c r="C109" s="44">
        <v>0.72203423175290182</v>
      </c>
      <c r="D109" s="44">
        <v>0.50275862068965516</v>
      </c>
    </row>
    <row r="110" spans="1:4" x14ac:dyDescent="0.35">
      <c r="A110" s="42">
        <f t="shared" si="1"/>
        <v>108</v>
      </c>
      <c r="B110" s="43">
        <v>0</v>
      </c>
      <c r="C110" s="44">
        <v>0.72203423175290182</v>
      </c>
      <c r="D110" s="44">
        <v>0.50275862068965516</v>
      </c>
    </row>
    <row r="111" spans="1:4" x14ac:dyDescent="0.35">
      <c r="A111" s="42">
        <f t="shared" si="1"/>
        <v>109</v>
      </c>
      <c r="B111" s="43">
        <v>0.25493919022938366</v>
      </c>
      <c r="C111" s="44">
        <v>0.72203423175290182</v>
      </c>
      <c r="D111" s="44">
        <v>0.50275862068965516</v>
      </c>
    </row>
    <row r="112" spans="1:4" x14ac:dyDescent="0.35">
      <c r="A112" s="42">
        <f t="shared" si="1"/>
        <v>110</v>
      </c>
      <c r="B112" s="43">
        <v>0</v>
      </c>
      <c r="C112" s="44">
        <v>0.72203423175290182</v>
      </c>
      <c r="D112" s="44">
        <v>0.50275862068965516</v>
      </c>
    </row>
    <row r="113" spans="1:4" x14ac:dyDescent="0.35">
      <c r="A113" s="42">
        <f t="shared" si="1"/>
        <v>111</v>
      </c>
      <c r="B113" s="43">
        <v>0</v>
      </c>
      <c r="C113" s="44">
        <v>0.72203423175290182</v>
      </c>
      <c r="D113" s="44">
        <v>0.50275862068965516</v>
      </c>
    </row>
    <row r="114" spans="1:4" x14ac:dyDescent="0.35">
      <c r="A114" s="42">
        <f t="shared" si="1"/>
        <v>112</v>
      </c>
      <c r="B114" s="43">
        <v>0.25493919022938366</v>
      </c>
      <c r="C114" s="44">
        <v>0.72203423175290182</v>
      </c>
      <c r="D114" s="44">
        <v>0.50275862068965516</v>
      </c>
    </row>
    <row r="115" spans="1:4" x14ac:dyDescent="0.35">
      <c r="A115" s="42">
        <f t="shared" si="1"/>
        <v>113</v>
      </c>
      <c r="B115" s="43">
        <v>0.25493919022938366</v>
      </c>
      <c r="C115" s="44">
        <v>0.72203423175290182</v>
      </c>
      <c r="D115" s="44">
        <v>0.50275862068965516</v>
      </c>
    </row>
    <row r="116" spans="1:4" x14ac:dyDescent="0.35">
      <c r="A116" s="42">
        <f t="shared" si="1"/>
        <v>114</v>
      </c>
      <c r="B116" s="43">
        <v>0.25493919022938366</v>
      </c>
      <c r="C116" s="44">
        <v>0.72203423175290182</v>
      </c>
      <c r="D116" s="44">
        <v>0.50275862068965516</v>
      </c>
    </row>
    <row r="117" spans="1:4" x14ac:dyDescent="0.35">
      <c r="A117" s="42">
        <f t="shared" si="1"/>
        <v>115</v>
      </c>
      <c r="B117" s="43">
        <v>0.25493919022938366</v>
      </c>
      <c r="C117" s="44">
        <v>0.72203423175290182</v>
      </c>
      <c r="D117" s="44">
        <v>0.50275862068965516</v>
      </c>
    </row>
    <row r="118" spans="1:4" x14ac:dyDescent="0.35">
      <c r="A118" s="42">
        <f t="shared" si="1"/>
        <v>116</v>
      </c>
      <c r="B118" s="43">
        <v>0.25493919022938366</v>
      </c>
      <c r="C118" s="44">
        <v>0.72203423175290182</v>
      </c>
      <c r="D118" s="44">
        <v>0.50275862068965516</v>
      </c>
    </row>
    <row r="119" spans="1:4" x14ac:dyDescent="0.35">
      <c r="A119" s="42">
        <f t="shared" si="1"/>
        <v>117</v>
      </c>
      <c r="B119" s="43">
        <v>0.25493919022938366</v>
      </c>
      <c r="C119" s="44">
        <v>0.72203423175290182</v>
      </c>
      <c r="D119" s="44">
        <v>0.50275862068965516</v>
      </c>
    </row>
    <row r="120" spans="1:4" x14ac:dyDescent="0.35">
      <c r="A120" s="42">
        <f t="shared" si="1"/>
        <v>118</v>
      </c>
      <c r="B120" s="43">
        <v>0.25493919022938366</v>
      </c>
      <c r="C120" s="44">
        <v>0.72203423175290182</v>
      </c>
      <c r="D120" s="44">
        <v>0.50275862068965516</v>
      </c>
    </row>
    <row r="121" spans="1:4" x14ac:dyDescent="0.35">
      <c r="A121" s="42">
        <f t="shared" si="1"/>
        <v>119</v>
      </c>
      <c r="B121" s="43">
        <v>0.25493919022938366</v>
      </c>
      <c r="C121" s="44">
        <v>0.72203423175290182</v>
      </c>
      <c r="D121" s="44">
        <v>0.50275862068965516</v>
      </c>
    </row>
    <row r="122" spans="1:4" x14ac:dyDescent="0.35">
      <c r="A122" s="42">
        <f t="shared" si="1"/>
        <v>120</v>
      </c>
      <c r="B122" s="43">
        <v>0.25493919022938366</v>
      </c>
      <c r="C122" s="44">
        <v>0.72203423175290182</v>
      </c>
      <c r="D122" s="44">
        <v>0.50275862068965516</v>
      </c>
    </row>
    <row r="123" spans="1:4" x14ac:dyDescent="0.35">
      <c r="A123" s="42">
        <f t="shared" si="1"/>
        <v>121</v>
      </c>
      <c r="B123" s="43">
        <v>0.25493919022938366</v>
      </c>
      <c r="C123" s="44">
        <v>0.72203423175290182</v>
      </c>
      <c r="D123" s="44">
        <v>0.50275862068965516</v>
      </c>
    </row>
    <row r="124" spans="1:4" x14ac:dyDescent="0.35">
      <c r="A124" s="42">
        <f t="shared" si="1"/>
        <v>122</v>
      </c>
      <c r="B124" s="43">
        <v>0.25493919022938366</v>
      </c>
      <c r="C124" s="44">
        <v>0.72203423175290182</v>
      </c>
      <c r="D124" s="44">
        <v>0.50275862068965516</v>
      </c>
    </row>
    <row r="125" spans="1:4" x14ac:dyDescent="0.35">
      <c r="A125" s="42">
        <f t="shared" si="1"/>
        <v>123</v>
      </c>
      <c r="B125" s="43">
        <v>0.25493919022938366</v>
      </c>
      <c r="C125" s="44">
        <v>0.72203423175290182</v>
      </c>
      <c r="D125" s="44">
        <v>0.50275862068965516</v>
      </c>
    </row>
    <row r="126" spans="1:4" x14ac:dyDescent="0.35">
      <c r="A126" s="42">
        <f t="shared" si="1"/>
        <v>124</v>
      </c>
      <c r="B126" s="43">
        <v>0.25493919022938366</v>
      </c>
      <c r="C126" s="44">
        <v>0.72203423175290182</v>
      </c>
      <c r="D126" s="44">
        <v>0.50275862068965516</v>
      </c>
    </row>
    <row r="127" spans="1:4" x14ac:dyDescent="0.35">
      <c r="A127" s="42">
        <f t="shared" si="1"/>
        <v>125</v>
      </c>
      <c r="B127" s="43">
        <v>0.25493919022938366</v>
      </c>
      <c r="C127" s="44">
        <v>0.72203423175290182</v>
      </c>
      <c r="D127" s="44">
        <v>0.50275862068965516</v>
      </c>
    </row>
    <row r="128" spans="1:4" x14ac:dyDescent="0.35">
      <c r="A128" s="42">
        <f t="shared" si="1"/>
        <v>126</v>
      </c>
      <c r="B128" s="43">
        <v>0.25493919022938366</v>
      </c>
      <c r="C128" s="44">
        <v>0.72203423175290182</v>
      </c>
      <c r="D128" s="44">
        <v>0.50275862068965516</v>
      </c>
    </row>
    <row r="129" spans="1:4" x14ac:dyDescent="0.35">
      <c r="A129" s="42">
        <f t="shared" si="1"/>
        <v>127</v>
      </c>
      <c r="B129" s="43">
        <v>0.25493919022938366</v>
      </c>
      <c r="C129" s="44">
        <v>0.72203423175290182</v>
      </c>
      <c r="D129" s="44">
        <v>0.50275862068965516</v>
      </c>
    </row>
    <row r="130" spans="1:4" x14ac:dyDescent="0.35">
      <c r="A130" s="42">
        <f t="shared" si="1"/>
        <v>128</v>
      </c>
      <c r="B130" s="43">
        <v>0.25493919022938366</v>
      </c>
      <c r="C130" s="44">
        <v>0.72203423175290182</v>
      </c>
      <c r="D130" s="44">
        <v>0.50275862068965516</v>
      </c>
    </row>
    <row r="131" spans="1:4" x14ac:dyDescent="0.35">
      <c r="A131" s="42">
        <f t="shared" si="1"/>
        <v>129</v>
      </c>
      <c r="B131" s="43">
        <v>0.25493919022938366</v>
      </c>
      <c r="C131" s="44">
        <v>0.72203423175290182</v>
      </c>
      <c r="D131" s="44">
        <v>0.50275862068965516</v>
      </c>
    </row>
    <row r="132" spans="1:4" x14ac:dyDescent="0.35">
      <c r="A132" s="42">
        <f t="shared" ref="A132:A169" si="2">A131+1</f>
        <v>130</v>
      </c>
      <c r="B132" s="43">
        <v>0.25493919022938366</v>
      </c>
      <c r="C132" s="44">
        <v>0.72203423175290182</v>
      </c>
      <c r="D132" s="44">
        <v>0.50275862068965516</v>
      </c>
    </row>
    <row r="133" spans="1:4" x14ac:dyDescent="0.35">
      <c r="A133" s="42">
        <f t="shared" si="2"/>
        <v>131</v>
      </c>
      <c r="B133" s="43">
        <v>0.25493919022938366</v>
      </c>
      <c r="C133" s="44">
        <v>0.72203423175290182</v>
      </c>
      <c r="D133" s="44">
        <v>0.50275862068965516</v>
      </c>
    </row>
    <row r="134" spans="1:4" x14ac:dyDescent="0.35">
      <c r="A134" s="42">
        <f t="shared" si="2"/>
        <v>132</v>
      </c>
      <c r="B134" s="43">
        <v>0.25493919022938366</v>
      </c>
      <c r="C134" s="44">
        <v>0.72203423175290182</v>
      </c>
      <c r="D134" s="44">
        <v>0.50275862068965516</v>
      </c>
    </row>
    <row r="135" spans="1:4" x14ac:dyDescent="0.35">
      <c r="A135" s="42">
        <f t="shared" si="2"/>
        <v>133</v>
      </c>
      <c r="B135" s="43">
        <v>0.25493919022938366</v>
      </c>
      <c r="C135" s="44">
        <v>0.72203423175290182</v>
      </c>
      <c r="D135" s="44">
        <v>0.50275862068965516</v>
      </c>
    </row>
    <row r="136" spans="1:4" x14ac:dyDescent="0.35">
      <c r="A136" s="42">
        <f t="shared" si="2"/>
        <v>134</v>
      </c>
      <c r="B136" s="43">
        <v>0.25493919022938366</v>
      </c>
      <c r="C136" s="44">
        <v>0.72203423175290182</v>
      </c>
      <c r="D136" s="44">
        <v>0.50275862068965516</v>
      </c>
    </row>
    <row r="137" spans="1:4" x14ac:dyDescent="0.35">
      <c r="A137" s="42">
        <f t="shared" si="2"/>
        <v>135</v>
      </c>
      <c r="B137" s="43">
        <v>0.25493919022938366</v>
      </c>
      <c r="C137" s="44">
        <v>0.72203423175290182</v>
      </c>
      <c r="D137" s="44">
        <v>0.50275862068965516</v>
      </c>
    </row>
    <row r="138" spans="1:4" x14ac:dyDescent="0.35">
      <c r="A138" s="42">
        <f t="shared" si="2"/>
        <v>136</v>
      </c>
      <c r="B138" s="43">
        <v>0.25493919022938366</v>
      </c>
      <c r="C138" s="44">
        <v>0.72203423175290182</v>
      </c>
      <c r="D138" s="44">
        <v>0.50275862068965516</v>
      </c>
    </row>
    <row r="139" spans="1:4" x14ac:dyDescent="0.35">
      <c r="A139" s="42">
        <f t="shared" si="2"/>
        <v>137</v>
      </c>
      <c r="B139" s="43">
        <v>0.25493919022938366</v>
      </c>
      <c r="C139" s="44">
        <v>0.72203423175290182</v>
      </c>
      <c r="D139" s="44">
        <v>0.50275862068965516</v>
      </c>
    </row>
    <row r="140" spans="1:4" x14ac:dyDescent="0.35">
      <c r="A140" s="42">
        <f t="shared" si="2"/>
        <v>138</v>
      </c>
      <c r="B140" s="43">
        <v>0.25493919022938366</v>
      </c>
      <c r="C140" s="44">
        <v>0.72203423175290182</v>
      </c>
      <c r="D140" s="44">
        <v>0.50275862068965516</v>
      </c>
    </row>
    <row r="141" spans="1:4" x14ac:dyDescent="0.35">
      <c r="A141" s="42">
        <f t="shared" si="2"/>
        <v>139</v>
      </c>
      <c r="B141" s="43">
        <v>0.25493919022938366</v>
      </c>
      <c r="C141" s="44">
        <v>0.72203423175290182</v>
      </c>
      <c r="D141" s="44">
        <v>0.50275862068965516</v>
      </c>
    </row>
    <row r="142" spans="1:4" x14ac:dyDescent="0.35">
      <c r="A142" s="42">
        <f t="shared" si="2"/>
        <v>140</v>
      </c>
      <c r="B142" s="43">
        <v>0.25493919022938366</v>
      </c>
      <c r="C142" s="44">
        <v>0.72203423175290182</v>
      </c>
      <c r="D142" s="44">
        <v>0.50275862068965516</v>
      </c>
    </row>
    <row r="143" spans="1:4" x14ac:dyDescent="0.35">
      <c r="A143" s="42">
        <f t="shared" si="2"/>
        <v>141</v>
      </c>
      <c r="B143" s="43">
        <v>0.25493919022938366</v>
      </c>
      <c r="C143" s="44">
        <v>0.72203423175290182</v>
      </c>
      <c r="D143" s="44">
        <v>0.50275862068965516</v>
      </c>
    </row>
    <row r="144" spans="1:4" x14ac:dyDescent="0.35">
      <c r="A144" s="42">
        <f t="shared" si="2"/>
        <v>142</v>
      </c>
      <c r="B144" s="43">
        <v>0.25493919022938366</v>
      </c>
      <c r="C144" s="44">
        <v>0.72203423175290182</v>
      </c>
      <c r="D144" s="44">
        <v>0.50275862068965516</v>
      </c>
    </row>
    <row r="145" spans="1:4" x14ac:dyDescent="0.35">
      <c r="A145" s="42">
        <f t="shared" si="2"/>
        <v>143</v>
      </c>
      <c r="B145" s="43">
        <v>0.25493919022938366</v>
      </c>
      <c r="C145" s="44">
        <v>0.72203423175290182</v>
      </c>
      <c r="D145" s="44">
        <v>0.50275862068965516</v>
      </c>
    </row>
    <row r="146" spans="1:4" x14ac:dyDescent="0.35">
      <c r="A146" s="42">
        <f t="shared" si="2"/>
        <v>144</v>
      </c>
      <c r="B146" s="43">
        <v>0.25493919022938366</v>
      </c>
      <c r="C146" s="44">
        <v>0.72203423175290182</v>
      </c>
      <c r="D146" s="44">
        <v>0.50275862068965516</v>
      </c>
    </row>
    <row r="147" spans="1:4" x14ac:dyDescent="0.35">
      <c r="A147" s="42">
        <f t="shared" si="2"/>
        <v>145</v>
      </c>
      <c r="B147" s="43">
        <v>0.25493919022938366</v>
      </c>
      <c r="C147" s="44">
        <v>0.72203423175290182</v>
      </c>
      <c r="D147" s="44">
        <v>0.50275862068965516</v>
      </c>
    </row>
    <row r="148" spans="1:4" x14ac:dyDescent="0.35">
      <c r="A148" s="42">
        <f t="shared" si="2"/>
        <v>146</v>
      </c>
      <c r="B148" s="43">
        <v>0.25493919022938366</v>
      </c>
      <c r="C148" s="44">
        <v>0.72203423175290182</v>
      </c>
      <c r="D148" s="44">
        <v>0.50275862068965516</v>
      </c>
    </row>
    <row r="149" spans="1:4" x14ac:dyDescent="0.35">
      <c r="A149" s="42">
        <f t="shared" si="2"/>
        <v>147</v>
      </c>
      <c r="B149" s="43">
        <v>0.25493919022938366</v>
      </c>
      <c r="C149" s="44">
        <v>0.72203423175290182</v>
      </c>
      <c r="D149" s="44">
        <v>0.50275862068965516</v>
      </c>
    </row>
    <row r="150" spans="1:4" x14ac:dyDescent="0.35">
      <c r="A150" s="42">
        <f t="shared" si="2"/>
        <v>148</v>
      </c>
      <c r="B150" s="43">
        <v>0.25493919022938366</v>
      </c>
      <c r="C150" s="44">
        <v>0.72203423175290182</v>
      </c>
      <c r="D150" s="44">
        <v>0.50275862068965516</v>
      </c>
    </row>
    <row r="151" spans="1:4" x14ac:dyDescent="0.35">
      <c r="A151" s="42">
        <f t="shared" si="2"/>
        <v>149</v>
      </c>
      <c r="B151" s="43">
        <v>0.25493919022938366</v>
      </c>
      <c r="C151" s="44">
        <v>0.72203423175290182</v>
      </c>
      <c r="D151" s="44">
        <v>0.50275862068965516</v>
      </c>
    </row>
    <row r="152" spans="1:4" x14ac:dyDescent="0.35">
      <c r="A152" s="42">
        <f t="shared" si="2"/>
        <v>150</v>
      </c>
      <c r="B152" s="43">
        <v>0.25493919022938366</v>
      </c>
      <c r="C152" s="44">
        <v>0.72203423175290182</v>
      </c>
      <c r="D152" s="44">
        <v>0.50275862068965516</v>
      </c>
    </row>
    <row r="153" spans="1:4" x14ac:dyDescent="0.35">
      <c r="A153" s="42">
        <f t="shared" si="2"/>
        <v>151</v>
      </c>
      <c r="B153" s="43">
        <v>0.25493919022938366</v>
      </c>
      <c r="C153" s="44">
        <v>0.72203423175290182</v>
      </c>
      <c r="D153" s="44">
        <v>0.50275862068965516</v>
      </c>
    </row>
    <row r="154" spans="1:4" x14ac:dyDescent="0.35">
      <c r="A154" s="42">
        <f t="shared" si="2"/>
        <v>152</v>
      </c>
      <c r="B154" s="43">
        <v>0.25493919022938366</v>
      </c>
      <c r="C154" s="44">
        <v>0.72203423175290182</v>
      </c>
      <c r="D154" s="44">
        <v>0.50275862068965516</v>
      </c>
    </row>
    <row r="155" spans="1:4" x14ac:dyDescent="0.35">
      <c r="A155" s="42">
        <f t="shared" si="2"/>
        <v>153</v>
      </c>
      <c r="B155" s="43">
        <v>0.25493919022938366</v>
      </c>
      <c r="C155" s="44">
        <v>0.72203423175290182</v>
      </c>
      <c r="D155" s="44">
        <v>0.50275862068965516</v>
      </c>
    </row>
    <row r="156" spans="1:4" x14ac:dyDescent="0.35">
      <c r="A156" s="42">
        <f t="shared" si="2"/>
        <v>154</v>
      </c>
      <c r="B156" s="43">
        <v>0.25493919022938366</v>
      </c>
      <c r="C156" s="44">
        <v>0.72203423175290182</v>
      </c>
      <c r="D156" s="44">
        <v>0.50275862068965516</v>
      </c>
    </row>
    <row r="157" spans="1:4" x14ac:dyDescent="0.35">
      <c r="A157" s="42">
        <f t="shared" si="2"/>
        <v>155</v>
      </c>
      <c r="B157" s="43">
        <v>0.25493919022938366</v>
      </c>
      <c r="C157" s="44">
        <v>0.72203423175290182</v>
      </c>
      <c r="D157" s="44">
        <v>0.50275862068965516</v>
      </c>
    </row>
    <row r="158" spans="1:4" x14ac:dyDescent="0.35">
      <c r="A158" s="42">
        <f t="shared" si="2"/>
        <v>156</v>
      </c>
      <c r="B158" s="43">
        <v>0.25493919022938366</v>
      </c>
      <c r="C158" s="44">
        <v>0.72203423175290182</v>
      </c>
      <c r="D158" s="44">
        <v>0.50275862068965516</v>
      </c>
    </row>
    <row r="159" spans="1:4" x14ac:dyDescent="0.35">
      <c r="A159" s="42">
        <f t="shared" si="2"/>
        <v>157</v>
      </c>
      <c r="B159" s="43">
        <v>0.25493919022938366</v>
      </c>
      <c r="C159" s="44">
        <v>0.72203423175290182</v>
      </c>
      <c r="D159" s="44">
        <v>0.50275862068965516</v>
      </c>
    </row>
    <row r="160" spans="1:4" x14ac:dyDescent="0.35">
      <c r="A160" s="42">
        <f t="shared" si="2"/>
        <v>158</v>
      </c>
      <c r="B160" s="43">
        <v>0.25493919022938366</v>
      </c>
      <c r="C160" s="44">
        <v>0.72203423175290182</v>
      </c>
      <c r="D160" s="44">
        <v>0.50275862068965516</v>
      </c>
    </row>
    <row r="161" spans="1:4" x14ac:dyDescent="0.35">
      <c r="A161" s="42">
        <f t="shared" si="2"/>
        <v>159</v>
      </c>
      <c r="B161" s="43">
        <v>0</v>
      </c>
      <c r="C161" s="44">
        <v>0.72203423175290182</v>
      </c>
      <c r="D161" s="44">
        <v>0.50275862068965516</v>
      </c>
    </row>
    <row r="162" spans="1:4" x14ac:dyDescent="0.35">
      <c r="A162" s="42">
        <f t="shared" si="2"/>
        <v>160</v>
      </c>
      <c r="B162" s="43">
        <v>0</v>
      </c>
      <c r="C162" s="44">
        <v>0.72203423175290182</v>
      </c>
      <c r="D162" s="44">
        <v>0.50275862068965516</v>
      </c>
    </row>
    <row r="163" spans="1:4" x14ac:dyDescent="0.35">
      <c r="A163" s="42">
        <f t="shared" si="2"/>
        <v>161</v>
      </c>
      <c r="B163" s="43">
        <v>0.25493919022938366</v>
      </c>
      <c r="C163" s="44">
        <v>0.72203423175290182</v>
      </c>
      <c r="D163" s="44">
        <v>0.50275862068965516</v>
      </c>
    </row>
    <row r="164" spans="1:4" x14ac:dyDescent="0.35">
      <c r="A164" s="42">
        <f t="shared" si="2"/>
        <v>162</v>
      </c>
      <c r="B164" s="43">
        <v>0.25493919022938366</v>
      </c>
      <c r="C164" s="44">
        <v>0.72203423175290182</v>
      </c>
      <c r="D164" s="44">
        <v>0.50275862068965516</v>
      </c>
    </row>
    <row r="165" spans="1:4" x14ac:dyDescent="0.35">
      <c r="A165" s="42">
        <f t="shared" si="2"/>
        <v>163</v>
      </c>
      <c r="B165" s="43">
        <v>0.25493919022938366</v>
      </c>
      <c r="C165" s="44">
        <v>0.72203423175290182</v>
      </c>
      <c r="D165" s="44">
        <v>0.50275862068965516</v>
      </c>
    </row>
    <row r="166" spans="1:4" x14ac:dyDescent="0.35">
      <c r="A166" s="42">
        <f t="shared" si="2"/>
        <v>164</v>
      </c>
      <c r="B166" s="43">
        <v>0.25493919022938366</v>
      </c>
      <c r="C166" s="44">
        <v>0.72203423175290182</v>
      </c>
      <c r="D166" s="44">
        <v>0.50275862068965516</v>
      </c>
    </row>
    <row r="167" spans="1:4" x14ac:dyDescent="0.35">
      <c r="A167" s="42">
        <f t="shared" si="2"/>
        <v>165</v>
      </c>
      <c r="B167" s="43">
        <v>0.25493919022938366</v>
      </c>
      <c r="C167" s="44">
        <v>0.72203423175290182</v>
      </c>
      <c r="D167" s="44">
        <v>0.50275862068965516</v>
      </c>
    </row>
    <row r="168" spans="1:4" x14ac:dyDescent="0.35">
      <c r="A168" s="42">
        <f t="shared" si="2"/>
        <v>166</v>
      </c>
      <c r="B168" s="43">
        <v>0.25493919022938366</v>
      </c>
      <c r="C168" s="44">
        <v>0.72203423175290182</v>
      </c>
      <c r="D168" s="44">
        <v>0.50275862068965516</v>
      </c>
    </row>
    <row r="169" spans="1:4" x14ac:dyDescent="0.35">
      <c r="A169" s="42">
        <f t="shared" si="2"/>
        <v>167</v>
      </c>
      <c r="B169" s="43">
        <v>0.25493919022938366</v>
      </c>
      <c r="C169" s="44">
        <v>0.72203423175290182</v>
      </c>
      <c r="D169" s="44">
        <v>0.50275862068965516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theme="4" tint="0.79998168889431442"/>
  </sheetPr>
  <dimension ref="A1:K3"/>
  <sheetViews>
    <sheetView workbookViewId="0">
      <selection activeCell="I2" sqref="I2"/>
    </sheetView>
  </sheetViews>
  <sheetFormatPr baseColWidth="10" defaultRowHeight="14.5" x14ac:dyDescent="0.35"/>
  <cols>
    <col min="1" max="1" width="17.453125" style="48" customWidth="1"/>
    <col min="2" max="2" width="12.81640625" style="48" bestFit="1" customWidth="1"/>
    <col min="3" max="3" width="12.54296875" style="48" bestFit="1" customWidth="1"/>
    <col min="4" max="6" width="10.90625" style="48"/>
    <col min="7" max="7" width="20" style="48" bestFit="1" customWidth="1"/>
    <col min="8" max="8" width="10.90625" style="48"/>
    <col min="9" max="9" width="12.6328125" style="48" customWidth="1"/>
    <col min="10" max="16384" width="10.90625" style="48"/>
  </cols>
  <sheetData>
    <row r="1" spans="1:11" x14ac:dyDescent="0.35">
      <c r="A1" s="24" t="s">
        <v>5</v>
      </c>
      <c r="B1" s="24" t="s">
        <v>15</v>
      </c>
      <c r="C1" s="24" t="s">
        <v>24</v>
      </c>
      <c r="D1" s="24" t="s">
        <v>25</v>
      </c>
      <c r="E1" s="24" t="s">
        <v>26</v>
      </c>
      <c r="F1" s="24" t="s">
        <v>27</v>
      </c>
      <c r="G1" s="24" t="s">
        <v>23</v>
      </c>
      <c r="H1" s="24" t="s">
        <v>13</v>
      </c>
      <c r="I1" s="24" t="s">
        <v>14</v>
      </c>
      <c r="J1" s="24" t="s">
        <v>0</v>
      </c>
      <c r="K1" s="24" t="s">
        <v>1</v>
      </c>
    </row>
    <row r="2" spans="1:11" x14ac:dyDescent="0.35">
      <c r="A2" s="49" t="s">
        <v>56</v>
      </c>
      <c r="B2" s="48" t="s">
        <v>31</v>
      </c>
      <c r="C2" s="29">
        <f>20414989.14</f>
        <v>20414989.140000001</v>
      </c>
      <c r="D2" s="5">
        <f>C2*F2</f>
        <v>18373490.226</v>
      </c>
      <c r="E2" s="48">
        <v>0.2</v>
      </c>
      <c r="F2" s="48">
        <v>0.9</v>
      </c>
      <c r="G2" s="48" t="s">
        <v>6</v>
      </c>
      <c r="I2" s="48">
        <v>1</v>
      </c>
      <c r="J2" s="48" t="s">
        <v>8</v>
      </c>
      <c r="K2" s="48" t="s">
        <v>6</v>
      </c>
    </row>
    <row r="3" spans="1:11" x14ac:dyDescent="0.35">
      <c r="A3" s="50" t="s">
        <v>57</v>
      </c>
      <c r="B3" s="48" t="s">
        <v>35</v>
      </c>
      <c r="C3" s="29">
        <f>3307600</f>
        <v>3307600</v>
      </c>
      <c r="D3" s="5">
        <f t="shared" ref="D3" si="0">C3*F3</f>
        <v>2976840</v>
      </c>
      <c r="E3" s="48">
        <v>0.2</v>
      </c>
      <c r="F3" s="48">
        <v>0.9</v>
      </c>
      <c r="G3" s="48" t="s">
        <v>6</v>
      </c>
      <c r="I3" s="48">
        <v>1</v>
      </c>
      <c r="J3" s="48" t="s">
        <v>8</v>
      </c>
      <c r="K3" s="48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theme="4" tint="0.79998168889431442"/>
  </sheetPr>
  <dimension ref="A1:K4"/>
  <sheetViews>
    <sheetView workbookViewId="0">
      <selection activeCell="F15" sqref="F15"/>
    </sheetView>
  </sheetViews>
  <sheetFormatPr baseColWidth="10" defaultRowHeight="14.5" x14ac:dyDescent="0.35"/>
  <cols>
    <col min="1" max="1" width="26.7265625" style="5" bestFit="1" customWidth="1"/>
    <col min="2" max="2" width="23.54296875" style="5" bestFit="1" customWidth="1"/>
    <col min="3" max="4" width="10.90625" style="5"/>
    <col min="5" max="5" width="14.54296875" style="5" bestFit="1" customWidth="1"/>
    <col min="6" max="6" width="17.453125" style="5" bestFit="1" customWidth="1"/>
    <col min="7" max="7" width="10.90625" style="5"/>
    <col min="8" max="8" width="20" style="5" bestFit="1" customWidth="1"/>
    <col min="9" max="9" width="12.6328125" style="5" bestFit="1" customWidth="1"/>
    <col min="10" max="16384" width="10.90625" style="5"/>
  </cols>
  <sheetData>
    <row r="1" spans="1:11" x14ac:dyDescent="0.35">
      <c r="A1" s="28" t="s">
        <v>5</v>
      </c>
      <c r="B1" s="28" t="s">
        <v>15</v>
      </c>
      <c r="C1" s="28" t="s">
        <v>12</v>
      </c>
      <c r="D1" s="28" t="s">
        <v>20</v>
      </c>
      <c r="E1" s="28" t="s">
        <v>21</v>
      </c>
      <c r="F1" s="28" t="s">
        <v>22</v>
      </c>
      <c r="G1" s="28" t="s">
        <v>13</v>
      </c>
      <c r="H1" s="28" t="s">
        <v>23</v>
      </c>
      <c r="I1" s="28" t="s">
        <v>14</v>
      </c>
      <c r="J1" s="28" t="s">
        <v>0</v>
      </c>
      <c r="K1" s="28" t="s">
        <v>1</v>
      </c>
    </row>
    <row r="2" spans="1:11" x14ac:dyDescent="0.35">
      <c r="A2" s="6" t="s">
        <v>53</v>
      </c>
      <c r="B2" s="5" t="s">
        <v>30</v>
      </c>
      <c r="C2" s="51">
        <f>57427.04</f>
        <v>57427.040000000001</v>
      </c>
      <c r="D2" s="52">
        <v>4</v>
      </c>
      <c r="E2" s="51">
        <v>0.89658206299999998</v>
      </c>
      <c r="F2" s="51">
        <v>0.89658206299999998</v>
      </c>
      <c r="G2" s="52"/>
      <c r="H2" s="5" t="s">
        <v>29</v>
      </c>
      <c r="I2" s="5">
        <v>0.1</v>
      </c>
      <c r="J2" s="5" t="s">
        <v>7</v>
      </c>
      <c r="K2" s="5" t="s">
        <v>6</v>
      </c>
    </row>
    <row r="3" spans="1:11" x14ac:dyDescent="0.35">
      <c r="A3" s="6" t="s">
        <v>54</v>
      </c>
      <c r="B3" s="5" t="s">
        <v>33</v>
      </c>
      <c r="C3" s="51">
        <v>1528</v>
      </c>
      <c r="D3" s="52">
        <v>1000</v>
      </c>
      <c r="E3" s="52">
        <v>0.99</v>
      </c>
      <c r="F3" s="52">
        <v>0.99</v>
      </c>
      <c r="G3" s="52"/>
      <c r="H3" s="5" t="s">
        <v>29</v>
      </c>
      <c r="I3" s="5">
        <v>2</v>
      </c>
      <c r="J3" s="5" t="s">
        <v>4</v>
      </c>
      <c r="K3" s="5" t="s">
        <v>6</v>
      </c>
    </row>
    <row r="4" spans="1:11" x14ac:dyDescent="0.35">
      <c r="A4" s="8" t="s">
        <v>55</v>
      </c>
      <c r="B4" s="5" t="s">
        <v>34</v>
      </c>
      <c r="C4" s="51">
        <v>12000</v>
      </c>
      <c r="D4" s="52">
        <v>4</v>
      </c>
      <c r="E4" s="51">
        <v>0.92</v>
      </c>
      <c r="F4" s="51">
        <v>0.92</v>
      </c>
      <c r="G4" s="52"/>
      <c r="H4" s="5" t="s">
        <v>29</v>
      </c>
      <c r="I4" s="5">
        <v>0.1</v>
      </c>
      <c r="J4" s="5" t="s">
        <v>7</v>
      </c>
      <c r="K4" s="5" t="s">
        <v>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theme="5" tint="0.79998168889431442"/>
  </sheetPr>
  <dimension ref="A1:I169"/>
  <sheetViews>
    <sheetView zoomScale="90" workbookViewId="0">
      <selection activeCell="B4" sqref="B4"/>
    </sheetView>
  </sheetViews>
  <sheetFormatPr baseColWidth="10" defaultRowHeight="14.5" x14ac:dyDescent="0.35"/>
  <cols>
    <col min="1" max="6" width="22" style="46" customWidth="1"/>
    <col min="7" max="7" width="28.1796875" style="46" customWidth="1"/>
    <col min="8" max="8" width="22" style="46" customWidth="1"/>
    <col min="9" max="9" width="23.7265625" style="46" bestFit="1" customWidth="1"/>
    <col min="10" max="16384" width="10.90625" style="46"/>
  </cols>
  <sheetData>
    <row r="1" spans="1:9" s="56" customFormat="1" x14ac:dyDescent="0.35">
      <c r="A1" s="53" t="s">
        <v>58</v>
      </c>
      <c r="B1" s="53" t="s">
        <v>59</v>
      </c>
      <c r="C1" s="54" t="s">
        <v>60</v>
      </c>
      <c r="D1" s="54" t="s">
        <v>61</v>
      </c>
      <c r="E1" s="55" t="s">
        <v>89</v>
      </c>
      <c r="F1" s="55" t="s">
        <v>90</v>
      </c>
      <c r="G1" s="55" t="s">
        <v>103</v>
      </c>
      <c r="H1" s="55" t="s">
        <v>129</v>
      </c>
      <c r="I1" s="55" t="s">
        <v>128</v>
      </c>
    </row>
    <row r="2" spans="1:9" x14ac:dyDescent="0.35">
      <c r="A2" s="57">
        <v>31741.699000000001</v>
      </c>
      <c r="B2" s="57">
        <v>11835.472839999999</v>
      </c>
      <c r="C2" s="58">
        <v>5108.7860000000001</v>
      </c>
      <c r="D2" s="58">
        <v>1328.747032</v>
      </c>
      <c r="E2" s="58">
        <v>0</v>
      </c>
      <c r="F2" s="58">
        <v>6779.6610170000004</v>
      </c>
      <c r="G2" s="58">
        <v>0</v>
      </c>
      <c r="H2" s="58">
        <v>0</v>
      </c>
      <c r="I2" s="58">
        <v>0</v>
      </c>
    </row>
    <row r="3" spans="1:9" x14ac:dyDescent="0.35">
      <c r="A3" s="57">
        <v>30099.562999999998</v>
      </c>
      <c r="B3" s="57">
        <v>11835.472839999999</v>
      </c>
      <c r="C3" s="58">
        <v>4819.1030000000001</v>
      </c>
      <c r="D3" s="58">
        <v>1328.747032</v>
      </c>
      <c r="E3" s="58">
        <v>0</v>
      </c>
      <c r="F3" s="58">
        <v>6779.6610170000004</v>
      </c>
      <c r="G3" s="58">
        <v>0</v>
      </c>
      <c r="H3" s="58">
        <v>0</v>
      </c>
      <c r="I3" s="58">
        <v>0</v>
      </c>
    </row>
    <row r="4" spans="1:9" x14ac:dyDescent="0.35">
      <c r="A4" s="57">
        <v>28885.16</v>
      </c>
      <c r="B4" s="57">
        <v>11835.472839999999</v>
      </c>
      <c r="C4" s="58">
        <v>4387.7039999999997</v>
      </c>
      <c r="D4" s="58">
        <v>1328.747032</v>
      </c>
      <c r="E4" s="58">
        <v>0</v>
      </c>
      <c r="F4" s="58">
        <v>6779.6610170000004</v>
      </c>
      <c r="G4" s="58">
        <v>0</v>
      </c>
      <c r="H4" s="58">
        <v>0</v>
      </c>
      <c r="I4" s="58">
        <v>0</v>
      </c>
    </row>
    <row r="5" spans="1:9" x14ac:dyDescent="0.35">
      <c r="A5" s="57">
        <v>28278.066000000003</v>
      </c>
      <c r="B5" s="57">
        <v>11835.472839999999</v>
      </c>
      <c r="C5" s="58">
        <v>4234.8289999999997</v>
      </c>
      <c r="D5" s="58">
        <v>1328.747032</v>
      </c>
      <c r="E5" s="58">
        <v>0</v>
      </c>
      <c r="F5" s="58">
        <v>6779.6610170000004</v>
      </c>
      <c r="G5" s="58">
        <v>0</v>
      </c>
      <c r="H5" s="58">
        <v>0</v>
      </c>
      <c r="I5" s="58">
        <v>0</v>
      </c>
    </row>
    <row r="6" spans="1:9" x14ac:dyDescent="0.35">
      <c r="A6" s="57">
        <v>28514.219000000001</v>
      </c>
      <c r="B6" s="57">
        <v>11851.182839999999</v>
      </c>
      <c r="C6" s="58">
        <v>4222.5379999999996</v>
      </c>
      <c r="D6" s="58">
        <v>1328.747032</v>
      </c>
      <c r="E6" s="58">
        <v>0</v>
      </c>
      <c r="F6" s="58">
        <v>6779.6610170000004</v>
      </c>
      <c r="G6" s="58">
        <v>0</v>
      </c>
      <c r="H6" s="58">
        <v>0</v>
      </c>
      <c r="I6" s="58">
        <v>0</v>
      </c>
    </row>
    <row r="7" spans="1:9" x14ac:dyDescent="0.35">
      <c r="A7" s="57">
        <v>29517.690000000002</v>
      </c>
      <c r="B7" s="57">
        <v>11882.602849999999</v>
      </c>
      <c r="C7" s="58">
        <v>4353.5569999999998</v>
      </c>
      <c r="D7" s="58">
        <v>1426.7035080000001</v>
      </c>
      <c r="E7" s="58">
        <v>0</v>
      </c>
      <c r="F7" s="58">
        <v>6779.6610170000004</v>
      </c>
      <c r="G7" s="58">
        <v>0</v>
      </c>
      <c r="H7" s="58">
        <v>0</v>
      </c>
      <c r="I7" s="58">
        <v>0</v>
      </c>
    </row>
    <row r="8" spans="1:9" x14ac:dyDescent="0.35">
      <c r="A8" s="57">
        <v>31303.323</v>
      </c>
      <c r="B8" s="57">
        <v>11898.312849999998</v>
      </c>
      <c r="C8" s="58">
        <v>4546.4669999999996</v>
      </c>
      <c r="D8" s="58">
        <v>1524.659985</v>
      </c>
      <c r="E8" s="58">
        <v>0</v>
      </c>
      <c r="F8" s="58">
        <v>6779.6610170000004</v>
      </c>
      <c r="G8" s="58">
        <v>0</v>
      </c>
      <c r="H8" s="58">
        <v>0</v>
      </c>
      <c r="I8" s="58">
        <v>0</v>
      </c>
    </row>
    <row r="9" spans="1:9" x14ac:dyDescent="0.35">
      <c r="A9" s="57">
        <v>33072.214</v>
      </c>
      <c r="B9" s="57">
        <v>11914.022849999999</v>
      </c>
      <c r="C9" s="58">
        <v>4670.4759999999997</v>
      </c>
      <c r="D9" s="58">
        <v>1617.460857</v>
      </c>
      <c r="E9" s="58">
        <v>0</v>
      </c>
      <c r="F9" s="58">
        <v>6779.6610170000004</v>
      </c>
      <c r="G9" s="58">
        <v>0</v>
      </c>
      <c r="H9" s="58">
        <v>0</v>
      </c>
      <c r="I9" s="58">
        <v>0</v>
      </c>
    </row>
    <row r="10" spans="1:9" x14ac:dyDescent="0.35">
      <c r="A10" s="57">
        <v>34068.637999999999</v>
      </c>
      <c r="B10" s="57">
        <v>11914.022849999999</v>
      </c>
      <c r="C10" s="58">
        <v>4713.0320000000002</v>
      </c>
      <c r="D10" s="58">
        <v>1715.4173330000001</v>
      </c>
      <c r="E10" s="58">
        <v>0</v>
      </c>
      <c r="F10" s="58">
        <v>6779.6610170000004</v>
      </c>
      <c r="G10" s="58">
        <v>0</v>
      </c>
      <c r="H10" s="58">
        <v>0</v>
      </c>
      <c r="I10" s="58">
        <v>0</v>
      </c>
    </row>
    <row r="11" spans="1:9" x14ac:dyDescent="0.35">
      <c r="A11" s="57">
        <v>35359.433000000005</v>
      </c>
      <c r="B11" s="57">
        <v>11914.022849999999</v>
      </c>
      <c r="C11" s="58">
        <v>4911.3090000000002</v>
      </c>
      <c r="D11" s="58">
        <v>1715.4173330000001</v>
      </c>
      <c r="E11" s="58">
        <v>0</v>
      </c>
      <c r="F11" s="58">
        <v>6779.6610170000004</v>
      </c>
      <c r="G11" s="58">
        <v>0</v>
      </c>
      <c r="H11" s="58">
        <v>0</v>
      </c>
      <c r="I11" s="58">
        <v>0</v>
      </c>
    </row>
    <row r="12" spans="1:9" x14ac:dyDescent="0.35">
      <c r="A12" s="57">
        <v>35771.871999999996</v>
      </c>
      <c r="B12" s="57">
        <v>11914.022849999999</v>
      </c>
      <c r="C12" s="58">
        <v>5033.2820000000002</v>
      </c>
      <c r="D12" s="58">
        <v>1766.9733739999999</v>
      </c>
      <c r="E12" s="58">
        <v>578.16100895</v>
      </c>
      <c r="F12" s="58">
        <v>6779.6610170000004</v>
      </c>
      <c r="G12" s="58">
        <v>651.21892933000004</v>
      </c>
      <c r="H12" s="58">
        <v>0</v>
      </c>
      <c r="I12" s="58">
        <v>0</v>
      </c>
    </row>
    <row r="13" spans="1:9" x14ac:dyDescent="0.35">
      <c r="A13" s="57">
        <v>36558.857000000004</v>
      </c>
      <c r="B13" s="57">
        <v>11898.312849999998</v>
      </c>
      <c r="C13" s="58">
        <v>5241.0720000000001</v>
      </c>
      <c r="D13" s="58">
        <v>1766.9733739999999</v>
      </c>
      <c r="E13" s="58">
        <v>5000</v>
      </c>
      <c r="F13" s="58">
        <v>6779.6610170000004</v>
      </c>
      <c r="G13" s="58">
        <v>948.49916551000001</v>
      </c>
      <c r="H13" s="58">
        <v>818</v>
      </c>
      <c r="I13" s="58">
        <v>0</v>
      </c>
    </row>
    <row r="14" spans="1:9" x14ac:dyDescent="0.35">
      <c r="A14" s="57">
        <v>37443.359000000004</v>
      </c>
      <c r="B14" s="57">
        <v>11882.602849999999</v>
      </c>
      <c r="C14" s="58">
        <v>5572.7849999999999</v>
      </c>
      <c r="D14" s="58">
        <v>1715.4173330000001</v>
      </c>
      <c r="E14" s="58">
        <v>5000</v>
      </c>
      <c r="F14" s="58">
        <v>6779.6610170000004</v>
      </c>
      <c r="G14" s="58">
        <v>261.55916551000001</v>
      </c>
      <c r="H14" s="58">
        <v>818</v>
      </c>
      <c r="I14" s="58">
        <v>330</v>
      </c>
    </row>
    <row r="15" spans="1:9" x14ac:dyDescent="0.35">
      <c r="A15" s="57">
        <v>37784.136999999995</v>
      </c>
      <c r="B15" s="57">
        <v>11882.602849999999</v>
      </c>
      <c r="C15" s="58">
        <v>5282.482</v>
      </c>
      <c r="D15" s="58">
        <v>1741.195354</v>
      </c>
      <c r="E15" s="58">
        <v>5000</v>
      </c>
      <c r="F15" s="58">
        <v>6779.6610170000004</v>
      </c>
      <c r="G15" s="58">
        <v>261.55916551000001</v>
      </c>
      <c r="H15" s="58">
        <v>818</v>
      </c>
      <c r="I15" s="58">
        <v>77.210303929999995</v>
      </c>
    </row>
    <row r="16" spans="1:9" x14ac:dyDescent="0.35">
      <c r="A16" s="57">
        <v>37011.836000000003</v>
      </c>
      <c r="B16" s="57">
        <v>11898.312849999998</v>
      </c>
      <c r="C16" s="58">
        <v>5002.3549999999996</v>
      </c>
      <c r="D16" s="58">
        <v>1715.4173330000001</v>
      </c>
      <c r="E16" s="58">
        <v>5000</v>
      </c>
      <c r="F16" s="58">
        <v>6779.6610170000004</v>
      </c>
      <c r="G16" s="58">
        <v>948.49916551000001</v>
      </c>
      <c r="H16" s="58">
        <v>818</v>
      </c>
      <c r="I16" s="58">
        <v>0</v>
      </c>
    </row>
    <row r="17" spans="1:9" x14ac:dyDescent="0.35">
      <c r="A17" s="57">
        <v>36719.424999999996</v>
      </c>
      <c r="B17" s="57">
        <v>11914.022849999999</v>
      </c>
      <c r="C17" s="58">
        <v>5027.03</v>
      </c>
      <c r="D17" s="58">
        <v>1715.4173330000001</v>
      </c>
      <c r="E17" s="58">
        <v>5000</v>
      </c>
      <c r="F17" s="58">
        <v>6779.6610170000004</v>
      </c>
      <c r="G17" s="58">
        <v>981.21892933000004</v>
      </c>
      <c r="H17" s="58">
        <v>0</v>
      </c>
      <c r="I17" s="58">
        <v>0</v>
      </c>
    </row>
    <row r="18" spans="1:9" x14ac:dyDescent="0.35">
      <c r="A18" s="57">
        <v>37509.415000000001</v>
      </c>
      <c r="B18" s="57">
        <v>11914.022849999999</v>
      </c>
      <c r="C18" s="58">
        <v>5250.4759999999997</v>
      </c>
      <c r="D18" s="58">
        <v>1715.4173330000001</v>
      </c>
      <c r="E18" s="58">
        <v>0</v>
      </c>
      <c r="F18" s="58">
        <v>6779.6610170000004</v>
      </c>
      <c r="G18" s="58">
        <v>294.27892932999998</v>
      </c>
      <c r="H18" s="58">
        <v>0</v>
      </c>
      <c r="I18" s="58">
        <v>0</v>
      </c>
    </row>
    <row r="19" spans="1:9" x14ac:dyDescent="0.35">
      <c r="A19" s="57">
        <v>40018.881000000001</v>
      </c>
      <c r="B19" s="57">
        <v>10571.61585</v>
      </c>
      <c r="C19" s="58">
        <v>5897.9110000000001</v>
      </c>
      <c r="D19" s="58">
        <v>1715.4173330000001</v>
      </c>
      <c r="E19" s="58">
        <v>0</v>
      </c>
      <c r="F19" s="58">
        <v>5734.7610169999998</v>
      </c>
      <c r="G19" s="58">
        <v>0</v>
      </c>
      <c r="H19" s="58">
        <v>0</v>
      </c>
      <c r="I19" s="58">
        <v>0</v>
      </c>
    </row>
    <row r="20" spans="1:9" x14ac:dyDescent="0.35">
      <c r="A20" s="57">
        <v>41819.241000000002</v>
      </c>
      <c r="B20" s="57">
        <v>10555.905849999999</v>
      </c>
      <c r="C20" s="58">
        <v>6663.3337199999996</v>
      </c>
      <c r="D20" s="58">
        <v>1715.4173330000001</v>
      </c>
      <c r="E20" s="58">
        <v>0</v>
      </c>
      <c r="F20" s="58">
        <v>4690.3208989100003</v>
      </c>
      <c r="G20" s="58">
        <v>0</v>
      </c>
      <c r="H20" s="58">
        <v>0</v>
      </c>
      <c r="I20" s="58">
        <v>0</v>
      </c>
    </row>
    <row r="21" spans="1:9" x14ac:dyDescent="0.35">
      <c r="A21" s="57">
        <v>42276.455999999998</v>
      </c>
      <c r="B21" s="57">
        <v>10540.19585</v>
      </c>
      <c r="C21" s="58">
        <v>6779.2653191499994</v>
      </c>
      <c r="D21" s="58">
        <v>1560.7492130000001</v>
      </c>
      <c r="E21" s="58">
        <v>0</v>
      </c>
      <c r="F21" s="58">
        <v>3645.8807808299998</v>
      </c>
      <c r="G21" s="58">
        <v>0</v>
      </c>
      <c r="H21" s="58">
        <v>0</v>
      </c>
      <c r="I21" s="58">
        <v>0</v>
      </c>
    </row>
    <row r="22" spans="1:9" x14ac:dyDescent="0.35">
      <c r="A22" s="57">
        <v>41687.913999999997</v>
      </c>
      <c r="B22" s="57">
        <v>10524.485839999999</v>
      </c>
      <c r="C22" s="58">
        <v>6523.1627233999998</v>
      </c>
      <c r="D22" s="58">
        <v>1457.6371320000001</v>
      </c>
      <c r="E22" s="58">
        <v>0</v>
      </c>
      <c r="F22" s="58">
        <v>2601.4406627399999</v>
      </c>
      <c r="G22" s="58">
        <v>0</v>
      </c>
      <c r="H22" s="58">
        <v>0</v>
      </c>
      <c r="I22" s="58">
        <v>0</v>
      </c>
    </row>
    <row r="23" spans="1:9" x14ac:dyDescent="0.35">
      <c r="A23" s="57">
        <v>40136.485999999997</v>
      </c>
      <c r="B23" s="57">
        <v>10508.77584</v>
      </c>
      <c r="C23" s="58">
        <v>6077.3177872300002</v>
      </c>
      <c r="D23" s="58">
        <v>1380.3030719999999</v>
      </c>
      <c r="E23" s="58">
        <v>0</v>
      </c>
      <c r="F23" s="58">
        <v>1557.0005446499999</v>
      </c>
      <c r="G23" s="58">
        <v>0</v>
      </c>
      <c r="H23" s="58">
        <v>0</v>
      </c>
      <c r="I23" s="58">
        <v>0</v>
      </c>
    </row>
    <row r="24" spans="1:9" x14ac:dyDescent="0.35">
      <c r="A24" s="57">
        <v>37779.918000000005</v>
      </c>
      <c r="B24" s="57">
        <v>10493.065839999999</v>
      </c>
      <c r="C24" s="58">
        <v>6448.6117446799999</v>
      </c>
      <c r="D24" s="58">
        <v>1328.747032</v>
      </c>
      <c r="E24" s="58">
        <v>0</v>
      </c>
      <c r="F24" s="58">
        <v>2412.11279491</v>
      </c>
      <c r="G24" s="58">
        <v>0</v>
      </c>
      <c r="H24" s="58">
        <v>0</v>
      </c>
      <c r="I24" s="58">
        <v>0</v>
      </c>
    </row>
    <row r="25" spans="1:9" x14ac:dyDescent="0.35">
      <c r="A25" s="57">
        <v>35192.712</v>
      </c>
      <c r="B25" s="57">
        <v>10493.065839999999</v>
      </c>
      <c r="C25" s="58">
        <v>6118.0184000000008</v>
      </c>
      <c r="D25" s="58">
        <v>1328.747032</v>
      </c>
      <c r="E25" s="58">
        <v>0</v>
      </c>
      <c r="F25" s="58">
        <v>3457.0127949100001</v>
      </c>
      <c r="G25" s="58">
        <v>0</v>
      </c>
      <c r="H25" s="58">
        <v>0</v>
      </c>
      <c r="I25" s="58">
        <v>0</v>
      </c>
    </row>
    <row r="26" spans="1:9" x14ac:dyDescent="0.35">
      <c r="A26" s="57">
        <v>33864.518000000004</v>
      </c>
      <c r="B26" s="57">
        <v>10493.065839999999</v>
      </c>
      <c r="C26" s="58">
        <v>5660.5590000000002</v>
      </c>
      <c r="D26" s="58">
        <v>1293.3053709999999</v>
      </c>
      <c r="E26" s="58">
        <v>0</v>
      </c>
      <c r="F26" s="58">
        <v>4501.9137809599997</v>
      </c>
      <c r="G26" s="58">
        <v>0</v>
      </c>
      <c r="H26" s="58">
        <v>0</v>
      </c>
      <c r="I26" s="58">
        <v>0</v>
      </c>
    </row>
    <row r="27" spans="1:9" x14ac:dyDescent="0.35">
      <c r="A27" s="57">
        <v>32008.525000000001</v>
      </c>
      <c r="B27" s="57">
        <v>10493.065839999999</v>
      </c>
      <c r="C27" s="58">
        <v>5292.4740000000002</v>
      </c>
      <c r="D27" s="58">
        <v>1293.3053709999999</v>
      </c>
      <c r="E27" s="58">
        <v>0</v>
      </c>
      <c r="F27" s="58">
        <v>5546.8137809600003</v>
      </c>
      <c r="G27" s="58">
        <v>0</v>
      </c>
      <c r="H27" s="58">
        <v>0</v>
      </c>
      <c r="I27" s="58">
        <v>0</v>
      </c>
    </row>
    <row r="28" spans="1:9" x14ac:dyDescent="0.35">
      <c r="A28" s="57">
        <v>30957.318000000003</v>
      </c>
      <c r="B28" s="57">
        <v>10493.065839999999</v>
      </c>
      <c r="C28" s="58">
        <v>4865.9650000000001</v>
      </c>
      <c r="D28" s="58">
        <v>1293.3053709999999</v>
      </c>
      <c r="E28" s="58">
        <v>0</v>
      </c>
      <c r="F28" s="58">
        <v>5747.0736735</v>
      </c>
      <c r="G28" s="58">
        <v>0</v>
      </c>
      <c r="H28" s="58">
        <v>0</v>
      </c>
      <c r="I28" s="58">
        <v>0</v>
      </c>
    </row>
    <row r="29" spans="1:9" x14ac:dyDescent="0.35">
      <c r="A29" s="57">
        <v>30600.280999999999</v>
      </c>
      <c r="B29" s="57">
        <v>10493.065839999999</v>
      </c>
      <c r="C29" s="58">
        <v>4748.2039999999997</v>
      </c>
      <c r="D29" s="58">
        <v>1293.3053709999999</v>
      </c>
      <c r="E29" s="58">
        <v>0</v>
      </c>
      <c r="F29" s="58">
        <v>4702.1736735000004</v>
      </c>
      <c r="G29" s="58">
        <v>0</v>
      </c>
      <c r="H29" s="58">
        <v>0</v>
      </c>
      <c r="I29" s="58">
        <v>0</v>
      </c>
    </row>
    <row r="30" spans="1:9" x14ac:dyDescent="0.35">
      <c r="A30" s="57">
        <v>31411.432999999997</v>
      </c>
      <c r="B30" s="57">
        <v>10508.77584</v>
      </c>
      <c r="C30" s="58">
        <v>4916.92293617</v>
      </c>
      <c r="D30" s="58">
        <v>1293.3053709999999</v>
      </c>
      <c r="E30" s="58">
        <v>0</v>
      </c>
      <c r="F30" s="58">
        <v>3656.8137915900002</v>
      </c>
      <c r="G30" s="58">
        <v>0</v>
      </c>
      <c r="H30" s="58">
        <v>0</v>
      </c>
      <c r="I30" s="58">
        <v>0</v>
      </c>
    </row>
    <row r="31" spans="1:9" x14ac:dyDescent="0.35">
      <c r="A31" s="57">
        <v>33624.99</v>
      </c>
      <c r="B31" s="57">
        <v>10540.19585</v>
      </c>
      <c r="C31" s="58">
        <v>4987.0127400000001</v>
      </c>
      <c r="D31" s="58">
        <v>1391.261847</v>
      </c>
      <c r="E31" s="58">
        <v>0</v>
      </c>
      <c r="F31" s="58">
        <v>2610.9940277599999</v>
      </c>
      <c r="G31" s="58">
        <v>0</v>
      </c>
      <c r="H31" s="58">
        <v>0</v>
      </c>
      <c r="I31" s="58">
        <v>0</v>
      </c>
    </row>
    <row r="32" spans="1:9" x14ac:dyDescent="0.35">
      <c r="A32" s="57">
        <v>36794.512000000002</v>
      </c>
      <c r="B32" s="57">
        <v>10555.905849999999</v>
      </c>
      <c r="C32" s="58">
        <v>5322.4690799999998</v>
      </c>
      <c r="D32" s="58">
        <v>1489.2183239999999</v>
      </c>
      <c r="E32" s="58">
        <v>0</v>
      </c>
      <c r="F32" s="58">
        <v>2600.5208989100001</v>
      </c>
      <c r="G32" s="58">
        <v>0</v>
      </c>
      <c r="H32" s="58">
        <v>0</v>
      </c>
      <c r="I32" s="58">
        <v>0</v>
      </c>
    </row>
    <row r="33" spans="1:9" x14ac:dyDescent="0.35">
      <c r="A33" s="57">
        <v>39619.316999999995</v>
      </c>
      <c r="B33" s="57">
        <v>10571.61585</v>
      </c>
      <c r="C33" s="58">
        <v>5858.7920800000002</v>
      </c>
      <c r="D33" s="58">
        <v>1582.019196</v>
      </c>
      <c r="E33" s="58">
        <v>0</v>
      </c>
      <c r="F33" s="58">
        <v>3644.9610170000001</v>
      </c>
      <c r="G33" s="58">
        <v>0</v>
      </c>
      <c r="H33" s="58">
        <v>0</v>
      </c>
      <c r="I33" s="58">
        <v>0</v>
      </c>
    </row>
    <row r="34" spans="1:9" x14ac:dyDescent="0.35">
      <c r="A34" s="57">
        <v>41470.403000000006</v>
      </c>
      <c r="B34" s="57">
        <v>10571.61585</v>
      </c>
      <c r="C34" s="58">
        <v>6357.06808</v>
      </c>
      <c r="D34" s="58">
        <v>1679.9756729999999</v>
      </c>
      <c r="E34" s="58">
        <v>0</v>
      </c>
      <c r="F34" s="58">
        <v>4689.8610170000002</v>
      </c>
      <c r="G34" s="58">
        <v>0</v>
      </c>
      <c r="H34" s="58">
        <v>0</v>
      </c>
      <c r="I34" s="58">
        <v>0</v>
      </c>
    </row>
    <row r="35" spans="1:9" x14ac:dyDescent="0.35">
      <c r="A35" s="57">
        <v>42656.406999999999</v>
      </c>
      <c r="B35" s="57">
        <v>10571.61585</v>
      </c>
      <c r="C35" s="58">
        <v>6491.9089999999997</v>
      </c>
      <c r="D35" s="58">
        <v>1679.9756729999999</v>
      </c>
      <c r="E35" s="58">
        <v>0</v>
      </c>
      <c r="F35" s="58">
        <v>5734.7610169999998</v>
      </c>
      <c r="G35" s="58">
        <v>0</v>
      </c>
      <c r="H35" s="58">
        <v>0</v>
      </c>
      <c r="I35" s="58">
        <v>0</v>
      </c>
    </row>
    <row r="36" spans="1:9" x14ac:dyDescent="0.35">
      <c r="A36" s="57">
        <v>42575.571000000004</v>
      </c>
      <c r="B36" s="57">
        <v>11914.022849999999</v>
      </c>
      <c r="C36" s="58">
        <v>6381.1840000000002</v>
      </c>
      <c r="D36" s="58">
        <v>1731.5317130000001</v>
      </c>
      <c r="E36" s="58">
        <v>0</v>
      </c>
      <c r="F36" s="58">
        <v>6779.6610170000004</v>
      </c>
      <c r="G36" s="58">
        <v>0</v>
      </c>
      <c r="H36" s="58">
        <v>0</v>
      </c>
      <c r="I36" s="58">
        <v>0</v>
      </c>
    </row>
    <row r="37" spans="1:9" x14ac:dyDescent="0.35">
      <c r="A37" s="57">
        <v>42837.446000000004</v>
      </c>
      <c r="B37" s="57">
        <v>11898.312849999998</v>
      </c>
      <c r="C37" s="58">
        <v>6459.91</v>
      </c>
      <c r="D37" s="58">
        <v>1731.5317130000001</v>
      </c>
      <c r="E37" s="58">
        <v>0</v>
      </c>
      <c r="F37" s="58">
        <v>6779.6610170000004</v>
      </c>
      <c r="G37" s="58">
        <v>0</v>
      </c>
      <c r="H37" s="58">
        <v>0</v>
      </c>
      <c r="I37" s="58">
        <v>0</v>
      </c>
    </row>
    <row r="38" spans="1:9" x14ac:dyDescent="0.35">
      <c r="A38" s="57">
        <v>43054.642</v>
      </c>
      <c r="B38" s="57">
        <v>11882.602849999999</v>
      </c>
      <c r="C38" s="58">
        <v>6512.3739999999998</v>
      </c>
      <c r="D38" s="58">
        <v>1679.9756729999999</v>
      </c>
      <c r="E38" s="58">
        <v>0</v>
      </c>
      <c r="F38" s="58">
        <v>6779.6610170000004</v>
      </c>
      <c r="G38" s="58">
        <v>0</v>
      </c>
      <c r="H38" s="58">
        <v>0</v>
      </c>
      <c r="I38" s="58">
        <v>0</v>
      </c>
    </row>
    <row r="39" spans="1:9" x14ac:dyDescent="0.35">
      <c r="A39" s="57">
        <v>42919.839</v>
      </c>
      <c r="B39" s="57">
        <v>11882.602849999999</v>
      </c>
      <c r="C39" s="58">
        <v>6237.08</v>
      </c>
      <c r="D39" s="58">
        <v>1705.7536930000001</v>
      </c>
      <c r="E39" s="58">
        <v>0</v>
      </c>
      <c r="F39" s="58">
        <v>6779.6610170000004</v>
      </c>
      <c r="G39" s="58">
        <v>588.96592054999996</v>
      </c>
      <c r="H39" s="58">
        <v>0</v>
      </c>
      <c r="I39" s="58">
        <v>0</v>
      </c>
    </row>
    <row r="40" spans="1:9" x14ac:dyDescent="0.35">
      <c r="A40" s="57">
        <v>42174.104999999996</v>
      </c>
      <c r="B40" s="57">
        <v>11898.312849999998</v>
      </c>
      <c r="C40" s="58">
        <v>6179.3860000000004</v>
      </c>
      <c r="D40" s="58">
        <v>1679.9756729999999</v>
      </c>
      <c r="E40" s="58">
        <v>0</v>
      </c>
      <c r="F40" s="58">
        <v>6779.6610170000004</v>
      </c>
      <c r="G40" s="58">
        <v>650.75806136999995</v>
      </c>
      <c r="H40" s="58">
        <v>0</v>
      </c>
      <c r="I40" s="58">
        <v>0</v>
      </c>
    </row>
    <row r="41" spans="1:9" x14ac:dyDescent="0.35">
      <c r="A41" s="57">
        <v>42199.495000000003</v>
      </c>
      <c r="B41" s="57">
        <v>11914.022849999999</v>
      </c>
      <c r="C41" s="58">
        <v>6194.5559999999996</v>
      </c>
      <c r="D41" s="58">
        <v>1679.9756729999999</v>
      </c>
      <c r="E41" s="58">
        <v>0</v>
      </c>
      <c r="F41" s="58">
        <v>5990.2735120899997</v>
      </c>
      <c r="G41" s="58">
        <v>651.21794327999999</v>
      </c>
      <c r="H41" s="58">
        <v>0</v>
      </c>
      <c r="I41" s="58">
        <v>0</v>
      </c>
    </row>
    <row r="42" spans="1:9" x14ac:dyDescent="0.35">
      <c r="A42" s="57">
        <v>42908.385000000002</v>
      </c>
      <c r="B42" s="57">
        <v>11914.022849999999</v>
      </c>
      <c r="C42" s="58">
        <v>6425.3190000000004</v>
      </c>
      <c r="D42" s="58">
        <v>1679.9756729999999</v>
      </c>
      <c r="E42" s="58">
        <v>0</v>
      </c>
      <c r="F42" s="58">
        <v>4945.3735120900001</v>
      </c>
      <c r="G42" s="58">
        <v>0</v>
      </c>
      <c r="H42" s="58">
        <v>0</v>
      </c>
      <c r="I42" s="58">
        <v>0</v>
      </c>
    </row>
    <row r="43" spans="1:9" x14ac:dyDescent="0.35">
      <c r="A43" s="57">
        <v>45100.183999999994</v>
      </c>
      <c r="B43" s="57">
        <v>10571.61585</v>
      </c>
      <c r="C43" s="58">
        <v>6957.1009999999997</v>
      </c>
      <c r="D43" s="58">
        <v>1679.9756729999999</v>
      </c>
      <c r="E43" s="58">
        <v>0</v>
      </c>
      <c r="F43" s="58">
        <v>3900.47351209</v>
      </c>
      <c r="G43" s="58">
        <v>0</v>
      </c>
      <c r="H43" s="58">
        <v>0</v>
      </c>
      <c r="I43" s="58">
        <v>0</v>
      </c>
    </row>
    <row r="44" spans="1:9" x14ac:dyDescent="0.35">
      <c r="A44" s="57">
        <v>46450.087</v>
      </c>
      <c r="B44" s="57">
        <v>10555.905849999999</v>
      </c>
      <c r="C44" s="58">
        <v>7690.8571276599996</v>
      </c>
      <c r="D44" s="58">
        <v>1679.9756729999999</v>
      </c>
      <c r="E44" s="58">
        <v>0</v>
      </c>
      <c r="F44" s="58">
        <v>2856.033394</v>
      </c>
      <c r="G44" s="58">
        <v>0</v>
      </c>
      <c r="H44" s="58">
        <v>0</v>
      </c>
      <c r="I44" s="58">
        <v>0</v>
      </c>
    </row>
    <row r="45" spans="1:9" x14ac:dyDescent="0.35">
      <c r="A45" s="57">
        <v>46119.771000000001</v>
      </c>
      <c r="B45" s="57">
        <v>10540.19585</v>
      </c>
      <c r="C45" s="58">
        <v>7753.7723191500008</v>
      </c>
      <c r="D45" s="58">
        <v>1525.307552</v>
      </c>
      <c r="E45" s="58">
        <v>0</v>
      </c>
      <c r="F45" s="58">
        <v>1811.5932759100001</v>
      </c>
      <c r="G45" s="58">
        <v>0</v>
      </c>
      <c r="H45" s="58">
        <v>0</v>
      </c>
      <c r="I45" s="58">
        <v>0</v>
      </c>
    </row>
    <row r="46" spans="1:9" x14ac:dyDescent="0.35">
      <c r="A46" s="57">
        <v>44509.570999999996</v>
      </c>
      <c r="B46" s="57">
        <v>10524.485839999999</v>
      </c>
      <c r="C46" s="58">
        <v>7411.6607233999994</v>
      </c>
      <c r="D46" s="58">
        <v>1422.195471</v>
      </c>
      <c r="E46" s="58">
        <v>0</v>
      </c>
      <c r="F46" s="58">
        <v>767.15315782000005</v>
      </c>
      <c r="G46" s="58">
        <v>0</v>
      </c>
      <c r="H46" s="58">
        <v>0</v>
      </c>
      <c r="I46" s="58">
        <v>0</v>
      </c>
    </row>
    <row r="47" spans="1:9" x14ac:dyDescent="0.35">
      <c r="A47" s="57">
        <v>41916.962999999996</v>
      </c>
      <c r="B47" s="57">
        <v>10508.77584</v>
      </c>
      <c r="C47" s="58">
        <v>6906.3997872300006</v>
      </c>
      <c r="D47" s="58">
        <v>1344.8614110000001</v>
      </c>
      <c r="E47" s="58">
        <v>0</v>
      </c>
      <c r="F47" s="58">
        <v>422.70993096000001</v>
      </c>
      <c r="G47" s="58">
        <v>0</v>
      </c>
      <c r="H47" s="58">
        <v>0</v>
      </c>
      <c r="I47" s="58">
        <v>0</v>
      </c>
    </row>
    <row r="48" spans="1:9" x14ac:dyDescent="0.35">
      <c r="A48" s="57">
        <v>39305.498999999996</v>
      </c>
      <c r="B48" s="57">
        <v>10493.065839999999</v>
      </c>
      <c r="C48" s="58">
        <v>7179.3247446799996</v>
      </c>
      <c r="D48" s="58">
        <v>1293.3053709999999</v>
      </c>
      <c r="E48" s="58">
        <v>0</v>
      </c>
      <c r="F48" s="58">
        <v>323.07465397999999</v>
      </c>
      <c r="G48" s="58">
        <v>0</v>
      </c>
      <c r="H48" s="58">
        <v>0</v>
      </c>
      <c r="I48" s="58">
        <v>0</v>
      </c>
    </row>
    <row r="49" spans="1:9" x14ac:dyDescent="0.35">
      <c r="A49" s="57">
        <v>36822.039000000004</v>
      </c>
      <c r="B49" s="57">
        <v>10493.065839999999</v>
      </c>
      <c r="C49" s="58">
        <v>6744.73897872</v>
      </c>
      <c r="D49" s="58">
        <v>1293.3053709999999</v>
      </c>
      <c r="E49" s="58">
        <v>0</v>
      </c>
      <c r="F49" s="58">
        <v>164.34492398</v>
      </c>
      <c r="G49" s="58">
        <v>0</v>
      </c>
      <c r="H49" s="58">
        <v>0</v>
      </c>
      <c r="I49" s="58">
        <v>0</v>
      </c>
    </row>
    <row r="50" spans="1:9" x14ac:dyDescent="0.35">
      <c r="A50" s="57">
        <v>34041.472999999998</v>
      </c>
      <c r="B50" s="57">
        <v>10493.065839999999</v>
      </c>
      <c r="C50" s="58">
        <v>5937.9502340399995</v>
      </c>
      <c r="D50" s="58">
        <v>1174.815008</v>
      </c>
      <c r="E50" s="58">
        <v>0</v>
      </c>
      <c r="F50" s="58">
        <v>174.87043702</v>
      </c>
      <c r="G50" s="58">
        <v>0</v>
      </c>
      <c r="H50" s="58">
        <v>0</v>
      </c>
      <c r="I50" s="58">
        <v>0</v>
      </c>
    </row>
    <row r="51" spans="1:9" x14ac:dyDescent="0.35">
      <c r="A51" s="57">
        <v>32186.687000000002</v>
      </c>
      <c r="B51" s="57">
        <v>10493.065839999999</v>
      </c>
      <c r="C51" s="58">
        <v>5424.3986645499999</v>
      </c>
      <c r="D51" s="58">
        <v>1174.815008</v>
      </c>
      <c r="E51" s="58">
        <v>0</v>
      </c>
      <c r="F51" s="58">
        <v>266.18921702</v>
      </c>
      <c r="G51" s="58">
        <v>0</v>
      </c>
      <c r="H51" s="58">
        <v>0</v>
      </c>
      <c r="I51" s="58">
        <v>0</v>
      </c>
    </row>
    <row r="52" spans="1:9" x14ac:dyDescent="0.35">
      <c r="A52" s="57">
        <v>31139.749</v>
      </c>
      <c r="B52" s="57">
        <v>10493.065839999999</v>
      </c>
      <c r="C52" s="58">
        <v>5070.7197021300008</v>
      </c>
      <c r="D52" s="58">
        <v>1174.815008</v>
      </c>
      <c r="E52" s="58">
        <v>0</v>
      </c>
      <c r="F52" s="58">
        <v>358.58648701999999</v>
      </c>
      <c r="G52" s="58">
        <v>0</v>
      </c>
      <c r="H52" s="58">
        <v>0</v>
      </c>
      <c r="I52" s="58">
        <v>0</v>
      </c>
    </row>
    <row r="53" spans="1:9" x14ac:dyDescent="0.35">
      <c r="A53" s="57">
        <v>30786.334999999999</v>
      </c>
      <c r="B53" s="57">
        <v>10493.065839999999</v>
      </c>
      <c r="C53" s="58">
        <v>4933.6143191499996</v>
      </c>
      <c r="D53" s="58">
        <v>1174.815008</v>
      </c>
      <c r="E53" s="58">
        <v>0</v>
      </c>
      <c r="F53" s="58">
        <v>263.65451702000001</v>
      </c>
      <c r="G53" s="58">
        <v>0</v>
      </c>
      <c r="H53" s="58">
        <v>0</v>
      </c>
      <c r="I53" s="58">
        <v>0</v>
      </c>
    </row>
    <row r="54" spans="1:9" x14ac:dyDescent="0.35">
      <c r="A54" s="57">
        <v>31563.398999999998</v>
      </c>
      <c r="B54" s="57">
        <v>10508.77584</v>
      </c>
      <c r="C54" s="58">
        <v>4938.7969361699998</v>
      </c>
      <c r="D54" s="58">
        <v>1174.815008</v>
      </c>
      <c r="E54" s="58">
        <v>0</v>
      </c>
      <c r="F54" s="58">
        <v>138.12049425999999</v>
      </c>
      <c r="G54" s="58">
        <v>0</v>
      </c>
      <c r="H54" s="58">
        <v>0</v>
      </c>
      <c r="I54" s="58">
        <v>0</v>
      </c>
    </row>
    <row r="55" spans="1:9" x14ac:dyDescent="0.35">
      <c r="A55" s="57">
        <v>33761.370999999999</v>
      </c>
      <c r="B55" s="57">
        <v>10540.19585</v>
      </c>
      <c r="C55" s="58">
        <v>5010.1087400000006</v>
      </c>
      <c r="D55" s="58">
        <v>1272.7714840000001</v>
      </c>
      <c r="E55" s="58">
        <v>0</v>
      </c>
      <c r="F55" s="58">
        <v>0</v>
      </c>
      <c r="G55" s="58">
        <v>0</v>
      </c>
      <c r="H55" s="58">
        <v>0</v>
      </c>
      <c r="I55" s="58">
        <v>0</v>
      </c>
    </row>
    <row r="56" spans="1:9" x14ac:dyDescent="0.35">
      <c r="A56" s="57">
        <v>36898.642</v>
      </c>
      <c r="B56" s="57">
        <v>10555.905849999999</v>
      </c>
      <c r="C56" s="58">
        <v>5351.7030799999993</v>
      </c>
      <c r="D56" s="58">
        <v>1370.7279610000001</v>
      </c>
      <c r="E56" s="58">
        <v>0</v>
      </c>
      <c r="F56" s="58">
        <v>517.83283323000001</v>
      </c>
      <c r="G56" s="58">
        <v>0</v>
      </c>
      <c r="H56" s="58">
        <v>0</v>
      </c>
      <c r="I56" s="58">
        <v>0</v>
      </c>
    </row>
    <row r="57" spans="1:9" x14ac:dyDescent="0.35">
      <c r="A57" s="57">
        <v>39710.42</v>
      </c>
      <c r="B57" s="57">
        <v>10571.61585</v>
      </c>
      <c r="C57" s="58">
        <v>5890.0850799999998</v>
      </c>
      <c r="D57" s="58">
        <v>1463.5288330000001</v>
      </c>
      <c r="E57" s="58">
        <v>0</v>
      </c>
      <c r="F57" s="58">
        <v>1562.2729513199999</v>
      </c>
      <c r="G57" s="58">
        <v>0</v>
      </c>
      <c r="H57" s="58">
        <v>0</v>
      </c>
      <c r="I57" s="58">
        <v>0</v>
      </c>
    </row>
    <row r="58" spans="1:9" x14ac:dyDescent="0.35">
      <c r="A58" s="57">
        <v>41635.459000000003</v>
      </c>
      <c r="B58" s="57">
        <v>10571.61585</v>
      </c>
      <c r="C58" s="58">
        <v>6392.25108</v>
      </c>
      <c r="D58" s="58">
        <v>1561.48531</v>
      </c>
      <c r="E58" s="58">
        <v>0</v>
      </c>
      <c r="F58" s="58">
        <v>2607.1729513199998</v>
      </c>
      <c r="G58" s="58">
        <v>0</v>
      </c>
      <c r="H58" s="58">
        <v>0</v>
      </c>
      <c r="I58" s="58">
        <v>0</v>
      </c>
    </row>
    <row r="59" spans="1:9" x14ac:dyDescent="0.35">
      <c r="A59" s="57">
        <v>43017.055999999997</v>
      </c>
      <c r="B59" s="57">
        <v>10571.61585</v>
      </c>
      <c r="C59" s="58">
        <v>6535.6229999999996</v>
      </c>
      <c r="D59" s="58">
        <v>1561.48531</v>
      </c>
      <c r="E59" s="58">
        <v>0</v>
      </c>
      <c r="F59" s="58">
        <v>3652.0729513199999</v>
      </c>
      <c r="G59" s="58">
        <v>0</v>
      </c>
      <c r="H59" s="58">
        <v>0</v>
      </c>
      <c r="I59" s="58">
        <v>0</v>
      </c>
    </row>
    <row r="60" spans="1:9" x14ac:dyDescent="0.35">
      <c r="A60" s="57">
        <v>42980.409</v>
      </c>
      <c r="B60" s="57">
        <v>11914.022849999999</v>
      </c>
      <c r="C60" s="58">
        <v>6439.6170000000002</v>
      </c>
      <c r="D60" s="58">
        <v>1613.04135</v>
      </c>
      <c r="E60" s="58">
        <v>0</v>
      </c>
      <c r="F60" s="58">
        <v>4696.97295132</v>
      </c>
      <c r="G60" s="58">
        <v>0</v>
      </c>
      <c r="H60" s="58">
        <v>0</v>
      </c>
      <c r="I60" s="58">
        <v>0</v>
      </c>
    </row>
    <row r="61" spans="1:9" x14ac:dyDescent="0.35">
      <c r="A61" s="57">
        <v>42961.798999999999</v>
      </c>
      <c r="B61" s="57">
        <v>11898.312849999998</v>
      </c>
      <c r="C61" s="58">
        <v>6528.7719999999999</v>
      </c>
      <c r="D61" s="58">
        <v>1613.04135</v>
      </c>
      <c r="E61" s="58">
        <v>0</v>
      </c>
      <c r="F61" s="58">
        <v>5742.3328332299998</v>
      </c>
      <c r="G61" s="58">
        <v>165.50463893</v>
      </c>
      <c r="H61" s="58">
        <v>0</v>
      </c>
      <c r="I61" s="58">
        <v>0</v>
      </c>
    </row>
    <row r="62" spans="1:9" x14ac:dyDescent="0.35">
      <c r="A62" s="57">
        <v>43064.267999999996</v>
      </c>
      <c r="B62" s="57">
        <v>11882.602849999999</v>
      </c>
      <c r="C62" s="58">
        <v>6583.1930000000002</v>
      </c>
      <c r="D62" s="58">
        <v>1561.48531</v>
      </c>
      <c r="E62" s="58">
        <v>0</v>
      </c>
      <c r="F62" s="58">
        <v>6779.6610170000004</v>
      </c>
      <c r="G62" s="58">
        <v>650.29719340999998</v>
      </c>
      <c r="H62" s="58">
        <v>0</v>
      </c>
      <c r="I62" s="58">
        <v>0</v>
      </c>
    </row>
    <row r="63" spans="1:9" x14ac:dyDescent="0.35">
      <c r="A63" s="57">
        <v>42777.860999999997</v>
      </c>
      <c r="B63" s="57">
        <v>11882.602849999999</v>
      </c>
      <c r="C63" s="58">
        <v>6305.54</v>
      </c>
      <c r="D63" s="58">
        <v>1587.26333</v>
      </c>
      <c r="E63" s="58">
        <v>0</v>
      </c>
      <c r="F63" s="58">
        <v>6779.6610170000004</v>
      </c>
      <c r="G63" s="58">
        <v>650.29719340999998</v>
      </c>
      <c r="H63" s="58">
        <v>0</v>
      </c>
      <c r="I63" s="58">
        <v>0</v>
      </c>
    </row>
    <row r="64" spans="1:9" x14ac:dyDescent="0.35">
      <c r="A64" s="57">
        <v>42145.585999999996</v>
      </c>
      <c r="B64" s="57">
        <v>11898.312849999998</v>
      </c>
      <c r="C64" s="58">
        <v>6245.7089999999998</v>
      </c>
      <c r="D64" s="58">
        <v>1561.48531</v>
      </c>
      <c r="E64" s="58">
        <v>0</v>
      </c>
      <c r="F64" s="58">
        <v>6093.3312093699997</v>
      </c>
      <c r="G64" s="58">
        <v>650.75707532000001</v>
      </c>
      <c r="H64" s="58">
        <v>0</v>
      </c>
      <c r="I64" s="58">
        <v>0</v>
      </c>
    </row>
    <row r="65" spans="1:9" x14ac:dyDescent="0.35">
      <c r="A65" s="57">
        <v>42152.854000000007</v>
      </c>
      <c r="B65" s="57">
        <v>11914.022849999999</v>
      </c>
      <c r="C65" s="58">
        <v>6248.9279999999999</v>
      </c>
      <c r="D65" s="58">
        <v>1561.48531</v>
      </c>
      <c r="E65" s="58">
        <v>0</v>
      </c>
      <c r="F65" s="58">
        <v>5047.9713274599999</v>
      </c>
      <c r="G65" s="58">
        <v>0</v>
      </c>
      <c r="H65" s="58">
        <v>0</v>
      </c>
      <c r="I65" s="58">
        <v>0</v>
      </c>
    </row>
    <row r="66" spans="1:9" x14ac:dyDescent="0.35">
      <c r="A66" s="57">
        <v>42840.685999999994</v>
      </c>
      <c r="B66" s="57">
        <v>10571.61585</v>
      </c>
      <c r="C66" s="58">
        <v>6466.9210000000003</v>
      </c>
      <c r="D66" s="58">
        <v>1561.48531</v>
      </c>
      <c r="E66" s="58">
        <v>0</v>
      </c>
      <c r="F66" s="58">
        <v>4003.0713274599998</v>
      </c>
      <c r="G66" s="58">
        <v>0</v>
      </c>
      <c r="H66" s="58">
        <v>0</v>
      </c>
      <c r="I66" s="58">
        <v>0</v>
      </c>
    </row>
    <row r="67" spans="1:9" x14ac:dyDescent="0.35">
      <c r="A67" s="57">
        <v>44969.057000000001</v>
      </c>
      <c r="B67" s="57">
        <v>10571.61585</v>
      </c>
      <c r="C67" s="58">
        <v>6989.848</v>
      </c>
      <c r="D67" s="58">
        <v>1561.48531</v>
      </c>
      <c r="E67" s="58">
        <v>0</v>
      </c>
      <c r="F67" s="58">
        <v>2958.1713274600002</v>
      </c>
      <c r="G67" s="58">
        <v>0</v>
      </c>
      <c r="H67" s="58">
        <v>0</v>
      </c>
      <c r="I67" s="58">
        <v>0</v>
      </c>
    </row>
    <row r="68" spans="1:9" x14ac:dyDescent="0.35">
      <c r="A68" s="57">
        <v>46147.664999999994</v>
      </c>
      <c r="B68" s="57">
        <v>10555.905849999999</v>
      </c>
      <c r="C68" s="58">
        <v>7702.2851276599995</v>
      </c>
      <c r="D68" s="58">
        <v>1561.48531</v>
      </c>
      <c r="E68" s="58">
        <v>0</v>
      </c>
      <c r="F68" s="58">
        <v>1262.97413405</v>
      </c>
      <c r="G68" s="58">
        <v>0</v>
      </c>
      <c r="H68" s="58">
        <v>0</v>
      </c>
      <c r="I68" s="58">
        <v>0</v>
      </c>
    </row>
    <row r="69" spans="1:9" x14ac:dyDescent="0.35">
      <c r="A69" s="57">
        <v>45745.038999999997</v>
      </c>
      <c r="B69" s="57">
        <v>10540.19585</v>
      </c>
      <c r="C69" s="58">
        <v>7752.3703191500008</v>
      </c>
      <c r="D69" s="58">
        <v>1406.8171890000001</v>
      </c>
      <c r="E69" s="58">
        <v>0</v>
      </c>
      <c r="F69" s="58">
        <v>285.00377354</v>
      </c>
      <c r="G69" s="58">
        <v>0</v>
      </c>
      <c r="H69" s="58">
        <v>0</v>
      </c>
      <c r="I69" s="58">
        <v>0</v>
      </c>
    </row>
    <row r="70" spans="1:9" x14ac:dyDescent="0.35">
      <c r="A70" s="57">
        <v>44156.023999999998</v>
      </c>
      <c r="B70" s="57">
        <v>10524.485839999999</v>
      </c>
      <c r="C70" s="58">
        <v>7406.4287233999994</v>
      </c>
      <c r="D70" s="58">
        <v>1303.705109</v>
      </c>
      <c r="E70" s="58">
        <v>0</v>
      </c>
      <c r="F70" s="58">
        <v>0</v>
      </c>
      <c r="G70" s="58">
        <v>0</v>
      </c>
      <c r="H70" s="58">
        <v>0</v>
      </c>
      <c r="I70" s="58">
        <v>0</v>
      </c>
    </row>
    <row r="71" spans="1:9" x14ac:dyDescent="0.35">
      <c r="A71" s="57">
        <v>41586.962</v>
      </c>
      <c r="B71" s="57">
        <v>10508.77584</v>
      </c>
      <c r="C71" s="58">
        <v>6901.7147872300002</v>
      </c>
      <c r="D71" s="58">
        <v>1226.371048</v>
      </c>
      <c r="E71" s="58">
        <v>0</v>
      </c>
      <c r="F71" s="58">
        <v>0</v>
      </c>
      <c r="G71" s="58">
        <v>0</v>
      </c>
      <c r="H71" s="58">
        <v>0</v>
      </c>
      <c r="I71" s="58">
        <v>0</v>
      </c>
    </row>
    <row r="72" spans="1:9" x14ac:dyDescent="0.35">
      <c r="A72" s="57">
        <v>38994.726999999999</v>
      </c>
      <c r="B72" s="57">
        <v>10493.065839999999</v>
      </c>
      <c r="C72" s="58">
        <v>7179.7607446799993</v>
      </c>
      <c r="D72" s="58">
        <v>1174.815008</v>
      </c>
      <c r="E72" s="58">
        <v>0</v>
      </c>
      <c r="F72" s="58">
        <v>0</v>
      </c>
      <c r="G72" s="58">
        <v>0</v>
      </c>
      <c r="H72" s="58">
        <v>0</v>
      </c>
      <c r="I72" s="58">
        <v>0</v>
      </c>
    </row>
    <row r="73" spans="1:9" x14ac:dyDescent="0.35">
      <c r="A73" s="57">
        <v>36572.055999999997</v>
      </c>
      <c r="B73" s="57">
        <v>10493.065839999999</v>
      </c>
      <c r="C73" s="58">
        <v>6740.6619787200007</v>
      </c>
      <c r="D73" s="58">
        <v>1174.815008</v>
      </c>
      <c r="E73" s="58">
        <v>0</v>
      </c>
      <c r="F73" s="58">
        <v>0</v>
      </c>
      <c r="G73" s="58">
        <v>0</v>
      </c>
      <c r="H73" s="58">
        <v>0</v>
      </c>
      <c r="I73" s="58">
        <v>0</v>
      </c>
    </row>
    <row r="74" spans="1:9" x14ac:dyDescent="0.35">
      <c r="A74" s="57">
        <v>33950.953999999998</v>
      </c>
      <c r="B74" s="57">
        <v>10493.065839999999</v>
      </c>
      <c r="C74" s="58">
        <v>5935.5832340399993</v>
      </c>
      <c r="D74" s="58">
        <v>1178.6316489999999</v>
      </c>
      <c r="E74" s="58">
        <v>0</v>
      </c>
      <c r="F74" s="58">
        <v>0</v>
      </c>
      <c r="G74" s="58">
        <v>0</v>
      </c>
      <c r="H74" s="58">
        <v>0</v>
      </c>
      <c r="I74" s="58">
        <v>0</v>
      </c>
    </row>
    <row r="75" spans="1:9" x14ac:dyDescent="0.35">
      <c r="A75" s="57">
        <v>32148.978000000003</v>
      </c>
      <c r="B75" s="57">
        <v>10493.065839999999</v>
      </c>
      <c r="C75" s="58">
        <v>5549.8117872299999</v>
      </c>
      <c r="D75" s="58">
        <v>1178.6316489999999</v>
      </c>
      <c r="E75" s="58">
        <v>0</v>
      </c>
      <c r="F75" s="58">
        <v>0</v>
      </c>
      <c r="G75" s="58">
        <v>0</v>
      </c>
      <c r="H75" s="58">
        <v>0</v>
      </c>
      <c r="I75" s="58">
        <v>0</v>
      </c>
    </row>
    <row r="76" spans="1:9" x14ac:dyDescent="0.35">
      <c r="A76" s="57">
        <v>31138.452000000001</v>
      </c>
      <c r="B76" s="57">
        <v>10493.065839999999</v>
      </c>
      <c r="C76" s="58">
        <v>5064.1977021300008</v>
      </c>
      <c r="D76" s="58">
        <v>1178.6316489999999</v>
      </c>
      <c r="E76" s="58">
        <v>0</v>
      </c>
      <c r="F76" s="58">
        <v>0</v>
      </c>
      <c r="G76" s="58">
        <v>0</v>
      </c>
      <c r="H76" s="58">
        <v>0</v>
      </c>
      <c r="I76" s="58">
        <v>0</v>
      </c>
    </row>
    <row r="77" spans="1:9" x14ac:dyDescent="0.35">
      <c r="A77" s="57">
        <v>30792.75</v>
      </c>
      <c r="B77" s="57">
        <v>10493.065839999999</v>
      </c>
      <c r="C77" s="58">
        <v>4928.15231915</v>
      </c>
      <c r="D77" s="58">
        <v>1178.6316489999999</v>
      </c>
      <c r="E77" s="58">
        <v>0</v>
      </c>
      <c r="F77" s="58">
        <v>0</v>
      </c>
      <c r="G77" s="58">
        <v>0</v>
      </c>
      <c r="H77" s="58">
        <v>0</v>
      </c>
      <c r="I77" s="58">
        <v>0</v>
      </c>
    </row>
    <row r="78" spans="1:9" x14ac:dyDescent="0.35">
      <c r="A78" s="57">
        <v>31541.613999999998</v>
      </c>
      <c r="B78" s="57">
        <v>10508.77584</v>
      </c>
      <c r="C78" s="58">
        <v>4931.54793617</v>
      </c>
      <c r="D78" s="58">
        <v>1178.6316489999999</v>
      </c>
      <c r="E78" s="58">
        <v>0</v>
      </c>
      <c r="F78" s="58">
        <v>0</v>
      </c>
      <c r="G78" s="58">
        <v>0</v>
      </c>
      <c r="H78" s="58">
        <v>0</v>
      </c>
      <c r="I78" s="58">
        <v>0</v>
      </c>
    </row>
    <row r="79" spans="1:9" x14ac:dyDescent="0.35">
      <c r="A79" s="57">
        <v>33680.780999999995</v>
      </c>
      <c r="B79" s="57">
        <v>10540.19585</v>
      </c>
      <c r="C79" s="58">
        <v>5063.0123191500006</v>
      </c>
      <c r="D79" s="58">
        <v>1276.5881260000001</v>
      </c>
      <c r="E79" s="58">
        <v>0</v>
      </c>
      <c r="F79" s="58">
        <v>0</v>
      </c>
      <c r="G79" s="58">
        <v>0</v>
      </c>
      <c r="H79" s="58">
        <v>0</v>
      </c>
      <c r="I79" s="58">
        <v>0</v>
      </c>
    </row>
    <row r="80" spans="1:9" x14ac:dyDescent="0.35">
      <c r="A80" s="57">
        <v>36758.305</v>
      </c>
      <c r="B80" s="57">
        <v>10555.905849999999</v>
      </c>
      <c r="C80" s="58">
        <v>5324.9650799999999</v>
      </c>
      <c r="D80" s="58">
        <v>1374.5446019999999</v>
      </c>
      <c r="E80" s="58">
        <v>0</v>
      </c>
      <c r="F80" s="58">
        <v>762.68383259999996</v>
      </c>
      <c r="G80" s="58">
        <v>0</v>
      </c>
      <c r="H80" s="58">
        <v>0</v>
      </c>
      <c r="I80" s="58">
        <v>0</v>
      </c>
    </row>
    <row r="81" spans="1:9" x14ac:dyDescent="0.35">
      <c r="A81" s="57">
        <v>39558.201000000001</v>
      </c>
      <c r="B81" s="57">
        <v>10571.61585</v>
      </c>
      <c r="C81" s="58">
        <v>5852.1070799999998</v>
      </c>
      <c r="D81" s="58">
        <v>1467.345474</v>
      </c>
      <c r="E81" s="58">
        <v>0</v>
      </c>
      <c r="F81" s="58">
        <v>1807.12395068</v>
      </c>
      <c r="G81" s="58">
        <v>0</v>
      </c>
      <c r="H81" s="58">
        <v>0</v>
      </c>
      <c r="I81" s="58">
        <v>0</v>
      </c>
    </row>
    <row r="82" spans="1:9" x14ac:dyDescent="0.35">
      <c r="A82" s="57">
        <v>41586.856999999996</v>
      </c>
      <c r="B82" s="57">
        <v>10571.61585</v>
      </c>
      <c r="C82" s="58">
        <v>6340.3400799999999</v>
      </c>
      <c r="D82" s="58">
        <v>1565.3019509999999</v>
      </c>
      <c r="E82" s="58">
        <v>0</v>
      </c>
      <c r="F82" s="58">
        <v>2852.0239506799999</v>
      </c>
      <c r="G82" s="58">
        <v>0</v>
      </c>
      <c r="H82" s="58">
        <v>0</v>
      </c>
      <c r="I82" s="58">
        <v>0</v>
      </c>
    </row>
    <row r="83" spans="1:9" x14ac:dyDescent="0.35">
      <c r="A83" s="57">
        <v>43111.647999999994</v>
      </c>
      <c r="B83" s="57">
        <v>10571.61585</v>
      </c>
      <c r="C83" s="58">
        <v>6477.848</v>
      </c>
      <c r="D83" s="58">
        <v>1565.3019509999999</v>
      </c>
      <c r="E83" s="58">
        <v>0</v>
      </c>
      <c r="F83" s="58">
        <v>3896.92395068</v>
      </c>
      <c r="G83" s="58">
        <v>0</v>
      </c>
      <c r="H83" s="58">
        <v>0</v>
      </c>
      <c r="I83" s="58">
        <v>0</v>
      </c>
    </row>
    <row r="84" spans="1:9" x14ac:dyDescent="0.35">
      <c r="A84" s="57">
        <v>42899.063000000002</v>
      </c>
      <c r="B84" s="57">
        <v>11914.022849999999</v>
      </c>
      <c r="C84" s="58">
        <v>6399.0910000000003</v>
      </c>
      <c r="D84" s="58">
        <v>1616.8579910000001</v>
      </c>
      <c r="E84" s="58">
        <v>0</v>
      </c>
      <c r="F84" s="58">
        <v>4941.8239506800001</v>
      </c>
      <c r="G84" s="58">
        <v>0</v>
      </c>
      <c r="H84" s="58">
        <v>0</v>
      </c>
      <c r="I84" s="58">
        <v>0</v>
      </c>
    </row>
    <row r="85" spans="1:9" x14ac:dyDescent="0.35">
      <c r="A85" s="57">
        <v>43329.032999999996</v>
      </c>
      <c r="B85" s="57">
        <v>11898.312849999998</v>
      </c>
      <c r="C85" s="58">
        <v>6517.8050000000003</v>
      </c>
      <c r="D85" s="58">
        <v>1616.8579910000001</v>
      </c>
      <c r="E85" s="58">
        <v>0</v>
      </c>
      <c r="F85" s="58">
        <v>5987.1838325999997</v>
      </c>
      <c r="G85" s="58">
        <v>0</v>
      </c>
      <c r="H85" s="58">
        <v>0</v>
      </c>
      <c r="I85" s="58">
        <v>0</v>
      </c>
    </row>
    <row r="86" spans="1:9" x14ac:dyDescent="0.35">
      <c r="A86" s="57">
        <v>43728.13</v>
      </c>
      <c r="B86" s="57">
        <v>11882.602849999999</v>
      </c>
      <c r="C86" s="58">
        <v>6604.152</v>
      </c>
      <c r="D86" s="58">
        <v>1565.3019509999999</v>
      </c>
      <c r="E86" s="58">
        <v>0</v>
      </c>
      <c r="F86" s="58">
        <v>6779.6610170000004</v>
      </c>
      <c r="G86" s="58">
        <v>650.29620736000004</v>
      </c>
      <c r="H86" s="58">
        <v>0</v>
      </c>
      <c r="I86" s="58">
        <v>0</v>
      </c>
    </row>
    <row r="87" spans="1:9" x14ac:dyDescent="0.35">
      <c r="A87" s="57">
        <v>43650.438000000002</v>
      </c>
      <c r="B87" s="57">
        <v>11882.602849999999</v>
      </c>
      <c r="C87" s="58">
        <v>6357.2460000000001</v>
      </c>
      <c r="D87" s="58">
        <v>1591.0799709999999</v>
      </c>
      <c r="E87" s="58">
        <v>0</v>
      </c>
      <c r="F87" s="58">
        <v>6779.6610170000004</v>
      </c>
      <c r="G87" s="58">
        <v>592.51350984999999</v>
      </c>
      <c r="H87" s="58">
        <v>0</v>
      </c>
      <c r="I87" s="58">
        <v>0</v>
      </c>
    </row>
    <row r="88" spans="1:9" x14ac:dyDescent="0.35">
      <c r="A88" s="57">
        <v>42943.040000000001</v>
      </c>
      <c r="B88" s="57">
        <v>11898.312849999998</v>
      </c>
      <c r="C88" s="58">
        <v>6317.0320000000002</v>
      </c>
      <c r="D88" s="58">
        <v>1565.3019509999999</v>
      </c>
      <c r="E88" s="58">
        <v>0</v>
      </c>
      <c r="F88" s="58">
        <v>6779.6610170000004</v>
      </c>
      <c r="G88" s="58">
        <v>0</v>
      </c>
      <c r="H88" s="58">
        <v>0</v>
      </c>
      <c r="I88" s="58">
        <v>0</v>
      </c>
    </row>
    <row r="89" spans="1:9" x14ac:dyDescent="0.35">
      <c r="A89" s="57">
        <v>42826.260999999999</v>
      </c>
      <c r="B89" s="57">
        <v>11914.022849999999</v>
      </c>
      <c r="C89" s="58">
        <v>6344.6639999999998</v>
      </c>
      <c r="D89" s="58">
        <v>1565.3019509999999</v>
      </c>
      <c r="E89" s="58">
        <v>0</v>
      </c>
      <c r="F89" s="58">
        <v>6779.6610170000004</v>
      </c>
      <c r="G89" s="58">
        <v>0</v>
      </c>
      <c r="H89" s="58">
        <v>0</v>
      </c>
      <c r="I89" s="58">
        <v>0</v>
      </c>
    </row>
    <row r="90" spans="1:9" x14ac:dyDescent="0.35">
      <c r="A90" s="57">
        <v>43600.136000000006</v>
      </c>
      <c r="B90" s="57">
        <v>11914.022849999999</v>
      </c>
      <c r="C90" s="58">
        <v>6566.5119999999997</v>
      </c>
      <c r="D90" s="58">
        <v>1565.3019509999999</v>
      </c>
      <c r="E90" s="58">
        <v>0</v>
      </c>
      <c r="F90" s="58">
        <v>6779.6610170000004</v>
      </c>
      <c r="G90" s="58">
        <v>0</v>
      </c>
      <c r="H90" s="58">
        <v>0</v>
      </c>
      <c r="I90" s="58">
        <v>0</v>
      </c>
    </row>
    <row r="91" spans="1:9" x14ac:dyDescent="0.35">
      <c r="A91" s="57">
        <v>45774.112000000001</v>
      </c>
      <c r="B91" s="57">
        <v>11914.022849999999</v>
      </c>
      <c r="C91" s="58">
        <v>7042.9809999999998</v>
      </c>
      <c r="D91" s="58">
        <v>1565.3019509999999</v>
      </c>
      <c r="E91" s="58">
        <v>0</v>
      </c>
      <c r="F91" s="58">
        <v>6779.6610170000004</v>
      </c>
      <c r="G91" s="58">
        <v>0</v>
      </c>
      <c r="H91" s="58">
        <v>0</v>
      </c>
      <c r="I91" s="58">
        <v>0</v>
      </c>
    </row>
    <row r="92" spans="1:9" x14ac:dyDescent="0.35">
      <c r="A92" s="57">
        <v>46985.129000000001</v>
      </c>
      <c r="B92" s="57">
        <v>11898.312849999998</v>
      </c>
      <c r="C92" s="58">
        <v>7434.8710000000001</v>
      </c>
      <c r="D92" s="58">
        <v>1565.3019509999999</v>
      </c>
      <c r="E92" s="58">
        <v>0</v>
      </c>
      <c r="F92" s="58">
        <v>6779.6610170000004</v>
      </c>
      <c r="G92" s="58">
        <v>0</v>
      </c>
      <c r="H92" s="58">
        <v>0</v>
      </c>
      <c r="I92" s="58">
        <v>0</v>
      </c>
    </row>
    <row r="93" spans="1:9" x14ac:dyDescent="0.35">
      <c r="A93" s="57">
        <v>46543.966999999997</v>
      </c>
      <c r="B93" s="57">
        <v>11882.602849999999</v>
      </c>
      <c r="C93" s="58">
        <v>7515.1890000000003</v>
      </c>
      <c r="D93" s="58">
        <v>1410.63383</v>
      </c>
      <c r="E93" s="58">
        <v>0</v>
      </c>
      <c r="F93" s="58">
        <v>6779.6610170000004</v>
      </c>
      <c r="G93" s="58">
        <v>0</v>
      </c>
      <c r="H93" s="58">
        <v>0</v>
      </c>
      <c r="I93" s="58">
        <v>0</v>
      </c>
    </row>
    <row r="94" spans="1:9" x14ac:dyDescent="0.35">
      <c r="A94" s="57">
        <v>44908.347000000002</v>
      </c>
      <c r="B94" s="57">
        <v>11866.892839999999</v>
      </c>
      <c r="C94" s="58">
        <v>7256.3289999999997</v>
      </c>
      <c r="D94" s="58">
        <v>1307.5217500000001</v>
      </c>
      <c r="E94" s="58">
        <v>0</v>
      </c>
      <c r="F94" s="58">
        <v>6779.6610170000004</v>
      </c>
      <c r="G94" s="58">
        <v>0</v>
      </c>
      <c r="H94" s="58">
        <v>0</v>
      </c>
      <c r="I94" s="58">
        <v>0</v>
      </c>
    </row>
    <row r="95" spans="1:9" x14ac:dyDescent="0.35">
      <c r="A95" s="57">
        <v>42329.292999999998</v>
      </c>
      <c r="B95" s="57">
        <v>11851.182839999999</v>
      </c>
      <c r="C95" s="58">
        <v>6822.1850000000004</v>
      </c>
      <c r="D95" s="58">
        <v>1230.1876890000001</v>
      </c>
      <c r="E95" s="58">
        <v>0</v>
      </c>
      <c r="F95" s="58">
        <v>6779.6610170000004</v>
      </c>
      <c r="G95" s="58">
        <v>0</v>
      </c>
      <c r="H95" s="58">
        <v>0</v>
      </c>
      <c r="I95" s="58">
        <v>0</v>
      </c>
    </row>
    <row r="96" spans="1:9" x14ac:dyDescent="0.35">
      <c r="A96" s="57">
        <v>39693.309000000001</v>
      </c>
      <c r="B96" s="57">
        <v>11835.472839999999</v>
      </c>
      <c r="C96" s="58">
        <v>6940.8670000000002</v>
      </c>
      <c r="D96" s="58">
        <v>1178.6316489999999</v>
      </c>
      <c r="E96" s="58">
        <v>0</v>
      </c>
      <c r="F96" s="58">
        <v>6779.6610170000004</v>
      </c>
      <c r="G96" s="58">
        <v>0</v>
      </c>
      <c r="H96" s="58">
        <v>0</v>
      </c>
      <c r="I96" s="58">
        <v>0</v>
      </c>
    </row>
    <row r="97" spans="1:9" x14ac:dyDescent="0.35">
      <c r="A97" s="57">
        <v>37196.329000000005</v>
      </c>
      <c r="B97" s="57">
        <v>11835.472839999999</v>
      </c>
      <c r="C97" s="58">
        <v>6443.0649999999996</v>
      </c>
      <c r="D97" s="58">
        <v>1178.6316489999999</v>
      </c>
      <c r="E97" s="58">
        <v>0</v>
      </c>
      <c r="F97" s="58">
        <v>6779.6610170000004</v>
      </c>
      <c r="G97" s="58">
        <v>0</v>
      </c>
      <c r="H97" s="58">
        <v>0</v>
      </c>
      <c r="I97" s="58">
        <v>0</v>
      </c>
    </row>
    <row r="98" spans="1:9" x14ac:dyDescent="0.35">
      <c r="A98" s="57">
        <v>34480.929000000004</v>
      </c>
      <c r="B98" s="57">
        <v>11835.472839999999</v>
      </c>
      <c r="C98" s="58">
        <v>5694.0230000000001</v>
      </c>
      <c r="D98" s="58">
        <v>1258.8719140000001</v>
      </c>
      <c r="E98" s="58">
        <v>0</v>
      </c>
      <c r="F98" s="58">
        <v>6779.6610170000004</v>
      </c>
      <c r="G98" s="58">
        <v>0</v>
      </c>
      <c r="H98" s="58">
        <v>0</v>
      </c>
      <c r="I98" s="58">
        <v>0</v>
      </c>
    </row>
    <row r="99" spans="1:9" x14ac:dyDescent="0.35">
      <c r="A99" s="57">
        <v>32526.065999999999</v>
      </c>
      <c r="B99" s="57">
        <v>11835.472839999999</v>
      </c>
      <c r="C99" s="58">
        <v>5318.067</v>
      </c>
      <c r="D99" s="58">
        <v>1258.8719140000001</v>
      </c>
      <c r="E99" s="58">
        <v>353.90529597</v>
      </c>
      <c r="F99" s="58">
        <v>6779.6610170000004</v>
      </c>
      <c r="G99" s="58">
        <v>0</v>
      </c>
      <c r="H99" s="58">
        <v>0</v>
      </c>
      <c r="I99" s="58">
        <v>0</v>
      </c>
    </row>
    <row r="100" spans="1:9" x14ac:dyDescent="0.35">
      <c r="A100" s="57">
        <v>31404.126</v>
      </c>
      <c r="B100" s="57">
        <v>11835.472839999999</v>
      </c>
      <c r="C100" s="58">
        <v>4886.8729999999996</v>
      </c>
      <c r="D100" s="58">
        <v>1258.8719140000001</v>
      </c>
      <c r="E100" s="58">
        <v>2858.6637063200001</v>
      </c>
      <c r="F100" s="58">
        <v>6779.6610170000004</v>
      </c>
      <c r="G100" s="58">
        <v>0</v>
      </c>
      <c r="H100" s="58">
        <v>0</v>
      </c>
      <c r="I100" s="58">
        <v>0</v>
      </c>
    </row>
    <row r="101" spans="1:9" x14ac:dyDescent="0.35">
      <c r="A101" s="57">
        <v>31010.085999999999</v>
      </c>
      <c r="B101" s="57">
        <v>11835.472839999999</v>
      </c>
      <c r="C101" s="58">
        <v>4764.5219999999999</v>
      </c>
      <c r="D101" s="58">
        <v>1258.8719140000001</v>
      </c>
      <c r="E101" s="58">
        <v>0</v>
      </c>
      <c r="F101" s="58">
        <v>6779.6610170000004</v>
      </c>
      <c r="G101" s="58">
        <v>0</v>
      </c>
      <c r="H101" s="58">
        <v>0</v>
      </c>
      <c r="I101" s="58">
        <v>0</v>
      </c>
    </row>
    <row r="102" spans="1:9" x14ac:dyDescent="0.35">
      <c r="A102" s="57">
        <v>31779.829999999998</v>
      </c>
      <c r="B102" s="57">
        <v>11851.182839999999</v>
      </c>
      <c r="C102" s="58">
        <v>4767.6689999999999</v>
      </c>
      <c r="D102" s="58">
        <v>1258.8719140000001</v>
      </c>
      <c r="E102" s="58">
        <v>0</v>
      </c>
      <c r="F102" s="58">
        <v>6779.6610170000004</v>
      </c>
      <c r="G102" s="58">
        <v>0</v>
      </c>
      <c r="H102" s="58">
        <v>0</v>
      </c>
      <c r="I102" s="58">
        <v>0</v>
      </c>
    </row>
    <row r="103" spans="1:9" x14ac:dyDescent="0.35">
      <c r="A103" s="57">
        <v>33941.966999999997</v>
      </c>
      <c r="B103" s="57">
        <v>11882.602849999999</v>
      </c>
      <c r="C103" s="58">
        <v>4904.3209999999999</v>
      </c>
      <c r="D103" s="58">
        <v>1356.828391</v>
      </c>
      <c r="E103" s="58">
        <v>1329.8327752099999</v>
      </c>
      <c r="F103" s="58">
        <v>6779.6610170000004</v>
      </c>
      <c r="G103" s="58">
        <v>0</v>
      </c>
      <c r="H103" s="58">
        <v>0</v>
      </c>
      <c r="I103" s="58">
        <v>0</v>
      </c>
    </row>
    <row r="104" spans="1:9" x14ac:dyDescent="0.35">
      <c r="A104" s="57">
        <v>37031.663</v>
      </c>
      <c r="B104" s="57">
        <v>11898.312849999998</v>
      </c>
      <c r="C104" s="58">
        <v>5261.7860000000001</v>
      </c>
      <c r="D104" s="58">
        <v>1454.7848670000001</v>
      </c>
      <c r="E104" s="58">
        <v>3030.0808235099998</v>
      </c>
      <c r="F104" s="58">
        <v>6779.6610170000004</v>
      </c>
      <c r="G104" s="58">
        <v>0</v>
      </c>
      <c r="H104" s="58">
        <v>0</v>
      </c>
      <c r="I104" s="58">
        <v>0</v>
      </c>
    </row>
    <row r="105" spans="1:9" x14ac:dyDescent="0.35">
      <c r="A105" s="57">
        <v>39814.494999999995</v>
      </c>
      <c r="B105" s="57">
        <v>11914.022849999999</v>
      </c>
      <c r="C105" s="58">
        <v>5787.902</v>
      </c>
      <c r="D105" s="58">
        <v>1547.58574</v>
      </c>
      <c r="E105" s="58">
        <v>197.61554663999999</v>
      </c>
      <c r="F105" s="58">
        <v>6779.6610170000004</v>
      </c>
      <c r="G105" s="58">
        <v>0</v>
      </c>
      <c r="H105" s="58">
        <v>0</v>
      </c>
      <c r="I105" s="58">
        <v>0</v>
      </c>
    </row>
    <row r="106" spans="1:9" x14ac:dyDescent="0.35">
      <c r="A106" s="57">
        <v>41641.185999999994</v>
      </c>
      <c r="B106" s="57">
        <v>11914.022849999999</v>
      </c>
      <c r="C106" s="58">
        <v>6273.2460000000001</v>
      </c>
      <c r="D106" s="58">
        <v>1645.5422160000001</v>
      </c>
      <c r="E106" s="58">
        <v>843.23938495000004</v>
      </c>
      <c r="F106" s="58">
        <v>6779.6610170000004</v>
      </c>
      <c r="G106" s="58">
        <v>0</v>
      </c>
      <c r="H106" s="58">
        <v>103.1</v>
      </c>
      <c r="I106" s="58">
        <v>0</v>
      </c>
    </row>
    <row r="107" spans="1:9" x14ac:dyDescent="0.35">
      <c r="A107" s="57">
        <v>42953.364999999998</v>
      </c>
      <c r="B107" s="57">
        <v>11914.022849999999</v>
      </c>
      <c r="C107" s="58">
        <v>6495.6360000000004</v>
      </c>
      <c r="D107" s="58">
        <v>1645.5422160000001</v>
      </c>
      <c r="E107" s="58">
        <v>5000</v>
      </c>
      <c r="F107" s="58">
        <v>6779.6610170000004</v>
      </c>
      <c r="G107" s="58">
        <v>0</v>
      </c>
      <c r="H107" s="58">
        <v>818</v>
      </c>
      <c r="I107" s="58">
        <v>330</v>
      </c>
    </row>
    <row r="108" spans="1:9" x14ac:dyDescent="0.35">
      <c r="A108" s="57">
        <v>42971.335000000006</v>
      </c>
      <c r="B108" s="57">
        <v>11914.022849999999</v>
      </c>
      <c r="C108" s="58">
        <v>6423.1790000000001</v>
      </c>
      <c r="D108" s="58">
        <v>1697.0982570000001</v>
      </c>
      <c r="E108" s="58">
        <v>5000</v>
      </c>
      <c r="F108" s="58">
        <v>6779.6610170000004</v>
      </c>
      <c r="G108" s="58">
        <v>0</v>
      </c>
      <c r="H108" s="58">
        <v>818</v>
      </c>
      <c r="I108" s="58">
        <v>330</v>
      </c>
    </row>
    <row r="109" spans="1:9" x14ac:dyDescent="0.35">
      <c r="A109" s="57">
        <v>43535.763999999996</v>
      </c>
      <c r="B109" s="57">
        <v>11898.312849999998</v>
      </c>
      <c r="C109" s="58">
        <v>6554.3549999999996</v>
      </c>
      <c r="D109" s="58">
        <v>1697.0982570000001</v>
      </c>
      <c r="E109" s="58">
        <v>5000</v>
      </c>
      <c r="F109" s="58">
        <v>6779.6610170000004</v>
      </c>
      <c r="G109" s="58">
        <v>0</v>
      </c>
      <c r="H109" s="58">
        <v>818</v>
      </c>
      <c r="I109" s="58">
        <v>330</v>
      </c>
    </row>
    <row r="110" spans="1:9" x14ac:dyDescent="0.35">
      <c r="A110" s="57">
        <v>44056.064999999995</v>
      </c>
      <c r="B110" s="57">
        <v>11882.602849999999</v>
      </c>
      <c r="C110" s="58">
        <v>6677.2020000000002</v>
      </c>
      <c r="D110" s="58">
        <v>1645.5422160000001</v>
      </c>
      <c r="E110" s="58">
        <v>5000</v>
      </c>
      <c r="F110" s="58">
        <v>6779.6610170000004</v>
      </c>
      <c r="G110" s="58">
        <v>0</v>
      </c>
      <c r="H110" s="58">
        <v>818</v>
      </c>
      <c r="I110" s="58">
        <v>330</v>
      </c>
    </row>
    <row r="111" spans="1:9" x14ac:dyDescent="0.35">
      <c r="A111" s="57">
        <v>44045.721999999994</v>
      </c>
      <c r="B111" s="57">
        <v>11882.602849999999</v>
      </c>
      <c r="C111" s="58">
        <v>6452.0839999999998</v>
      </c>
      <c r="D111" s="58">
        <v>1671.320236</v>
      </c>
      <c r="E111" s="58">
        <v>5000</v>
      </c>
      <c r="F111" s="58">
        <v>6779.6610170000004</v>
      </c>
      <c r="G111" s="58">
        <v>0</v>
      </c>
      <c r="H111" s="58">
        <v>818</v>
      </c>
      <c r="I111" s="58">
        <v>330</v>
      </c>
    </row>
    <row r="112" spans="1:9" x14ac:dyDescent="0.35">
      <c r="A112" s="57">
        <v>43237.392</v>
      </c>
      <c r="B112" s="57">
        <v>11898.312849999998</v>
      </c>
      <c r="C112" s="58">
        <v>6412.6229999999996</v>
      </c>
      <c r="D112" s="58">
        <v>1645.5422160000001</v>
      </c>
      <c r="E112" s="58">
        <v>5000</v>
      </c>
      <c r="F112" s="58">
        <v>6779.6610170000004</v>
      </c>
      <c r="G112" s="58">
        <v>0</v>
      </c>
      <c r="H112" s="58">
        <v>818</v>
      </c>
      <c r="I112" s="58">
        <v>330</v>
      </c>
    </row>
    <row r="113" spans="1:9" x14ac:dyDescent="0.35">
      <c r="A113" s="57">
        <v>43095.958999999995</v>
      </c>
      <c r="B113" s="57">
        <v>11914.022849999999</v>
      </c>
      <c r="C113" s="58">
        <v>6413.6030000000001</v>
      </c>
      <c r="D113" s="58">
        <v>1645.5422160000001</v>
      </c>
      <c r="E113" s="58">
        <v>5000</v>
      </c>
      <c r="F113" s="58">
        <v>6779.6610170000004</v>
      </c>
      <c r="G113" s="58">
        <v>0</v>
      </c>
      <c r="H113" s="58">
        <v>818</v>
      </c>
      <c r="I113" s="58">
        <v>330</v>
      </c>
    </row>
    <row r="114" spans="1:9" x14ac:dyDescent="0.35">
      <c r="A114" s="57">
        <v>43820.275999999998</v>
      </c>
      <c r="B114" s="57">
        <v>11914.022849999999</v>
      </c>
      <c r="C114" s="58">
        <v>6608.0029999999997</v>
      </c>
      <c r="D114" s="58">
        <v>1645.5422160000001</v>
      </c>
      <c r="E114" s="58">
        <v>5000</v>
      </c>
      <c r="F114" s="58">
        <v>6779.6610170000004</v>
      </c>
      <c r="G114" s="58">
        <v>0</v>
      </c>
      <c r="H114" s="58">
        <v>818</v>
      </c>
      <c r="I114" s="58">
        <v>330</v>
      </c>
    </row>
    <row r="115" spans="1:9" x14ac:dyDescent="0.35">
      <c r="A115" s="57">
        <v>46060.450000000004</v>
      </c>
      <c r="B115" s="57">
        <v>11914.022849999999</v>
      </c>
      <c r="C115" s="58">
        <v>7061.5820000000003</v>
      </c>
      <c r="D115" s="58">
        <v>1645.5422160000001</v>
      </c>
      <c r="E115" s="58">
        <v>5000</v>
      </c>
      <c r="F115" s="58">
        <v>6779.6610170000004</v>
      </c>
      <c r="G115" s="58">
        <v>0</v>
      </c>
      <c r="H115" s="58">
        <v>818</v>
      </c>
      <c r="I115" s="58">
        <v>0</v>
      </c>
    </row>
    <row r="116" spans="1:9" x14ac:dyDescent="0.35">
      <c r="A116" s="57">
        <v>47164.550999999999</v>
      </c>
      <c r="B116" s="57">
        <v>11898.312849999998</v>
      </c>
      <c r="C116" s="58">
        <v>7459.0020000000004</v>
      </c>
      <c r="D116" s="58">
        <v>1645.5422160000001</v>
      </c>
      <c r="E116" s="58">
        <v>5000</v>
      </c>
      <c r="F116" s="58">
        <v>6779.6610170000004</v>
      </c>
      <c r="G116" s="58">
        <v>0</v>
      </c>
      <c r="H116" s="58">
        <v>167.00042579999999</v>
      </c>
      <c r="I116" s="58">
        <v>0</v>
      </c>
    </row>
    <row r="117" spans="1:9" x14ac:dyDescent="0.35">
      <c r="A117" s="57">
        <v>46362.289000000004</v>
      </c>
      <c r="B117" s="57">
        <v>11882.602849999999</v>
      </c>
      <c r="C117" s="58">
        <v>7511.308</v>
      </c>
      <c r="D117" s="58">
        <v>1490.874096</v>
      </c>
      <c r="E117" s="58">
        <v>5000</v>
      </c>
      <c r="F117" s="58">
        <v>6779.6610170000004</v>
      </c>
      <c r="G117" s="58">
        <v>0</v>
      </c>
      <c r="H117" s="58">
        <v>0</v>
      </c>
      <c r="I117" s="58">
        <v>0</v>
      </c>
    </row>
    <row r="118" spans="1:9" x14ac:dyDescent="0.35">
      <c r="A118" s="57">
        <v>44574.281000000003</v>
      </c>
      <c r="B118" s="57">
        <v>11866.892839999999</v>
      </c>
      <c r="C118" s="58">
        <v>7234.3190000000004</v>
      </c>
      <c r="D118" s="58">
        <v>1387.762015</v>
      </c>
      <c r="E118" s="58">
        <v>2797.6247696400001</v>
      </c>
      <c r="F118" s="58">
        <v>6779.6610170000004</v>
      </c>
      <c r="G118" s="58">
        <v>0</v>
      </c>
      <c r="H118" s="58">
        <v>0</v>
      </c>
      <c r="I118" s="58">
        <v>0</v>
      </c>
    </row>
    <row r="119" spans="1:9" x14ac:dyDescent="0.35">
      <c r="A119" s="57">
        <v>42176.116999999998</v>
      </c>
      <c r="B119" s="57">
        <v>11851.182839999999</v>
      </c>
      <c r="C119" s="58">
        <v>6791.7879999999996</v>
      </c>
      <c r="D119" s="58">
        <v>1310.4279550000001</v>
      </c>
      <c r="E119" s="58">
        <v>0</v>
      </c>
      <c r="F119" s="58">
        <v>6779.6610170000004</v>
      </c>
      <c r="G119" s="58">
        <v>0</v>
      </c>
      <c r="H119" s="58">
        <v>0</v>
      </c>
      <c r="I119" s="58">
        <v>0</v>
      </c>
    </row>
    <row r="120" spans="1:9" x14ac:dyDescent="0.35">
      <c r="A120" s="57">
        <v>39847.638999999996</v>
      </c>
      <c r="B120" s="57">
        <v>11835.472839999999</v>
      </c>
      <c r="C120" s="58">
        <v>6938.5410000000002</v>
      </c>
      <c r="D120" s="58">
        <v>1258.8719140000001</v>
      </c>
      <c r="E120" s="58">
        <v>29.88274315</v>
      </c>
      <c r="F120" s="58">
        <v>6779.6610170000004</v>
      </c>
      <c r="G120" s="58">
        <v>0</v>
      </c>
      <c r="H120" s="58">
        <v>0</v>
      </c>
      <c r="I120" s="58">
        <v>0</v>
      </c>
    </row>
    <row r="121" spans="1:9" x14ac:dyDescent="0.35">
      <c r="A121" s="57">
        <v>37475.285000000003</v>
      </c>
      <c r="B121" s="57">
        <v>11835.472839999999</v>
      </c>
      <c r="C121" s="58">
        <v>6454.8519999999999</v>
      </c>
      <c r="D121" s="58">
        <v>1258.8719140000001</v>
      </c>
      <c r="E121" s="58">
        <v>2244.1603927199999</v>
      </c>
      <c r="F121" s="58">
        <v>6779.6610170000004</v>
      </c>
      <c r="G121" s="58">
        <v>0</v>
      </c>
      <c r="H121" s="58">
        <v>0</v>
      </c>
      <c r="I121" s="58">
        <v>0</v>
      </c>
    </row>
    <row r="122" spans="1:9" x14ac:dyDescent="0.35">
      <c r="A122" s="57">
        <v>34403.582999999999</v>
      </c>
      <c r="B122" s="57">
        <v>11832.805579999998</v>
      </c>
      <c r="C122" s="58">
        <v>5643.5910000000003</v>
      </c>
      <c r="D122" s="58">
        <v>1660.1195</v>
      </c>
      <c r="E122" s="58">
        <v>5000</v>
      </c>
      <c r="F122" s="58">
        <v>6779.6610170000004</v>
      </c>
      <c r="G122" s="58">
        <v>0</v>
      </c>
      <c r="H122" s="58">
        <v>0</v>
      </c>
      <c r="I122" s="58">
        <v>330</v>
      </c>
    </row>
    <row r="123" spans="1:9" x14ac:dyDescent="0.35">
      <c r="A123" s="57">
        <v>32286.286</v>
      </c>
      <c r="B123" s="57">
        <v>11832.805579999998</v>
      </c>
      <c r="C123" s="58">
        <v>5246</v>
      </c>
      <c r="D123" s="58">
        <v>1660.1195</v>
      </c>
      <c r="E123" s="58">
        <v>5000</v>
      </c>
      <c r="F123" s="58">
        <v>6779.6610170000004</v>
      </c>
      <c r="G123" s="58">
        <v>0</v>
      </c>
      <c r="H123" s="58">
        <v>818</v>
      </c>
      <c r="I123" s="58">
        <v>292.82237085000003</v>
      </c>
    </row>
    <row r="124" spans="1:9" x14ac:dyDescent="0.35">
      <c r="A124" s="57">
        <v>30708.298999999999</v>
      </c>
      <c r="B124" s="57">
        <v>11832.805579999998</v>
      </c>
      <c r="C124" s="58">
        <v>4773.5889999999999</v>
      </c>
      <c r="D124" s="58">
        <v>1660.1195</v>
      </c>
      <c r="E124" s="58">
        <v>5000</v>
      </c>
      <c r="F124" s="58">
        <v>6779.6610170000004</v>
      </c>
      <c r="G124" s="58">
        <v>0</v>
      </c>
      <c r="H124" s="58">
        <v>818</v>
      </c>
      <c r="I124" s="58">
        <v>0</v>
      </c>
    </row>
    <row r="125" spans="1:9" x14ac:dyDescent="0.35">
      <c r="A125" s="57">
        <v>29613.284</v>
      </c>
      <c r="B125" s="57">
        <v>11832.805579999998</v>
      </c>
      <c r="C125" s="58">
        <v>4611.43</v>
      </c>
      <c r="D125" s="58">
        <v>1660.1195</v>
      </c>
      <c r="E125" s="58">
        <v>5000</v>
      </c>
      <c r="F125" s="58">
        <v>6779.6610170000004</v>
      </c>
      <c r="G125" s="58">
        <v>0</v>
      </c>
      <c r="H125" s="58">
        <v>818</v>
      </c>
      <c r="I125" s="58">
        <v>330</v>
      </c>
    </row>
    <row r="126" spans="1:9" x14ac:dyDescent="0.35">
      <c r="A126" s="57">
        <v>28629.774000000001</v>
      </c>
      <c r="B126" s="57">
        <v>11864.49785</v>
      </c>
      <c r="C126" s="58">
        <v>4572.915</v>
      </c>
      <c r="D126" s="58">
        <v>1660.1195</v>
      </c>
      <c r="E126" s="58">
        <v>5000</v>
      </c>
      <c r="F126" s="58">
        <v>6779.6610170000004</v>
      </c>
      <c r="G126" s="58">
        <v>0</v>
      </c>
      <c r="H126" s="58">
        <v>818</v>
      </c>
      <c r="I126" s="58">
        <v>330</v>
      </c>
    </row>
    <row r="127" spans="1:9" x14ac:dyDescent="0.35">
      <c r="A127" s="57">
        <v>27657.187000000002</v>
      </c>
      <c r="B127" s="57">
        <v>11896.19011</v>
      </c>
      <c r="C127" s="58">
        <v>4625.1139999999996</v>
      </c>
      <c r="D127" s="58">
        <v>1660.1195</v>
      </c>
      <c r="E127" s="58">
        <v>5000</v>
      </c>
      <c r="F127" s="58">
        <v>6779.6610170000004</v>
      </c>
      <c r="G127" s="58">
        <v>0</v>
      </c>
      <c r="H127" s="58">
        <v>0</v>
      </c>
      <c r="I127" s="58">
        <v>330</v>
      </c>
    </row>
    <row r="128" spans="1:9" x14ac:dyDescent="0.35">
      <c r="A128" s="57">
        <v>27583.936999999998</v>
      </c>
      <c r="B128" s="57">
        <v>11912.036249999999</v>
      </c>
      <c r="C128" s="58">
        <v>4739.2560000000003</v>
      </c>
      <c r="D128" s="58">
        <v>1660.1195</v>
      </c>
      <c r="E128" s="58">
        <v>5000</v>
      </c>
      <c r="F128" s="58">
        <v>6779.6610170000004</v>
      </c>
      <c r="G128" s="58">
        <v>0</v>
      </c>
      <c r="H128" s="58">
        <v>818</v>
      </c>
      <c r="I128" s="58">
        <v>330</v>
      </c>
    </row>
    <row r="129" spans="1:9" x14ac:dyDescent="0.35">
      <c r="A129" s="57">
        <v>28764.89</v>
      </c>
      <c r="B129" s="57">
        <v>11896.19011</v>
      </c>
      <c r="C129" s="58">
        <v>4803.72</v>
      </c>
      <c r="D129" s="58">
        <v>1660.1195</v>
      </c>
      <c r="E129" s="58">
        <v>5000</v>
      </c>
      <c r="F129" s="58">
        <v>6779.6610170000004</v>
      </c>
      <c r="G129" s="58">
        <v>0</v>
      </c>
      <c r="H129" s="58">
        <v>818</v>
      </c>
      <c r="I129" s="58">
        <v>0</v>
      </c>
    </row>
    <row r="130" spans="1:9" x14ac:dyDescent="0.35">
      <c r="A130" s="57">
        <v>30670.206000000002</v>
      </c>
      <c r="B130" s="57">
        <v>11896.19011</v>
      </c>
      <c r="C130" s="58">
        <v>4894.0069999999996</v>
      </c>
      <c r="D130" s="58">
        <v>1660.1195</v>
      </c>
      <c r="E130" s="58">
        <v>5000</v>
      </c>
      <c r="F130" s="58">
        <v>6779.6610170000004</v>
      </c>
      <c r="G130" s="58">
        <v>0</v>
      </c>
      <c r="H130" s="58">
        <v>818</v>
      </c>
      <c r="I130" s="58">
        <v>0</v>
      </c>
    </row>
    <row r="131" spans="1:9" x14ac:dyDescent="0.35">
      <c r="A131" s="57">
        <v>33008.887999999999</v>
      </c>
      <c r="B131" s="57">
        <v>11896.19011</v>
      </c>
      <c r="C131" s="58">
        <v>5145.4859999999999</v>
      </c>
      <c r="D131" s="58">
        <v>1660.1195</v>
      </c>
      <c r="E131" s="58">
        <v>5000</v>
      </c>
      <c r="F131" s="58">
        <v>6779.6610170000004</v>
      </c>
      <c r="G131" s="58">
        <v>0</v>
      </c>
      <c r="H131" s="58">
        <v>818</v>
      </c>
      <c r="I131" s="58">
        <v>330</v>
      </c>
    </row>
    <row r="132" spans="1:9" x14ac:dyDescent="0.35">
      <c r="A132" s="57">
        <v>33449.326000000001</v>
      </c>
      <c r="B132" s="57">
        <v>11896.19011</v>
      </c>
      <c r="C132" s="58">
        <v>5222.2489999999998</v>
      </c>
      <c r="D132" s="58">
        <v>1843.839338</v>
      </c>
      <c r="E132" s="58">
        <v>5000</v>
      </c>
      <c r="F132" s="58">
        <v>6779.6610170000004</v>
      </c>
      <c r="G132" s="58">
        <v>0</v>
      </c>
      <c r="H132" s="58">
        <v>818</v>
      </c>
      <c r="I132" s="58">
        <v>330</v>
      </c>
    </row>
    <row r="133" spans="1:9" x14ac:dyDescent="0.35">
      <c r="A133" s="57">
        <v>34221.460999999996</v>
      </c>
      <c r="B133" s="57">
        <v>11912.036249999999</v>
      </c>
      <c r="C133" s="58">
        <v>5428.2359999999999</v>
      </c>
      <c r="D133" s="58">
        <v>1843.839338</v>
      </c>
      <c r="E133" s="58">
        <v>5000</v>
      </c>
      <c r="F133" s="58">
        <v>6779.6610170000004</v>
      </c>
      <c r="G133" s="58">
        <v>0</v>
      </c>
      <c r="H133" s="58">
        <v>818</v>
      </c>
      <c r="I133" s="58">
        <v>330</v>
      </c>
    </row>
    <row r="134" spans="1:9" x14ac:dyDescent="0.35">
      <c r="A134" s="57">
        <v>35155.864999999998</v>
      </c>
      <c r="B134" s="57">
        <v>11896.19011</v>
      </c>
      <c r="C134" s="58">
        <v>5772.0529999999999</v>
      </c>
      <c r="D134" s="58">
        <v>1843.839338</v>
      </c>
      <c r="E134" s="58">
        <v>5000</v>
      </c>
      <c r="F134" s="58">
        <v>6779.6610170000004</v>
      </c>
      <c r="G134" s="58">
        <v>0</v>
      </c>
      <c r="H134" s="58">
        <v>818</v>
      </c>
      <c r="I134" s="58">
        <v>330</v>
      </c>
    </row>
    <row r="135" spans="1:9" x14ac:dyDescent="0.35">
      <c r="A135" s="57">
        <v>35486.675999999999</v>
      </c>
      <c r="B135" s="57">
        <v>11896.19011</v>
      </c>
      <c r="C135" s="58">
        <v>5541.1480000000001</v>
      </c>
      <c r="D135" s="58">
        <v>1843.839338</v>
      </c>
      <c r="E135" s="58">
        <v>5000</v>
      </c>
      <c r="F135" s="58">
        <v>6779.6610170000004</v>
      </c>
      <c r="G135" s="58">
        <v>0</v>
      </c>
      <c r="H135" s="58">
        <v>818</v>
      </c>
      <c r="I135" s="58">
        <v>330</v>
      </c>
    </row>
    <row r="136" spans="1:9" x14ac:dyDescent="0.35">
      <c r="A136" s="57">
        <v>34433.777999999998</v>
      </c>
      <c r="B136" s="57">
        <v>11912.036249999999</v>
      </c>
      <c r="C136" s="58">
        <v>5346.7479999999996</v>
      </c>
      <c r="D136" s="58">
        <v>1843.839338</v>
      </c>
      <c r="E136" s="58">
        <v>5000</v>
      </c>
      <c r="F136" s="58">
        <v>6779.6610170000004</v>
      </c>
      <c r="G136" s="58">
        <v>0</v>
      </c>
      <c r="H136" s="58">
        <v>818</v>
      </c>
      <c r="I136" s="58">
        <v>330</v>
      </c>
    </row>
    <row r="137" spans="1:9" x14ac:dyDescent="0.35">
      <c r="A137" s="57">
        <v>33882.572999999997</v>
      </c>
      <c r="B137" s="57">
        <v>11896.19011</v>
      </c>
      <c r="C137" s="58">
        <v>5363.0209999999997</v>
      </c>
      <c r="D137" s="58">
        <v>1660.1195</v>
      </c>
      <c r="E137" s="58">
        <v>5000</v>
      </c>
      <c r="F137" s="58">
        <v>6779.6610170000004</v>
      </c>
      <c r="G137" s="58">
        <v>0</v>
      </c>
      <c r="H137" s="58">
        <v>818</v>
      </c>
      <c r="I137" s="58">
        <v>330</v>
      </c>
    </row>
    <row r="138" spans="1:9" x14ac:dyDescent="0.35">
      <c r="A138" s="57">
        <v>34240.737000000001</v>
      </c>
      <c r="B138" s="57">
        <v>11896.19011</v>
      </c>
      <c r="C138" s="58">
        <v>5578.4830000000002</v>
      </c>
      <c r="D138" s="58">
        <v>1660.1195</v>
      </c>
      <c r="E138" s="58">
        <v>5000</v>
      </c>
      <c r="F138" s="58">
        <v>6779.6610170000004</v>
      </c>
      <c r="G138" s="58">
        <v>0</v>
      </c>
      <c r="H138" s="58">
        <v>818</v>
      </c>
      <c r="I138" s="58">
        <v>330</v>
      </c>
    </row>
    <row r="139" spans="1:9" x14ac:dyDescent="0.35">
      <c r="A139" s="57">
        <v>36876.286</v>
      </c>
      <c r="B139" s="57">
        <v>11896.19011</v>
      </c>
      <c r="C139" s="58">
        <v>6202.8130000000001</v>
      </c>
      <c r="D139" s="58">
        <v>1660.1195</v>
      </c>
      <c r="E139" s="58">
        <v>5000</v>
      </c>
      <c r="F139" s="58">
        <v>6779.6610170000004</v>
      </c>
      <c r="G139" s="58">
        <v>0</v>
      </c>
      <c r="H139" s="58">
        <v>0</v>
      </c>
      <c r="I139" s="58">
        <v>104.02773392</v>
      </c>
    </row>
    <row r="140" spans="1:9" x14ac:dyDescent="0.35">
      <c r="A140" s="57">
        <v>38816.682000000001</v>
      </c>
      <c r="B140" s="57">
        <v>11912.036249999999</v>
      </c>
      <c r="C140" s="58">
        <v>6750.8119999999999</v>
      </c>
      <c r="D140" s="58">
        <v>1660.1195</v>
      </c>
      <c r="E140" s="58">
        <v>5000</v>
      </c>
      <c r="F140" s="58">
        <v>6779.6610170000004</v>
      </c>
      <c r="G140" s="58">
        <v>0</v>
      </c>
      <c r="H140" s="58">
        <v>818</v>
      </c>
      <c r="I140" s="58">
        <v>330</v>
      </c>
    </row>
    <row r="141" spans="1:9" x14ac:dyDescent="0.35">
      <c r="A141" s="57">
        <v>39459.180999999997</v>
      </c>
      <c r="B141" s="57">
        <v>11896.19011</v>
      </c>
      <c r="C141" s="58">
        <v>6825.0439999999999</v>
      </c>
      <c r="D141" s="58">
        <v>1660.1195</v>
      </c>
      <c r="E141" s="58">
        <v>5000</v>
      </c>
      <c r="F141" s="58">
        <v>6779.6610170000004</v>
      </c>
      <c r="G141" s="58">
        <v>0</v>
      </c>
      <c r="H141" s="58">
        <v>818</v>
      </c>
      <c r="I141" s="58">
        <v>0</v>
      </c>
    </row>
    <row r="142" spans="1:9" x14ac:dyDescent="0.35">
      <c r="A142" s="57">
        <v>39457.144</v>
      </c>
      <c r="B142" s="57">
        <v>11880.34398</v>
      </c>
      <c r="C142" s="58">
        <v>6558.56</v>
      </c>
      <c r="D142" s="58">
        <v>1660.1195</v>
      </c>
      <c r="E142" s="58">
        <v>5000</v>
      </c>
      <c r="F142" s="58">
        <v>6779.6610170000004</v>
      </c>
      <c r="G142" s="58">
        <v>0</v>
      </c>
      <c r="H142" s="58">
        <v>818</v>
      </c>
      <c r="I142" s="58">
        <v>330</v>
      </c>
    </row>
    <row r="143" spans="1:9" x14ac:dyDescent="0.35">
      <c r="A143" s="57">
        <v>38604.329999999994</v>
      </c>
      <c r="B143" s="57">
        <v>11864.49785</v>
      </c>
      <c r="C143" s="58">
        <v>6112.9520000000002</v>
      </c>
      <c r="D143" s="58">
        <v>1660.1195</v>
      </c>
      <c r="E143" s="58">
        <v>5000</v>
      </c>
      <c r="F143" s="58">
        <v>6779.6610170000004</v>
      </c>
      <c r="G143" s="58">
        <v>0</v>
      </c>
      <c r="H143" s="58">
        <v>818</v>
      </c>
      <c r="I143" s="58">
        <v>0</v>
      </c>
    </row>
    <row r="144" spans="1:9" x14ac:dyDescent="0.35">
      <c r="A144" s="57">
        <v>36813.754999999997</v>
      </c>
      <c r="B144" s="57">
        <v>11832.805579999998</v>
      </c>
      <c r="C144" s="58">
        <v>6325.7550000000001</v>
      </c>
      <c r="D144" s="58">
        <v>1660.1195</v>
      </c>
      <c r="E144" s="58">
        <v>5000</v>
      </c>
      <c r="F144" s="58">
        <v>6779.6610170000004</v>
      </c>
      <c r="G144" s="58">
        <v>0</v>
      </c>
      <c r="H144" s="58">
        <v>0</v>
      </c>
      <c r="I144" s="58">
        <v>330</v>
      </c>
    </row>
    <row r="145" spans="1:9" x14ac:dyDescent="0.35">
      <c r="A145" s="57">
        <v>34282.080000000002</v>
      </c>
      <c r="B145" s="57">
        <v>11832.805579999998</v>
      </c>
      <c r="C145" s="58">
        <v>5965.1719999999996</v>
      </c>
      <c r="D145" s="58">
        <v>1660.1195</v>
      </c>
      <c r="E145" s="58">
        <v>5000</v>
      </c>
      <c r="F145" s="58">
        <v>6779.6610170000004</v>
      </c>
      <c r="G145" s="58">
        <v>0</v>
      </c>
      <c r="H145" s="58">
        <v>818</v>
      </c>
      <c r="I145" s="58">
        <v>0</v>
      </c>
    </row>
    <row r="146" spans="1:9" x14ac:dyDescent="0.35">
      <c r="A146" s="57">
        <v>32633.776000000002</v>
      </c>
      <c r="B146" s="57">
        <v>11832.805579999998</v>
      </c>
      <c r="C146" s="58">
        <v>5339.4930000000004</v>
      </c>
      <c r="D146" s="58">
        <v>1687.8581449999999</v>
      </c>
      <c r="E146" s="58">
        <v>5000</v>
      </c>
      <c r="F146" s="58">
        <v>6779.6610170000004</v>
      </c>
      <c r="G146" s="58">
        <v>0</v>
      </c>
      <c r="H146" s="58">
        <v>818</v>
      </c>
      <c r="I146" s="58">
        <v>330</v>
      </c>
    </row>
    <row r="147" spans="1:9" x14ac:dyDescent="0.35">
      <c r="A147" s="57">
        <v>30727.125999999997</v>
      </c>
      <c r="B147" s="57">
        <v>11832.805579999998</v>
      </c>
      <c r="C147" s="58">
        <v>4957.9459999999999</v>
      </c>
      <c r="D147" s="58">
        <v>1687.8581449999999</v>
      </c>
      <c r="E147" s="58">
        <v>5000</v>
      </c>
      <c r="F147" s="58">
        <v>6779.6610170000004</v>
      </c>
      <c r="G147" s="58">
        <v>0</v>
      </c>
      <c r="H147" s="58">
        <v>818</v>
      </c>
      <c r="I147" s="58">
        <v>330</v>
      </c>
    </row>
    <row r="148" spans="1:9" x14ac:dyDescent="0.35">
      <c r="A148" s="57">
        <v>29460.581999999999</v>
      </c>
      <c r="B148" s="57">
        <v>11832.805579999998</v>
      </c>
      <c r="C148" s="58">
        <v>4496.732</v>
      </c>
      <c r="D148" s="58">
        <v>1687.8581449999999</v>
      </c>
      <c r="E148" s="58">
        <v>5000</v>
      </c>
      <c r="F148" s="58">
        <v>6779.6610170000004</v>
      </c>
      <c r="G148" s="58">
        <v>0</v>
      </c>
      <c r="H148" s="58">
        <v>818</v>
      </c>
      <c r="I148" s="58">
        <v>330</v>
      </c>
    </row>
    <row r="149" spans="1:9" x14ac:dyDescent="0.35">
      <c r="A149" s="57">
        <v>28758.135999999999</v>
      </c>
      <c r="B149" s="57">
        <v>11832.805579999998</v>
      </c>
      <c r="C149" s="58">
        <v>4343.1559999999999</v>
      </c>
      <c r="D149" s="58">
        <v>1687.8581449999999</v>
      </c>
      <c r="E149" s="58">
        <v>5000</v>
      </c>
      <c r="F149" s="58">
        <v>6779.6610170000004</v>
      </c>
      <c r="G149" s="58">
        <v>0</v>
      </c>
      <c r="H149" s="58">
        <v>818</v>
      </c>
      <c r="I149" s="58">
        <v>330</v>
      </c>
    </row>
    <row r="150" spans="1:9" x14ac:dyDescent="0.35">
      <c r="A150" s="57">
        <v>28585.671000000002</v>
      </c>
      <c r="B150" s="57">
        <v>11864.49785</v>
      </c>
      <c r="C150" s="58">
        <v>4305.777</v>
      </c>
      <c r="D150" s="58">
        <v>1687.8581449999999</v>
      </c>
      <c r="E150" s="58">
        <v>5000</v>
      </c>
      <c r="F150" s="58">
        <v>6779.6610170000004</v>
      </c>
      <c r="G150" s="58">
        <v>0</v>
      </c>
      <c r="H150" s="58">
        <v>818</v>
      </c>
      <c r="I150" s="58">
        <v>330</v>
      </c>
    </row>
    <row r="151" spans="1:9" x14ac:dyDescent="0.35">
      <c r="A151" s="57">
        <v>28783.722000000002</v>
      </c>
      <c r="B151" s="57">
        <v>11896.19011</v>
      </c>
      <c r="C151" s="58">
        <v>4336.7520000000004</v>
      </c>
      <c r="D151" s="58">
        <v>1687.8581449999999</v>
      </c>
      <c r="E151" s="58">
        <v>5000</v>
      </c>
      <c r="F151" s="58">
        <v>6779.6610170000004</v>
      </c>
      <c r="G151" s="58">
        <v>0</v>
      </c>
      <c r="H151" s="58">
        <v>818</v>
      </c>
      <c r="I151" s="58">
        <v>330</v>
      </c>
    </row>
    <row r="152" spans="1:9" x14ac:dyDescent="0.35">
      <c r="A152" s="57">
        <v>29674.134999999998</v>
      </c>
      <c r="B152" s="57">
        <v>11912.036249999999</v>
      </c>
      <c r="C152" s="58">
        <v>4388.3490000000002</v>
      </c>
      <c r="D152" s="58">
        <v>1687.8581449999999</v>
      </c>
      <c r="E152" s="58">
        <v>5000</v>
      </c>
      <c r="F152" s="58">
        <v>6779.6610170000004</v>
      </c>
      <c r="G152" s="58">
        <v>0</v>
      </c>
      <c r="H152" s="58">
        <v>818</v>
      </c>
      <c r="I152" s="58">
        <v>330</v>
      </c>
    </row>
    <row r="153" spans="1:9" x14ac:dyDescent="0.35">
      <c r="A153" s="57">
        <v>31319.714</v>
      </c>
      <c r="B153" s="57">
        <v>11896.19011</v>
      </c>
      <c r="C153" s="58">
        <v>4334.1949999999997</v>
      </c>
      <c r="D153" s="58">
        <v>1687.8581449999999</v>
      </c>
      <c r="E153" s="58">
        <v>5000</v>
      </c>
      <c r="F153" s="58">
        <v>6779.6610170000004</v>
      </c>
      <c r="G153" s="58">
        <v>0</v>
      </c>
      <c r="H153" s="58">
        <v>818</v>
      </c>
      <c r="I153" s="58">
        <v>330</v>
      </c>
    </row>
    <row r="154" spans="1:9" x14ac:dyDescent="0.35">
      <c r="A154" s="57">
        <v>33635.925999999999</v>
      </c>
      <c r="B154" s="57">
        <v>11896.19011</v>
      </c>
      <c r="C154" s="58">
        <v>4342.3630000000003</v>
      </c>
      <c r="D154" s="58">
        <v>1687.8581449999999</v>
      </c>
      <c r="E154" s="58">
        <v>5000</v>
      </c>
      <c r="F154" s="58">
        <v>6779.6610170000004</v>
      </c>
      <c r="G154" s="58">
        <v>0</v>
      </c>
      <c r="H154" s="58">
        <v>818</v>
      </c>
      <c r="I154" s="58">
        <v>330</v>
      </c>
    </row>
    <row r="155" spans="1:9" x14ac:dyDescent="0.35">
      <c r="A155" s="57">
        <v>36023.576000000001</v>
      </c>
      <c r="B155" s="57">
        <v>11896.19011</v>
      </c>
      <c r="C155" s="58">
        <v>4640.1970000000001</v>
      </c>
      <c r="D155" s="58">
        <v>1687.8581449999999</v>
      </c>
      <c r="E155" s="58">
        <v>5000</v>
      </c>
      <c r="F155" s="58">
        <v>6779.6610170000004</v>
      </c>
      <c r="G155" s="58">
        <v>0</v>
      </c>
      <c r="H155" s="58">
        <v>818</v>
      </c>
      <c r="I155" s="58">
        <v>330</v>
      </c>
    </row>
    <row r="156" spans="1:9" x14ac:dyDescent="0.35">
      <c r="A156" s="57">
        <v>36804.972999999998</v>
      </c>
      <c r="B156" s="57">
        <v>11896.19011</v>
      </c>
      <c r="C156" s="58">
        <v>4886.9849999999997</v>
      </c>
      <c r="D156" s="58">
        <v>1871.5779829999999</v>
      </c>
      <c r="E156" s="58">
        <v>5000</v>
      </c>
      <c r="F156" s="58">
        <v>6779.6610170000004</v>
      </c>
      <c r="G156" s="58">
        <v>0</v>
      </c>
      <c r="H156" s="58">
        <v>818</v>
      </c>
      <c r="I156" s="58">
        <v>330</v>
      </c>
    </row>
    <row r="157" spans="1:9" x14ac:dyDescent="0.35">
      <c r="A157" s="57">
        <v>37638.228000000003</v>
      </c>
      <c r="B157" s="57">
        <v>11912.036249999999</v>
      </c>
      <c r="C157" s="58">
        <v>5229.9260000000004</v>
      </c>
      <c r="D157" s="58">
        <v>1871.5779829999999</v>
      </c>
      <c r="E157" s="58">
        <v>5000</v>
      </c>
      <c r="F157" s="58">
        <v>6779.6610170000004</v>
      </c>
      <c r="G157" s="58">
        <v>0</v>
      </c>
      <c r="H157" s="58">
        <v>818</v>
      </c>
      <c r="I157" s="58">
        <v>330</v>
      </c>
    </row>
    <row r="158" spans="1:9" x14ac:dyDescent="0.35">
      <c r="A158" s="57">
        <v>38535.195</v>
      </c>
      <c r="B158" s="57">
        <v>11896.19011</v>
      </c>
      <c r="C158" s="58">
        <v>5596.19</v>
      </c>
      <c r="D158" s="58">
        <v>1871.5779829999999</v>
      </c>
      <c r="E158" s="58">
        <v>5000</v>
      </c>
      <c r="F158" s="58">
        <v>6779.6610170000004</v>
      </c>
      <c r="G158" s="58">
        <v>0</v>
      </c>
      <c r="H158" s="58">
        <v>818</v>
      </c>
      <c r="I158" s="58">
        <v>330</v>
      </c>
    </row>
    <row r="159" spans="1:9" x14ac:dyDescent="0.35">
      <c r="A159" s="57">
        <v>38968.957000000002</v>
      </c>
      <c r="B159" s="57">
        <v>11896.19011</v>
      </c>
      <c r="C159" s="58">
        <v>5280.6869999999999</v>
      </c>
      <c r="D159" s="58">
        <v>1871.5779829999999</v>
      </c>
      <c r="E159" s="58">
        <v>5000</v>
      </c>
      <c r="F159" s="58">
        <v>6779.6610170000004</v>
      </c>
      <c r="G159" s="58">
        <v>0</v>
      </c>
      <c r="H159" s="58">
        <v>818</v>
      </c>
      <c r="I159" s="58">
        <v>330</v>
      </c>
    </row>
    <row r="160" spans="1:9" x14ac:dyDescent="0.35">
      <c r="A160" s="57">
        <v>38089.428</v>
      </c>
      <c r="B160" s="57">
        <v>11912.036249999999</v>
      </c>
      <c r="C160" s="58">
        <v>4999.6120000000001</v>
      </c>
      <c r="D160" s="58">
        <v>1871.5779829999999</v>
      </c>
      <c r="E160" s="58">
        <v>5000</v>
      </c>
      <c r="F160" s="58">
        <v>6779.6610170000004</v>
      </c>
      <c r="G160" s="58">
        <v>0</v>
      </c>
      <c r="H160" s="58">
        <v>818</v>
      </c>
      <c r="I160" s="58">
        <v>330</v>
      </c>
    </row>
    <row r="161" spans="1:9" x14ac:dyDescent="0.35">
      <c r="A161" s="57">
        <v>37514.300000000003</v>
      </c>
      <c r="B161" s="57">
        <v>11896.19011</v>
      </c>
      <c r="C161" s="58">
        <v>5002.7030000000004</v>
      </c>
      <c r="D161" s="58">
        <v>1687.8581449999999</v>
      </c>
      <c r="E161" s="58">
        <v>5000</v>
      </c>
      <c r="F161" s="58">
        <v>6779.6610170000004</v>
      </c>
      <c r="G161" s="58">
        <v>0</v>
      </c>
      <c r="H161" s="58">
        <v>818</v>
      </c>
      <c r="I161" s="58">
        <v>330</v>
      </c>
    </row>
    <row r="162" spans="1:9" x14ac:dyDescent="0.35">
      <c r="A162" s="57">
        <v>37580.498999999996</v>
      </c>
      <c r="B162" s="57">
        <v>11896.19011</v>
      </c>
      <c r="C162" s="58">
        <v>5228.2780000000002</v>
      </c>
      <c r="D162" s="58">
        <v>1687.8581449999999</v>
      </c>
      <c r="E162" s="58">
        <v>5000</v>
      </c>
      <c r="F162" s="58">
        <v>6779.6610170000004</v>
      </c>
      <c r="G162" s="58">
        <v>0</v>
      </c>
      <c r="H162" s="58">
        <v>818</v>
      </c>
      <c r="I162" s="58">
        <v>330</v>
      </c>
    </row>
    <row r="163" spans="1:9" x14ac:dyDescent="0.35">
      <c r="A163" s="57">
        <v>39518.828999999998</v>
      </c>
      <c r="B163" s="57">
        <v>11896.19011</v>
      </c>
      <c r="C163" s="58">
        <v>5872.1220000000003</v>
      </c>
      <c r="D163" s="58">
        <v>1687.8581449999999</v>
      </c>
      <c r="E163" s="58">
        <v>5000</v>
      </c>
      <c r="F163" s="58">
        <v>6779.6610170000004</v>
      </c>
      <c r="G163" s="58">
        <v>0</v>
      </c>
      <c r="H163" s="58">
        <v>818</v>
      </c>
      <c r="I163" s="58">
        <v>330</v>
      </c>
    </row>
    <row r="164" spans="1:9" x14ac:dyDescent="0.35">
      <c r="A164" s="57">
        <v>40568.229999999996</v>
      </c>
      <c r="B164" s="57">
        <v>11912.036249999999</v>
      </c>
      <c r="C164" s="58">
        <v>6451.0309999999999</v>
      </c>
      <c r="D164" s="58">
        <v>1687.8581449999999</v>
      </c>
      <c r="E164" s="58">
        <v>5000</v>
      </c>
      <c r="F164" s="58">
        <v>6779.6610170000004</v>
      </c>
      <c r="G164" s="58">
        <v>0</v>
      </c>
      <c r="H164" s="58">
        <v>818</v>
      </c>
      <c r="I164" s="58">
        <v>330</v>
      </c>
    </row>
    <row r="165" spans="1:9" x14ac:dyDescent="0.35">
      <c r="A165" s="57">
        <v>40863.873</v>
      </c>
      <c r="B165" s="57">
        <v>11896.19011</v>
      </c>
      <c r="C165" s="58">
        <v>6593.3879999999999</v>
      </c>
      <c r="D165" s="58">
        <v>1687.8581449999999</v>
      </c>
      <c r="E165" s="58">
        <v>5000</v>
      </c>
      <c r="F165" s="58">
        <v>6779.6610170000004</v>
      </c>
      <c r="G165" s="58">
        <v>0</v>
      </c>
      <c r="H165" s="58">
        <v>818</v>
      </c>
      <c r="I165" s="58">
        <v>330</v>
      </c>
    </row>
    <row r="166" spans="1:9" x14ac:dyDescent="0.35">
      <c r="A166" s="57">
        <v>40529.981</v>
      </c>
      <c r="B166" s="57">
        <v>11880.34398</v>
      </c>
      <c r="C166" s="58">
        <v>6426.7089999999998</v>
      </c>
      <c r="D166" s="58">
        <v>1687.8581449999999</v>
      </c>
      <c r="E166" s="58">
        <v>5000</v>
      </c>
      <c r="F166" s="58">
        <v>6779.6610170000004</v>
      </c>
      <c r="G166" s="58">
        <v>0</v>
      </c>
      <c r="H166" s="58">
        <v>818</v>
      </c>
      <c r="I166" s="58">
        <v>330</v>
      </c>
    </row>
    <row r="167" spans="1:9" x14ac:dyDescent="0.35">
      <c r="A167" s="57">
        <v>39225.506000000001</v>
      </c>
      <c r="B167" s="57">
        <v>11864.49785</v>
      </c>
      <c r="C167" s="58">
        <v>6037.9189999999999</v>
      </c>
      <c r="D167" s="58">
        <v>1687.8581449999999</v>
      </c>
      <c r="E167" s="58">
        <v>5000</v>
      </c>
      <c r="F167" s="58">
        <v>6779.6610170000004</v>
      </c>
      <c r="G167" s="58">
        <v>0</v>
      </c>
      <c r="H167" s="58">
        <v>818</v>
      </c>
      <c r="I167" s="58">
        <v>330</v>
      </c>
    </row>
    <row r="168" spans="1:9" x14ac:dyDescent="0.35">
      <c r="A168" s="57">
        <v>37244.282999999996</v>
      </c>
      <c r="B168" s="57">
        <v>11832.805579999998</v>
      </c>
      <c r="C168" s="58">
        <v>6241.08</v>
      </c>
      <c r="D168" s="58">
        <v>1687.8581449999999</v>
      </c>
      <c r="E168" s="58">
        <v>5000</v>
      </c>
      <c r="F168" s="58">
        <v>6779.6610170000004</v>
      </c>
      <c r="G168" s="58">
        <v>0</v>
      </c>
      <c r="H168" s="58">
        <v>818</v>
      </c>
      <c r="I168" s="58">
        <v>330</v>
      </c>
    </row>
    <row r="169" spans="1:9" x14ac:dyDescent="0.35">
      <c r="A169" s="57">
        <v>34857.546000000002</v>
      </c>
      <c r="B169" s="57">
        <v>11832.805579999998</v>
      </c>
      <c r="C169" s="58">
        <v>5886.9840000000004</v>
      </c>
      <c r="D169" s="58">
        <v>1687.8581449999999</v>
      </c>
      <c r="E169" s="58">
        <v>5000</v>
      </c>
      <c r="F169" s="58">
        <v>6779.6610170000004</v>
      </c>
      <c r="G169" s="58">
        <v>0</v>
      </c>
      <c r="H169" s="58">
        <v>818</v>
      </c>
      <c r="I169" s="58">
        <v>330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theme="5" tint="0.79998168889431442"/>
  </sheetPr>
  <dimension ref="A1:U8761"/>
  <sheetViews>
    <sheetView tabSelected="1" topLeftCell="F1" zoomScale="88" zoomScaleNormal="85" workbookViewId="0">
      <selection activeCell="J7" sqref="J7"/>
    </sheetView>
  </sheetViews>
  <sheetFormatPr baseColWidth="10" defaultRowHeight="14.5" x14ac:dyDescent="0.35"/>
  <cols>
    <col min="1" max="2" width="20.26953125" style="46" customWidth="1"/>
    <col min="3" max="3" width="22.81640625" style="46" bestFit="1" customWidth="1"/>
    <col min="4" max="5" width="20.36328125" style="46" bestFit="1" customWidth="1"/>
    <col min="6" max="6" width="21.26953125" style="46" bestFit="1" customWidth="1"/>
    <col min="7" max="7" width="20.36328125" style="46" bestFit="1" customWidth="1"/>
    <col min="8" max="8" width="23" style="46" bestFit="1" customWidth="1"/>
    <col min="9" max="10" width="20.36328125" style="46" bestFit="1" customWidth="1"/>
    <col min="11" max="12" width="20.453125" style="46" customWidth="1"/>
    <col min="13" max="13" width="21.1796875" style="46" bestFit="1" customWidth="1"/>
    <col min="14" max="15" width="27.1796875" style="46" customWidth="1"/>
    <col min="16" max="16" width="21.26953125" style="46" customWidth="1"/>
    <col min="17" max="17" width="19.453125" style="46" customWidth="1"/>
    <col min="18" max="20" width="21.7265625" style="46" bestFit="1" customWidth="1"/>
    <col min="21" max="21" width="13.6328125" style="46" bestFit="1" customWidth="1"/>
    <col min="22" max="16384" width="10.90625" style="46"/>
  </cols>
  <sheetData>
    <row r="1" spans="1:21" s="56" customFormat="1" x14ac:dyDescent="0.35">
      <c r="A1" s="59" t="s">
        <v>137</v>
      </c>
      <c r="B1" s="59" t="s">
        <v>135</v>
      </c>
      <c r="C1" s="59" t="s">
        <v>136</v>
      </c>
      <c r="D1" s="59" t="s">
        <v>62</v>
      </c>
      <c r="E1" s="59" t="s">
        <v>183</v>
      </c>
      <c r="F1" s="59" t="s">
        <v>127</v>
      </c>
      <c r="G1" s="59" t="s">
        <v>126</v>
      </c>
      <c r="H1" s="60" t="s">
        <v>158</v>
      </c>
      <c r="I1" s="60" t="s">
        <v>143</v>
      </c>
      <c r="J1" s="60" t="s">
        <v>171</v>
      </c>
      <c r="K1" s="60" t="s">
        <v>172</v>
      </c>
      <c r="L1" s="60" t="s">
        <v>184</v>
      </c>
      <c r="M1" s="60" t="s">
        <v>124</v>
      </c>
      <c r="N1" s="54" t="s">
        <v>125</v>
      </c>
      <c r="O1" s="61" t="s">
        <v>134</v>
      </c>
      <c r="P1" s="61" t="s">
        <v>133</v>
      </c>
      <c r="Q1" s="62" t="s">
        <v>117</v>
      </c>
      <c r="R1" s="62" t="s">
        <v>123</v>
      </c>
      <c r="S1" s="62" t="s">
        <v>119</v>
      </c>
      <c r="T1" s="62" t="s">
        <v>129</v>
      </c>
      <c r="U1" s="62" t="s">
        <v>128</v>
      </c>
    </row>
    <row r="2" spans="1:21" s="57" customFormat="1" x14ac:dyDescent="0.35">
      <c r="A2" s="63">
        <v>0</v>
      </c>
      <c r="B2" s="63">
        <v>0</v>
      </c>
      <c r="C2" s="63">
        <v>0</v>
      </c>
      <c r="D2" s="63">
        <v>0.27513821599999999</v>
      </c>
      <c r="E2" s="63">
        <v>0.2690001867898939</v>
      </c>
      <c r="F2" s="63">
        <v>0.32071055214723926</v>
      </c>
      <c r="G2" s="64">
        <v>0</v>
      </c>
      <c r="H2" s="63">
        <v>0</v>
      </c>
      <c r="I2" s="63">
        <v>0</v>
      </c>
      <c r="J2" s="63">
        <v>0.11900000000000001</v>
      </c>
      <c r="K2" s="63">
        <v>0.13200000000000001</v>
      </c>
      <c r="L2" s="63">
        <v>0.53761169881767268</v>
      </c>
      <c r="M2" s="63">
        <v>0.10459029529603799</v>
      </c>
      <c r="N2" s="57">
        <v>0</v>
      </c>
      <c r="O2" s="65">
        <v>0.77362125528354786</v>
      </c>
      <c r="P2" s="65">
        <f>1</f>
        <v>1</v>
      </c>
      <c r="Q2" s="66">
        <v>1</v>
      </c>
      <c r="R2" s="67">
        <v>0</v>
      </c>
      <c r="S2" s="67">
        <v>1</v>
      </c>
      <c r="T2" s="67">
        <v>1240</v>
      </c>
      <c r="U2" s="67">
        <v>330</v>
      </c>
    </row>
    <row r="3" spans="1:21" s="57" customFormat="1" x14ac:dyDescent="0.35">
      <c r="A3" s="63">
        <v>0</v>
      </c>
      <c r="B3" s="63">
        <v>0</v>
      </c>
      <c r="C3" s="63">
        <v>0</v>
      </c>
      <c r="D3" s="63">
        <v>0.29443187700000001</v>
      </c>
      <c r="E3" s="63">
        <v>0.26699991066570294</v>
      </c>
      <c r="F3" s="63">
        <v>0.34319990797546007</v>
      </c>
      <c r="G3" s="64">
        <v>0</v>
      </c>
      <c r="H3" s="63">
        <v>0</v>
      </c>
      <c r="I3" s="63">
        <v>0</v>
      </c>
      <c r="J3" s="63">
        <v>0.125</v>
      </c>
      <c r="K3" s="63">
        <v>0.11799999999999999</v>
      </c>
      <c r="L3" s="63">
        <v>0.53382202862476658</v>
      </c>
      <c r="M3" s="63">
        <v>9.6099792254043623E-2</v>
      </c>
      <c r="N3" s="57">
        <v>0</v>
      </c>
      <c r="O3" s="65">
        <v>0.77362125528354786</v>
      </c>
      <c r="P3" s="65">
        <f>1</f>
        <v>1</v>
      </c>
      <c r="Q3" s="66">
        <v>1</v>
      </c>
      <c r="R3" s="67">
        <v>0</v>
      </c>
      <c r="S3" s="67">
        <v>1</v>
      </c>
      <c r="T3" s="67">
        <v>1240</v>
      </c>
      <c r="U3" s="67">
        <v>330</v>
      </c>
    </row>
    <row r="4" spans="1:21" s="57" customFormat="1" x14ac:dyDescent="0.35">
      <c r="A4" s="63">
        <v>0</v>
      </c>
      <c r="B4" s="63">
        <v>0</v>
      </c>
      <c r="C4" s="63">
        <v>0</v>
      </c>
      <c r="D4" s="63">
        <v>0.29945537999999999</v>
      </c>
      <c r="E4" s="63">
        <v>0.26500004060649868</v>
      </c>
      <c r="F4" s="63">
        <v>0.34905549079754605</v>
      </c>
      <c r="G4" s="64">
        <v>0</v>
      </c>
      <c r="H4" s="63">
        <v>0</v>
      </c>
      <c r="I4" s="63">
        <v>0</v>
      </c>
      <c r="J4" s="63">
        <v>0.13699999999999998</v>
      </c>
      <c r="K4" s="63">
        <v>0.11</v>
      </c>
      <c r="L4" s="63">
        <v>0.53300435594275042</v>
      </c>
      <c r="M4" s="63">
        <v>9.047121234604541E-2</v>
      </c>
      <c r="N4" s="57">
        <v>0</v>
      </c>
      <c r="O4" s="65">
        <v>0.77362125528354786</v>
      </c>
      <c r="P4" s="65">
        <f>1</f>
        <v>1</v>
      </c>
      <c r="Q4" s="66">
        <v>1</v>
      </c>
      <c r="R4" s="67">
        <v>0</v>
      </c>
      <c r="S4" s="67">
        <v>1</v>
      </c>
      <c r="T4" s="67">
        <v>1240</v>
      </c>
      <c r="U4" s="67">
        <v>330</v>
      </c>
    </row>
    <row r="5" spans="1:21" s="57" customFormat="1" x14ac:dyDescent="0.35">
      <c r="A5" s="63">
        <v>0</v>
      </c>
      <c r="B5" s="63">
        <v>0</v>
      </c>
      <c r="C5" s="63">
        <v>0</v>
      </c>
      <c r="D5" s="63">
        <v>0.30697123399999998</v>
      </c>
      <c r="E5" s="63">
        <v>0.2749997969675067</v>
      </c>
      <c r="F5" s="63">
        <v>0.35781622699386501</v>
      </c>
      <c r="G5" s="64">
        <v>0</v>
      </c>
      <c r="H5" s="63">
        <v>0</v>
      </c>
      <c r="I5" s="63">
        <v>0</v>
      </c>
      <c r="J5" s="63">
        <v>0.153</v>
      </c>
      <c r="K5" s="63">
        <v>0.105</v>
      </c>
      <c r="L5" s="63">
        <v>0.53906596141879282</v>
      </c>
      <c r="M5" s="63">
        <v>8.5199584508087248E-2</v>
      </c>
      <c r="N5" s="57">
        <v>0</v>
      </c>
      <c r="O5" s="65">
        <v>0.77362125528354786</v>
      </c>
      <c r="P5" s="65">
        <f>1</f>
        <v>1</v>
      </c>
      <c r="Q5" s="66">
        <v>1</v>
      </c>
      <c r="R5" s="67">
        <v>0</v>
      </c>
      <c r="S5" s="67">
        <v>1</v>
      </c>
      <c r="T5" s="67">
        <v>1240</v>
      </c>
      <c r="U5" s="67">
        <v>330</v>
      </c>
    </row>
    <row r="6" spans="1:21" s="57" customFormat="1" x14ac:dyDescent="0.35">
      <c r="A6" s="63">
        <v>0</v>
      </c>
      <c r="B6" s="63">
        <v>0</v>
      </c>
      <c r="C6" s="63">
        <v>0</v>
      </c>
      <c r="D6" s="63">
        <v>0.32181367900000002</v>
      </c>
      <c r="E6" s="63">
        <v>0.27899994315090187</v>
      </c>
      <c r="F6" s="63">
        <v>0.37511708588957055</v>
      </c>
      <c r="G6" s="64">
        <v>0</v>
      </c>
      <c r="H6" s="63">
        <v>0</v>
      </c>
      <c r="I6" s="63">
        <v>0</v>
      </c>
      <c r="J6" s="63">
        <v>0.16699999999999998</v>
      </c>
      <c r="K6" s="63">
        <v>0.10099999999999999</v>
      </c>
      <c r="L6" s="63">
        <v>0.54218046048537649</v>
      </c>
      <c r="M6" s="63">
        <v>8.1436637483306137E-2</v>
      </c>
      <c r="N6" s="57">
        <v>0</v>
      </c>
      <c r="O6" s="65">
        <v>0.77362125528354786</v>
      </c>
      <c r="P6" s="65">
        <f>1</f>
        <v>1</v>
      </c>
      <c r="Q6" s="66">
        <v>1</v>
      </c>
      <c r="R6" s="67">
        <v>0</v>
      </c>
      <c r="S6" s="67">
        <v>1</v>
      </c>
      <c r="T6" s="67">
        <v>1240</v>
      </c>
      <c r="U6" s="67">
        <v>330</v>
      </c>
    </row>
    <row r="7" spans="1:21" s="57" customFormat="1" x14ac:dyDescent="0.35">
      <c r="A7" s="63">
        <v>0</v>
      </c>
      <c r="B7" s="63">
        <v>0</v>
      </c>
      <c r="C7" s="63">
        <v>0</v>
      </c>
      <c r="D7" s="63">
        <v>0.323743155</v>
      </c>
      <c r="E7" s="63">
        <v>0.2909999756361008</v>
      </c>
      <c r="F7" s="63">
        <v>0.37736613496932514</v>
      </c>
      <c r="G7" s="64">
        <v>0</v>
      </c>
      <c r="H7" s="63">
        <v>0</v>
      </c>
      <c r="I7" s="63">
        <v>0</v>
      </c>
      <c r="J7" s="63">
        <v>0.17800000000000002</v>
      </c>
      <c r="K7" s="63">
        <v>9.7000000000000003E-2</v>
      </c>
      <c r="L7" s="63">
        <v>0.55440074673304296</v>
      </c>
      <c r="M7" s="63">
        <v>7.9330835435524563E-2</v>
      </c>
      <c r="N7" s="57">
        <v>0</v>
      </c>
      <c r="O7" s="65">
        <v>0.77362125528354786</v>
      </c>
      <c r="P7" s="65">
        <f>1</f>
        <v>1</v>
      </c>
      <c r="Q7" s="66">
        <v>1</v>
      </c>
      <c r="R7" s="67">
        <v>0</v>
      </c>
      <c r="S7" s="67">
        <v>1</v>
      </c>
      <c r="T7" s="67">
        <v>1240</v>
      </c>
      <c r="U7" s="67">
        <v>330</v>
      </c>
    </row>
    <row r="8" spans="1:21" s="57" customFormat="1" x14ac:dyDescent="0.35">
      <c r="A8" s="63">
        <v>0</v>
      </c>
      <c r="B8" s="63">
        <v>0</v>
      </c>
      <c r="C8" s="63">
        <v>0</v>
      </c>
      <c r="D8" s="63">
        <v>0.30273460200000002</v>
      </c>
      <c r="E8" s="63">
        <v>0.32799980508880644</v>
      </c>
      <c r="F8" s="63">
        <v>0.35287785276073619</v>
      </c>
      <c r="G8" s="64">
        <v>0</v>
      </c>
      <c r="H8" s="63">
        <v>0</v>
      </c>
      <c r="I8" s="63">
        <v>0</v>
      </c>
      <c r="J8" s="63">
        <v>0.183</v>
      </c>
      <c r="K8" s="63">
        <v>9.1999999999999998E-2</v>
      </c>
      <c r="L8" s="63">
        <v>0.56481269446172988</v>
      </c>
      <c r="M8" s="63">
        <v>7.6747291883068711E-2</v>
      </c>
      <c r="N8" s="57">
        <v>0</v>
      </c>
      <c r="O8" s="65">
        <v>0.77362125528354786</v>
      </c>
      <c r="P8" s="65">
        <f>1</f>
        <v>1</v>
      </c>
      <c r="Q8" s="66">
        <v>1</v>
      </c>
      <c r="R8" s="67">
        <v>0</v>
      </c>
      <c r="S8" s="67">
        <v>1</v>
      </c>
      <c r="T8" s="67">
        <v>1240</v>
      </c>
      <c r="U8" s="67">
        <v>330</v>
      </c>
    </row>
    <row r="9" spans="1:21" s="57" customFormat="1" x14ac:dyDescent="0.35">
      <c r="A9" s="63">
        <v>0</v>
      </c>
      <c r="B9" s="63">
        <v>0</v>
      </c>
      <c r="C9" s="63">
        <v>0</v>
      </c>
      <c r="D9" s="63">
        <v>0.24533328800000001</v>
      </c>
      <c r="E9" s="63">
        <v>0.35799988630180374</v>
      </c>
      <c r="F9" s="63">
        <v>0.28596889570552148</v>
      </c>
      <c r="G9" s="64">
        <v>0</v>
      </c>
      <c r="H9" s="63">
        <v>0</v>
      </c>
      <c r="I9" s="63">
        <v>0</v>
      </c>
      <c r="J9" s="63">
        <v>0.183</v>
      </c>
      <c r="K9" s="63">
        <v>9.0999999999999998E-2</v>
      </c>
      <c r="L9" s="63">
        <v>0.56885127566894833</v>
      </c>
      <c r="M9" s="63">
        <v>7.7074862739278827E-2</v>
      </c>
      <c r="N9" s="57">
        <v>0</v>
      </c>
      <c r="O9" s="65">
        <v>0.77362125528354786</v>
      </c>
      <c r="P9" s="65">
        <f>1</f>
        <v>1</v>
      </c>
      <c r="Q9" s="66">
        <v>1</v>
      </c>
      <c r="R9" s="67">
        <v>0</v>
      </c>
      <c r="S9" s="67">
        <v>1</v>
      </c>
      <c r="T9" s="67">
        <v>1240</v>
      </c>
      <c r="U9" s="67">
        <v>330</v>
      </c>
    </row>
    <row r="10" spans="1:21" s="57" customFormat="1" x14ac:dyDescent="0.35">
      <c r="A10" s="63">
        <v>0</v>
      </c>
      <c r="B10" s="63">
        <v>0</v>
      </c>
      <c r="C10" s="63">
        <v>0</v>
      </c>
      <c r="D10" s="63">
        <v>0.19145563500000001</v>
      </c>
      <c r="E10" s="63">
        <v>0.37100005684909815</v>
      </c>
      <c r="F10" s="63">
        <v>0.22869705521472394</v>
      </c>
      <c r="G10" s="64">
        <v>0</v>
      </c>
      <c r="H10" s="63">
        <v>0</v>
      </c>
      <c r="I10" s="63">
        <v>0</v>
      </c>
      <c r="J10" s="63">
        <v>0.17199999999999999</v>
      </c>
      <c r="K10" s="63">
        <v>8.8999999999999996E-2</v>
      </c>
      <c r="L10" s="63">
        <v>0.5673571873055383</v>
      </c>
      <c r="M10" s="63">
        <v>7.7029603798783194E-2</v>
      </c>
      <c r="N10" s="57">
        <v>0</v>
      </c>
      <c r="O10" s="65">
        <v>0.77362125528354786</v>
      </c>
      <c r="P10" s="65">
        <f>1</f>
        <v>1</v>
      </c>
      <c r="Q10" s="66">
        <v>1</v>
      </c>
      <c r="R10" s="67">
        <v>0</v>
      </c>
      <c r="S10" s="67">
        <v>1</v>
      </c>
      <c r="T10" s="67">
        <v>1240</v>
      </c>
      <c r="U10" s="67">
        <v>330</v>
      </c>
    </row>
    <row r="11" spans="1:21" s="57" customFormat="1" x14ac:dyDescent="0.35">
      <c r="A11" s="63">
        <v>0.122</v>
      </c>
      <c r="B11" s="63">
        <v>7.0999999999999994E-2</v>
      </c>
      <c r="C11" s="63">
        <v>0.13100000000000001</v>
      </c>
      <c r="D11" s="63">
        <v>0.16467230399999999</v>
      </c>
      <c r="E11" s="63">
        <v>0.39099997563610084</v>
      </c>
      <c r="F11" s="63">
        <v>0.33959389570552151</v>
      </c>
      <c r="G11" s="64">
        <v>0</v>
      </c>
      <c r="H11" s="63">
        <v>7.3999999999999996E-2</v>
      </c>
      <c r="I11" s="63">
        <v>3.7999999999999999E-2</v>
      </c>
      <c r="J11" s="63">
        <v>0.13400000000000001</v>
      </c>
      <c r="K11" s="63">
        <v>8.8999999999999996E-2</v>
      </c>
      <c r="L11" s="63">
        <v>0.56726260112009952</v>
      </c>
      <c r="M11" s="63">
        <v>0.12732067072265915</v>
      </c>
      <c r="N11" s="57">
        <v>0</v>
      </c>
      <c r="O11" s="65">
        <v>0.77362125528354786</v>
      </c>
      <c r="P11" s="65">
        <f>1</f>
        <v>1</v>
      </c>
      <c r="Q11" s="66">
        <v>1</v>
      </c>
      <c r="R11" s="67">
        <v>0</v>
      </c>
      <c r="S11" s="67">
        <v>1</v>
      </c>
      <c r="T11" s="67">
        <v>1240</v>
      </c>
      <c r="U11" s="67">
        <v>330</v>
      </c>
    </row>
    <row r="12" spans="1:21" s="57" customFormat="1" x14ac:dyDescent="0.35">
      <c r="A12" s="63">
        <v>0.313</v>
      </c>
      <c r="B12" s="63">
        <v>0.188</v>
      </c>
      <c r="C12" s="63">
        <v>0.30499999999999999</v>
      </c>
      <c r="D12" s="63">
        <v>0.15553496</v>
      </c>
      <c r="E12" s="63">
        <v>0.39899986193790454</v>
      </c>
      <c r="F12" s="63">
        <v>0.54153374233128837</v>
      </c>
      <c r="G12" s="64">
        <v>0</v>
      </c>
      <c r="H12" s="63">
        <v>0.26499999999999996</v>
      </c>
      <c r="I12" s="63">
        <v>0.14199999999999999</v>
      </c>
      <c r="J12" s="63">
        <v>7.1999999999999995E-2</v>
      </c>
      <c r="K12" s="63">
        <v>8.4999999999999992E-2</v>
      </c>
      <c r="L12" s="63">
        <v>0.57141879278158059</v>
      </c>
      <c r="M12" s="63">
        <v>0.26103301676806645</v>
      </c>
      <c r="N12" s="57">
        <v>0</v>
      </c>
      <c r="O12" s="65">
        <v>0</v>
      </c>
      <c r="P12" s="65">
        <f>1</f>
        <v>1</v>
      </c>
      <c r="Q12" s="66">
        <v>0</v>
      </c>
      <c r="R12" s="67">
        <v>0</v>
      </c>
      <c r="S12" s="67">
        <v>1</v>
      </c>
      <c r="T12" s="67">
        <v>195.1</v>
      </c>
      <c r="U12" s="67">
        <v>330</v>
      </c>
    </row>
    <row r="13" spans="1:21" s="57" customFormat="1" x14ac:dyDescent="0.35">
      <c r="A13" s="63">
        <v>0.379</v>
      </c>
      <c r="B13" s="63">
        <v>0.31</v>
      </c>
      <c r="C13" s="63">
        <v>0.442</v>
      </c>
      <c r="D13" s="63">
        <v>0.16481443000000001</v>
      </c>
      <c r="E13" s="63">
        <v>0.40499987818050404</v>
      </c>
      <c r="F13" s="63">
        <v>0.6704150613496932</v>
      </c>
      <c r="G13" s="64">
        <v>0</v>
      </c>
      <c r="H13" s="63">
        <v>0.44199999999999995</v>
      </c>
      <c r="I13" s="63">
        <v>0.251</v>
      </c>
      <c r="J13" s="63">
        <v>3.7999999999999999E-2</v>
      </c>
      <c r="K13" s="63">
        <v>8.2000000000000003E-2</v>
      </c>
      <c r="L13" s="63">
        <v>0.56903049159925323</v>
      </c>
      <c r="M13" s="63">
        <v>0.39263199287728151</v>
      </c>
      <c r="N13" s="57">
        <v>0</v>
      </c>
      <c r="O13" s="65">
        <v>0</v>
      </c>
      <c r="P13" s="65">
        <f>1</f>
        <v>1</v>
      </c>
      <c r="Q13" s="66">
        <v>0</v>
      </c>
      <c r="R13" s="67">
        <v>0</v>
      </c>
      <c r="S13" s="67">
        <v>0.97923636659023339</v>
      </c>
      <c r="T13" s="67">
        <v>0</v>
      </c>
      <c r="U13" s="67">
        <v>0</v>
      </c>
    </row>
    <row r="14" spans="1:21" s="57" customFormat="1" x14ac:dyDescent="0.35">
      <c r="A14" s="63">
        <v>0.39100000000000001</v>
      </c>
      <c r="B14" s="63">
        <v>0.38900000000000001</v>
      </c>
      <c r="C14" s="63">
        <v>0.51</v>
      </c>
      <c r="D14" s="63">
        <v>0.189962678</v>
      </c>
      <c r="E14" s="63">
        <v>0.40400014618339519</v>
      </c>
      <c r="F14" s="63">
        <v>0.74630892638036805</v>
      </c>
      <c r="G14" s="64">
        <v>0</v>
      </c>
      <c r="H14" s="63">
        <v>0.54799999999999993</v>
      </c>
      <c r="I14" s="63">
        <v>0.32300000000000001</v>
      </c>
      <c r="J14" s="63">
        <v>3.6999999999999998E-2</v>
      </c>
      <c r="K14" s="63">
        <v>7.8E-2</v>
      </c>
      <c r="L14" s="63">
        <v>0.5700429371499689</v>
      </c>
      <c r="M14" s="63">
        <v>0.47529907998219323</v>
      </c>
      <c r="N14" s="57">
        <v>0</v>
      </c>
      <c r="O14" s="65">
        <v>0</v>
      </c>
      <c r="P14" s="65">
        <f>1</f>
        <v>1</v>
      </c>
      <c r="Q14" s="66">
        <v>0</v>
      </c>
      <c r="R14" s="67">
        <v>0</v>
      </c>
      <c r="S14" s="67">
        <v>0.32499278940606868</v>
      </c>
      <c r="T14" s="67">
        <v>0</v>
      </c>
      <c r="U14" s="67">
        <v>0</v>
      </c>
    </row>
    <row r="15" spans="1:21" s="57" customFormat="1" x14ac:dyDescent="0.35">
      <c r="A15" s="63">
        <v>0.38900000000000001</v>
      </c>
      <c r="B15" s="63">
        <v>0.39899999999999997</v>
      </c>
      <c r="C15" s="63">
        <v>0.51100000000000001</v>
      </c>
      <c r="D15" s="63">
        <v>0.20713524</v>
      </c>
      <c r="E15" s="63">
        <v>0.40600001624259952</v>
      </c>
      <c r="F15" s="63">
        <v>0.76628361963190184</v>
      </c>
      <c r="G15" s="64">
        <v>0</v>
      </c>
      <c r="H15" s="63">
        <v>0.58100000000000007</v>
      </c>
      <c r="I15" s="63">
        <v>0.34800000000000003</v>
      </c>
      <c r="J15" s="63">
        <v>4.2999999999999997E-2</v>
      </c>
      <c r="K15" s="63">
        <v>0.08</v>
      </c>
      <c r="L15" s="63">
        <v>0.5675121344119477</v>
      </c>
      <c r="M15" s="63">
        <v>0.50673623683039026</v>
      </c>
      <c r="N15" s="57">
        <v>0</v>
      </c>
      <c r="O15" s="65">
        <v>0</v>
      </c>
      <c r="P15" s="65">
        <f>1</f>
        <v>1</v>
      </c>
      <c r="Q15" s="66">
        <v>0</v>
      </c>
      <c r="R15" s="67">
        <v>0</v>
      </c>
      <c r="S15" s="67">
        <v>0.48769743270288041</v>
      </c>
      <c r="T15" s="67">
        <v>0</v>
      </c>
      <c r="U15" s="67">
        <v>0</v>
      </c>
    </row>
    <row r="16" spans="1:21" s="57" customFormat="1" x14ac:dyDescent="0.35">
      <c r="A16" s="63">
        <v>0.378</v>
      </c>
      <c r="B16" s="63">
        <v>0.34799999999999998</v>
      </c>
      <c r="C16" s="63">
        <v>0.45100000000000001</v>
      </c>
      <c r="D16" s="63">
        <v>0.21409618999999999</v>
      </c>
      <c r="E16" s="63">
        <v>0.40799988630180378</v>
      </c>
      <c r="F16" s="63">
        <v>0.7329300613496933</v>
      </c>
      <c r="G16" s="64">
        <v>0</v>
      </c>
      <c r="H16" s="63">
        <v>0.54200000000000004</v>
      </c>
      <c r="I16" s="63">
        <v>0.32300000000000001</v>
      </c>
      <c r="J16" s="63">
        <v>4.9999999999999996E-2</v>
      </c>
      <c r="K16" s="63">
        <v>8.7999999999999995E-2</v>
      </c>
      <c r="L16" s="63">
        <v>0.56426135656502807</v>
      </c>
      <c r="M16" s="63">
        <v>0.48316849680961571</v>
      </c>
      <c r="N16" s="57">
        <v>0</v>
      </c>
      <c r="O16" s="65">
        <v>0</v>
      </c>
      <c r="P16" s="65">
        <f>1</f>
        <v>1</v>
      </c>
      <c r="Q16" s="66">
        <v>0</v>
      </c>
      <c r="R16" s="67">
        <v>0</v>
      </c>
      <c r="S16" s="67">
        <v>0.97923636659023339</v>
      </c>
      <c r="T16" s="67">
        <v>0</v>
      </c>
      <c r="U16" s="67">
        <v>0</v>
      </c>
    </row>
    <row r="17" spans="1:21" s="57" customFormat="1" x14ac:dyDescent="0.35">
      <c r="A17" s="63">
        <v>0.35499999999999998</v>
      </c>
      <c r="B17" s="63">
        <v>0.253</v>
      </c>
      <c r="C17" s="63">
        <v>0.34899999999999998</v>
      </c>
      <c r="D17" s="63">
        <v>0.214720357</v>
      </c>
      <c r="E17" s="63">
        <v>0.40700015430469494</v>
      </c>
      <c r="F17" s="63">
        <v>0.6604142331288344</v>
      </c>
      <c r="G17" s="64">
        <v>0</v>
      </c>
      <c r="H17" s="63">
        <v>0.44099999999999995</v>
      </c>
      <c r="I17" s="63">
        <v>0.251</v>
      </c>
      <c r="J17" s="63">
        <v>5.7000000000000002E-2</v>
      </c>
      <c r="K17" s="63">
        <v>0.10099999999999999</v>
      </c>
      <c r="L17" s="63">
        <v>0.5602644679527069</v>
      </c>
      <c r="M17" s="63">
        <v>0.40842951476480188</v>
      </c>
      <c r="N17" s="57">
        <v>0</v>
      </c>
      <c r="O17" s="65">
        <v>0</v>
      </c>
      <c r="P17" s="65">
        <f>1</f>
        <v>1</v>
      </c>
      <c r="Q17" s="66">
        <v>0</v>
      </c>
      <c r="R17" s="67">
        <v>0</v>
      </c>
      <c r="S17" s="67">
        <v>1</v>
      </c>
      <c r="T17" s="67">
        <v>195.1</v>
      </c>
      <c r="U17" s="67">
        <v>0</v>
      </c>
    </row>
    <row r="18" spans="1:21" s="57" customFormat="1" x14ac:dyDescent="0.35">
      <c r="A18" s="63">
        <v>0.252</v>
      </c>
      <c r="B18" s="63">
        <v>0.128</v>
      </c>
      <c r="C18" s="63">
        <v>0.20699999999999999</v>
      </c>
      <c r="D18" s="63">
        <v>0.20648649199999999</v>
      </c>
      <c r="E18" s="63">
        <v>0.41000016242599469</v>
      </c>
      <c r="F18" s="63">
        <v>0.50775052147239264</v>
      </c>
      <c r="G18" s="64">
        <v>0</v>
      </c>
      <c r="H18" s="63">
        <v>0.29399999999999998</v>
      </c>
      <c r="I18" s="63">
        <v>0.152</v>
      </c>
      <c r="J18" s="63">
        <v>5.7999999999999996E-2</v>
      </c>
      <c r="K18" s="63">
        <v>0.111</v>
      </c>
      <c r="L18" s="63">
        <v>0.55359240821406352</v>
      </c>
      <c r="M18" s="63">
        <v>0.295080204778157</v>
      </c>
      <c r="N18" s="57">
        <v>0</v>
      </c>
      <c r="O18" s="65">
        <v>0</v>
      </c>
      <c r="P18" s="65">
        <f>1</f>
        <v>1</v>
      </c>
      <c r="Q18" s="66">
        <v>0</v>
      </c>
      <c r="R18" s="67">
        <v>0</v>
      </c>
      <c r="S18" s="67">
        <v>1</v>
      </c>
      <c r="T18" s="67">
        <v>1240</v>
      </c>
      <c r="U18" s="67">
        <v>330</v>
      </c>
    </row>
    <row r="19" spans="1:21" s="57" customFormat="1" x14ac:dyDescent="0.35">
      <c r="A19" s="63">
        <v>5.5E-2</v>
      </c>
      <c r="B19" s="63">
        <v>1.3000000000000001E-2</v>
      </c>
      <c r="C19" s="63">
        <v>5.2000000000000005E-2</v>
      </c>
      <c r="D19" s="63">
        <v>0.17191646599999999</v>
      </c>
      <c r="E19" s="63">
        <v>0.42599993502960221</v>
      </c>
      <c r="F19" s="63">
        <v>0.26268420245398771</v>
      </c>
      <c r="G19" s="64">
        <v>0</v>
      </c>
      <c r="H19" s="63">
        <v>0.12099999999999998</v>
      </c>
      <c r="I19" s="63">
        <v>5.2999999999999999E-2</v>
      </c>
      <c r="J19" s="63">
        <v>6.9000000000000006E-2</v>
      </c>
      <c r="K19" s="63">
        <v>0.125</v>
      </c>
      <c r="L19" s="63">
        <v>0.54495395146235215</v>
      </c>
      <c r="M19" s="63">
        <v>0.17503182964831579</v>
      </c>
      <c r="N19" s="57">
        <v>0</v>
      </c>
      <c r="O19" s="65">
        <v>0.77362125528354786</v>
      </c>
      <c r="P19" s="65">
        <f>1</f>
        <v>1</v>
      </c>
      <c r="Q19" s="66">
        <v>1</v>
      </c>
      <c r="R19" s="67">
        <v>0</v>
      </c>
      <c r="S19" s="67">
        <v>1</v>
      </c>
      <c r="T19" s="67">
        <v>1240</v>
      </c>
      <c r="U19" s="67">
        <v>330</v>
      </c>
    </row>
    <row r="20" spans="1:21" s="57" customFormat="1" x14ac:dyDescent="0.35">
      <c r="A20" s="63">
        <v>0</v>
      </c>
      <c r="B20" s="63">
        <v>0</v>
      </c>
      <c r="C20" s="63">
        <v>0</v>
      </c>
      <c r="D20" s="63">
        <v>0.158973279</v>
      </c>
      <c r="E20" s="63">
        <v>0.42400006497039783</v>
      </c>
      <c r="F20" s="63">
        <v>0.18530950920245398</v>
      </c>
      <c r="G20" s="64">
        <v>0</v>
      </c>
      <c r="H20" s="63">
        <v>0</v>
      </c>
      <c r="I20" s="63">
        <v>0</v>
      </c>
      <c r="J20" s="63">
        <v>9.5999999999999988E-2</v>
      </c>
      <c r="K20" s="63">
        <v>0.13999999999999999</v>
      </c>
      <c r="L20" s="63">
        <v>0.54184256378344742</v>
      </c>
      <c r="M20" s="63">
        <v>0.10359764059949547</v>
      </c>
      <c r="N20" s="57">
        <v>0</v>
      </c>
      <c r="O20" s="65">
        <v>0.77362125528354786</v>
      </c>
      <c r="P20" s="65">
        <f>1</f>
        <v>1</v>
      </c>
      <c r="Q20" s="66">
        <v>1</v>
      </c>
      <c r="R20" s="67">
        <v>0</v>
      </c>
      <c r="S20" s="67">
        <v>1</v>
      </c>
      <c r="T20" s="67">
        <v>1240</v>
      </c>
      <c r="U20" s="67">
        <v>330</v>
      </c>
    </row>
    <row r="21" spans="1:21" s="57" customFormat="1" x14ac:dyDescent="0.35">
      <c r="A21" s="63">
        <v>0</v>
      </c>
      <c r="B21" s="63">
        <v>0</v>
      </c>
      <c r="C21" s="63">
        <v>0</v>
      </c>
      <c r="D21" s="63">
        <v>0.15493874299999999</v>
      </c>
      <c r="E21" s="63">
        <v>0.42400006497039783</v>
      </c>
      <c r="F21" s="63">
        <v>0.1806019325153374</v>
      </c>
      <c r="G21" s="64">
        <v>0</v>
      </c>
      <c r="H21" s="63">
        <v>0</v>
      </c>
      <c r="I21" s="63">
        <v>0</v>
      </c>
      <c r="J21" s="63">
        <v>0.11299999999999999</v>
      </c>
      <c r="K21" s="63">
        <v>0.14900000000000002</v>
      </c>
      <c r="L21" s="63">
        <v>0.54204044803982576</v>
      </c>
      <c r="M21" s="63">
        <v>0.10872006232378691</v>
      </c>
      <c r="N21" s="57">
        <v>0</v>
      </c>
      <c r="O21" s="65">
        <v>0.77362125528354786</v>
      </c>
      <c r="P21" s="65">
        <f>1</f>
        <v>1</v>
      </c>
      <c r="Q21" s="66">
        <v>1</v>
      </c>
      <c r="R21" s="67">
        <v>0</v>
      </c>
      <c r="S21" s="67">
        <v>1</v>
      </c>
      <c r="T21" s="67">
        <v>1240</v>
      </c>
      <c r="U21" s="67">
        <v>330</v>
      </c>
    </row>
    <row r="22" spans="1:21" s="57" customFormat="1" x14ac:dyDescent="0.35">
      <c r="A22" s="63">
        <v>0</v>
      </c>
      <c r="B22" s="63">
        <v>0</v>
      </c>
      <c r="C22" s="63">
        <v>0</v>
      </c>
      <c r="D22" s="63">
        <v>0.15646373499999999</v>
      </c>
      <c r="E22" s="63">
        <v>0.42599993502960221</v>
      </c>
      <c r="F22" s="63">
        <v>0.18237950920245399</v>
      </c>
      <c r="G22" s="64">
        <v>0</v>
      </c>
      <c r="H22" s="63">
        <v>0</v>
      </c>
      <c r="I22" s="63">
        <v>0</v>
      </c>
      <c r="J22" s="63">
        <v>0.114</v>
      </c>
      <c r="K22" s="63">
        <v>0.153</v>
      </c>
      <c r="L22" s="63">
        <v>0.54269943995021785</v>
      </c>
      <c r="M22" s="63">
        <v>0.11190488202997477</v>
      </c>
      <c r="N22" s="57">
        <v>0</v>
      </c>
      <c r="O22" s="65">
        <v>0.77362125528354786</v>
      </c>
      <c r="P22" s="65">
        <f>1</f>
        <v>1</v>
      </c>
      <c r="Q22" s="66">
        <v>1</v>
      </c>
      <c r="R22" s="67">
        <v>0</v>
      </c>
      <c r="S22" s="67">
        <v>1</v>
      </c>
      <c r="T22" s="67">
        <v>1240</v>
      </c>
      <c r="U22" s="67">
        <v>330</v>
      </c>
    </row>
    <row r="23" spans="1:21" s="57" customFormat="1" x14ac:dyDescent="0.35">
      <c r="A23" s="63">
        <v>0</v>
      </c>
      <c r="B23" s="63">
        <v>0</v>
      </c>
      <c r="C23" s="63">
        <v>0</v>
      </c>
      <c r="D23" s="63">
        <v>0.161745637</v>
      </c>
      <c r="E23" s="63">
        <v>0.40799988630180378</v>
      </c>
      <c r="F23" s="63">
        <v>0.18853625766871165</v>
      </c>
      <c r="G23" s="64">
        <v>0</v>
      </c>
      <c r="H23" s="63">
        <v>0</v>
      </c>
      <c r="I23" s="63">
        <v>0</v>
      </c>
      <c r="J23" s="63">
        <v>0.114</v>
      </c>
      <c r="K23" s="63">
        <v>0.154</v>
      </c>
      <c r="L23" s="63">
        <v>0.5432227753578095</v>
      </c>
      <c r="M23" s="63">
        <v>0.11391571449769995</v>
      </c>
      <c r="N23" s="57">
        <v>0</v>
      </c>
      <c r="O23" s="65">
        <v>0.77362125528354786</v>
      </c>
      <c r="P23" s="65">
        <f>1</f>
        <v>1</v>
      </c>
      <c r="Q23" s="66">
        <v>1</v>
      </c>
      <c r="R23" s="67">
        <v>0</v>
      </c>
      <c r="S23" s="67">
        <v>1</v>
      </c>
      <c r="T23" s="67">
        <v>1240</v>
      </c>
      <c r="U23" s="67">
        <v>330</v>
      </c>
    </row>
    <row r="24" spans="1:21" s="57" customFormat="1" x14ac:dyDescent="0.35">
      <c r="A24" s="63">
        <v>0</v>
      </c>
      <c r="B24" s="63">
        <v>0</v>
      </c>
      <c r="C24" s="63">
        <v>0</v>
      </c>
      <c r="D24" s="63">
        <v>0.172932218</v>
      </c>
      <c r="E24" s="63">
        <v>0.41099989442310353</v>
      </c>
      <c r="F24" s="63">
        <v>0.20157573619631902</v>
      </c>
      <c r="G24" s="64">
        <v>0</v>
      </c>
      <c r="H24" s="63">
        <v>0</v>
      </c>
      <c r="I24" s="63">
        <v>0</v>
      </c>
      <c r="J24" s="63">
        <v>0.12799999999999997</v>
      </c>
      <c r="K24" s="63">
        <v>0.14699999999999999</v>
      </c>
      <c r="L24" s="63">
        <v>0.54796764156813937</v>
      </c>
      <c r="M24" s="63">
        <v>0.10984827125686304</v>
      </c>
      <c r="N24" s="57">
        <v>0</v>
      </c>
      <c r="O24" s="65">
        <v>0.77362125528354786</v>
      </c>
      <c r="P24" s="65">
        <f>1</f>
        <v>1</v>
      </c>
      <c r="Q24" s="66">
        <v>1</v>
      </c>
      <c r="R24" s="67">
        <v>0</v>
      </c>
      <c r="S24" s="67">
        <v>1</v>
      </c>
      <c r="T24" s="67">
        <v>1240</v>
      </c>
      <c r="U24" s="67">
        <v>330</v>
      </c>
    </row>
    <row r="25" spans="1:21" s="57" customFormat="1" x14ac:dyDescent="0.35">
      <c r="A25" s="63">
        <v>0</v>
      </c>
      <c r="B25" s="63">
        <v>0</v>
      </c>
      <c r="C25" s="63">
        <v>0</v>
      </c>
      <c r="D25" s="63">
        <v>0.18310457299999999</v>
      </c>
      <c r="E25" s="63">
        <v>0.40799988630180378</v>
      </c>
      <c r="F25" s="63">
        <v>0.21343297546012269</v>
      </c>
      <c r="G25" s="64">
        <v>0</v>
      </c>
      <c r="H25" s="63">
        <v>0</v>
      </c>
      <c r="I25" s="63">
        <v>0</v>
      </c>
      <c r="J25" s="63">
        <v>0.156</v>
      </c>
      <c r="K25" s="63">
        <v>0.13699999999999998</v>
      </c>
      <c r="L25" s="63">
        <v>0.55428064716863723</v>
      </c>
      <c r="M25" s="63">
        <v>0.1043832170945244</v>
      </c>
      <c r="N25" s="57">
        <v>0</v>
      </c>
      <c r="O25" s="65">
        <v>0.77362125528354786</v>
      </c>
      <c r="P25" s="65">
        <f>1</f>
        <v>1</v>
      </c>
      <c r="Q25" s="66">
        <v>1</v>
      </c>
      <c r="R25" s="67">
        <v>0</v>
      </c>
      <c r="S25" s="67">
        <v>1</v>
      </c>
      <c r="T25" s="67">
        <v>1240</v>
      </c>
      <c r="U25" s="67">
        <v>330</v>
      </c>
    </row>
    <row r="26" spans="1:21" s="57" customFormat="1" x14ac:dyDescent="0.35">
      <c r="A26" s="63">
        <v>0</v>
      </c>
      <c r="B26" s="63">
        <v>0</v>
      </c>
      <c r="C26" s="63">
        <v>0</v>
      </c>
      <c r="D26" s="63">
        <v>0.191308168</v>
      </c>
      <c r="E26" s="63">
        <v>0.39099997563610084</v>
      </c>
      <c r="F26" s="63">
        <v>0.22299536809815951</v>
      </c>
      <c r="G26" s="64">
        <v>0</v>
      </c>
      <c r="H26" s="63">
        <v>0</v>
      </c>
      <c r="I26" s="63">
        <v>0</v>
      </c>
      <c r="J26" s="63">
        <v>0.17699999999999999</v>
      </c>
      <c r="K26" s="63">
        <v>0.125</v>
      </c>
      <c r="L26" s="63">
        <v>0.55494523957685127</v>
      </c>
      <c r="M26" s="63">
        <v>9.7894791512093779E-2</v>
      </c>
      <c r="N26" s="57">
        <v>0</v>
      </c>
      <c r="O26" s="65">
        <v>0.83886932004309223</v>
      </c>
      <c r="P26" s="65">
        <f>1</f>
        <v>1</v>
      </c>
      <c r="Q26" s="66">
        <v>1</v>
      </c>
      <c r="R26" s="67">
        <v>0</v>
      </c>
      <c r="S26" s="67">
        <v>1</v>
      </c>
      <c r="T26" s="67">
        <v>1240</v>
      </c>
      <c r="U26" s="67">
        <v>330</v>
      </c>
    </row>
    <row r="27" spans="1:21" s="57" customFormat="1" x14ac:dyDescent="0.35">
      <c r="A27" s="63">
        <v>0</v>
      </c>
      <c r="B27" s="63">
        <v>0</v>
      </c>
      <c r="C27" s="63">
        <v>0</v>
      </c>
      <c r="D27" s="63">
        <v>0.18462990100000001</v>
      </c>
      <c r="E27" s="63">
        <v>0.38699982945270561</v>
      </c>
      <c r="F27" s="63">
        <v>0.21521095092024542</v>
      </c>
      <c r="G27" s="64">
        <v>0</v>
      </c>
      <c r="H27" s="63">
        <v>0</v>
      </c>
      <c r="I27" s="63">
        <v>0</v>
      </c>
      <c r="J27" s="63">
        <v>0.183</v>
      </c>
      <c r="K27" s="63">
        <v>0.113</v>
      </c>
      <c r="L27" s="63">
        <v>0.55443061605476041</v>
      </c>
      <c r="M27" s="63">
        <v>9.2014468021961712E-2</v>
      </c>
      <c r="N27" s="57">
        <v>0</v>
      </c>
      <c r="O27" s="65">
        <v>0.83886932004309223</v>
      </c>
      <c r="P27" s="65">
        <f>1</f>
        <v>1</v>
      </c>
      <c r="Q27" s="66">
        <v>1</v>
      </c>
      <c r="R27" s="67">
        <v>0</v>
      </c>
      <c r="S27" s="67">
        <v>1</v>
      </c>
      <c r="T27" s="67">
        <v>1240</v>
      </c>
      <c r="U27" s="67">
        <v>330</v>
      </c>
    </row>
    <row r="28" spans="1:21" s="57" customFormat="1" x14ac:dyDescent="0.35">
      <c r="A28" s="63">
        <v>0</v>
      </c>
      <c r="B28" s="63">
        <v>0</v>
      </c>
      <c r="C28" s="63">
        <v>0</v>
      </c>
      <c r="D28" s="63">
        <v>0.175203316</v>
      </c>
      <c r="E28" s="63">
        <v>0.38699982945270561</v>
      </c>
      <c r="F28" s="63">
        <v>0.20422300613496933</v>
      </c>
      <c r="G28" s="64">
        <v>0</v>
      </c>
      <c r="H28" s="63">
        <v>0</v>
      </c>
      <c r="I28" s="63">
        <v>0</v>
      </c>
      <c r="J28" s="63">
        <v>0.183</v>
      </c>
      <c r="K28" s="63">
        <v>0.10099999999999999</v>
      </c>
      <c r="L28" s="63">
        <v>0.55368077162414431</v>
      </c>
      <c r="M28" s="63">
        <v>8.523816589998516E-2</v>
      </c>
      <c r="N28" s="57">
        <v>0</v>
      </c>
      <c r="O28" s="65">
        <v>0.83886932004309223</v>
      </c>
      <c r="P28" s="65">
        <f>1</f>
        <v>1</v>
      </c>
      <c r="Q28" s="66">
        <v>1</v>
      </c>
      <c r="R28" s="67">
        <v>0</v>
      </c>
      <c r="S28" s="67">
        <v>1</v>
      </c>
      <c r="T28" s="67">
        <v>1240</v>
      </c>
      <c r="U28" s="67">
        <v>330</v>
      </c>
    </row>
    <row r="29" spans="1:21" s="57" customFormat="1" x14ac:dyDescent="0.35">
      <c r="A29" s="63">
        <v>0</v>
      </c>
      <c r="B29" s="63">
        <v>0</v>
      </c>
      <c r="C29" s="63">
        <v>0</v>
      </c>
      <c r="D29" s="63">
        <v>0.164087805</v>
      </c>
      <c r="E29" s="63">
        <v>0.38699982945270561</v>
      </c>
      <c r="F29" s="63">
        <v>0.19126638036809815</v>
      </c>
      <c r="G29" s="64">
        <v>0</v>
      </c>
      <c r="H29" s="63">
        <v>0</v>
      </c>
      <c r="I29" s="63">
        <v>0</v>
      </c>
      <c r="J29" s="63">
        <v>0.18</v>
      </c>
      <c r="K29" s="63">
        <v>9.1999999999999998E-2</v>
      </c>
      <c r="L29" s="63">
        <v>0.54962476664592408</v>
      </c>
      <c r="M29" s="63">
        <v>7.9252782311915723E-2</v>
      </c>
      <c r="N29" s="57">
        <v>0</v>
      </c>
      <c r="O29" s="65">
        <v>0.83886932004309223</v>
      </c>
      <c r="P29" s="65">
        <f>1</f>
        <v>1</v>
      </c>
      <c r="Q29" s="66">
        <v>1</v>
      </c>
      <c r="R29" s="67">
        <v>0</v>
      </c>
      <c r="S29" s="67">
        <v>1</v>
      </c>
      <c r="T29" s="67">
        <v>1240</v>
      </c>
      <c r="U29" s="67">
        <v>330</v>
      </c>
    </row>
    <row r="30" spans="1:21" s="57" customFormat="1" x14ac:dyDescent="0.35">
      <c r="A30" s="63">
        <v>0</v>
      </c>
      <c r="B30" s="63">
        <v>0</v>
      </c>
      <c r="C30" s="63">
        <v>0</v>
      </c>
      <c r="D30" s="63">
        <v>0.15585540000000001</v>
      </c>
      <c r="E30" s="63">
        <v>0.38699982945270561</v>
      </c>
      <c r="F30" s="63">
        <v>0.18167039877300614</v>
      </c>
      <c r="G30" s="64">
        <v>0</v>
      </c>
      <c r="H30" s="63">
        <v>0</v>
      </c>
      <c r="I30" s="63">
        <v>0</v>
      </c>
      <c r="J30" s="63">
        <v>0.183</v>
      </c>
      <c r="K30" s="63">
        <v>8.4000000000000005E-2</v>
      </c>
      <c r="L30" s="63">
        <v>0.54362725575606718</v>
      </c>
      <c r="M30" s="63">
        <v>7.4230820596527677E-2</v>
      </c>
      <c r="N30" s="57">
        <v>0</v>
      </c>
      <c r="O30" s="65">
        <v>0.83886932004309223</v>
      </c>
      <c r="P30" s="65">
        <f>1</f>
        <v>1</v>
      </c>
      <c r="Q30" s="66">
        <v>1</v>
      </c>
      <c r="R30" s="67">
        <v>0</v>
      </c>
      <c r="S30" s="67">
        <v>1</v>
      </c>
      <c r="T30" s="67">
        <v>1240</v>
      </c>
      <c r="U30" s="67">
        <v>330</v>
      </c>
    </row>
    <row r="31" spans="1:21" s="57" customFormat="1" x14ac:dyDescent="0.35">
      <c r="A31" s="63">
        <v>0</v>
      </c>
      <c r="B31" s="63">
        <v>0</v>
      </c>
      <c r="C31" s="63">
        <v>0</v>
      </c>
      <c r="D31" s="63">
        <v>0.148141731</v>
      </c>
      <c r="E31" s="63">
        <v>0.38699982945270561</v>
      </c>
      <c r="F31" s="63">
        <v>0.17267907975460123</v>
      </c>
      <c r="G31" s="64">
        <v>0</v>
      </c>
      <c r="H31" s="63">
        <v>0</v>
      </c>
      <c r="I31" s="63">
        <v>0</v>
      </c>
      <c r="J31" s="63">
        <v>0.18499999999999997</v>
      </c>
      <c r="K31" s="63">
        <v>7.8E-2</v>
      </c>
      <c r="L31" s="63">
        <v>0.54071499688861235</v>
      </c>
      <c r="M31" s="63">
        <v>6.8519884255824309E-2</v>
      </c>
      <c r="N31" s="57">
        <v>0</v>
      </c>
      <c r="O31" s="65">
        <v>0.83886932004309223</v>
      </c>
      <c r="P31" s="65">
        <f>1</f>
        <v>1</v>
      </c>
      <c r="Q31" s="66">
        <v>1</v>
      </c>
      <c r="R31" s="67">
        <v>0</v>
      </c>
      <c r="S31" s="67">
        <v>1</v>
      </c>
      <c r="T31" s="67">
        <v>1240</v>
      </c>
      <c r="U31" s="67">
        <v>330</v>
      </c>
    </row>
    <row r="32" spans="1:21" s="57" customFormat="1" x14ac:dyDescent="0.35">
      <c r="A32" s="63">
        <v>0</v>
      </c>
      <c r="B32" s="63">
        <v>0</v>
      </c>
      <c r="C32" s="63">
        <v>0</v>
      </c>
      <c r="D32" s="63">
        <v>0.133788193</v>
      </c>
      <c r="E32" s="63">
        <v>0.39099997563610084</v>
      </c>
      <c r="F32" s="63">
        <v>0.15594812883435583</v>
      </c>
      <c r="G32" s="64">
        <v>0</v>
      </c>
      <c r="H32" s="63">
        <v>0</v>
      </c>
      <c r="I32" s="63">
        <v>0</v>
      </c>
      <c r="J32" s="63">
        <v>0.182</v>
      </c>
      <c r="K32" s="63">
        <v>7.5999999999999998E-2</v>
      </c>
      <c r="L32" s="63">
        <v>0.55184380833851898</v>
      </c>
      <c r="M32" s="63">
        <v>6.6121531384478419E-2</v>
      </c>
      <c r="N32" s="57">
        <v>0</v>
      </c>
      <c r="O32" s="65">
        <v>0.83886932004309223</v>
      </c>
      <c r="P32" s="65">
        <f>1</f>
        <v>1</v>
      </c>
      <c r="Q32" s="66">
        <v>1</v>
      </c>
      <c r="R32" s="67">
        <v>0</v>
      </c>
      <c r="S32" s="67">
        <v>1</v>
      </c>
      <c r="T32" s="67">
        <v>1240</v>
      </c>
      <c r="U32" s="67">
        <v>330</v>
      </c>
    </row>
    <row r="33" spans="1:21" s="57" customFormat="1" x14ac:dyDescent="0.35">
      <c r="A33" s="63">
        <v>0</v>
      </c>
      <c r="B33" s="63">
        <v>0</v>
      </c>
      <c r="C33" s="63">
        <v>0</v>
      </c>
      <c r="D33" s="63">
        <v>0.115257552</v>
      </c>
      <c r="E33" s="63">
        <v>0.42100005684909814</v>
      </c>
      <c r="F33" s="63">
        <v>0.13434815950920245</v>
      </c>
      <c r="G33" s="64">
        <v>0</v>
      </c>
      <c r="H33" s="63">
        <v>0</v>
      </c>
      <c r="I33" s="63">
        <v>0</v>
      </c>
      <c r="J33" s="63">
        <v>0.16499999999999998</v>
      </c>
      <c r="K33" s="63">
        <v>7.9000000000000001E-2</v>
      </c>
      <c r="L33" s="63">
        <v>0.59684131922837591</v>
      </c>
      <c r="M33" s="63">
        <v>6.803472325270811E-2</v>
      </c>
      <c r="N33" s="57">
        <v>0</v>
      </c>
      <c r="O33" s="65">
        <v>0.83886932004309223</v>
      </c>
      <c r="P33" s="65">
        <f>1</f>
        <v>1</v>
      </c>
      <c r="Q33" s="66">
        <v>1</v>
      </c>
      <c r="R33" s="67">
        <v>0</v>
      </c>
      <c r="S33" s="67">
        <v>1</v>
      </c>
      <c r="T33" s="67">
        <v>1240</v>
      </c>
      <c r="U33" s="67">
        <v>330</v>
      </c>
    </row>
    <row r="34" spans="1:21" s="57" customFormat="1" x14ac:dyDescent="0.35">
      <c r="A34" s="63">
        <v>0</v>
      </c>
      <c r="B34" s="63">
        <v>0</v>
      </c>
      <c r="C34" s="63">
        <v>0</v>
      </c>
      <c r="D34" s="63">
        <v>0.113440635</v>
      </c>
      <c r="E34" s="63">
        <v>0.44099997563610077</v>
      </c>
      <c r="F34" s="63">
        <v>0.13685401840490796</v>
      </c>
      <c r="G34" s="64">
        <v>0</v>
      </c>
      <c r="H34" s="63">
        <v>0</v>
      </c>
      <c r="I34" s="63">
        <v>0</v>
      </c>
      <c r="J34" s="63">
        <v>0.13600000000000001</v>
      </c>
      <c r="K34" s="63">
        <v>8.1000000000000003E-2</v>
      </c>
      <c r="L34" s="63">
        <v>0.60673304293714991</v>
      </c>
      <c r="M34" s="63">
        <v>7.0894346342187275E-2</v>
      </c>
      <c r="N34" s="57">
        <v>0</v>
      </c>
      <c r="O34" s="65">
        <v>0.83886932004309223</v>
      </c>
      <c r="P34" s="65">
        <f>1</f>
        <v>1</v>
      </c>
      <c r="Q34" s="66">
        <v>1</v>
      </c>
      <c r="R34" s="67">
        <v>0</v>
      </c>
      <c r="S34" s="67">
        <v>1</v>
      </c>
      <c r="T34" s="67">
        <v>1240</v>
      </c>
      <c r="U34" s="67">
        <v>330</v>
      </c>
    </row>
    <row r="35" spans="1:21" s="57" customFormat="1" x14ac:dyDescent="0.35">
      <c r="A35" s="63">
        <v>0.107</v>
      </c>
      <c r="B35" s="63">
        <v>6.6000000000000003E-2</v>
      </c>
      <c r="C35" s="63">
        <v>0.113</v>
      </c>
      <c r="D35" s="63">
        <v>0.103052199</v>
      </c>
      <c r="E35" s="63">
        <v>0.4390001055768965</v>
      </c>
      <c r="F35" s="63">
        <v>0.24824355828220859</v>
      </c>
      <c r="G35" s="64">
        <v>0</v>
      </c>
      <c r="H35" s="63">
        <v>6.699999999999999E-2</v>
      </c>
      <c r="I35" s="63">
        <v>3.6999999999999998E-2</v>
      </c>
      <c r="J35" s="63">
        <v>0.108</v>
      </c>
      <c r="K35" s="63">
        <v>8.1000000000000003E-2</v>
      </c>
      <c r="L35" s="63">
        <v>0.61458369632856247</v>
      </c>
      <c r="M35" s="63">
        <v>0.12066100311618935</v>
      </c>
      <c r="N35" s="57">
        <v>0</v>
      </c>
      <c r="O35" s="65">
        <v>0.83886932004309223</v>
      </c>
      <c r="P35" s="65">
        <f>1</f>
        <v>1</v>
      </c>
      <c r="Q35" s="66">
        <v>1</v>
      </c>
      <c r="R35" s="67">
        <v>0</v>
      </c>
      <c r="S35" s="67">
        <v>1</v>
      </c>
      <c r="T35" s="67">
        <v>1240</v>
      </c>
      <c r="U35" s="67">
        <v>330</v>
      </c>
    </row>
    <row r="36" spans="1:21" s="57" customFormat="1" x14ac:dyDescent="0.35">
      <c r="A36" s="63">
        <v>0.28100000000000003</v>
      </c>
      <c r="B36" s="63">
        <v>0.17</v>
      </c>
      <c r="C36" s="63">
        <v>0.27399999999999997</v>
      </c>
      <c r="D36" s="63">
        <v>8.6513140000000002E-2</v>
      </c>
      <c r="E36" s="63">
        <v>0.42700007309169763</v>
      </c>
      <c r="F36" s="63">
        <v>0.42392481595092024</v>
      </c>
      <c r="G36" s="64">
        <v>0</v>
      </c>
      <c r="H36" s="63">
        <v>0.24399999999999999</v>
      </c>
      <c r="I36" s="63">
        <v>0.14100000000000001</v>
      </c>
      <c r="J36" s="63">
        <v>6.7000000000000004E-2</v>
      </c>
      <c r="K36" s="63">
        <v>7.8E-2</v>
      </c>
      <c r="L36" s="63">
        <v>0.61537585563161168</v>
      </c>
      <c r="M36" s="63">
        <v>0.24950727110847307</v>
      </c>
      <c r="N36" s="57">
        <v>0</v>
      </c>
      <c r="O36" s="65">
        <v>0.78977169096992472</v>
      </c>
      <c r="P36" s="65">
        <f>1</f>
        <v>1</v>
      </c>
      <c r="Q36" s="66">
        <v>1</v>
      </c>
      <c r="R36" s="67">
        <v>0</v>
      </c>
      <c r="S36" s="67">
        <v>1</v>
      </c>
      <c r="T36" s="67">
        <v>1240</v>
      </c>
      <c r="U36" s="67">
        <v>330</v>
      </c>
    </row>
    <row r="37" spans="1:21" s="57" customFormat="1" x14ac:dyDescent="0.35">
      <c r="A37" s="63">
        <v>0.35199999999999998</v>
      </c>
      <c r="B37" s="63">
        <v>0.28299999999999903</v>
      </c>
      <c r="C37" s="63">
        <v>0.40600000000000003</v>
      </c>
      <c r="D37" s="63">
        <v>8.1672468999999998E-2</v>
      </c>
      <c r="E37" s="63">
        <v>0.42499979696750673</v>
      </c>
      <c r="F37" s="63">
        <v>0.53691552147239263</v>
      </c>
      <c r="G37" s="64">
        <v>0</v>
      </c>
      <c r="H37" s="63">
        <v>0.41299999999999998</v>
      </c>
      <c r="I37" s="63">
        <v>0.25</v>
      </c>
      <c r="J37" s="63">
        <v>4.1000000000000002E-2</v>
      </c>
      <c r="K37" s="63">
        <v>7.1999999999999995E-2</v>
      </c>
      <c r="L37" s="63">
        <v>0.61282576228998131</v>
      </c>
      <c r="M37" s="63">
        <v>0.37150868081317706</v>
      </c>
      <c r="N37" s="57">
        <v>0</v>
      </c>
      <c r="O37" s="65">
        <v>0</v>
      </c>
      <c r="P37" s="65">
        <f>1</f>
        <v>1</v>
      </c>
      <c r="Q37" s="66">
        <v>0</v>
      </c>
      <c r="R37" s="67">
        <v>0</v>
      </c>
      <c r="S37" s="67">
        <v>1</v>
      </c>
      <c r="T37" s="67">
        <v>194.64011808999999</v>
      </c>
      <c r="U37" s="67">
        <v>330</v>
      </c>
    </row>
    <row r="38" spans="1:21" s="57" customFormat="1" x14ac:dyDescent="0.35">
      <c r="A38" s="63">
        <v>0.38300000000000001</v>
      </c>
      <c r="B38" s="63">
        <v>0.36899999999999999</v>
      </c>
      <c r="C38" s="63">
        <v>0.49</v>
      </c>
      <c r="D38" s="63">
        <v>8.7381510999999995E-2</v>
      </c>
      <c r="E38" s="63">
        <v>0.4150000406064987</v>
      </c>
      <c r="F38" s="63">
        <v>0.61057481595092034</v>
      </c>
      <c r="G38" s="64">
        <v>0</v>
      </c>
      <c r="H38" s="63">
        <v>0.52699999999999991</v>
      </c>
      <c r="I38" s="63">
        <v>0.33100000000000002</v>
      </c>
      <c r="J38" s="63">
        <v>3.3000000000000002E-2</v>
      </c>
      <c r="K38" s="63">
        <v>6.2E-2</v>
      </c>
      <c r="L38" s="63">
        <v>0.61471437461107659</v>
      </c>
      <c r="M38" s="63">
        <v>0.4513544294405698</v>
      </c>
      <c r="N38" s="57">
        <v>0</v>
      </c>
      <c r="O38" s="65">
        <v>0</v>
      </c>
      <c r="P38" s="65">
        <f>1</f>
        <v>1</v>
      </c>
      <c r="Q38" s="66">
        <v>0</v>
      </c>
      <c r="R38" s="67">
        <v>0</v>
      </c>
      <c r="S38" s="67">
        <v>0.45244581614125873</v>
      </c>
      <c r="T38" s="67">
        <v>0</v>
      </c>
      <c r="U38" s="67">
        <v>129.57841562999999</v>
      </c>
    </row>
    <row r="39" spans="1:21" s="57" customFormat="1" x14ac:dyDescent="0.35">
      <c r="A39" s="63">
        <v>0.39400000000000002</v>
      </c>
      <c r="B39" s="63">
        <v>0.4</v>
      </c>
      <c r="C39" s="63">
        <v>0.51100000000000001</v>
      </c>
      <c r="D39" s="63">
        <v>8.9404032999999994E-2</v>
      </c>
      <c r="E39" s="63">
        <v>0.41800004872779845</v>
      </c>
      <c r="F39" s="63">
        <v>0.63213205521472393</v>
      </c>
      <c r="G39" s="64">
        <v>0</v>
      </c>
      <c r="H39" s="63">
        <v>0.57200000000000006</v>
      </c>
      <c r="I39" s="63">
        <v>0.36399999999999999</v>
      </c>
      <c r="J39" s="63">
        <v>2.4999999999999998E-2</v>
      </c>
      <c r="K39" s="63">
        <v>5.3999999999999999E-2</v>
      </c>
      <c r="L39" s="63">
        <v>0.61426571250777851</v>
      </c>
      <c r="M39" s="63">
        <v>0.47903791363703813</v>
      </c>
      <c r="N39" s="57">
        <v>0</v>
      </c>
      <c r="O39" s="65">
        <v>0</v>
      </c>
      <c r="P39" s="65">
        <f>1</f>
        <v>1</v>
      </c>
      <c r="Q39" s="66">
        <v>0.204938505864</v>
      </c>
      <c r="R39" s="67">
        <v>0</v>
      </c>
      <c r="S39" s="67">
        <v>0.96052432728201087</v>
      </c>
      <c r="T39" s="67">
        <v>0</v>
      </c>
      <c r="U39" s="67">
        <v>330</v>
      </c>
    </row>
    <row r="40" spans="1:21" s="57" customFormat="1" x14ac:dyDescent="0.35">
      <c r="A40" s="63">
        <v>0.39800000000000002</v>
      </c>
      <c r="B40" s="63">
        <v>0.36299999999999999</v>
      </c>
      <c r="C40" s="63">
        <v>0.47</v>
      </c>
      <c r="D40" s="63">
        <v>8.3889897000000005E-2</v>
      </c>
      <c r="E40" s="63">
        <v>0.43000008121299732</v>
      </c>
      <c r="F40" s="63">
        <v>0.60374739263803678</v>
      </c>
      <c r="G40" s="64">
        <v>0</v>
      </c>
      <c r="H40" s="63">
        <v>0.54399999999999993</v>
      </c>
      <c r="I40" s="63">
        <v>0.34299999999999997</v>
      </c>
      <c r="J40" s="63">
        <v>2.1000000000000001E-2</v>
      </c>
      <c r="K40" s="63">
        <v>4.9999999999999996E-2</v>
      </c>
      <c r="L40" s="63">
        <v>0.60625326695706283</v>
      </c>
      <c r="M40" s="63">
        <v>0.45412880249295146</v>
      </c>
      <c r="N40" s="57">
        <v>0</v>
      </c>
      <c r="O40" s="65">
        <v>0</v>
      </c>
      <c r="P40" s="65">
        <f>1</f>
        <v>1</v>
      </c>
      <c r="Q40" s="66">
        <v>0.40402203442199996</v>
      </c>
      <c r="R40" s="67">
        <v>0</v>
      </c>
      <c r="S40" s="67">
        <v>1</v>
      </c>
      <c r="T40" s="67">
        <v>984.02762299999995</v>
      </c>
      <c r="U40" s="67">
        <v>330</v>
      </c>
    </row>
    <row r="41" spans="1:21" s="57" customFormat="1" x14ac:dyDescent="0.35">
      <c r="A41" s="63">
        <v>0.375</v>
      </c>
      <c r="B41" s="63">
        <v>0.26500000000000001</v>
      </c>
      <c r="C41" s="63">
        <v>0.36199999999999904</v>
      </c>
      <c r="D41" s="63">
        <v>7.8523670000000004E-2</v>
      </c>
      <c r="E41" s="63">
        <v>0.42599993502960221</v>
      </c>
      <c r="F41" s="63">
        <v>0.52096570552147237</v>
      </c>
      <c r="G41" s="64">
        <v>0</v>
      </c>
      <c r="H41" s="63">
        <v>0.44700000000000001</v>
      </c>
      <c r="I41" s="63">
        <v>0.26999999999999996</v>
      </c>
      <c r="J41" s="63">
        <v>2.3E-2</v>
      </c>
      <c r="K41" s="63">
        <v>5.0999999999999997E-2</v>
      </c>
      <c r="L41" s="63">
        <v>0.60138270068450528</v>
      </c>
      <c r="M41" s="63">
        <v>0.3765163970915566</v>
      </c>
      <c r="N41" s="57">
        <v>0</v>
      </c>
      <c r="O41" s="65">
        <v>0</v>
      </c>
      <c r="P41" s="65">
        <f>1</f>
        <v>1</v>
      </c>
      <c r="Q41" s="66">
        <v>0.73645597202000002</v>
      </c>
      <c r="R41" s="67">
        <v>0</v>
      </c>
      <c r="S41" s="67">
        <v>1</v>
      </c>
      <c r="T41" s="67">
        <v>1240</v>
      </c>
      <c r="U41" s="67">
        <v>330</v>
      </c>
    </row>
    <row r="42" spans="1:21" s="57" customFormat="1" x14ac:dyDescent="0.35">
      <c r="A42" s="63">
        <v>0.26400000000000001</v>
      </c>
      <c r="B42" s="63">
        <v>0.13300000000000001</v>
      </c>
      <c r="C42" s="63">
        <v>0.21299999999999999</v>
      </c>
      <c r="D42" s="63">
        <v>7.2706811999999996E-2</v>
      </c>
      <c r="E42" s="63">
        <v>0.42499979696750673</v>
      </c>
      <c r="F42" s="63">
        <v>0.36255794478527603</v>
      </c>
      <c r="G42" s="64">
        <v>0</v>
      </c>
      <c r="H42" s="63">
        <v>0.30099999999999999</v>
      </c>
      <c r="I42" s="63">
        <v>0.16600000000000001</v>
      </c>
      <c r="J42" s="63">
        <v>3.3000000000000002E-2</v>
      </c>
      <c r="K42" s="63">
        <v>6.0999999999999999E-2</v>
      </c>
      <c r="L42" s="63">
        <v>0.60076913503422524</v>
      </c>
      <c r="M42" s="63">
        <v>0.2724170500074195</v>
      </c>
      <c r="N42" s="57">
        <v>0</v>
      </c>
      <c r="O42" s="65">
        <v>0.83886932004309223</v>
      </c>
      <c r="P42" s="65">
        <f>1</f>
        <v>1</v>
      </c>
      <c r="Q42" s="66">
        <v>1</v>
      </c>
      <c r="R42" s="67">
        <v>0</v>
      </c>
      <c r="S42" s="67">
        <v>1</v>
      </c>
      <c r="T42" s="67">
        <v>1240</v>
      </c>
      <c r="U42" s="67">
        <v>330</v>
      </c>
    </row>
    <row r="43" spans="1:21" s="57" customFormat="1" x14ac:dyDescent="0.35">
      <c r="A43" s="63">
        <v>5.8000000000000003E-2</v>
      </c>
      <c r="B43" s="63">
        <v>1.3000000000000001E-2</v>
      </c>
      <c r="C43" s="63">
        <v>5.4000000000000006E-2</v>
      </c>
      <c r="D43" s="63">
        <v>7.3486639000000006E-2</v>
      </c>
      <c r="E43" s="63">
        <v>0.43000008121299732</v>
      </c>
      <c r="F43" s="63">
        <v>0.15076297546012268</v>
      </c>
      <c r="G43" s="64">
        <v>0</v>
      </c>
      <c r="H43" s="63">
        <v>0.126</v>
      </c>
      <c r="I43" s="63">
        <v>6.0000000000000005E-2</v>
      </c>
      <c r="J43" s="63">
        <v>5.8999999999999997E-2</v>
      </c>
      <c r="K43" s="63">
        <v>8.1000000000000003E-2</v>
      </c>
      <c r="L43" s="63">
        <v>0.60318232731798382</v>
      </c>
      <c r="M43" s="63">
        <v>0.16273964979967356</v>
      </c>
      <c r="N43" s="57">
        <v>0</v>
      </c>
      <c r="O43" s="65">
        <v>0.83886932004309223</v>
      </c>
      <c r="P43" s="65">
        <f>1</f>
        <v>1</v>
      </c>
      <c r="Q43" s="66">
        <v>1</v>
      </c>
      <c r="R43" s="67">
        <v>0</v>
      </c>
      <c r="S43" s="67">
        <v>1</v>
      </c>
      <c r="T43" s="67">
        <v>1240</v>
      </c>
      <c r="U43" s="67">
        <v>330</v>
      </c>
    </row>
    <row r="44" spans="1:21" s="57" customFormat="1" x14ac:dyDescent="0.35">
      <c r="A44" s="63">
        <v>0</v>
      </c>
      <c r="B44" s="63">
        <v>0</v>
      </c>
      <c r="C44" s="63">
        <v>0</v>
      </c>
      <c r="D44" s="63">
        <v>0.115611123</v>
      </c>
      <c r="E44" s="63">
        <v>0.43600009745559681</v>
      </c>
      <c r="F44" s="63">
        <v>0.13476990797546012</v>
      </c>
      <c r="G44" s="64">
        <v>0</v>
      </c>
      <c r="H44" s="63">
        <v>0</v>
      </c>
      <c r="I44" s="63">
        <v>0</v>
      </c>
      <c r="J44" s="63">
        <v>0.159</v>
      </c>
      <c r="K44" s="63">
        <v>0.106</v>
      </c>
      <c r="L44" s="63">
        <v>0.60607342874922221</v>
      </c>
      <c r="M44" s="63">
        <v>0.10060906662709601</v>
      </c>
      <c r="N44" s="57">
        <v>0</v>
      </c>
      <c r="O44" s="65">
        <v>0.83886932004309223</v>
      </c>
      <c r="P44" s="65">
        <f>1</f>
        <v>1</v>
      </c>
      <c r="Q44" s="66">
        <v>1</v>
      </c>
      <c r="R44" s="67">
        <v>0</v>
      </c>
      <c r="S44" s="67">
        <v>1</v>
      </c>
      <c r="T44" s="67">
        <v>1240</v>
      </c>
      <c r="U44" s="67">
        <v>330</v>
      </c>
    </row>
    <row r="45" spans="1:21" s="57" customFormat="1" x14ac:dyDescent="0.35">
      <c r="A45" s="63">
        <v>0</v>
      </c>
      <c r="B45" s="63">
        <v>0</v>
      </c>
      <c r="C45" s="63">
        <v>0</v>
      </c>
      <c r="D45" s="63">
        <v>0.13827661499999999</v>
      </c>
      <c r="E45" s="63">
        <v>0.44299984569530515</v>
      </c>
      <c r="F45" s="63">
        <v>0.16117996932515335</v>
      </c>
      <c r="G45" s="64">
        <v>0</v>
      </c>
      <c r="H45" s="63">
        <v>0</v>
      </c>
      <c r="I45" s="63">
        <v>0</v>
      </c>
      <c r="J45" s="63">
        <v>0.22199999999999998</v>
      </c>
      <c r="K45" s="63">
        <v>0.124</v>
      </c>
      <c r="L45" s="63">
        <v>0.61117672682016178</v>
      </c>
      <c r="M45" s="63">
        <v>0.11529017658406292</v>
      </c>
      <c r="N45" s="57">
        <v>0</v>
      </c>
      <c r="O45" s="65">
        <v>0.83886932004309223</v>
      </c>
      <c r="P45" s="65">
        <f>1</f>
        <v>1</v>
      </c>
      <c r="Q45" s="66">
        <v>1</v>
      </c>
      <c r="R45" s="67">
        <v>0</v>
      </c>
      <c r="S45" s="67">
        <v>1</v>
      </c>
      <c r="T45" s="67">
        <v>1240</v>
      </c>
      <c r="U45" s="67">
        <v>330</v>
      </c>
    </row>
    <row r="46" spans="1:21" s="57" customFormat="1" x14ac:dyDescent="0.35">
      <c r="A46" s="63">
        <v>0</v>
      </c>
      <c r="B46" s="63">
        <v>0</v>
      </c>
      <c r="C46" s="63">
        <v>0</v>
      </c>
      <c r="D46" s="63">
        <v>0.13061771899999999</v>
      </c>
      <c r="E46" s="63">
        <v>0.45199987005920433</v>
      </c>
      <c r="F46" s="63">
        <v>0.15225251533742332</v>
      </c>
      <c r="G46" s="64">
        <v>0</v>
      </c>
      <c r="H46" s="63">
        <v>0</v>
      </c>
      <c r="I46" s="63">
        <v>0</v>
      </c>
      <c r="J46" s="63">
        <v>0.223</v>
      </c>
      <c r="K46" s="63">
        <v>0.13100000000000001</v>
      </c>
      <c r="L46" s="63">
        <v>0.61380460485376476</v>
      </c>
      <c r="M46" s="63">
        <v>0.12076606321412672</v>
      </c>
      <c r="N46" s="57">
        <v>0</v>
      </c>
      <c r="O46" s="65">
        <v>0.83886932004309223</v>
      </c>
      <c r="P46" s="65">
        <f>1</f>
        <v>1</v>
      </c>
      <c r="Q46" s="66">
        <v>1</v>
      </c>
      <c r="R46" s="67">
        <v>0</v>
      </c>
      <c r="S46" s="67">
        <v>1</v>
      </c>
      <c r="T46" s="67">
        <v>1240</v>
      </c>
      <c r="U46" s="67">
        <v>330</v>
      </c>
    </row>
    <row r="47" spans="1:21" s="57" customFormat="1" x14ac:dyDescent="0.35">
      <c r="A47" s="63">
        <v>0</v>
      </c>
      <c r="B47" s="63">
        <v>0</v>
      </c>
      <c r="C47" s="63">
        <v>0</v>
      </c>
      <c r="D47" s="63">
        <v>0.11403063400000001</v>
      </c>
      <c r="E47" s="63">
        <v>0.44999999999999996</v>
      </c>
      <c r="F47" s="63">
        <v>0.13291803680981595</v>
      </c>
      <c r="G47" s="64">
        <v>0</v>
      </c>
      <c r="H47" s="63">
        <v>0</v>
      </c>
      <c r="I47" s="63">
        <v>0</v>
      </c>
      <c r="J47" s="63">
        <v>0.20699999999999999</v>
      </c>
      <c r="K47" s="63">
        <v>0.13</v>
      </c>
      <c r="L47" s="63">
        <v>0.61083322962041076</v>
      </c>
      <c r="M47" s="63">
        <v>0.1217659890191423</v>
      </c>
      <c r="N47" s="57">
        <v>0</v>
      </c>
      <c r="O47" s="65">
        <v>0.83886932004309223</v>
      </c>
      <c r="P47" s="65">
        <f>1</f>
        <v>1</v>
      </c>
      <c r="Q47" s="66">
        <v>1</v>
      </c>
      <c r="R47" s="67">
        <v>0</v>
      </c>
      <c r="S47" s="67">
        <v>1</v>
      </c>
      <c r="T47" s="67">
        <v>1240</v>
      </c>
      <c r="U47" s="67">
        <v>330</v>
      </c>
    </row>
    <row r="48" spans="1:21" s="57" customFormat="1" x14ac:dyDescent="0.35">
      <c r="A48" s="63">
        <v>0</v>
      </c>
      <c r="B48" s="63">
        <v>0</v>
      </c>
      <c r="C48" s="63">
        <v>0</v>
      </c>
      <c r="D48" s="63">
        <v>0.107394823</v>
      </c>
      <c r="E48" s="63">
        <v>0.44599985381660484</v>
      </c>
      <c r="F48" s="63">
        <v>0.1251830981595092</v>
      </c>
      <c r="G48" s="64">
        <v>0</v>
      </c>
      <c r="H48" s="63">
        <v>0</v>
      </c>
      <c r="I48" s="63">
        <v>0</v>
      </c>
      <c r="J48" s="63">
        <v>0.20299999999999999</v>
      </c>
      <c r="K48" s="63">
        <v>0.127</v>
      </c>
      <c r="L48" s="63">
        <v>0.61162227753578091</v>
      </c>
      <c r="M48" s="63">
        <v>0.12298568036800712</v>
      </c>
      <c r="N48" s="57">
        <v>0</v>
      </c>
      <c r="O48" s="65">
        <v>0.83886932004309223</v>
      </c>
      <c r="P48" s="65">
        <f>1</f>
        <v>1</v>
      </c>
      <c r="Q48" s="66">
        <v>1</v>
      </c>
      <c r="R48" s="67">
        <v>0</v>
      </c>
      <c r="S48" s="67">
        <v>1</v>
      </c>
      <c r="T48" s="67">
        <v>1240</v>
      </c>
      <c r="U48" s="67">
        <v>330</v>
      </c>
    </row>
    <row r="49" spans="1:21" s="57" customFormat="1" x14ac:dyDescent="0.35">
      <c r="A49" s="63">
        <v>0</v>
      </c>
      <c r="B49" s="63">
        <v>0</v>
      </c>
      <c r="C49" s="63">
        <v>0</v>
      </c>
      <c r="D49" s="63">
        <v>0.103424957</v>
      </c>
      <c r="E49" s="63">
        <v>0.44599985381660484</v>
      </c>
      <c r="F49" s="63">
        <v>0.12055567484662576</v>
      </c>
      <c r="G49" s="64">
        <v>0</v>
      </c>
      <c r="H49" s="63">
        <v>0</v>
      </c>
      <c r="I49" s="63">
        <v>0</v>
      </c>
      <c r="J49" s="63">
        <v>0.21499999999999997</v>
      </c>
      <c r="K49" s="63">
        <v>0.11600000000000001</v>
      </c>
      <c r="L49" s="63">
        <v>0.60667019290603608</v>
      </c>
      <c r="M49" s="63">
        <v>0.11759103724588219</v>
      </c>
      <c r="N49" s="57">
        <v>0</v>
      </c>
      <c r="O49" s="65">
        <v>0.83886932004309223</v>
      </c>
      <c r="P49" s="65">
        <f>1</f>
        <v>1</v>
      </c>
      <c r="Q49" s="66">
        <v>1</v>
      </c>
      <c r="R49" s="67">
        <v>0</v>
      </c>
      <c r="S49" s="67">
        <v>1</v>
      </c>
      <c r="T49" s="67">
        <v>1240</v>
      </c>
      <c r="U49" s="67">
        <v>330</v>
      </c>
    </row>
    <row r="50" spans="1:21" s="57" customFormat="1" x14ac:dyDescent="0.35">
      <c r="A50" s="63">
        <v>0</v>
      </c>
      <c r="B50" s="63">
        <v>0</v>
      </c>
      <c r="C50" s="63">
        <v>0</v>
      </c>
      <c r="D50" s="63">
        <v>0.107749769</v>
      </c>
      <c r="E50" s="63">
        <v>0.43399982133140597</v>
      </c>
      <c r="F50" s="63">
        <v>0.12559684049079753</v>
      </c>
      <c r="G50" s="64">
        <v>0</v>
      </c>
      <c r="H50" s="63">
        <v>0</v>
      </c>
      <c r="I50" s="63">
        <v>0</v>
      </c>
      <c r="J50" s="63">
        <v>0.23500000000000001</v>
      </c>
      <c r="K50" s="63">
        <v>0.11</v>
      </c>
      <c r="L50" s="63">
        <v>0.55700684505289355</v>
      </c>
      <c r="M50" s="63">
        <v>0.11309326309541474</v>
      </c>
      <c r="N50" s="57">
        <v>0</v>
      </c>
      <c r="O50" s="65">
        <v>0.83005541447393671</v>
      </c>
      <c r="P50" s="65">
        <f>1</f>
        <v>1</v>
      </c>
      <c r="Q50" s="66">
        <v>1</v>
      </c>
      <c r="R50" s="67">
        <v>0</v>
      </c>
      <c r="S50" s="67">
        <v>1</v>
      </c>
      <c r="T50" s="67">
        <v>1240</v>
      </c>
      <c r="U50" s="67">
        <v>330</v>
      </c>
    </row>
    <row r="51" spans="1:21" s="57" customFormat="1" x14ac:dyDescent="0.35">
      <c r="A51" s="63">
        <v>0</v>
      </c>
      <c r="B51" s="63">
        <v>0</v>
      </c>
      <c r="C51" s="63">
        <v>0</v>
      </c>
      <c r="D51" s="63">
        <v>0.111496518</v>
      </c>
      <c r="E51" s="63">
        <v>0.43000008121299732</v>
      </c>
      <c r="F51" s="63">
        <v>0.1299641717791411</v>
      </c>
      <c r="G51" s="64">
        <v>0</v>
      </c>
      <c r="H51" s="63">
        <v>0</v>
      </c>
      <c r="I51" s="63">
        <v>0</v>
      </c>
      <c r="J51" s="63">
        <v>0.247</v>
      </c>
      <c r="K51" s="63">
        <v>0.106</v>
      </c>
      <c r="L51" s="63">
        <v>0.55283696328562537</v>
      </c>
      <c r="M51" s="63">
        <v>0.11207256269476183</v>
      </c>
      <c r="N51" s="57">
        <v>0</v>
      </c>
      <c r="O51" s="65">
        <v>0.83005541447393671</v>
      </c>
      <c r="P51" s="65">
        <f>1</f>
        <v>1</v>
      </c>
      <c r="Q51" s="66">
        <v>1</v>
      </c>
      <c r="R51" s="67">
        <v>0</v>
      </c>
      <c r="S51" s="67">
        <v>1</v>
      </c>
      <c r="T51" s="67">
        <v>1240</v>
      </c>
      <c r="U51" s="67">
        <v>330</v>
      </c>
    </row>
    <row r="52" spans="1:21" s="57" customFormat="1" x14ac:dyDescent="0.35">
      <c r="A52" s="63">
        <v>0</v>
      </c>
      <c r="B52" s="63">
        <v>0</v>
      </c>
      <c r="C52" s="63">
        <v>0</v>
      </c>
      <c r="D52" s="63">
        <v>0.11350845499999999</v>
      </c>
      <c r="E52" s="63">
        <v>0.42200019491119356</v>
      </c>
      <c r="F52" s="63">
        <v>0.13230935582822084</v>
      </c>
      <c r="G52" s="64">
        <v>0</v>
      </c>
      <c r="H52" s="63">
        <v>0</v>
      </c>
      <c r="I52" s="63">
        <v>0</v>
      </c>
      <c r="J52" s="63">
        <v>0.255</v>
      </c>
      <c r="K52" s="63">
        <v>0.11</v>
      </c>
      <c r="L52" s="63">
        <v>0.55230180460485379</v>
      </c>
      <c r="M52" s="63">
        <v>0.1160556462383143</v>
      </c>
      <c r="N52" s="57">
        <v>0</v>
      </c>
      <c r="O52" s="65">
        <v>0.83005541447393671</v>
      </c>
      <c r="P52" s="65">
        <f>1</f>
        <v>1</v>
      </c>
      <c r="Q52" s="66">
        <v>1</v>
      </c>
      <c r="R52" s="67">
        <v>0</v>
      </c>
      <c r="S52" s="67">
        <v>1</v>
      </c>
      <c r="T52" s="67">
        <v>1240</v>
      </c>
      <c r="U52" s="67">
        <v>330</v>
      </c>
    </row>
    <row r="53" spans="1:21" s="57" customFormat="1" x14ac:dyDescent="0.35">
      <c r="A53" s="63">
        <v>0</v>
      </c>
      <c r="B53" s="63">
        <v>0</v>
      </c>
      <c r="C53" s="63">
        <v>0</v>
      </c>
      <c r="D53" s="63">
        <v>0.10916308</v>
      </c>
      <c r="E53" s="63">
        <v>0.41699991066570302</v>
      </c>
      <c r="F53" s="63">
        <v>0.12724423312883437</v>
      </c>
      <c r="G53" s="64">
        <v>0</v>
      </c>
      <c r="H53" s="63">
        <v>0</v>
      </c>
      <c r="I53" s="63">
        <v>0</v>
      </c>
      <c r="J53" s="63">
        <v>0.254</v>
      </c>
      <c r="K53" s="63">
        <v>0.111</v>
      </c>
      <c r="L53" s="63">
        <v>0.54694337274424387</v>
      </c>
      <c r="M53" s="63">
        <v>0.11838655586882327</v>
      </c>
      <c r="N53" s="57">
        <v>0</v>
      </c>
      <c r="O53" s="65">
        <v>0.83005541447393671</v>
      </c>
      <c r="P53" s="65">
        <f>1</f>
        <v>1</v>
      </c>
      <c r="Q53" s="66">
        <v>1</v>
      </c>
      <c r="R53" s="67">
        <v>0</v>
      </c>
      <c r="S53" s="67">
        <v>1</v>
      </c>
      <c r="T53" s="67">
        <v>1240</v>
      </c>
      <c r="U53" s="67">
        <v>330</v>
      </c>
    </row>
    <row r="54" spans="1:21" s="57" customFormat="1" x14ac:dyDescent="0.35">
      <c r="A54" s="63">
        <v>0</v>
      </c>
      <c r="B54" s="63">
        <v>0</v>
      </c>
      <c r="C54" s="63">
        <v>0</v>
      </c>
      <c r="D54" s="63">
        <v>0.104742366</v>
      </c>
      <c r="E54" s="63">
        <v>0.4150000406064987</v>
      </c>
      <c r="F54" s="63">
        <v>0.12209128834355829</v>
      </c>
      <c r="G54" s="64">
        <v>0</v>
      </c>
      <c r="H54" s="63">
        <v>0</v>
      </c>
      <c r="I54" s="63">
        <v>0</v>
      </c>
      <c r="J54" s="63">
        <v>0.25</v>
      </c>
      <c r="K54" s="63">
        <v>0.112</v>
      </c>
      <c r="L54" s="63">
        <v>0.53815805849408838</v>
      </c>
      <c r="M54" s="63">
        <v>0.11942172429143789</v>
      </c>
      <c r="N54" s="57">
        <v>0</v>
      </c>
      <c r="O54" s="65">
        <v>0.83005541447393671</v>
      </c>
      <c r="P54" s="65">
        <f>1</f>
        <v>1</v>
      </c>
      <c r="Q54" s="66">
        <v>1</v>
      </c>
      <c r="R54" s="67">
        <v>0</v>
      </c>
      <c r="S54" s="67">
        <v>1</v>
      </c>
      <c r="T54" s="67">
        <v>1240</v>
      </c>
      <c r="U54" s="67">
        <v>330</v>
      </c>
    </row>
    <row r="55" spans="1:21" s="57" customFormat="1" x14ac:dyDescent="0.35">
      <c r="A55" s="63">
        <v>0</v>
      </c>
      <c r="B55" s="63">
        <v>0</v>
      </c>
      <c r="C55" s="63">
        <v>0</v>
      </c>
      <c r="D55" s="63">
        <v>0.10133547399999999</v>
      </c>
      <c r="E55" s="63">
        <v>0.41600017866859418</v>
      </c>
      <c r="F55" s="63">
        <v>0.1181201226993865</v>
      </c>
      <c r="G55" s="64">
        <v>0</v>
      </c>
      <c r="H55" s="63">
        <v>0</v>
      </c>
      <c r="I55" s="63">
        <v>0</v>
      </c>
      <c r="J55" s="63">
        <v>0.26100000000000001</v>
      </c>
      <c r="K55" s="63">
        <v>0.11</v>
      </c>
      <c r="L55" s="63">
        <v>0.53500124455507159</v>
      </c>
      <c r="M55" s="63">
        <v>0.12108406291734679</v>
      </c>
      <c r="N55" s="57">
        <v>0</v>
      </c>
      <c r="O55" s="65">
        <v>0.83005541447393671</v>
      </c>
      <c r="P55" s="65">
        <f>1</f>
        <v>1</v>
      </c>
      <c r="Q55" s="66">
        <v>1</v>
      </c>
      <c r="R55" s="67">
        <v>1.0057257668049571E-2</v>
      </c>
      <c r="S55" s="67">
        <v>1</v>
      </c>
      <c r="T55" s="67">
        <v>1240</v>
      </c>
      <c r="U55" s="67">
        <v>330</v>
      </c>
    </row>
    <row r="56" spans="1:21" s="57" customFormat="1" x14ac:dyDescent="0.35">
      <c r="A56" s="63">
        <v>0</v>
      </c>
      <c r="B56" s="63">
        <v>0</v>
      </c>
      <c r="C56" s="63">
        <v>0</v>
      </c>
      <c r="D56" s="63">
        <v>9.3626618999999994E-2</v>
      </c>
      <c r="E56" s="63">
        <v>0.41900018678989387</v>
      </c>
      <c r="F56" s="63">
        <v>0.10913441717791411</v>
      </c>
      <c r="G56" s="64">
        <v>0</v>
      </c>
      <c r="H56" s="63">
        <v>0</v>
      </c>
      <c r="I56" s="63">
        <v>0</v>
      </c>
      <c r="J56" s="63">
        <v>0.26100000000000001</v>
      </c>
      <c r="K56" s="63">
        <v>0.104</v>
      </c>
      <c r="L56" s="63">
        <v>0.53214250155569387</v>
      </c>
      <c r="M56" s="63">
        <v>0.11921791066923876</v>
      </c>
      <c r="N56" s="57">
        <v>0</v>
      </c>
      <c r="O56" s="65">
        <v>0.83005541447393671</v>
      </c>
      <c r="P56" s="65">
        <f>1</f>
        <v>1</v>
      </c>
      <c r="Q56" s="66">
        <v>1</v>
      </c>
      <c r="R56" s="67">
        <v>0</v>
      </c>
      <c r="S56" s="67">
        <v>1</v>
      </c>
      <c r="T56" s="67">
        <v>1240</v>
      </c>
      <c r="U56" s="67">
        <v>55.778239650000003</v>
      </c>
    </row>
    <row r="57" spans="1:21" s="57" customFormat="1" x14ac:dyDescent="0.35">
      <c r="A57" s="63">
        <v>0</v>
      </c>
      <c r="B57" s="63">
        <v>0</v>
      </c>
      <c r="C57" s="63">
        <v>0</v>
      </c>
      <c r="D57" s="63">
        <v>8.0518063000000001E-2</v>
      </c>
      <c r="E57" s="63">
        <v>0.42200019491119356</v>
      </c>
      <c r="F57" s="63">
        <v>9.3854631901840499E-2</v>
      </c>
      <c r="G57" s="64">
        <v>0</v>
      </c>
      <c r="H57" s="63">
        <v>0</v>
      </c>
      <c r="I57" s="63">
        <v>0</v>
      </c>
      <c r="J57" s="63">
        <v>0.24299999999999999</v>
      </c>
      <c r="K57" s="63">
        <v>9.5000000000000001E-2</v>
      </c>
      <c r="L57" s="63">
        <v>0.57415308027380207</v>
      </c>
      <c r="M57" s="63">
        <v>0.11391845971212346</v>
      </c>
      <c r="N57" s="57">
        <v>0</v>
      </c>
      <c r="O57" s="65">
        <v>0.83005541447393671</v>
      </c>
      <c r="P57" s="65">
        <f>1</f>
        <v>1</v>
      </c>
      <c r="Q57" s="66">
        <v>1</v>
      </c>
      <c r="R57" s="67">
        <v>0</v>
      </c>
      <c r="S57" s="67">
        <v>1</v>
      </c>
      <c r="T57" s="67">
        <v>1240</v>
      </c>
      <c r="U57" s="67">
        <v>330</v>
      </c>
    </row>
    <row r="58" spans="1:21" s="57" customFormat="1" x14ac:dyDescent="0.35">
      <c r="A58" s="63">
        <v>0</v>
      </c>
      <c r="B58" s="63">
        <v>0</v>
      </c>
      <c r="C58" s="63">
        <v>0</v>
      </c>
      <c r="D58" s="63">
        <v>7.7173868000000007E-2</v>
      </c>
      <c r="E58" s="63">
        <v>0.43199995127220159</v>
      </c>
      <c r="F58" s="63">
        <v>9.5860337423312889E-2</v>
      </c>
      <c r="G58" s="64">
        <v>0</v>
      </c>
      <c r="H58" s="63">
        <v>0</v>
      </c>
      <c r="I58" s="63">
        <v>0</v>
      </c>
      <c r="J58" s="63">
        <v>0.19199999999999998</v>
      </c>
      <c r="K58" s="63">
        <v>8.5999999999999993E-2</v>
      </c>
      <c r="L58" s="63">
        <v>0.58168388301182328</v>
      </c>
      <c r="M58" s="63">
        <v>0.10583039026561805</v>
      </c>
      <c r="N58" s="57">
        <v>0</v>
      </c>
      <c r="O58" s="65">
        <v>0.83005541447393671</v>
      </c>
      <c r="P58" s="65">
        <f>1</f>
        <v>1</v>
      </c>
      <c r="Q58" s="66">
        <v>1</v>
      </c>
      <c r="R58" s="67">
        <v>0</v>
      </c>
      <c r="S58" s="67">
        <v>1</v>
      </c>
      <c r="T58" s="67">
        <v>1240</v>
      </c>
      <c r="U58" s="67">
        <v>330</v>
      </c>
    </row>
    <row r="59" spans="1:21" s="57" customFormat="1" x14ac:dyDescent="0.35">
      <c r="A59" s="63">
        <v>0.113</v>
      </c>
      <c r="B59" s="63">
        <v>6.5000000000000002E-2</v>
      </c>
      <c r="C59" s="63">
        <v>0.128</v>
      </c>
      <c r="D59" s="63">
        <v>6.3607421999999997E-2</v>
      </c>
      <c r="E59" s="63">
        <v>0.44299984569530515</v>
      </c>
      <c r="F59" s="63">
        <v>0.21446009202453989</v>
      </c>
      <c r="G59" s="64">
        <v>0</v>
      </c>
      <c r="H59" s="63">
        <v>5.3999999999999999E-2</v>
      </c>
      <c r="I59" s="63">
        <v>3.5000000000000003E-2</v>
      </c>
      <c r="J59" s="63">
        <v>0.12999999999999998</v>
      </c>
      <c r="K59" s="63">
        <v>7.5999999999999998E-2</v>
      </c>
      <c r="L59" s="63">
        <v>0.58828375855631609</v>
      </c>
      <c r="M59" s="63">
        <v>0.13823415937082653</v>
      </c>
      <c r="N59" s="57">
        <v>0</v>
      </c>
      <c r="O59" s="65">
        <v>0.83005541447393671</v>
      </c>
      <c r="P59" s="65">
        <f>1</f>
        <v>1</v>
      </c>
      <c r="Q59" s="66">
        <v>1</v>
      </c>
      <c r="R59" s="67">
        <v>0</v>
      </c>
      <c r="S59" s="67">
        <v>1</v>
      </c>
      <c r="T59" s="67">
        <v>1240</v>
      </c>
      <c r="U59" s="67">
        <v>330</v>
      </c>
    </row>
    <row r="60" spans="1:21" s="57" customFormat="1" x14ac:dyDescent="0.35">
      <c r="A60" s="63">
        <v>0.28000000000000003</v>
      </c>
      <c r="B60" s="63">
        <v>0.16800000000000001</v>
      </c>
      <c r="C60" s="63">
        <v>0.29099999999999898</v>
      </c>
      <c r="D60" s="63">
        <v>3.2033387000000003E-2</v>
      </c>
      <c r="E60" s="63">
        <v>0.445000121819496</v>
      </c>
      <c r="F60" s="63">
        <v>0.3699883742331288</v>
      </c>
      <c r="G60" s="64">
        <v>0</v>
      </c>
      <c r="H60" s="63">
        <v>0.21099999999999999</v>
      </c>
      <c r="I60" s="63">
        <v>0.13900000000000001</v>
      </c>
      <c r="J60" s="63">
        <v>6.4999999999999988E-2</v>
      </c>
      <c r="K60" s="63">
        <v>6.3E-2</v>
      </c>
      <c r="L60" s="63">
        <v>0.59056378344741756</v>
      </c>
      <c r="M60" s="63">
        <v>0.25002470692981155</v>
      </c>
      <c r="N60" s="57">
        <v>0</v>
      </c>
      <c r="O60" s="65">
        <v>0.83005541447393671</v>
      </c>
      <c r="P60" s="65">
        <f>1</f>
        <v>1</v>
      </c>
      <c r="Q60" s="66">
        <v>1</v>
      </c>
      <c r="R60" s="67">
        <v>0</v>
      </c>
      <c r="S60" s="67">
        <v>1</v>
      </c>
      <c r="T60" s="67">
        <v>1240</v>
      </c>
      <c r="U60" s="67">
        <v>330</v>
      </c>
    </row>
    <row r="61" spans="1:21" s="57" customFormat="1" x14ac:dyDescent="0.35">
      <c r="A61" s="63">
        <v>0.34599999999999997</v>
      </c>
      <c r="B61" s="63">
        <v>0.27399999999999997</v>
      </c>
      <c r="C61" s="63">
        <v>0.41799999999999998</v>
      </c>
      <c r="D61" s="63">
        <v>1.5442123E-2</v>
      </c>
      <c r="E61" s="63">
        <v>0.42799980508880647</v>
      </c>
      <c r="F61" s="63">
        <v>0.4633111963190184</v>
      </c>
      <c r="G61" s="64">
        <v>0</v>
      </c>
      <c r="H61" s="63">
        <v>0.36699999999999999</v>
      </c>
      <c r="I61" s="63">
        <v>0.25</v>
      </c>
      <c r="J61" s="63">
        <v>0.03</v>
      </c>
      <c r="K61" s="63">
        <v>5.3999999999999999E-2</v>
      </c>
      <c r="L61" s="63">
        <v>0.58891599253266957</v>
      </c>
      <c r="M61" s="63">
        <v>0.3651470544591186</v>
      </c>
      <c r="N61" s="57">
        <v>0</v>
      </c>
      <c r="O61" s="65">
        <v>0</v>
      </c>
      <c r="P61" s="65">
        <f>1</f>
        <v>1</v>
      </c>
      <c r="Q61" s="66">
        <v>1</v>
      </c>
      <c r="R61" s="67">
        <v>0</v>
      </c>
      <c r="S61" s="67">
        <v>1</v>
      </c>
      <c r="T61" s="67">
        <v>1240</v>
      </c>
      <c r="U61" s="67">
        <v>330</v>
      </c>
    </row>
    <row r="62" spans="1:21" s="57" customFormat="1" x14ac:dyDescent="0.35">
      <c r="A62" s="63">
        <v>0.371</v>
      </c>
      <c r="B62" s="63">
        <v>0.34299999999999997</v>
      </c>
      <c r="C62" s="63">
        <v>0.48899999999999999</v>
      </c>
      <c r="D62" s="63">
        <v>1.1414298999999999E-2</v>
      </c>
      <c r="E62" s="63">
        <v>0.42499979696750673</v>
      </c>
      <c r="F62" s="63">
        <v>0.51487411042944786</v>
      </c>
      <c r="G62" s="64">
        <v>0</v>
      </c>
      <c r="H62" s="63">
        <v>0.47399999999999998</v>
      </c>
      <c r="I62" s="63">
        <v>0.32900000000000001</v>
      </c>
      <c r="J62" s="63">
        <v>1.9E-2</v>
      </c>
      <c r="K62" s="63">
        <v>4.5999999999999999E-2</v>
      </c>
      <c r="L62" s="63">
        <v>0.58766023646546361</v>
      </c>
      <c r="M62" s="63">
        <v>0.44424714349309985</v>
      </c>
      <c r="N62" s="57">
        <v>0</v>
      </c>
      <c r="O62" s="65">
        <v>0</v>
      </c>
      <c r="P62" s="65">
        <f>1</f>
        <v>1</v>
      </c>
      <c r="Q62" s="66">
        <v>1</v>
      </c>
      <c r="R62" s="67">
        <v>0</v>
      </c>
      <c r="S62" s="67">
        <v>1</v>
      </c>
      <c r="T62" s="67">
        <v>1231.96830185</v>
      </c>
      <c r="U62" s="67">
        <v>330</v>
      </c>
    </row>
    <row r="63" spans="1:21" s="57" customFormat="1" x14ac:dyDescent="0.35">
      <c r="A63" s="63">
        <v>0.378</v>
      </c>
      <c r="B63" s="63">
        <v>0.35299999999999998</v>
      </c>
      <c r="C63" s="63">
        <v>0.498</v>
      </c>
      <c r="D63" s="63">
        <v>1.0335405000000001E-2</v>
      </c>
      <c r="E63" s="63">
        <v>0.42700007309169763</v>
      </c>
      <c r="F63" s="63">
        <v>0.5221051840490798</v>
      </c>
      <c r="G63" s="64">
        <v>0</v>
      </c>
      <c r="H63" s="63">
        <v>0.5179999999999999</v>
      </c>
      <c r="I63" s="63">
        <v>0.36099999999999999</v>
      </c>
      <c r="J63" s="63">
        <v>1.3000000000000001E-2</v>
      </c>
      <c r="K63" s="63">
        <v>4.4999999999999998E-2</v>
      </c>
      <c r="L63" s="63">
        <v>0.58805538270068447</v>
      </c>
      <c r="M63" s="63">
        <v>0.47622310431814807</v>
      </c>
      <c r="N63" s="57">
        <v>0</v>
      </c>
      <c r="O63" s="65">
        <v>0</v>
      </c>
      <c r="P63" s="65">
        <f>1</f>
        <v>1</v>
      </c>
      <c r="Q63" s="66">
        <v>1</v>
      </c>
      <c r="R63" s="67">
        <v>0</v>
      </c>
      <c r="S63" s="67">
        <v>1</v>
      </c>
      <c r="T63" s="67">
        <v>880.96992571999999</v>
      </c>
      <c r="U63" s="67">
        <v>330</v>
      </c>
    </row>
    <row r="64" spans="1:21" s="57" customFormat="1" x14ac:dyDescent="0.35">
      <c r="A64" s="63">
        <v>0.372</v>
      </c>
      <c r="B64" s="63">
        <v>0.30399999999999999</v>
      </c>
      <c r="C64" s="63">
        <v>0.44700000000000001</v>
      </c>
      <c r="D64" s="63">
        <v>1.0208371000000001E-2</v>
      </c>
      <c r="E64" s="63">
        <v>0.42499979696750673</v>
      </c>
      <c r="F64" s="63">
        <v>0.48891515337423314</v>
      </c>
      <c r="G64" s="64">
        <v>0</v>
      </c>
      <c r="H64" s="63">
        <v>0.49199999999999999</v>
      </c>
      <c r="I64" s="63">
        <v>0.33800000000000002</v>
      </c>
      <c r="J64" s="63">
        <v>1.1999999999999999E-2</v>
      </c>
      <c r="K64" s="63">
        <v>5.1999999999999998E-2</v>
      </c>
      <c r="L64" s="63">
        <v>0.58320970752955814</v>
      </c>
      <c r="M64" s="63">
        <v>0.45731228668941976</v>
      </c>
      <c r="N64" s="57">
        <v>0</v>
      </c>
      <c r="O64" s="65">
        <v>0</v>
      </c>
      <c r="P64" s="65">
        <f>1</f>
        <v>1</v>
      </c>
      <c r="Q64" s="66">
        <v>1</v>
      </c>
      <c r="R64" s="67">
        <v>0</v>
      </c>
      <c r="S64" s="67">
        <v>1</v>
      </c>
      <c r="T64" s="67">
        <v>1240</v>
      </c>
      <c r="U64" s="67">
        <v>330</v>
      </c>
    </row>
    <row r="65" spans="1:21" s="57" customFormat="1" x14ac:dyDescent="0.35">
      <c r="A65" s="63">
        <v>0.34499999999999997</v>
      </c>
      <c r="B65" s="63">
        <v>0.21099999999999899</v>
      </c>
      <c r="C65" s="63">
        <v>0.34299999999999997</v>
      </c>
      <c r="D65" s="63">
        <v>1.1060390999999999E-2</v>
      </c>
      <c r="E65" s="63">
        <v>0.43000008121299732</v>
      </c>
      <c r="F65" s="63">
        <v>0.41394242331288339</v>
      </c>
      <c r="G65" s="64">
        <v>0</v>
      </c>
      <c r="H65" s="63">
        <v>0.40600000000000003</v>
      </c>
      <c r="I65" s="63">
        <v>0.26800000000000002</v>
      </c>
      <c r="J65" s="63">
        <v>1.7000000000000001E-2</v>
      </c>
      <c r="K65" s="63">
        <v>7.0999999999999994E-2</v>
      </c>
      <c r="L65" s="63">
        <v>0.58527566894835092</v>
      </c>
      <c r="M65" s="63">
        <v>0.39368808428550228</v>
      </c>
      <c r="N65" s="57">
        <v>0</v>
      </c>
      <c r="O65" s="65">
        <v>0</v>
      </c>
      <c r="P65" s="65">
        <f>1</f>
        <v>1</v>
      </c>
      <c r="Q65" s="66">
        <v>1</v>
      </c>
      <c r="R65" s="67">
        <v>0</v>
      </c>
      <c r="S65" s="67">
        <v>1</v>
      </c>
      <c r="T65" s="67">
        <v>1240</v>
      </c>
      <c r="U65" s="67">
        <v>330</v>
      </c>
    </row>
    <row r="66" spans="1:21" s="57" customFormat="1" x14ac:dyDescent="0.35">
      <c r="A66" s="63">
        <v>0.24099999999999999</v>
      </c>
      <c r="B66" s="63">
        <v>0.1</v>
      </c>
      <c r="C66" s="63">
        <v>0.2</v>
      </c>
      <c r="D66" s="63">
        <v>9.8989430000000003E-3</v>
      </c>
      <c r="E66" s="63">
        <v>0.43499995939350139</v>
      </c>
      <c r="F66" s="63">
        <v>0.26862742331288347</v>
      </c>
      <c r="G66" s="64">
        <v>0</v>
      </c>
      <c r="H66" s="63">
        <v>0.27899999999999997</v>
      </c>
      <c r="I66" s="63">
        <v>0.16500000000000001</v>
      </c>
      <c r="J66" s="63">
        <v>2.3999999999999997E-2</v>
      </c>
      <c r="K66" s="63">
        <v>0.09</v>
      </c>
      <c r="L66" s="63">
        <v>0.59435407591785938</v>
      </c>
      <c r="M66" s="63">
        <v>0.29610201810357617</v>
      </c>
      <c r="N66" s="57">
        <v>0</v>
      </c>
      <c r="O66" s="65">
        <v>0.83005541447393671</v>
      </c>
      <c r="P66" s="65">
        <f>1</f>
        <v>1</v>
      </c>
      <c r="Q66" s="66">
        <v>1</v>
      </c>
      <c r="R66" s="67">
        <v>0</v>
      </c>
      <c r="S66" s="67">
        <v>1</v>
      </c>
      <c r="T66" s="67">
        <v>1240</v>
      </c>
      <c r="U66" s="67">
        <v>330</v>
      </c>
    </row>
    <row r="67" spans="1:21" s="57" customFormat="1" x14ac:dyDescent="0.35">
      <c r="A67" s="63">
        <v>5.5E-2</v>
      </c>
      <c r="B67" s="63">
        <v>0</v>
      </c>
      <c r="C67" s="63">
        <v>5.2000000000000005E-2</v>
      </c>
      <c r="D67" s="63">
        <v>1.7780221999999998E-2</v>
      </c>
      <c r="E67" s="63">
        <v>0.43999983757400535</v>
      </c>
      <c r="F67" s="63">
        <v>8.2692269938650309E-2</v>
      </c>
      <c r="G67" s="64">
        <v>0</v>
      </c>
      <c r="H67" s="63">
        <v>0.123</v>
      </c>
      <c r="I67" s="63">
        <v>6.0000000000000005E-2</v>
      </c>
      <c r="J67" s="63">
        <v>3.9E-2</v>
      </c>
      <c r="K67" s="63">
        <v>0.107</v>
      </c>
      <c r="L67" s="63">
        <v>0.59948911014312389</v>
      </c>
      <c r="M67" s="63">
        <v>0.18607812731859324</v>
      </c>
      <c r="N67" s="57">
        <v>0</v>
      </c>
      <c r="O67" s="65">
        <v>0.83005541447393671</v>
      </c>
      <c r="P67" s="65">
        <f>1</f>
        <v>1</v>
      </c>
      <c r="Q67" s="66">
        <v>1</v>
      </c>
      <c r="R67" s="67">
        <v>0</v>
      </c>
      <c r="S67" s="67">
        <v>1</v>
      </c>
      <c r="T67" s="67">
        <v>1240</v>
      </c>
      <c r="U67" s="67">
        <v>330</v>
      </c>
    </row>
    <row r="68" spans="1:21" s="57" customFormat="1" x14ac:dyDescent="0.35">
      <c r="A68" s="63">
        <v>0</v>
      </c>
      <c r="B68" s="63">
        <v>0</v>
      </c>
      <c r="C68" s="63">
        <v>0</v>
      </c>
      <c r="D68" s="63">
        <v>3.2348742999999999E-2</v>
      </c>
      <c r="E68" s="63">
        <v>0.4669999106657029</v>
      </c>
      <c r="F68" s="63">
        <v>3.7729202453987733E-2</v>
      </c>
      <c r="G68" s="64">
        <v>0</v>
      </c>
      <c r="H68" s="63">
        <v>0</v>
      </c>
      <c r="I68" s="63">
        <v>0</v>
      </c>
      <c r="J68" s="63">
        <v>6.9000000000000006E-2</v>
      </c>
      <c r="K68" s="63">
        <v>0.123</v>
      </c>
      <c r="L68" s="63">
        <v>0.60423459863098938</v>
      </c>
      <c r="M68" s="63">
        <v>0.11459786318444873</v>
      </c>
      <c r="N68" s="57">
        <v>0</v>
      </c>
      <c r="O68" s="65">
        <v>0.83005541447393671</v>
      </c>
      <c r="P68" s="65">
        <f>1</f>
        <v>1</v>
      </c>
      <c r="Q68" s="66">
        <v>1</v>
      </c>
      <c r="R68" s="67">
        <v>0</v>
      </c>
      <c r="S68" s="67">
        <v>0.58114907585672515</v>
      </c>
      <c r="T68" s="67">
        <v>1240</v>
      </c>
      <c r="U68" s="67">
        <v>330</v>
      </c>
    </row>
    <row r="69" spans="1:21" s="57" customFormat="1" x14ac:dyDescent="0.35">
      <c r="A69" s="63">
        <v>0</v>
      </c>
      <c r="B69" s="63">
        <v>0</v>
      </c>
      <c r="C69" s="63">
        <v>0</v>
      </c>
      <c r="D69" s="63">
        <v>3.3034015999999999E-2</v>
      </c>
      <c r="E69" s="63">
        <v>0.47299992690830239</v>
      </c>
      <c r="F69" s="63">
        <v>3.8505582822085889E-2</v>
      </c>
      <c r="G69" s="64">
        <v>0</v>
      </c>
      <c r="H69" s="63">
        <v>0</v>
      </c>
      <c r="I69" s="63">
        <v>0</v>
      </c>
      <c r="J69" s="63">
        <v>8.4999999999999992E-2</v>
      </c>
      <c r="K69" s="63">
        <v>0.13200000000000001</v>
      </c>
      <c r="L69" s="63">
        <v>0.60335718730553833</v>
      </c>
      <c r="M69" s="63">
        <v>0.12157656922392046</v>
      </c>
      <c r="N69" s="57">
        <v>0</v>
      </c>
      <c r="O69" s="65">
        <v>0.83005541447393671</v>
      </c>
      <c r="P69" s="65">
        <f>1</f>
        <v>1</v>
      </c>
      <c r="Q69" s="66">
        <v>1</v>
      </c>
      <c r="R69" s="67">
        <v>0</v>
      </c>
      <c r="S69" s="67">
        <v>0.62393142958875658</v>
      </c>
      <c r="T69" s="67">
        <v>1240</v>
      </c>
      <c r="U69" s="67">
        <v>330</v>
      </c>
    </row>
    <row r="70" spans="1:21" s="57" customFormat="1" x14ac:dyDescent="0.35">
      <c r="A70" s="63">
        <v>0</v>
      </c>
      <c r="B70" s="63">
        <v>0</v>
      </c>
      <c r="C70" s="63">
        <v>0</v>
      </c>
      <c r="D70" s="63">
        <v>2.1762911999999999E-2</v>
      </c>
      <c r="E70" s="63">
        <v>0.46200003248519894</v>
      </c>
      <c r="F70" s="63">
        <v>2.5367607361963192E-2</v>
      </c>
      <c r="G70" s="64">
        <v>0</v>
      </c>
      <c r="H70" s="63">
        <v>0</v>
      </c>
      <c r="I70" s="63">
        <v>0</v>
      </c>
      <c r="J70" s="63">
        <v>7.3999999999999996E-2</v>
      </c>
      <c r="K70" s="63">
        <v>0.13300000000000001</v>
      </c>
      <c r="L70" s="63">
        <v>0.60276042314872436</v>
      </c>
      <c r="M70" s="63">
        <v>0.12203717168719394</v>
      </c>
      <c r="N70" s="57">
        <v>0</v>
      </c>
      <c r="O70" s="65">
        <v>0.83005541447393671</v>
      </c>
      <c r="P70" s="65">
        <f>1</f>
        <v>1</v>
      </c>
      <c r="Q70" s="66">
        <v>1</v>
      </c>
      <c r="R70" s="67">
        <v>2.5834481454281241E-2</v>
      </c>
      <c r="S70" s="67">
        <v>1</v>
      </c>
      <c r="T70" s="67">
        <v>1240</v>
      </c>
      <c r="U70" s="67">
        <v>330</v>
      </c>
    </row>
    <row r="71" spans="1:21" s="57" customFormat="1" x14ac:dyDescent="0.35">
      <c r="A71" s="63">
        <v>0</v>
      </c>
      <c r="B71" s="63">
        <v>0</v>
      </c>
      <c r="C71" s="63">
        <v>0</v>
      </c>
      <c r="D71" s="63">
        <v>1.7486972E-2</v>
      </c>
      <c r="E71" s="63">
        <v>0.46399990254440321</v>
      </c>
      <c r="F71" s="63">
        <v>2.038340490797546E-2</v>
      </c>
      <c r="G71" s="64">
        <v>0</v>
      </c>
      <c r="H71" s="63">
        <v>0</v>
      </c>
      <c r="I71" s="63">
        <v>0</v>
      </c>
      <c r="J71" s="63">
        <v>6.3E-2</v>
      </c>
      <c r="K71" s="63">
        <v>0.125</v>
      </c>
      <c r="L71" s="63">
        <v>0.59546546359676411</v>
      </c>
      <c r="M71" s="63">
        <v>0.11404659445021516</v>
      </c>
      <c r="N71" s="57">
        <v>0</v>
      </c>
      <c r="O71" s="65">
        <v>0.83005541447393671</v>
      </c>
      <c r="P71" s="65">
        <f>1</f>
        <v>1</v>
      </c>
      <c r="Q71" s="66">
        <v>1</v>
      </c>
      <c r="R71" s="67">
        <v>0.1798893988699258</v>
      </c>
      <c r="S71" s="67">
        <v>1</v>
      </c>
      <c r="T71" s="67">
        <v>1240</v>
      </c>
      <c r="U71" s="67">
        <v>330</v>
      </c>
    </row>
    <row r="72" spans="1:21" s="57" customFormat="1" x14ac:dyDescent="0.35">
      <c r="A72" s="63">
        <v>0</v>
      </c>
      <c r="B72" s="63">
        <v>0</v>
      </c>
      <c r="C72" s="63">
        <v>0</v>
      </c>
      <c r="D72" s="63">
        <v>1.8721867E-2</v>
      </c>
      <c r="E72" s="63">
        <v>0.43999983757400535</v>
      </c>
      <c r="F72" s="63">
        <v>2.1822852760736196E-2</v>
      </c>
      <c r="G72" s="64">
        <v>0</v>
      </c>
      <c r="H72" s="63">
        <v>0</v>
      </c>
      <c r="I72" s="63">
        <v>0</v>
      </c>
      <c r="J72" s="63">
        <v>5.6000000000000001E-2</v>
      </c>
      <c r="K72" s="63">
        <v>0.12</v>
      </c>
      <c r="L72" s="63">
        <v>0.5918811449906658</v>
      </c>
      <c r="M72" s="63">
        <v>0.10923230449621606</v>
      </c>
      <c r="N72" s="57">
        <v>0</v>
      </c>
      <c r="O72" s="65">
        <v>0.83005541447393671</v>
      </c>
      <c r="P72" s="65">
        <f>1</f>
        <v>1</v>
      </c>
      <c r="Q72" s="66">
        <v>1</v>
      </c>
      <c r="R72" s="67">
        <v>0.33394431628704541</v>
      </c>
      <c r="S72" s="67">
        <v>1</v>
      </c>
      <c r="T72" s="67">
        <v>1240</v>
      </c>
      <c r="U72" s="67">
        <v>330</v>
      </c>
    </row>
    <row r="73" spans="1:21" s="57" customFormat="1" x14ac:dyDescent="0.35">
      <c r="A73" s="63">
        <v>0</v>
      </c>
      <c r="B73" s="63">
        <v>0</v>
      </c>
      <c r="C73" s="63">
        <v>0</v>
      </c>
      <c r="D73" s="63">
        <v>1.9438409E-2</v>
      </c>
      <c r="E73" s="63">
        <v>0.43199995127220159</v>
      </c>
      <c r="F73" s="63">
        <v>2.2658067484662578E-2</v>
      </c>
      <c r="G73" s="64">
        <v>0</v>
      </c>
      <c r="H73" s="63">
        <v>0</v>
      </c>
      <c r="I73" s="63">
        <v>0</v>
      </c>
      <c r="J73" s="63">
        <v>5.1000000000000004E-2</v>
      </c>
      <c r="K73" s="63">
        <v>0.109</v>
      </c>
      <c r="L73" s="63">
        <v>0.58858182949595517</v>
      </c>
      <c r="M73" s="63">
        <v>0.10407686600385814</v>
      </c>
      <c r="N73" s="57">
        <v>0</v>
      </c>
      <c r="O73" s="65">
        <v>1.0491679074103448</v>
      </c>
      <c r="P73" s="65">
        <f>1</f>
        <v>1</v>
      </c>
      <c r="Q73" s="66">
        <v>1</v>
      </c>
      <c r="R73" s="67">
        <v>0.29240005938043201</v>
      </c>
      <c r="S73" s="67">
        <v>1</v>
      </c>
      <c r="T73" s="67">
        <v>1240</v>
      </c>
      <c r="U73" s="67">
        <v>330</v>
      </c>
    </row>
    <row r="74" spans="1:21" s="57" customFormat="1" x14ac:dyDescent="0.35">
      <c r="A74" s="63">
        <v>0</v>
      </c>
      <c r="B74" s="63">
        <v>0</v>
      </c>
      <c r="C74" s="63">
        <v>0</v>
      </c>
      <c r="D74" s="63">
        <v>2.2797543E-2</v>
      </c>
      <c r="E74" s="63">
        <v>0.40799988630180378</v>
      </c>
      <c r="F74" s="63">
        <v>2.6573588957055215E-2</v>
      </c>
      <c r="G74" s="64">
        <v>0</v>
      </c>
      <c r="H74" s="63">
        <v>0</v>
      </c>
      <c r="I74" s="63">
        <v>0</v>
      </c>
      <c r="J74" s="63">
        <v>4.8999999999999995E-2</v>
      </c>
      <c r="K74" s="63">
        <v>0.10199999999999999</v>
      </c>
      <c r="L74" s="63">
        <v>0.53292159303049158</v>
      </c>
      <c r="M74" s="63">
        <v>0.10053004896868971</v>
      </c>
      <c r="N74" s="57">
        <v>0</v>
      </c>
      <c r="O74" s="65">
        <v>1.0491679074103448</v>
      </c>
      <c r="P74" s="65">
        <f>1</f>
        <v>1</v>
      </c>
      <c r="Q74" s="66">
        <v>1</v>
      </c>
      <c r="R74" s="67">
        <v>0.27429636860559276</v>
      </c>
      <c r="S74" s="67">
        <v>1</v>
      </c>
      <c r="T74" s="67">
        <v>1240</v>
      </c>
      <c r="U74" s="67">
        <v>330</v>
      </c>
    </row>
    <row r="75" spans="1:21" s="57" customFormat="1" x14ac:dyDescent="0.35">
      <c r="A75" s="63">
        <v>0</v>
      </c>
      <c r="B75" s="63">
        <v>0</v>
      </c>
      <c r="C75" s="63">
        <v>0</v>
      </c>
      <c r="D75" s="63">
        <v>2.6731528000000001E-2</v>
      </c>
      <c r="E75" s="63">
        <v>0.39899986193790454</v>
      </c>
      <c r="F75" s="63">
        <v>3.115920245398773E-2</v>
      </c>
      <c r="G75" s="64">
        <v>0</v>
      </c>
      <c r="H75" s="63">
        <v>0</v>
      </c>
      <c r="I75" s="63">
        <v>0</v>
      </c>
      <c r="J75" s="63">
        <v>4.7999999999999994E-2</v>
      </c>
      <c r="K75" s="63">
        <v>9.5000000000000001E-2</v>
      </c>
      <c r="L75" s="63">
        <v>0.52842688238954572</v>
      </c>
      <c r="M75" s="63">
        <v>9.4340109808576947E-2</v>
      </c>
      <c r="N75" s="57">
        <v>0</v>
      </c>
      <c r="O75" s="65">
        <v>1.0491679074103448</v>
      </c>
      <c r="P75" s="65">
        <f>1</f>
        <v>1</v>
      </c>
      <c r="Q75" s="66">
        <v>1</v>
      </c>
      <c r="R75" s="67">
        <v>0.26737792093064466</v>
      </c>
      <c r="S75" s="67">
        <v>1</v>
      </c>
      <c r="T75" s="67">
        <v>1240</v>
      </c>
      <c r="U75" s="67">
        <v>330</v>
      </c>
    </row>
    <row r="76" spans="1:21" s="57" customFormat="1" x14ac:dyDescent="0.35">
      <c r="A76" s="63">
        <v>0</v>
      </c>
      <c r="B76" s="63">
        <v>0</v>
      </c>
      <c r="C76" s="63">
        <v>0</v>
      </c>
      <c r="D76" s="63">
        <v>3.2651092999999999E-2</v>
      </c>
      <c r="E76" s="63">
        <v>0.39800012994079575</v>
      </c>
      <c r="F76" s="63">
        <v>3.8059233128834358E-2</v>
      </c>
      <c r="G76" s="64">
        <v>0</v>
      </c>
      <c r="H76" s="63">
        <v>0</v>
      </c>
      <c r="I76" s="63">
        <v>0</v>
      </c>
      <c r="J76" s="63">
        <v>4.6999999999999993E-2</v>
      </c>
      <c r="K76" s="63">
        <v>9.2999999999999999E-2</v>
      </c>
      <c r="L76" s="63">
        <v>0.52615930304915992</v>
      </c>
      <c r="M76" s="63">
        <v>9.3466018697136069E-2</v>
      </c>
      <c r="N76" s="57">
        <v>0</v>
      </c>
      <c r="O76" s="65">
        <v>1.0491679074103448</v>
      </c>
      <c r="P76" s="65">
        <f>1</f>
        <v>1</v>
      </c>
      <c r="Q76" s="66">
        <v>1</v>
      </c>
      <c r="R76" s="67">
        <v>0.24505473993081206</v>
      </c>
      <c r="S76" s="67">
        <v>1</v>
      </c>
      <c r="T76" s="67">
        <v>1240</v>
      </c>
      <c r="U76" s="67">
        <v>330</v>
      </c>
    </row>
    <row r="77" spans="1:21" s="57" customFormat="1" x14ac:dyDescent="0.35">
      <c r="A77" s="63">
        <v>0</v>
      </c>
      <c r="B77" s="63">
        <v>0</v>
      </c>
      <c r="C77" s="63">
        <v>0</v>
      </c>
      <c r="D77" s="63">
        <v>4.0581737999999999E-2</v>
      </c>
      <c r="E77" s="63">
        <v>0.3959998538166048</v>
      </c>
      <c r="F77" s="63">
        <v>4.7303466257668715E-2</v>
      </c>
      <c r="G77" s="64">
        <v>0</v>
      </c>
      <c r="H77" s="63">
        <v>0</v>
      </c>
      <c r="I77" s="63">
        <v>0</v>
      </c>
      <c r="J77" s="63">
        <v>4.2999999999999997E-2</v>
      </c>
      <c r="K77" s="63">
        <v>9.2999999999999999E-2</v>
      </c>
      <c r="L77" s="63">
        <v>0.52646919726197883</v>
      </c>
      <c r="M77" s="63">
        <v>9.4142157590146908E-2</v>
      </c>
      <c r="N77" s="57">
        <v>0</v>
      </c>
      <c r="O77" s="65">
        <v>1.0491679074103448</v>
      </c>
      <c r="P77" s="65">
        <f>1</f>
        <v>1</v>
      </c>
      <c r="Q77" s="66">
        <v>1</v>
      </c>
      <c r="R77" s="67">
        <v>0.21254024555605594</v>
      </c>
      <c r="S77" s="67">
        <v>1</v>
      </c>
      <c r="T77" s="67">
        <v>1240</v>
      </c>
      <c r="U77" s="67">
        <v>330</v>
      </c>
    </row>
    <row r="78" spans="1:21" s="57" customFormat="1" x14ac:dyDescent="0.35">
      <c r="A78" s="63">
        <v>0</v>
      </c>
      <c r="B78" s="63">
        <v>0</v>
      </c>
      <c r="C78" s="63">
        <v>0</v>
      </c>
      <c r="D78" s="63">
        <v>5.0982284000000003E-2</v>
      </c>
      <c r="E78" s="63">
        <v>0.40199987005920429</v>
      </c>
      <c r="F78" s="63">
        <v>5.9426687116564417E-2</v>
      </c>
      <c r="G78" s="64">
        <v>0</v>
      </c>
      <c r="H78" s="63">
        <v>0</v>
      </c>
      <c r="I78" s="63">
        <v>0</v>
      </c>
      <c r="J78" s="63">
        <v>3.9E-2</v>
      </c>
      <c r="K78" s="63">
        <v>9.9000000000000005E-2</v>
      </c>
      <c r="L78" s="63">
        <v>0.52788923459863102</v>
      </c>
      <c r="M78" s="63">
        <v>9.7128060543107297E-2</v>
      </c>
      <c r="N78" s="57">
        <v>0</v>
      </c>
      <c r="O78" s="65">
        <v>1.0491679074103448</v>
      </c>
      <c r="P78" s="65">
        <f>1</f>
        <v>1</v>
      </c>
      <c r="Q78" s="66">
        <v>1</v>
      </c>
      <c r="R78" s="67">
        <v>0.16932165003848007</v>
      </c>
      <c r="S78" s="67">
        <v>1</v>
      </c>
      <c r="T78" s="67">
        <v>1240</v>
      </c>
      <c r="U78" s="67">
        <v>330</v>
      </c>
    </row>
    <row r="79" spans="1:21" s="57" customFormat="1" x14ac:dyDescent="0.35">
      <c r="A79" s="63">
        <v>0</v>
      </c>
      <c r="B79" s="63">
        <v>0</v>
      </c>
      <c r="C79" s="63">
        <v>0</v>
      </c>
      <c r="D79" s="63">
        <v>5.9373763000000003E-2</v>
      </c>
      <c r="E79" s="63">
        <v>0.40799988630180378</v>
      </c>
      <c r="F79" s="63">
        <v>6.9208098159509207E-2</v>
      </c>
      <c r="G79" s="64">
        <v>0</v>
      </c>
      <c r="H79" s="63">
        <v>0</v>
      </c>
      <c r="I79" s="63">
        <v>0</v>
      </c>
      <c r="J79" s="63">
        <v>3.9E-2</v>
      </c>
      <c r="K79" s="63">
        <v>0.106</v>
      </c>
      <c r="L79" s="63">
        <v>0.54071935283136285</v>
      </c>
      <c r="M79" s="63">
        <v>0.10142728891526934</v>
      </c>
      <c r="N79" s="57">
        <v>0</v>
      </c>
      <c r="O79" s="65">
        <v>1.0491679074103448</v>
      </c>
      <c r="P79" s="65">
        <f>1</f>
        <v>1</v>
      </c>
      <c r="Q79" s="66">
        <v>1</v>
      </c>
      <c r="R79" s="67">
        <v>4.1559052109463306E-2</v>
      </c>
      <c r="S79" s="67">
        <v>1</v>
      </c>
      <c r="T79" s="67">
        <v>1240</v>
      </c>
      <c r="U79" s="67">
        <v>330</v>
      </c>
    </row>
    <row r="80" spans="1:21" s="57" customFormat="1" x14ac:dyDescent="0.35">
      <c r="A80" s="63">
        <v>0</v>
      </c>
      <c r="B80" s="63">
        <v>0</v>
      </c>
      <c r="C80" s="63">
        <v>0</v>
      </c>
      <c r="D80" s="63">
        <v>6.6060953000000006E-2</v>
      </c>
      <c r="E80" s="63">
        <v>0.41200003248519895</v>
      </c>
      <c r="F80" s="63">
        <v>7.7002914110429449E-2</v>
      </c>
      <c r="G80" s="64">
        <v>0</v>
      </c>
      <c r="H80" s="63">
        <v>0</v>
      </c>
      <c r="I80" s="63">
        <v>0</v>
      </c>
      <c r="J80" s="63">
        <v>4.5999999999999999E-2</v>
      </c>
      <c r="K80" s="63">
        <v>0.115</v>
      </c>
      <c r="L80" s="63">
        <v>0.54252706907280646</v>
      </c>
      <c r="M80" s="63">
        <v>0.10650949695800564</v>
      </c>
      <c r="N80" s="57">
        <v>0</v>
      </c>
      <c r="O80" s="65">
        <v>1.0491679074103448</v>
      </c>
      <c r="P80" s="65">
        <f>1</f>
        <v>1</v>
      </c>
      <c r="Q80" s="66">
        <v>1</v>
      </c>
      <c r="R80" s="67">
        <v>0</v>
      </c>
      <c r="S80" s="67">
        <v>1</v>
      </c>
      <c r="T80" s="67">
        <v>1240</v>
      </c>
      <c r="U80" s="67">
        <v>330</v>
      </c>
    </row>
    <row r="81" spans="1:21" s="57" customFormat="1" x14ac:dyDescent="0.35">
      <c r="A81" s="63">
        <v>0</v>
      </c>
      <c r="B81" s="63">
        <v>0</v>
      </c>
      <c r="C81" s="63">
        <v>0</v>
      </c>
      <c r="D81" s="63">
        <v>6.9969826999999998E-2</v>
      </c>
      <c r="E81" s="63">
        <v>0.4150000406064987</v>
      </c>
      <c r="F81" s="63">
        <v>8.1559233128834355E-2</v>
      </c>
      <c r="G81" s="64">
        <v>0</v>
      </c>
      <c r="H81" s="63">
        <v>0</v>
      </c>
      <c r="I81" s="63">
        <v>0</v>
      </c>
      <c r="J81" s="63">
        <v>5.7999999999999996E-2</v>
      </c>
      <c r="K81" s="63">
        <v>0.12</v>
      </c>
      <c r="L81" s="63">
        <v>0.57488301182327317</v>
      </c>
      <c r="M81" s="63">
        <v>0.10783350645496365</v>
      </c>
      <c r="N81" s="57">
        <v>0</v>
      </c>
      <c r="O81" s="65">
        <v>1.0491679074103448</v>
      </c>
      <c r="P81" s="65">
        <f>1</f>
        <v>1</v>
      </c>
      <c r="Q81" s="66">
        <v>1</v>
      </c>
      <c r="R81" s="67">
        <v>0</v>
      </c>
      <c r="S81" s="67">
        <v>1</v>
      </c>
      <c r="T81" s="67">
        <v>1240</v>
      </c>
      <c r="U81" s="67">
        <v>330</v>
      </c>
    </row>
    <row r="82" spans="1:21" s="57" customFormat="1" x14ac:dyDescent="0.35">
      <c r="A82" s="63">
        <v>0</v>
      </c>
      <c r="B82" s="63">
        <v>0</v>
      </c>
      <c r="C82" s="63">
        <v>0</v>
      </c>
      <c r="D82" s="63">
        <v>7.8754295000000002E-2</v>
      </c>
      <c r="E82" s="63">
        <v>0.43999983757400535</v>
      </c>
      <c r="F82" s="63">
        <v>9.5796932515337427E-2</v>
      </c>
      <c r="G82" s="64">
        <v>0</v>
      </c>
      <c r="H82" s="63">
        <v>0</v>
      </c>
      <c r="I82" s="63">
        <v>0</v>
      </c>
      <c r="J82" s="63">
        <v>7.4999999999999997E-2</v>
      </c>
      <c r="K82" s="63">
        <v>0.126</v>
      </c>
      <c r="L82" s="63">
        <v>0.58355444928438083</v>
      </c>
      <c r="M82" s="63">
        <v>0.11039642380175101</v>
      </c>
      <c r="N82" s="57">
        <v>0</v>
      </c>
      <c r="O82" s="65">
        <v>1.0491679074103448</v>
      </c>
      <c r="P82" s="65">
        <f>1</f>
        <v>1</v>
      </c>
      <c r="Q82" s="66">
        <v>1</v>
      </c>
      <c r="R82" s="67">
        <v>0</v>
      </c>
      <c r="S82" s="67">
        <v>1</v>
      </c>
      <c r="T82" s="67">
        <v>1240</v>
      </c>
      <c r="U82" s="67">
        <v>330</v>
      </c>
    </row>
    <row r="83" spans="1:21" s="57" customFormat="1" x14ac:dyDescent="0.35">
      <c r="A83" s="63">
        <v>6.7000000000000004E-2</v>
      </c>
      <c r="B83" s="63">
        <v>2.3E-2</v>
      </c>
      <c r="C83" s="63">
        <v>8.199999999999999E-2</v>
      </c>
      <c r="D83" s="63">
        <v>9.0938508000000001E-2</v>
      </c>
      <c r="E83" s="63">
        <v>0.44200011369819631</v>
      </c>
      <c r="F83" s="63">
        <v>0.19278641104294481</v>
      </c>
      <c r="G83" s="64">
        <v>0</v>
      </c>
      <c r="H83" s="63">
        <v>0.03</v>
      </c>
      <c r="I83" s="63">
        <v>2.5000000000000001E-2</v>
      </c>
      <c r="J83" s="63">
        <v>7.4999999999999997E-2</v>
      </c>
      <c r="K83" s="63">
        <v>0.13100000000000001</v>
      </c>
      <c r="L83" s="63">
        <v>0.59908214063472309</v>
      </c>
      <c r="M83" s="63">
        <v>0.13459140822080426</v>
      </c>
      <c r="N83" s="57">
        <v>0</v>
      </c>
      <c r="O83" s="65">
        <v>1.0491679074103448</v>
      </c>
      <c r="P83" s="65">
        <f>1</f>
        <v>1</v>
      </c>
      <c r="Q83" s="66">
        <v>1</v>
      </c>
      <c r="R83" s="67">
        <v>0</v>
      </c>
      <c r="S83" s="67">
        <v>1</v>
      </c>
      <c r="T83" s="67">
        <v>1240</v>
      </c>
      <c r="U83" s="67">
        <v>330</v>
      </c>
    </row>
    <row r="84" spans="1:21" s="57" customFormat="1" x14ac:dyDescent="0.35">
      <c r="A84" s="63">
        <v>0.17</v>
      </c>
      <c r="B84" s="63">
        <v>5.4000000000000006E-2</v>
      </c>
      <c r="C84" s="63">
        <v>0.19399999999999998</v>
      </c>
      <c r="D84" s="63">
        <v>0.100598005</v>
      </c>
      <c r="E84" s="63">
        <v>0.42400006497039783</v>
      </c>
      <c r="F84" s="63">
        <v>0.32909684049079757</v>
      </c>
      <c r="G84" s="64">
        <v>0</v>
      </c>
      <c r="H84" s="63">
        <v>0.124</v>
      </c>
      <c r="I84" s="63">
        <v>0.10100000000000001</v>
      </c>
      <c r="J84" s="63">
        <v>4.2999999999999997E-2</v>
      </c>
      <c r="K84" s="63">
        <v>0.13200000000000001</v>
      </c>
      <c r="L84" s="63">
        <v>0.59940945861854389</v>
      </c>
      <c r="M84" s="63">
        <v>0.21116797744472474</v>
      </c>
      <c r="N84" s="57">
        <v>0</v>
      </c>
      <c r="O84" s="65">
        <v>1.0491679074103448</v>
      </c>
      <c r="P84" s="65">
        <f>1</f>
        <v>1</v>
      </c>
      <c r="Q84" s="66">
        <v>1</v>
      </c>
      <c r="R84" s="67">
        <v>0</v>
      </c>
      <c r="S84" s="67">
        <v>1</v>
      </c>
      <c r="T84" s="67">
        <v>1240</v>
      </c>
      <c r="U84" s="67">
        <v>330</v>
      </c>
    </row>
    <row r="85" spans="1:21" s="57" customFormat="1" x14ac:dyDescent="0.35">
      <c r="A85" s="63">
        <v>0.23699999999999999</v>
      </c>
      <c r="B85" s="63">
        <v>8.5999999999999993E-2</v>
      </c>
      <c r="C85" s="63">
        <v>0.28499999999999903</v>
      </c>
      <c r="D85" s="63">
        <v>0.11549854399999999</v>
      </c>
      <c r="E85" s="63">
        <v>0.43399982133140597</v>
      </c>
      <c r="F85" s="63">
        <v>0.43928300613496934</v>
      </c>
      <c r="G85" s="64">
        <v>0</v>
      </c>
      <c r="H85" s="63">
        <v>0.223</v>
      </c>
      <c r="I85" s="63">
        <v>0.184</v>
      </c>
      <c r="J85" s="63">
        <v>2.8000000000000001E-2</v>
      </c>
      <c r="K85" s="63">
        <v>0.13</v>
      </c>
      <c r="L85" s="63">
        <v>0.60055320472930929</v>
      </c>
      <c r="M85" s="63">
        <v>0.29187542662116039</v>
      </c>
      <c r="N85" s="57">
        <v>0</v>
      </c>
      <c r="O85" s="65">
        <v>0</v>
      </c>
      <c r="P85" s="65">
        <f>1</f>
        <v>1</v>
      </c>
      <c r="Q85" s="66">
        <v>0</v>
      </c>
      <c r="R85" s="67">
        <v>0</v>
      </c>
      <c r="S85" s="67">
        <v>1</v>
      </c>
      <c r="T85" s="67">
        <v>1240</v>
      </c>
      <c r="U85" s="67">
        <v>330</v>
      </c>
    </row>
    <row r="86" spans="1:21" s="57" customFormat="1" x14ac:dyDescent="0.35">
      <c r="A86" s="63">
        <v>0.28100000000000003</v>
      </c>
      <c r="B86" s="63">
        <v>0.11199999999999999</v>
      </c>
      <c r="C86" s="63">
        <v>0.34</v>
      </c>
      <c r="D86" s="63">
        <v>0.13827719199999999</v>
      </c>
      <c r="E86" s="63">
        <v>0.43499995939350139</v>
      </c>
      <c r="F86" s="63">
        <v>0.52280128834355832</v>
      </c>
      <c r="G86" s="64">
        <v>0</v>
      </c>
      <c r="H86" s="63">
        <v>0.30499999999999994</v>
      </c>
      <c r="I86" s="63">
        <v>0.245</v>
      </c>
      <c r="J86" s="63">
        <v>4.2999999999999997E-2</v>
      </c>
      <c r="K86" s="63">
        <v>0.13100000000000001</v>
      </c>
      <c r="L86" s="63">
        <v>0.60160360920970757</v>
      </c>
      <c r="M86" s="63">
        <v>0.35871345897017359</v>
      </c>
      <c r="N86" s="57">
        <v>0</v>
      </c>
      <c r="O86" s="65">
        <v>0</v>
      </c>
      <c r="P86" s="65">
        <f>1</f>
        <v>1</v>
      </c>
      <c r="Q86" s="66">
        <v>0</v>
      </c>
      <c r="R86" s="67">
        <v>0</v>
      </c>
      <c r="S86" s="67">
        <v>1</v>
      </c>
      <c r="T86" s="67">
        <v>987.11730249000004</v>
      </c>
      <c r="U86" s="67">
        <v>330</v>
      </c>
    </row>
    <row r="87" spans="1:21" s="57" customFormat="1" x14ac:dyDescent="0.35">
      <c r="A87" s="63">
        <v>0.29399999999999998</v>
      </c>
      <c r="B87" s="63">
        <v>0.122</v>
      </c>
      <c r="C87" s="63">
        <v>0.34599999999999903</v>
      </c>
      <c r="D87" s="63">
        <v>0.16269359799999999</v>
      </c>
      <c r="E87" s="63">
        <v>0.43000008121299732</v>
      </c>
      <c r="F87" s="63">
        <v>0.56261809815950914</v>
      </c>
      <c r="G87" s="64">
        <v>0</v>
      </c>
      <c r="H87" s="63">
        <v>0.34500000000000003</v>
      </c>
      <c r="I87" s="63">
        <v>0.26999999999999996</v>
      </c>
      <c r="J87" s="63">
        <v>0.11499999999999999</v>
      </c>
      <c r="K87" s="63">
        <v>0.154</v>
      </c>
      <c r="L87" s="63">
        <v>0.5866888612321095</v>
      </c>
      <c r="M87" s="63">
        <v>0.40373549488054605</v>
      </c>
      <c r="N87" s="57">
        <v>0</v>
      </c>
      <c r="O87" s="65">
        <v>0</v>
      </c>
      <c r="P87" s="65">
        <f>1</f>
        <v>1</v>
      </c>
      <c r="Q87" s="66">
        <v>0</v>
      </c>
      <c r="R87" s="67">
        <v>0</v>
      </c>
      <c r="S87" s="67">
        <v>0.96280895410986711</v>
      </c>
      <c r="T87" s="67">
        <v>0</v>
      </c>
      <c r="U87" s="67">
        <v>330</v>
      </c>
    </row>
    <row r="88" spans="1:21" s="57" customFormat="1" x14ac:dyDescent="0.35">
      <c r="A88" s="63">
        <v>0.28199999999999997</v>
      </c>
      <c r="B88" s="63">
        <v>0.114</v>
      </c>
      <c r="C88" s="63">
        <v>0.307</v>
      </c>
      <c r="D88" s="63">
        <v>0.18848293999999999</v>
      </c>
      <c r="E88" s="63">
        <v>0.43199995127220159</v>
      </c>
      <c r="F88" s="63">
        <v>0.56248355828220864</v>
      </c>
      <c r="G88" s="64">
        <v>0</v>
      </c>
      <c r="H88" s="63">
        <v>0.33499999999999996</v>
      </c>
      <c r="I88" s="63">
        <v>0.254</v>
      </c>
      <c r="J88" s="63">
        <v>0.23800000000000002</v>
      </c>
      <c r="K88" s="63">
        <v>0.193</v>
      </c>
      <c r="L88" s="63">
        <v>0.58425575606720592</v>
      </c>
      <c r="M88" s="63">
        <v>0.41695548300934854</v>
      </c>
      <c r="N88" s="57">
        <v>0</v>
      </c>
      <c r="O88" s="65">
        <v>0</v>
      </c>
      <c r="P88" s="65">
        <f>1</f>
        <v>1</v>
      </c>
      <c r="Q88" s="66">
        <v>0</v>
      </c>
      <c r="R88" s="67">
        <v>0</v>
      </c>
      <c r="S88" s="67">
        <v>0.58114971051437148</v>
      </c>
      <c r="T88" s="67">
        <v>0</v>
      </c>
      <c r="U88" s="67">
        <v>330</v>
      </c>
    </row>
    <row r="89" spans="1:21" s="57" customFormat="1" x14ac:dyDescent="0.35">
      <c r="A89" s="63">
        <v>0.255</v>
      </c>
      <c r="B89" s="63">
        <v>0.09</v>
      </c>
      <c r="C89" s="63">
        <v>0.245</v>
      </c>
      <c r="D89" s="63">
        <v>0.20757709799999999</v>
      </c>
      <c r="E89" s="63">
        <v>0.42400006497039783</v>
      </c>
      <c r="F89" s="63">
        <v>0.53294987730061349</v>
      </c>
      <c r="G89" s="64">
        <v>0</v>
      </c>
      <c r="H89" s="63">
        <v>0.25700000000000001</v>
      </c>
      <c r="I89" s="63">
        <v>0.192</v>
      </c>
      <c r="J89" s="63">
        <v>0.33099999999999996</v>
      </c>
      <c r="K89" s="63">
        <v>0.23399999999999999</v>
      </c>
      <c r="L89" s="63">
        <v>0.59029184816428126</v>
      </c>
      <c r="M89" s="63">
        <v>0.37884426472770444</v>
      </c>
      <c r="N89" s="57">
        <v>0</v>
      </c>
      <c r="O89" s="65">
        <v>0</v>
      </c>
      <c r="P89" s="65">
        <f>1</f>
        <v>1</v>
      </c>
      <c r="Q89" s="66">
        <v>0.62782949274599997</v>
      </c>
      <c r="R89" s="67">
        <v>0</v>
      </c>
      <c r="S89" s="67">
        <v>0.58085371378947137</v>
      </c>
      <c r="T89" s="67">
        <v>0</v>
      </c>
      <c r="U89" s="67">
        <v>330</v>
      </c>
    </row>
    <row r="90" spans="1:21" s="57" customFormat="1" x14ac:dyDescent="0.35">
      <c r="A90" s="63">
        <v>0.189</v>
      </c>
      <c r="B90" s="63">
        <v>5.0999999999999997E-2</v>
      </c>
      <c r="C90" s="63">
        <v>0.157</v>
      </c>
      <c r="D90" s="63">
        <v>0.21244671500000001</v>
      </c>
      <c r="E90" s="63">
        <v>0.42499979696750673</v>
      </c>
      <c r="F90" s="63">
        <v>0.44948757668711659</v>
      </c>
      <c r="G90" s="64">
        <v>0</v>
      </c>
      <c r="H90" s="63">
        <v>0.15699999999999997</v>
      </c>
      <c r="I90" s="63">
        <v>0.11100000000000002</v>
      </c>
      <c r="J90" s="63">
        <v>0.35600000000000004</v>
      </c>
      <c r="K90" s="63">
        <v>0.26700000000000002</v>
      </c>
      <c r="L90" s="63">
        <v>0.59544243932794028</v>
      </c>
      <c r="M90" s="63">
        <v>0.3169425730820597</v>
      </c>
      <c r="N90" s="57">
        <v>0</v>
      </c>
      <c r="O90" s="65">
        <v>0</v>
      </c>
      <c r="P90" s="65">
        <f>1</f>
        <v>1</v>
      </c>
      <c r="Q90" s="66">
        <v>0</v>
      </c>
      <c r="R90" s="67">
        <v>0</v>
      </c>
      <c r="S90" s="67">
        <v>1</v>
      </c>
      <c r="T90" s="67">
        <v>0</v>
      </c>
      <c r="U90" s="67">
        <v>330</v>
      </c>
    </row>
    <row r="91" spans="1:21" s="57" customFormat="1" x14ac:dyDescent="0.35">
      <c r="A91" s="63">
        <v>5.1999999999999998E-2</v>
      </c>
      <c r="B91" s="63">
        <v>0</v>
      </c>
      <c r="C91" s="63">
        <v>5.0999999999999997E-2</v>
      </c>
      <c r="D91" s="63">
        <v>0.20457370999999999</v>
      </c>
      <c r="E91" s="63">
        <v>0.44899986193790453</v>
      </c>
      <c r="F91" s="63">
        <v>0.29873024539877302</v>
      </c>
      <c r="G91" s="64">
        <v>0</v>
      </c>
      <c r="H91" s="63">
        <v>6.4000000000000001E-2</v>
      </c>
      <c r="I91" s="63">
        <v>3.6999999999999998E-2</v>
      </c>
      <c r="J91" s="63">
        <v>0.22</v>
      </c>
      <c r="K91" s="63">
        <v>0.316</v>
      </c>
      <c r="L91" s="63">
        <v>0.60199626633478531</v>
      </c>
      <c r="M91" s="63">
        <v>0.2780603205223327</v>
      </c>
      <c r="N91" s="57">
        <v>0</v>
      </c>
      <c r="O91" s="65">
        <v>0</v>
      </c>
      <c r="P91" s="65">
        <f>1</f>
        <v>1</v>
      </c>
      <c r="Q91" s="66">
        <v>1</v>
      </c>
      <c r="R91" s="67">
        <v>0</v>
      </c>
      <c r="S91" s="67">
        <v>0.87442654348372717</v>
      </c>
      <c r="T91" s="67">
        <v>1240</v>
      </c>
      <c r="U91" s="67">
        <v>330</v>
      </c>
    </row>
    <row r="92" spans="1:21" s="57" customFormat="1" x14ac:dyDescent="0.35">
      <c r="A92" s="63">
        <v>0</v>
      </c>
      <c r="B92" s="63">
        <v>0</v>
      </c>
      <c r="C92" s="63">
        <v>0</v>
      </c>
      <c r="D92" s="63">
        <v>0.22267505300000001</v>
      </c>
      <c r="E92" s="63">
        <v>0.45499987818050402</v>
      </c>
      <c r="F92" s="63">
        <v>0.25960263803680983</v>
      </c>
      <c r="G92" s="64">
        <v>0</v>
      </c>
      <c r="H92" s="63">
        <v>0</v>
      </c>
      <c r="I92" s="63">
        <v>0</v>
      </c>
      <c r="J92" s="63">
        <v>0.16499999999999998</v>
      </c>
      <c r="K92" s="63">
        <v>0.36399999999999999</v>
      </c>
      <c r="L92" s="63">
        <v>0.61056253889234602</v>
      </c>
      <c r="M92" s="63">
        <v>0.27129841222733342</v>
      </c>
      <c r="N92" s="57">
        <v>0</v>
      </c>
      <c r="O92" s="65">
        <v>0</v>
      </c>
      <c r="P92" s="65">
        <f>1</f>
        <v>1</v>
      </c>
      <c r="Q92" s="66">
        <v>1</v>
      </c>
      <c r="R92" s="67">
        <v>0</v>
      </c>
      <c r="S92" s="67">
        <v>1</v>
      </c>
      <c r="T92" s="67">
        <v>1240</v>
      </c>
      <c r="U92" s="67">
        <v>330</v>
      </c>
    </row>
    <row r="93" spans="1:21" s="57" customFormat="1" x14ac:dyDescent="0.35">
      <c r="A93" s="63">
        <v>0</v>
      </c>
      <c r="B93" s="63">
        <v>0</v>
      </c>
      <c r="C93" s="63">
        <v>0</v>
      </c>
      <c r="D93" s="63">
        <v>0.254737767</v>
      </c>
      <c r="E93" s="63">
        <v>0.4669999106657029</v>
      </c>
      <c r="F93" s="63">
        <v>0.2969311042944785</v>
      </c>
      <c r="G93" s="64">
        <v>0</v>
      </c>
      <c r="H93" s="63">
        <v>0</v>
      </c>
      <c r="I93" s="63">
        <v>0</v>
      </c>
      <c r="J93" s="63">
        <v>0.14599999999999999</v>
      </c>
      <c r="K93" s="63">
        <v>0.38800000000000001</v>
      </c>
      <c r="L93" s="63">
        <v>0.62000622277535777</v>
      </c>
      <c r="M93" s="63">
        <v>0.28904429440569818</v>
      </c>
      <c r="N93" s="57">
        <v>0</v>
      </c>
      <c r="O93" s="65">
        <v>0</v>
      </c>
      <c r="P93" s="65">
        <f>1</f>
        <v>1</v>
      </c>
      <c r="Q93" s="66">
        <v>1</v>
      </c>
      <c r="R93" s="67">
        <v>0</v>
      </c>
      <c r="S93" s="67">
        <v>1</v>
      </c>
      <c r="T93" s="67">
        <v>1240</v>
      </c>
      <c r="U93" s="67">
        <v>330</v>
      </c>
    </row>
    <row r="94" spans="1:21" s="57" customFormat="1" x14ac:dyDescent="0.35">
      <c r="A94" s="63">
        <v>0</v>
      </c>
      <c r="B94" s="63">
        <v>0</v>
      </c>
      <c r="C94" s="63">
        <v>0</v>
      </c>
      <c r="D94" s="63">
        <v>0.27501555100000002</v>
      </c>
      <c r="E94" s="63">
        <v>0.47299992690830239</v>
      </c>
      <c r="F94" s="63">
        <v>0.32056757668711661</v>
      </c>
      <c r="G94" s="64">
        <v>0</v>
      </c>
      <c r="H94" s="63">
        <v>0</v>
      </c>
      <c r="I94" s="63">
        <v>0</v>
      </c>
      <c r="J94" s="63">
        <v>0.14799999999999999</v>
      </c>
      <c r="K94" s="63">
        <v>0.43099999999999999</v>
      </c>
      <c r="L94" s="63">
        <v>0.62357311761045431</v>
      </c>
      <c r="M94" s="63">
        <v>0.31937468467131624</v>
      </c>
      <c r="N94" s="57">
        <v>0</v>
      </c>
      <c r="O94" s="65">
        <v>0</v>
      </c>
      <c r="P94" s="65">
        <f>1</f>
        <v>1</v>
      </c>
      <c r="Q94" s="66">
        <v>1</v>
      </c>
      <c r="R94" s="67">
        <v>0</v>
      </c>
      <c r="S94" s="67">
        <v>1</v>
      </c>
      <c r="T94" s="67">
        <v>1240</v>
      </c>
      <c r="U94" s="67">
        <v>330</v>
      </c>
    </row>
    <row r="95" spans="1:21" s="57" customFormat="1" x14ac:dyDescent="0.35">
      <c r="A95" s="63">
        <v>0</v>
      </c>
      <c r="B95" s="63">
        <v>0</v>
      </c>
      <c r="C95" s="63">
        <v>0</v>
      </c>
      <c r="D95" s="63">
        <v>0.28818690899999999</v>
      </c>
      <c r="E95" s="63">
        <v>0.4669999106657029</v>
      </c>
      <c r="F95" s="63">
        <v>0.33592055214723926</v>
      </c>
      <c r="G95" s="64">
        <v>0</v>
      </c>
      <c r="H95" s="63">
        <v>0</v>
      </c>
      <c r="I95" s="63">
        <v>0</v>
      </c>
      <c r="J95" s="63">
        <v>0.16800000000000001</v>
      </c>
      <c r="K95" s="63">
        <v>0.49800000000000005</v>
      </c>
      <c r="L95" s="63">
        <v>0.62135345364032357</v>
      </c>
      <c r="M95" s="63">
        <v>0.36329314438343968</v>
      </c>
      <c r="N95" s="57">
        <v>0</v>
      </c>
      <c r="O95" s="65">
        <v>0</v>
      </c>
      <c r="P95" s="65">
        <f>1</f>
        <v>1</v>
      </c>
      <c r="Q95" s="66">
        <v>1</v>
      </c>
      <c r="R95" s="67">
        <v>0</v>
      </c>
      <c r="S95" s="67">
        <v>1</v>
      </c>
      <c r="T95" s="67">
        <v>1240</v>
      </c>
      <c r="U95" s="67">
        <v>330</v>
      </c>
    </row>
    <row r="96" spans="1:21" s="57" customFormat="1" x14ac:dyDescent="0.35">
      <c r="A96" s="63">
        <v>0</v>
      </c>
      <c r="B96" s="63">
        <v>0</v>
      </c>
      <c r="C96" s="63">
        <v>0</v>
      </c>
      <c r="D96" s="63">
        <v>0.31947301099999997</v>
      </c>
      <c r="E96" s="63">
        <v>0.46500004060649869</v>
      </c>
      <c r="F96" s="63">
        <v>0.37238871165644172</v>
      </c>
      <c r="G96" s="64">
        <v>0</v>
      </c>
      <c r="H96" s="63">
        <v>0</v>
      </c>
      <c r="I96" s="63">
        <v>0</v>
      </c>
      <c r="J96" s="63">
        <v>0.20500000000000002</v>
      </c>
      <c r="K96" s="63">
        <v>0.53500000000000003</v>
      </c>
      <c r="L96" s="63">
        <v>0.60562912258867452</v>
      </c>
      <c r="M96" s="63">
        <v>0.3864834545184746</v>
      </c>
      <c r="N96" s="57">
        <v>0</v>
      </c>
      <c r="O96" s="65">
        <v>0</v>
      </c>
      <c r="P96" s="65">
        <f>1</f>
        <v>1</v>
      </c>
      <c r="Q96" s="66">
        <v>0.14925558578000001</v>
      </c>
      <c r="R96" s="67">
        <v>0</v>
      </c>
      <c r="S96" s="67">
        <v>1</v>
      </c>
      <c r="T96" s="67">
        <v>194.64011808999999</v>
      </c>
      <c r="U96" s="67">
        <v>330</v>
      </c>
    </row>
    <row r="97" spans="1:21" s="57" customFormat="1" x14ac:dyDescent="0.35">
      <c r="A97" s="63">
        <v>0</v>
      </c>
      <c r="B97" s="63">
        <v>0</v>
      </c>
      <c r="C97" s="63">
        <v>0</v>
      </c>
      <c r="D97" s="63">
        <v>0.353982937</v>
      </c>
      <c r="E97" s="63">
        <v>0.46500004060649869</v>
      </c>
      <c r="F97" s="63">
        <v>0.41261466257668711</v>
      </c>
      <c r="G97" s="64">
        <v>0</v>
      </c>
      <c r="H97" s="63">
        <v>0</v>
      </c>
      <c r="I97" s="63">
        <v>0</v>
      </c>
      <c r="J97" s="63">
        <v>0.23599999999999999</v>
      </c>
      <c r="K97" s="63">
        <v>0.55800000000000005</v>
      </c>
      <c r="L97" s="63">
        <v>0.60581767268201614</v>
      </c>
      <c r="M97" s="63">
        <v>0.39477333432259981</v>
      </c>
      <c r="N97" s="57">
        <v>0</v>
      </c>
      <c r="O97" s="65">
        <v>0</v>
      </c>
      <c r="P97" s="65">
        <f>1</f>
        <v>1</v>
      </c>
      <c r="Q97" s="66">
        <v>0</v>
      </c>
      <c r="R97" s="67">
        <v>0</v>
      </c>
      <c r="S97" s="67">
        <v>0.45274181287259513</v>
      </c>
      <c r="T97" s="67">
        <v>0</v>
      </c>
      <c r="U97" s="67">
        <v>128.65667970999999</v>
      </c>
    </row>
    <row r="98" spans="1:21" s="57" customFormat="1" x14ac:dyDescent="0.35">
      <c r="A98" s="63">
        <v>0</v>
      </c>
      <c r="B98" s="63">
        <v>0</v>
      </c>
      <c r="C98" s="63">
        <v>0</v>
      </c>
      <c r="D98" s="63">
        <v>0.36701989000000002</v>
      </c>
      <c r="E98" s="63">
        <v>0.445000121819496</v>
      </c>
      <c r="F98" s="63">
        <v>0.42781098159509207</v>
      </c>
      <c r="G98" s="64">
        <v>0</v>
      </c>
      <c r="H98" s="63">
        <v>0</v>
      </c>
      <c r="I98" s="63">
        <v>0</v>
      </c>
      <c r="J98" s="63">
        <v>0.25</v>
      </c>
      <c r="K98" s="63">
        <v>0.57599999999999996</v>
      </c>
      <c r="L98" s="63">
        <v>0.57914312383322963</v>
      </c>
      <c r="M98" s="63">
        <v>0.3972325270811693</v>
      </c>
      <c r="N98" s="57">
        <v>0</v>
      </c>
      <c r="O98" s="65">
        <v>0</v>
      </c>
      <c r="P98" s="65">
        <f>1</f>
        <v>1</v>
      </c>
      <c r="Q98" s="66">
        <v>0</v>
      </c>
      <c r="R98" s="67">
        <v>0</v>
      </c>
      <c r="S98" s="67">
        <v>0.58233433207805452</v>
      </c>
      <c r="T98" s="67">
        <v>0</v>
      </c>
      <c r="U98" s="67">
        <v>330</v>
      </c>
    </row>
    <row r="99" spans="1:21" s="57" customFormat="1" x14ac:dyDescent="0.35">
      <c r="A99" s="63">
        <v>0</v>
      </c>
      <c r="B99" s="63">
        <v>0</v>
      </c>
      <c r="C99" s="63">
        <v>0</v>
      </c>
      <c r="D99" s="63">
        <v>0.342508282</v>
      </c>
      <c r="E99" s="63">
        <v>0.41999991878700271</v>
      </c>
      <c r="F99" s="63">
        <v>0.39923941717791411</v>
      </c>
      <c r="G99" s="64">
        <v>0</v>
      </c>
      <c r="H99" s="63">
        <v>0</v>
      </c>
      <c r="I99" s="63">
        <v>0</v>
      </c>
      <c r="J99" s="63">
        <v>0.24299999999999999</v>
      </c>
      <c r="K99" s="63">
        <v>0.59099999999999997</v>
      </c>
      <c r="L99" s="63">
        <v>0.57756191661481027</v>
      </c>
      <c r="M99" s="63">
        <v>0.40193975367265172</v>
      </c>
      <c r="N99" s="57">
        <v>0</v>
      </c>
      <c r="O99" s="65">
        <v>0</v>
      </c>
      <c r="P99" s="65">
        <f>1</f>
        <v>1</v>
      </c>
      <c r="Q99" s="66">
        <v>0</v>
      </c>
      <c r="R99" s="67">
        <v>0</v>
      </c>
      <c r="S99" s="67">
        <v>0.58233433207805452</v>
      </c>
      <c r="T99" s="67">
        <v>0</v>
      </c>
      <c r="U99" s="67">
        <v>330</v>
      </c>
    </row>
    <row r="100" spans="1:21" s="57" customFormat="1" x14ac:dyDescent="0.35">
      <c r="A100" s="63">
        <v>0</v>
      </c>
      <c r="B100" s="63">
        <v>0</v>
      </c>
      <c r="C100" s="63">
        <v>0</v>
      </c>
      <c r="D100" s="63">
        <v>0.33470191500000002</v>
      </c>
      <c r="E100" s="63">
        <v>0.41900018678989387</v>
      </c>
      <c r="F100" s="63">
        <v>0.39014006134969326</v>
      </c>
      <c r="G100" s="64">
        <v>0</v>
      </c>
      <c r="H100" s="63">
        <v>0</v>
      </c>
      <c r="I100" s="63">
        <v>0</v>
      </c>
      <c r="J100" s="63">
        <v>0.24199999999999999</v>
      </c>
      <c r="K100" s="63">
        <v>0.59699999999999998</v>
      </c>
      <c r="L100" s="63">
        <v>0.58091039203484751</v>
      </c>
      <c r="M100" s="63">
        <v>0.40435109066627095</v>
      </c>
      <c r="N100" s="57">
        <v>0</v>
      </c>
      <c r="O100" s="65">
        <v>0</v>
      </c>
      <c r="P100" s="65">
        <f>1</f>
        <v>1</v>
      </c>
      <c r="Q100" s="66">
        <v>0</v>
      </c>
      <c r="R100" s="67">
        <v>0</v>
      </c>
      <c r="S100" s="67">
        <v>0.43258373855327792</v>
      </c>
      <c r="T100" s="67">
        <v>0</v>
      </c>
      <c r="U100" s="67">
        <v>97.336652130000004</v>
      </c>
    </row>
    <row r="101" spans="1:21" s="57" customFormat="1" x14ac:dyDescent="0.35">
      <c r="A101" s="63">
        <v>0</v>
      </c>
      <c r="B101" s="63">
        <v>0</v>
      </c>
      <c r="C101" s="63">
        <v>0</v>
      </c>
      <c r="D101" s="63">
        <v>0.35738882900000002</v>
      </c>
      <c r="E101" s="63">
        <v>0.40700015430469494</v>
      </c>
      <c r="F101" s="63">
        <v>0.41658469325153374</v>
      </c>
      <c r="G101" s="64">
        <v>0</v>
      </c>
      <c r="H101" s="63">
        <v>0</v>
      </c>
      <c r="I101" s="63">
        <v>0</v>
      </c>
      <c r="J101" s="63">
        <v>0.26200000000000001</v>
      </c>
      <c r="K101" s="63">
        <v>0.58299999999999996</v>
      </c>
      <c r="L101" s="63">
        <v>0.58569010578718106</v>
      </c>
      <c r="M101" s="63">
        <v>0.39393188900430332</v>
      </c>
      <c r="N101" s="57">
        <v>0</v>
      </c>
      <c r="O101" s="65">
        <v>0</v>
      </c>
      <c r="P101" s="65">
        <f>1</f>
        <v>1</v>
      </c>
      <c r="Q101" s="66">
        <v>0</v>
      </c>
      <c r="R101" s="67">
        <v>0</v>
      </c>
      <c r="S101" s="67">
        <v>0.36993432874453297</v>
      </c>
      <c r="T101" s="67">
        <v>0</v>
      </c>
      <c r="U101" s="67">
        <v>0</v>
      </c>
    </row>
    <row r="102" spans="1:21" s="57" customFormat="1" x14ac:dyDescent="0.35">
      <c r="A102" s="63">
        <v>0</v>
      </c>
      <c r="B102" s="63">
        <v>0</v>
      </c>
      <c r="C102" s="63">
        <v>0</v>
      </c>
      <c r="D102" s="63">
        <v>0.41485719700000001</v>
      </c>
      <c r="E102" s="63">
        <v>0.4010001380620955</v>
      </c>
      <c r="F102" s="63">
        <v>0.48357180981595094</v>
      </c>
      <c r="G102" s="64">
        <v>0</v>
      </c>
      <c r="H102" s="63">
        <v>0</v>
      </c>
      <c r="I102" s="63">
        <v>0</v>
      </c>
      <c r="J102" s="63">
        <v>0.28300000000000003</v>
      </c>
      <c r="K102" s="63">
        <v>0.56299999999999994</v>
      </c>
      <c r="L102" s="63">
        <v>0.58854075917859361</v>
      </c>
      <c r="M102" s="63">
        <v>0.37934730672206557</v>
      </c>
      <c r="N102" s="57">
        <v>0</v>
      </c>
      <c r="O102" s="65">
        <v>0</v>
      </c>
      <c r="P102" s="65">
        <f>1</f>
        <v>1</v>
      </c>
      <c r="Q102" s="66">
        <v>0</v>
      </c>
      <c r="R102" s="67">
        <v>0</v>
      </c>
      <c r="S102" s="67">
        <v>0.58203833535315441</v>
      </c>
      <c r="T102" s="67">
        <v>0</v>
      </c>
      <c r="U102" s="67">
        <v>330</v>
      </c>
    </row>
    <row r="103" spans="1:21" s="57" customFormat="1" x14ac:dyDescent="0.35">
      <c r="A103" s="63">
        <v>0</v>
      </c>
      <c r="B103" s="63">
        <v>0</v>
      </c>
      <c r="C103" s="63">
        <v>0</v>
      </c>
      <c r="D103" s="63">
        <v>0.47076277500000002</v>
      </c>
      <c r="E103" s="63">
        <v>0.39800012994079575</v>
      </c>
      <c r="F103" s="63">
        <v>0.54873726993865024</v>
      </c>
      <c r="G103" s="64">
        <v>0</v>
      </c>
      <c r="H103" s="63">
        <v>0</v>
      </c>
      <c r="I103" s="63">
        <v>0</v>
      </c>
      <c r="J103" s="63">
        <v>0.3</v>
      </c>
      <c r="K103" s="63">
        <v>0.55700000000000005</v>
      </c>
      <c r="L103" s="63">
        <v>0.58027442439327936</v>
      </c>
      <c r="M103" s="63">
        <v>0.37455349458376613</v>
      </c>
      <c r="N103" s="57">
        <v>0</v>
      </c>
      <c r="O103" s="65">
        <v>0</v>
      </c>
      <c r="P103" s="65">
        <f>1</f>
        <v>1</v>
      </c>
      <c r="Q103" s="66">
        <v>0</v>
      </c>
      <c r="R103" s="67">
        <v>0</v>
      </c>
      <c r="S103" s="67">
        <v>0.58144634189691791</v>
      </c>
      <c r="T103" s="67">
        <v>0</v>
      </c>
      <c r="U103" s="67">
        <v>330</v>
      </c>
    </row>
    <row r="104" spans="1:21" s="57" customFormat="1" x14ac:dyDescent="0.35">
      <c r="A104" s="63">
        <v>0</v>
      </c>
      <c r="B104" s="63">
        <v>0</v>
      </c>
      <c r="C104" s="63">
        <v>0</v>
      </c>
      <c r="D104" s="63">
        <v>0.49756946400000002</v>
      </c>
      <c r="E104" s="63">
        <v>0.40199987005920429</v>
      </c>
      <c r="F104" s="63">
        <v>0.57998404907975454</v>
      </c>
      <c r="G104" s="64">
        <v>0</v>
      </c>
      <c r="H104" s="63">
        <v>0</v>
      </c>
      <c r="I104" s="63">
        <v>0</v>
      </c>
      <c r="J104" s="63">
        <v>0.29299999999999998</v>
      </c>
      <c r="K104" s="63">
        <v>0.56100000000000005</v>
      </c>
      <c r="L104" s="63">
        <v>0.57440510267579337</v>
      </c>
      <c r="M104" s="63">
        <v>0.37719060691497253</v>
      </c>
      <c r="N104" s="57">
        <v>0</v>
      </c>
      <c r="O104" s="65">
        <v>0</v>
      </c>
      <c r="P104" s="65">
        <f>1</f>
        <v>1</v>
      </c>
      <c r="Q104" s="66">
        <v>0</v>
      </c>
      <c r="R104" s="67">
        <v>0</v>
      </c>
      <c r="S104" s="67">
        <v>0.36875034183849625</v>
      </c>
      <c r="T104" s="67">
        <v>0</v>
      </c>
      <c r="U104" s="67">
        <v>0</v>
      </c>
    </row>
    <row r="105" spans="1:21" s="57" customFormat="1" x14ac:dyDescent="0.35">
      <c r="A105" s="63">
        <v>0</v>
      </c>
      <c r="B105" s="63">
        <v>0</v>
      </c>
      <c r="C105" s="63">
        <v>0</v>
      </c>
      <c r="D105" s="63">
        <v>0.51359013099999995</v>
      </c>
      <c r="E105" s="63">
        <v>0.40900002436389921</v>
      </c>
      <c r="F105" s="63">
        <v>0.59865831288343552</v>
      </c>
      <c r="G105" s="64">
        <v>0</v>
      </c>
      <c r="H105" s="63">
        <v>0</v>
      </c>
      <c r="I105" s="63">
        <v>0</v>
      </c>
      <c r="J105" s="63">
        <v>0.27099999999999996</v>
      </c>
      <c r="K105" s="63">
        <v>0.53800000000000003</v>
      </c>
      <c r="L105" s="63">
        <v>0.55938207840696952</v>
      </c>
      <c r="M105" s="63">
        <v>0.36183306128505716</v>
      </c>
      <c r="N105" s="57">
        <v>0</v>
      </c>
      <c r="O105" s="65">
        <v>0</v>
      </c>
      <c r="P105" s="65">
        <f>1</f>
        <v>1</v>
      </c>
      <c r="Q105" s="66">
        <v>0</v>
      </c>
      <c r="R105" s="67">
        <v>0</v>
      </c>
      <c r="S105" s="67">
        <v>0.3684543451135962</v>
      </c>
      <c r="T105" s="67">
        <v>0</v>
      </c>
      <c r="U105" s="67">
        <v>0</v>
      </c>
    </row>
    <row r="106" spans="1:21" s="57" customFormat="1" x14ac:dyDescent="0.35">
      <c r="A106" s="63">
        <v>0</v>
      </c>
      <c r="B106" s="63">
        <v>0</v>
      </c>
      <c r="C106" s="63">
        <v>0</v>
      </c>
      <c r="D106" s="63">
        <v>0.54317550699999995</v>
      </c>
      <c r="E106" s="63">
        <v>0.42100005684909814</v>
      </c>
      <c r="F106" s="63">
        <v>0.63605898773006142</v>
      </c>
      <c r="G106" s="64">
        <v>0</v>
      </c>
      <c r="H106" s="63">
        <v>0</v>
      </c>
      <c r="I106" s="63">
        <v>0</v>
      </c>
      <c r="J106" s="63">
        <v>0.27699999999999997</v>
      </c>
      <c r="K106" s="63">
        <v>0.501</v>
      </c>
      <c r="L106" s="63">
        <v>0.54305164903546976</v>
      </c>
      <c r="M106" s="63">
        <v>0.33695296037987832</v>
      </c>
      <c r="N106" s="57">
        <v>0</v>
      </c>
      <c r="O106" s="65">
        <v>0</v>
      </c>
      <c r="P106" s="65">
        <f>1</f>
        <v>1</v>
      </c>
      <c r="Q106" s="66">
        <v>0</v>
      </c>
      <c r="R106" s="67">
        <v>0</v>
      </c>
      <c r="S106" s="67">
        <v>0.3684543451135962</v>
      </c>
      <c r="T106" s="67">
        <v>0</v>
      </c>
      <c r="U106" s="67">
        <v>0</v>
      </c>
    </row>
    <row r="107" spans="1:21" s="57" customFormat="1" x14ac:dyDescent="0.35">
      <c r="A107" s="63">
        <v>6.3E-2</v>
      </c>
      <c r="B107" s="63">
        <v>1.9E-2</v>
      </c>
      <c r="C107" s="63">
        <v>7.1999999999999897E-2</v>
      </c>
      <c r="D107" s="63">
        <v>0.57570690099999999</v>
      </c>
      <c r="E107" s="63">
        <v>0.42700007309169763</v>
      </c>
      <c r="F107" s="63">
        <v>0.74957457055214727</v>
      </c>
      <c r="G107" s="64">
        <v>0</v>
      </c>
      <c r="H107" s="63">
        <v>4.7999999999999994E-2</v>
      </c>
      <c r="I107" s="63">
        <v>3.1000000000000003E-2</v>
      </c>
      <c r="J107" s="63">
        <v>0.311</v>
      </c>
      <c r="K107" s="63">
        <v>0.47000000000000003</v>
      </c>
      <c r="L107" s="63">
        <v>0.54292283758556314</v>
      </c>
      <c r="M107" s="63">
        <v>0.35224417569372307</v>
      </c>
      <c r="N107" s="57">
        <v>0</v>
      </c>
      <c r="O107" s="65">
        <v>0</v>
      </c>
      <c r="P107" s="65">
        <f>1</f>
        <v>1</v>
      </c>
      <c r="Q107" s="66">
        <v>0</v>
      </c>
      <c r="R107" s="67">
        <v>0</v>
      </c>
      <c r="S107" s="67">
        <v>0.15605434178007468</v>
      </c>
      <c r="T107" s="67">
        <v>0</v>
      </c>
      <c r="U107" s="67">
        <v>0</v>
      </c>
    </row>
    <row r="108" spans="1:21" s="57" customFormat="1" x14ac:dyDescent="0.35">
      <c r="A108" s="63">
        <v>0.187</v>
      </c>
      <c r="B108" s="63">
        <v>0.05</v>
      </c>
      <c r="C108" s="63">
        <v>0.19600000000000001</v>
      </c>
      <c r="D108" s="63">
        <v>0.61551767300000004</v>
      </c>
      <c r="E108" s="63">
        <v>0.41200003248519895</v>
      </c>
      <c r="F108" s="63">
        <v>0.94068760736196322</v>
      </c>
      <c r="G108" s="64">
        <v>0</v>
      </c>
      <c r="H108" s="63">
        <v>0.19499999999999998</v>
      </c>
      <c r="I108" s="63">
        <v>0.125</v>
      </c>
      <c r="J108" s="63">
        <v>0.36499999999999999</v>
      </c>
      <c r="K108" s="63">
        <v>0.435</v>
      </c>
      <c r="L108" s="63">
        <v>0.54569943995021775</v>
      </c>
      <c r="M108" s="63">
        <v>0.44075293070188454</v>
      </c>
      <c r="N108" s="57">
        <v>0</v>
      </c>
      <c r="O108" s="65">
        <v>0</v>
      </c>
      <c r="P108" s="65">
        <f>1</f>
        <v>1</v>
      </c>
      <c r="Q108" s="66">
        <v>0</v>
      </c>
      <c r="R108" s="67">
        <v>0</v>
      </c>
      <c r="S108" s="67">
        <v>0.15605434178007468</v>
      </c>
      <c r="T108" s="67">
        <v>0</v>
      </c>
      <c r="U108" s="67">
        <v>0</v>
      </c>
    </row>
    <row r="109" spans="1:21" s="57" customFormat="1" x14ac:dyDescent="0.35">
      <c r="A109" s="63">
        <v>0.27200000000000002</v>
      </c>
      <c r="B109" s="63">
        <v>9.3000000000000013E-2</v>
      </c>
      <c r="C109" s="63">
        <v>0.313</v>
      </c>
      <c r="D109" s="63">
        <v>0.64408793200000003</v>
      </c>
      <c r="E109" s="63">
        <v>0.40400014618339519</v>
      </c>
      <c r="F109" s="63">
        <v>1</v>
      </c>
      <c r="G109" s="64">
        <v>7.8644188582640689E-2</v>
      </c>
      <c r="H109" s="63">
        <v>0.34699999999999998</v>
      </c>
      <c r="I109" s="63">
        <v>0.22799999999999998</v>
      </c>
      <c r="J109" s="63">
        <v>0.499</v>
      </c>
      <c r="K109" s="63">
        <v>0.39999999999999997</v>
      </c>
      <c r="L109" s="63">
        <v>0.55619228375855634</v>
      </c>
      <c r="M109" s="63">
        <v>0.53586919424246915</v>
      </c>
      <c r="N109" s="57">
        <v>0</v>
      </c>
      <c r="O109" s="65">
        <v>0</v>
      </c>
      <c r="P109" s="65">
        <f>1</f>
        <v>1</v>
      </c>
      <c r="Q109" s="66">
        <v>0</v>
      </c>
      <c r="R109" s="67">
        <v>0</v>
      </c>
      <c r="S109" s="67">
        <v>0.15635033850497476</v>
      </c>
      <c r="T109" s="67">
        <v>0</v>
      </c>
      <c r="U109" s="67">
        <v>0</v>
      </c>
    </row>
    <row r="110" spans="1:21" s="57" customFormat="1" x14ac:dyDescent="0.35">
      <c r="A110" s="63">
        <v>0.32200000000000001</v>
      </c>
      <c r="B110" s="63">
        <v>0.14099999999999902</v>
      </c>
      <c r="C110" s="63">
        <v>0.40600000000000003</v>
      </c>
      <c r="D110" s="63">
        <v>0.67036331400000004</v>
      </c>
      <c r="E110" s="63">
        <v>0.39899986193790454</v>
      </c>
      <c r="F110" s="63">
        <v>1</v>
      </c>
      <c r="G110" s="64">
        <v>0.17664554017296988</v>
      </c>
      <c r="H110" s="63">
        <v>0.45299999999999996</v>
      </c>
      <c r="I110" s="63">
        <v>0.29500000000000004</v>
      </c>
      <c r="J110" s="63">
        <v>0.57299999999999995</v>
      </c>
      <c r="K110" s="63">
        <v>0.375</v>
      </c>
      <c r="L110" s="63">
        <v>0.55786309894212815</v>
      </c>
      <c r="M110" s="63">
        <v>0.60035301973586586</v>
      </c>
      <c r="N110" s="57">
        <v>0</v>
      </c>
      <c r="O110" s="65">
        <v>0</v>
      </c>
      <c r="P110" s="65">
        <f>1</f>
        <v>1</v>
      </c>
      <c r="Q110" s="66">
        <v>0</v>
      </c>
      <c r="R110" s="67">
        <v>0</v>
      </c>
      <c r="S110" s="67">
        <v>0.15664633522987487</v>
      </c>
      <c r="T110" s="67">
        <v>0</v>
      </c>
      <c r="U110" s="67">
        <v>0</v>
      </c>
    </row>
    <row r="111" spans="1:21" s="57" customFormat="1" x14ac:dyDescent="0.35">
      <c r="A111" s="63">
        <v>0.34499999999999997</v>
      </c>
      <c r="B111" s="63">
        <v>0.17800000000000002</v>
      </c>
      <c r="C111" s="63">
        <v>0.44900000000000001</v>
      </c>
      <c r="D111" s="63">
        <v>0.68859970000000004</v>
      </c>
      <c r="E111" s="63">
        <v>0.38699982945270561</v>
      </c>
      <c r="F111" s="63">
        <v>1</v>
      </c>
      <c r="G111" s="64">
        <v>0.22797255134780081</v>
      </c>
      <c r="H111" s="63">
        <v>0.498</v>
      </c>
      <c r="I111" s="63">
        <v>0.318</v>
      </c>
      <c r="J111" s="63">
        <v>0.61399999999999999</v>
      </c>
      <c r="K111" s="63">
        <v>0.37</v>
      </c>
      <c r="L111" s="63">
        <v>0.54186247666459242</v>
      </c>
      <c r="M111" s="63">
        <v>0.62770448137705881</v>
      </c>
      <c r="N111" s="57">
        <v>0</v>
      </c>
      <c r="O111" s="65">
        <v>0</v>
      </c>
      <c r="P111" s="65">
        <f>1</f>
        <v>1</v>
      </c>
      <c r="Q111" s="66">
        <v>0</v>
      </c>
      <c r="R111" s="67">
        <v>0</v>
      </c>
      <c r="S111" s="67">
        <v>0.15664633522987487</v>
      </c>
      <c r="T111" s="67">
        <v>0</v>
      </c>
      <c r="U111" s="67">
        <v>0</v>
      </c>
    </row>
    <row r="112" spans="1:21" s="57" customFormat="1" x14ac:dyDescent="0.35">
      <c r="A112" s="63">
        <v>0.35</v>
      </c>
      <c r="B112" s="63">
        <v>0.184</v>
      </c>
      <c r="C112" s="63">
        <v>0.43200000000000005</v>
      </c>
      <c r="D112" s="63">
        <v>0.69667436500000002</v>
      </c>
      <c r="E112" s="63">
        <v>0.39099997563610084</v>
      </c>
      <c r="F112" s="63">
        <v>1</v>
      </c>
      <c r="G112" s="64">
        <v>0.22962169681428896</v>
      </c>
      <c r="H112" s="63">
        <v>0.47599999999999992</v>
      </c>
      <c r="I112" s="63">
        <v>0.29199999999999998</v>
      </c>
      <c r="J112" s="63">
        <v>0.627</v>
      </c>
      <c r="K112" s="63">
        <v>0.36699999999999999</v>
      </c>
      <c r="L112" s="63">
        <v>0.54720597386434355</v>
      </c>
      <c r="M112" s="63">
        <v>0.60356796260572787</v>
      </c>
      <c r="N112" s="57">
        <v>0</v>
      </c>
      <c r="O112" s="65">
        <v>0</v>
      </c>
      <c r="P112" s="65">
        <f>1</f>
        <v>1</v>
      </c>
      <c r="Q112" s="66">
        <v>0</v>
      </c>
      <c r="R112" s="67">
        <v>0</v>
      </c>
      <c r="S112" s="67">
        <v>0.15635033850497476</v>
      </c>
      <c r="T112" s="67">
        <v>0</v>
      </c>
      <c r="U112" s="67">
        <v>0</v>
      </c>
    </row>
    <row r="113" spans="1:21" s="57" customFormat="1" x14ac:dyDescent="0.35">
      <c r="A113" s="63">
        <v>0.32100000000000001</v>
      </c>
      <c r="B113" s="63">
        <v>0.14899999999999902</v>
      </c>
      <c r="C113" s="63">
        <v>0.33500000000000002</v>
      </c>
      <c r="D113" s="63">
        <v>0.68744846599999998</v>
      </c>
      <c r="E113" s="63">
        <v>0.38600009745559682</v>
      </c>
      <c r="F113" s="63">
        <v>1</v>
      </c>
      <c r="G113" s="64">
        <v>0.15760114295699332</v>
      </c>
      <c r="H113" s="63">
        <v>0.38700000000000001</v>
      </c>
      <c r="I113" s="63">
        <v>0.22500000000000001</v>
      </c>
      <c r="J113" s="63">
        <v>0.60099999999999998</v>
      </c>
      <c r="K113" s="63">
        <v>0.36799999999999999</v>
      </c>
      <c r="L113" s="63">
        <v>0.55132482887367773</v>
      </c>
      <c r="M113" s="63">
        <v>0.53099295147648018</v>
      </c>
      <c r="N113" s="57">
        <v>0</v>
      </c>
      <c r="O113" s="65">
        <v>0</v>
      </c>
      <c r="P113" s="65">
        <f>1</f>
        <v>1</v>
      </c>
      <c r="Q113" s="66">
        <v>0</v>
      </c>
      <c r="R113" s="67">
        <v>0</v>
      </c>
      <c r="S113" s="67">
        <v>0.15605434178007468</v>
      </c>
      <c r="T113" s="67">
        <v>0</v>
      </c>
      <c r="U113" s="67">
        <v>0</v>
      </c>
    </row>
    <row r="114" spans="1:21" s="57" customFormat="1" x14ac:dyDescent="0.35">
      <c r="A114" s="63">
        <v>0.22800000000000001</v>
      </c>
      <c r="B114" s="63">
        <v>8.4000000000000005E-2</v>
      </c>
      <c r="C114" s="63">
        <v>0.2</v>
      </c>
      <c r="D114" s="63">
        <v>0.67320856200000001</v>
      </c>
      <c r="E114" s="63">
        <v>0.39899986193790454</v>
      </c>
      <c r="F114" s="63">
        <v>1</v>
      </c>
      <c r="G114" s="64">
        <v>2.9488248322091133E-2</v>
      </c>
      <c r="H114" s="63">
        <v>0.25700000000000001</v>
      </c>
      <c r="I114" s="63">
        <v>0.13400000000000001</v>
      </c>
      <c r="J114" s="63">
        <v>0.55999999999999994</v>
      </c>
      <c r="K114" s="63">
        <v>0.36799999999999999</v>
      </c>
      <c r="L114" s="63">
        <v>0.54871935283136286</v>
      </c>
      <c r="M114" s="63">
        <v>0.42847774150467427</v>
      </c>
      <c r="N114" s="57">
        <v>0</v>
      </c>
      <c r="O114" s="65">
        <v>0</v>
      </c>
      <c r="P114" s="65">
        <f>1</f>
        <v>1</v>
      </c>
      <c r="Q114" s="66">
        <v>0</v>
      </c>
      <c r="R114" s="67">
        <v>0</v>
      </c>
      <c r="S114" s="67">
        <v>0.15605434178007468</v>
      </c>
      <c r="T114" s="67">
        <v>0</v>
      </c>
      <c r="U114" s="67">
        <v>0</v>
      </c>
    </row>
    <row r="115" spans="1:21" s="57" customFormat="1" x14ac:dyDescent="0.35">
      <c r="A115" s="63">
        <v>5.8000000000000003E-2</v>
      </c>
      <c r="B115" s="63">
        <v>1.09999999999999E-2</v>
      </c>
      <c r="C115" s="63">
        <v>5.5999999999999994E-2</v>
      </c>
      <c r="D115" s="63">
        <v>0.61049664199999998</v>
      </c>
      <c r="E115" s="63">
        <v>0.44999999999999996</v>
      </c>
      <c r="F115" s="63">
        <v>0.77844328220858894</v>
      </c>
      <c r="G115" s="64">
        <v>0</v>
      </c>
      <c r="H115" s="63">
        <v>0.11</v>
      </c>
      <c r="I115" s="63">
        <v>4.7000000000000007E-2</v>
      </c>
      <c r="J115" s="63">
        <v>0.33200000000000002</v>
      </c>
      <c r="K115" s="63">
        <v>0.36899999999999999</v>
      </c>
      <c r="L115" s="63">
        <v>0.55333229620410707</v>
      </c>
      <c r="M115" s="63">
        <v>0.32054518474551119</v>
      </c>
      <c r="N115" s="57">
        <v>0</v>
      </c>
      <c r="O115" s="65">
        <v>0</v>
      </c>
      <c r="P115" s="65">
        <f>1</f>
        <v>1</v>
      </c>
      <c r="Q115" s="66">
        <v>0</v>
      </c>
      <c r="R115" s="67">
        <v>0</v>
      </c>
      <c r="S115" s="67">
        <v>0.3684543451135962</v>
      </c>
      <c r="T115" s="67">
        <v>0</v>
      </c>
      <c r="U115" s="67">
        <v>0</v>
      </c>
    </row>
    <row r="116" spans="1:21" s="57" customFormat="1" x14ac:dyDescent="0.35">
      <c r="A116" s="63">
        <v>0</v>
      </c>
      <c r="B116" s="63">
        <v>0</v>
      </c>
      <c r="C116" s="63">
        <v>0</v>
      </c>
      <c r="D116" s="63">
        <v>0.53394372199999995</v>
      </c>
      <c r="E116" s="63">
        <v>0.45900002436389925</v>
      </c>
      <c r="F116" s="63">
        <v>0.62246214723926374</v>
      </c>
      <c r="G116" s="64">
        <v>0</v>
      </c>
      <c r="H116" s="63">
        <v>0</v>
      </c>
      <c r="I116" s="63">
        <v>0</v>
      </c>
      <c r="J116" s="63">
        <v>0.16999999999999998</v>
      </c>
      <c r="K116" s="63">
        <v>0.36099999999999999</v>
      </c>
      <c r="L116" s="63">
        <v>0.56475980087118849</v>
      </c>
      <c r="M116" s="63">
        <v>0.24629833803234902</v>
      </c>
      <c r="N116" s="57">
        <v>0</v>
      </c>
      <c r="O116" s="65">
        <v>0</v>
      </c>
      <c r="P116" s="65">
        <f>1</f>
        <v>1</v>
      </c>
      <c r="Q116" s="66">
        <v>0</v>
      </c>
      <c r="R116" s="67">
        <v>0</v>
      </c>
      <c r="S116" s="67">
        <v>0.36875034183849625</v>
      </c>
      <c r="T116" s="67">
        <v>0</v>
      </c>
      <c r="U116" s="67">
        <v>0</v>
      </c>
    </row>
    <row r="117" spans="1:21" s="57" customFormat="1" x14ac:dyDescent="0.35">
      <c r="A117" s="63">
        <v>0</v>
      </c>
      <c r="B117" s="63">
        <v>0</v>
      </c>
      <c r="C117" s="63">
        <v>0</v>
      </c>
      <c r="D117" s="63">
        <v>0.48341007800000002</v>
      </c>
      <c r="E117" s="63">
        <v>0.46000016242599473</v>
      </c>
      <c r="F117" s="63">
        <v>0.5634793865030675</v>
      </c>
      <c r="G117" s="64">
        <v>0</v>
      </c>
      <c r="H117" s="63">
        <v>0</v>
      </c>
      <c r="I117" s="63">
        <v>0</v>
      </c>
      <c r="J117" s="63">
        <v>0.13899999999999998</v>
      </c>
      <c r="K117" s="63">
        <v>0.33900000000000002</v>
      </c>
      <c r="L117" s="63">
        <v>0.57456378344741754</v>
      </c>
      <c r="M117" s="63">
        <v>0.22885969728446356</v>
      </c>
      <c r="N117" s="57">
        <v>0</v>
      </c>
      <c r="O117" s="65">
        <v>0</v>
      </c>
      <c r="P117" s="65">
        <f>1</f>
        <v>1</v>
      </c>
      <c r="Q117" s="66">
        <v>0</v>
      </c>
      <c r="R117" s="67">
        <v>0</v>
      </c>
      <c r="S117" s="67">
        <v>0.58144634189691791</v>
      </c>
      <c r="T117" s="67">
        <v>0</v>
      </c>
      <c r="U117" s="67">
        <v>330</v>
      </c>
    </row>
    <row r="118" spans="1:21" s="57" customFormat="1" x14ac:dyDescent="0.35">
      <c r="A118" s="63">
        <v>0</v>
      </c>
      <c r="B118" s="63">
        <v>0</v>
      </c>
      <c r="C118" s="63">
        <v>0</v>
      </c>
      <c r="D118" s="63">
        <v>0.46995061100000002</v>
      </c>
      <c r="E118" s="63">
        <v>0.46000016242599473</v>
      </c>
      <c r="F118" s="63">
        <v>0.54779058282208593</v>
      </c>
      <c r="G118" s="64">
        <v>0</v>
      </c>
      <c r="H118" s="63">
        <v>0</v>
      </c>
      <c r="I118" s="63">
        <v>0</v>
      </c>
      <c r="J118" s="63">
        <v>0.151</v>
      </c>
      <c r="K118" s="63">
        <v>0.315</v>
      </c>
      <c r="L118" s="63">
        <v>0.56778158058494088</v>
      </c>
      <c r="M118" s="63">
        <v>0.21291007567888409</v>
      </c>
      <c r="N118" s="57">
        <v>0</v>
      </c>
      <c r="O118" s="65">
        <v>0</v>
      </c>
      <c r="P118" s="65">
        <f>1</f>
        <v>1</v>
      </c>
      <c r="Q118" s="66">
        <v>0</v>
      </c>
      <c r="R118" s="67">
        <v>0</v>
      </c>
      <c r="S118" s="67">
        <v>0.58174233862181801</v>
      </c>
      <c r="T118" s="67">
        <v>0</v>
      </c>
      <c r="U118" s="67">
        <v>330</v>
      </c>
    </row>
    <row r="119" spans="1:21" s="57" customFormat="1" x14ac:dyDescent="0.35">
      <c r="A119" s="63">
        <v>0</v>
      </c>
      <c r="B119" s="63">
        <v>0</v>
      </c>
      <c r="C119" s="63">
        <v>0</v>
      </c>
      <c r="D119" s="63">
        <v>0.47026385700000001</v>
      </c>
      <c r="E119" s="63">
        <v>0.45799988630180372</v>
      </c>
      <c r="F119" s="63">
        <v>0.54815570552147241</v>
      </c>
      <c r="G119" s="64">
        <v>0</v>
      </c>
      <c r="H119" s="63">
        <v>0</v>
      </c>
      <c r="I119" s="63">
        <v>0</v>
      </c>
      <c r="J119" s="63">
        <v>0.191</v>
      </c>
      <c r="K119" s="63">
        <v>0.28500000000000003</v>
      </c>
      <c r="L119" s="63">
        <v>0.56755880522713131</v>
      </c>
      <c r="M119" s="63">
        <v>0.19269105208487908</v>
      </c>
      <c r="N119" s="57">
        <v>0</v>
      </c>
      <c r="O119" s="65">
        <v>0</v>
      </c>
      <c r="P119" s="65">
        <f>1</f>
        <v>1</v>
      </c>
      <c r="Q119" s="66">
        <v>0</v>
      </c>
      <c r="R119" s="67">
        <v>0</v>
      </c>
      <c r="S119" s="67">
        <v>0.36963833201963286</v>
      </c>
      <c r="T119" s="67">
        <v>0</v>
      </c>
      <c r="U119" s="67">
        <v>0</v>
      </c>
    </row>
    <row r="120" spans="1:21" s="57" customFormat="1" x14ac:dyDescent="0.35">
      <c r="A120" s="63">
        <v>0</v>
      </c>
      <c r="B120" s="63">
        <v>0</v>
      </c>
      <c r="C120" s="63">
        <v>0</v>
      </c>
      <c r="D120" s="63">
        <v>0.469347454</v>
      </c>
      <c r="E120" s="63">
        <v>0.45199987005920433</v>
      </c>
      <c r="F120" s="63">
        <v>0.54708751533742328</v>
      </c>
      <c r="G120" s="64">
        <v>0</v>
      </c>
      <c r="H120" s="63">
        <v>0</v>
      </c>
      <c r="I120" s="63">
        <v>0</v>
      </c>
      <c r="J120" s="63">
        <v>0.23899999999999999</v>
      </c>
      <c r="K120" s="63">
        <v>0.246</v>
      </c>
      <c r="L120" s="63">
        <v>0.55865525824517737</v>
      </c>
      <c r="M120" s="63">
        <v>0.16659630508977594</v>
      </c>
      <c r="N120" s="57">
        <v>0</v>
      </c>
      <c r="O120" s="65">
        <v>0</v>
      </c>
      <c r="P120" s="65">
        <f>1</f>
        <v>1</v>
      </c>
      <c r="Q120" s="66">
        <v>0</v>
      </c>
      <c r="R120" s="67">
        <v>0</v>
      </c>
      <c r="S120" s="67">
        <v>0.58233433207805452</v>
      </c>
      <c r="T120" s="67">
        <v>0</v>
      </c>
      <c r="U120" s="67">
        <v>330</v>
      </c>
    </row>
    <row r="121" spans="1:21" s="57" customFormat="1" x14ac:dyDescent="0.35">
      <c r="A121" s="63">
        <v>0</v>
      </c>
      <c r="B121" s="63">
        <v>0</v>
      </c>
      <c r="C121" s="63">
        <v>0</v>
      </c>
      <c r="D121" s="63">
        <v>0.47874165400000002</v>
      </c>
      <c r="E121" s="63">
        <v>0.43499995939350139</v>
      </c>
      <c r="F121" s="63">
        <v>0.55803773006134971</v>
      </c>
      <c r="G121" s="64">
        <v>0</v>
      </c>
      <c r="H121" s="63">
        <v>0</v>
      </c>
      <c r="I121" s="63">
        <v>0</v>
      </c>
      <c r="J121" s="63">
        <v>0.27200000000000002</v>
      </c>
      <c r="K121" s="63">
        <v>0.21199999999999999</v>
      </c>
      <c r="L121" s="63">
        <v>0.55756129433727442</v>
      </c>
      <c r="M121" s="63">
        <v>0.14411262798634811</v>
      </c>
      <c r="N121" s="57">
        <v>0</v>
      </c>
      <c r="O121" s="65">
        <v>0</v>
      </c>
      <c r="P121" s="65">
        <f>1</f>
        <v>1</v>
      </c>
      <c r="Q121" s="66">
        <v>0</v>
      </c>
      <c r="R121" s="67">
        <v>0</v>
      </c>
      <c r="S121" s="67">
        <v>0.36993432874453297</v>
      </c>
      <c r="T121" s="67">
        <v>0</v>
      </c>
      <c r="U121" s="67">
        <v>0</v>
      </c>
    </row>
    <row r="122" spans="1:21" s="57" customFormat="1" x14ac:dyDescent="0.35">
      <c r="A122" s="63">
        <v>0</v>
      </c>
      <c r="B122" s="63">
        <v>0</v>
      </c>
      <c r="C122" s="63">
        <v>0</v>
      </c>
      <c r="D122" s="63">
        <v>0.49302268599999999</v>
      </c>
      <c r="E122" s="63">
        <v>0.3600001624259947</v>
      </c>
      <c r="F122" s="63">
        <v>0.57468417177914111</v>
      </c>
      <c r="G122" s="64">
        <v>0</v>
      </c>
      <c r="H122" s="63">
        <v>0</v>
      </c>
      <c r="I122" s="63">
        <v>0</v>
      </c>
      <c r="J122" s="63">
        <v>0.28099999999999997</v>
      </c>
      <c r="K122" s="63">
        <v>0.17899999999999999</v>
      </c>
      <c r="L122" s="63">
        <v>0.5449396390790292</v>
      </c>
      <c r="M122" s="63">
        <v>0.12256722065588366</v>
      </c>
      <c r="N122" s="57">
        <v>0</v>
      </c>
      <c r="O122" s="65">
        <v>0</v>
      </c>
      <c r="P122" s="65">
        <f>1</f>
        <v>1</v>
      </c>
      <c r="Q122" s="66">
        <v>0</v>
      </c>
      <c r="R122" s="67">
        <v>0</v>
      </c>
      <c r="S122" s="67">
        <v>0.15758813974523786</v>
      </c>
      <c r="T122" s="67">
        <v>0</v>
      </c>
      <c r="U122" s="67">
        <v>0</v>
      </c>
    </row>
    <row r="123" spans="1:21" s="57" customFormat="1" x14ac:dyDescent="0.35">
      <c r="A123" s="63">
        <v>0</v>
      </c>
      <c r="B123" s="63">
        <v>0</v>
      </c>
      <c r="C123" s="63">
        <v>0</v>
      </c>
      <c r="D123" s="63">
        <v>0.493862256</v>
      </c>
      <c r="E123" s="63">
        <v>0.3540001461833952</v>
      </c>
      <c r="F123" s="63">
        <v>0.57566282208588959</v>
      </c>
      <c r="G123" s="64">
        <v>0</v>
      </c>
      <c r="H123" s="63">
        <v>0</v>
      </c>
      <c r="I123" s="63">
        <v>0</v>
      </c>
      <c r="J123" s="63">
        <v>0.25599999999999995</v>
      </c>
      <c r="K123" s="63">
        <v>0.14799999999999999</v>
      </c>
      <c r="L123" s="63">
        <v>0.54010516490354699</v>
      </c>
      <c r="M123" s="63">
        <v>0.10278824751446804</v>
      </c>
      <c r="N123" s="57">
        <v>0</v>
      </c>
      <c r="O123" s="65">
        <v>0</v>
      </c>
      <c r="P123" s="65">
        <f>1</f>
        <v>1</v>
      </c>
      <c r="Q123" s="66">
        <v>0</v>
      </c>
      <c r="R123" s="67">
        <v>0</v>
      </c>
      <c r="S123" s="67">
        <v>0.18151701415551796</v>
      </c>
      <c r="T123" s="67">
        <v>0</v>
      </c>
      <c r="U123" s="67">
        <v>0</v>
      </c>
    </row>
    <row r="124" spans="1:21" s="57" customFormat="1" x14ac:dyDescent="0.35">
      <c r="A124" s="63">
        <v>0</v>
      </c>
      <c r="B124" s="63">
        <v>0</v>
      </c>
      <c r="C124" s="63">
        <v>0</v>
      </c>
      <c r="D124" s="63">
        <v>0.48728855799999998</v>
      </c>
      <c r="E124" s="63">
        <v>0.35100013806209546</v>
      </c>
      <c r="F124" s="63">
        <v>0.56800027607361969</v>
      </c>
      <c r="G124" s="64">
        <v>0</v>
      </c>
      <c r="H124" s="63">
        <v>0</v>
      </c>
      <c r="I124" s="63">
        <v>0</v>
      </c>
      <c r="J124" s="63">
        <v>0.221</v>
      </c>
      <c r="K124" s="63">
        <v>0.127</v>
      </c>
      <c r="L124" s="63">
        <v>0.53860485376477907</v>
      </c>
      <c r="M124" s="63">
        <v>8.9796408962754121E-2</v>
      </c>
      <c r="N124" s="57">
        <v>0</v>
      </c>
      <c r="O124" s="65">
        <v>0</v>
      </c>
      <c r="P124" s="65">
        <f>1</f>
        <v>1</v>
      </c>
      <c r="Q124" s="66">
        <v>0</v>
      </c>
      <c r="R124" s="67">
        <v>0</v>
      </c>
      <c r="S124" s="67">
        <v>0.36998814307875938</v>
      </c>
      <c r="T124" s="67">
        <v>0</v>
      </c>
      <c r="U124" s="67">
        <v>0</v>
      </c>
    </row>
    <row r="125" spans="1:21" s="57" customFormat="1" x14ac:dyDescent="0.35">
      <c r="A125" s="63">
        <v>0</v>
      </c>
      <c r="B125" s="63">
        <v>0</v>
      </c>
      <c r="C125" s="63">
        <v>0</v>
      </c>
      <c r="D125" s="63">
        <v>0.486031353</v>
      </c>
      <c r="E125" s="63">
        <v>0.35000000000000003</v>
      </c>
      <c r="F125" s="63">
        <v>0.56653484662576692</v>
      </c>
      <c r="G125" s="64">
        <v>0</v>
      </c>
      <c r="H125" s="63">
        <v>0</v>
      </c>
      <c r="I125" s="63">
        <v>0</v>
      </c>
      <c r="J125" s="63">
        <v>0.19899999999999998</v>
      </c>
      <c r="K125" s="63">
        <v>0.113</v>
      </c>
      <c r="L125" s="63">
        <v>0.54358431860609835</v>
      </c>
      <c r="M125" s="63">
        <v>8.183714200920017E-2</v>
      </c>
      <c r="N125" s="57">
        <v>0</v>
      </c>
      <c r="O125" s="65">
        <v>0</v>
      </c>
      <c r="P125" s="65">
        <f>1</f>
        <v>1</v>
      </c>
      <c r="Q125" s="66">
        <v>0</v>
      </c>
      <c r="R125" s="67">
        <v>0</v>
      </c>
      <c r="S125" s="67">
        <v>0.15758813974523786</v>
      </c>
      <c r="T125" s="67">
        <v>0</v>
      </c>
      <c r="U125" s="67">
        <v>0</v>
      </c>
    </row>
    <row r="126" spans="1:21" s="57" customFormat="1" x14ac:dyDescent="0.35">
      <c r="A126" s="63">
        <v>0</v>
      </c>
      <c r="B126" s="63">
        <v>0</v>
      </c>
      <c r="C126" s="63">
        <v>0</v>
      </c>
      <c r="D126" s="63">
        <v>0.48435212300000002</v>
      </c>
      <c r="E126" s="63">
        <v>0.34899986193790455</v>
      </c>
      <c r="F126" s="63">
        <v>0.56457748466257662</v>
      </c>
      <c r="G126" s="64">
        <v>0</v>
      </c>
      <c r="H126" s="63">
        <v>0</v>
      </c>
      <c r="I126" s="63">
        <v>0</v>
      </c>
      <c r="J126" s="63">
        <v>0.19899999999999998</v>
      </c>
      <c r="K126" s="63">
        <v>0.107</v>
      </c>
      <c r="L126" s="63">
        <v>0.54068699439950219</v>
      </c>
      <c r="M126" s="63">
        <v>7.9417050007419498E-2</v>
      </c>
      <c r="N126" s="57">
        <v>0</v>
      </c>
      <c r="O126" s="65">
        <v>0</v>
      </c>
      <c r="P126" s="65">
        <f>1</f>
        <v>1</v>
      </c>
      <c r="Q126" s="66">
        <v>0</v>
      </c>
      <c r="R126" s="67">
        <v>0</v>
      </c>
      <c r="S126" s="67">
        <v>0.15699101644917537</v>
      </c>
      <c r="T126" s="67">
        <v>0</v>
      </c>
      <c r="U126" s="67">
        <v>0</v>
      </c>
    </row>
    <row r="127" spans="1:21" s="57" customFormat="1" x14ac:dyDescent="0.35">
      <c r="A127" s="63">
        <v>0</v>
      </c>
      <c r="B127" s="63">
        <v>0</v>
      </c>
      <c r="C127" s="63">
        <v>0</v>
      </c>
      <c r="D127" s="63">
        <v>0.478839827</v>
      </c>
      <c r="E127" s="63">
        <v>0.35000000000000003</v>
      </c>
      <c r="F127" s="63">
        <v>0.55815214723926376</v>
      </c>
      <c r="G127" s="64">
        <v>0</v>
      </c>
      <c r="H127" s="63">
        <v>0</v>
      </c>
      <c r="I127" s="63">
        <v>0</v>
      </c>
      <c r="J127" s="63">
        <v>0.219</v>
      </c>
      <c r="K127" s="63">
        <v>0.111</v>
      </c>
      <c r="L127" s="63">
        <v>0.54120846297448666</v>
      </c>
      <c r="M127" s="63">
        <v>8.3844264727704412E-2</v>
      </c>
      <c r="N127" s="57">
        <v>0</v>
      </c>
      <c r="O127" s="65">
        <v>0</v>
      </c>
      <c r="P127" s="65">
        <f>1</f>
        <v>1</v>
      </c>
      <c r="Q127" s="66">
        <v>0</v>
      </c>
      <c r="R127" s="67">
        <v>0</v>
      </c>
      <c r="S127" s="67">
        <v>0.15639389315954927</v>
      </c>
      <c r="T127" s="67">
        <v>0</v>
      </c>
      <c r="U127" s="67">
        <v>0</v>
      </c>
    </row>
    <row r="128" spans="1:21" s="57" customFormat="1" x14ac:dyDescent="0.35">
      <c r="A128" s="63">
        <v>0</v>
      </c>
      <c r="B128" s="63">
        <v>0</v>
      </c>
      <c r="C128" s="63">
        <v>0</v>
      </c>
      <c r="D128" s="63">
        <v>0.47275232099999998</v>
      </c>
      <c r="E128" s="63">
        <v>0.34800012994079571</v>
      </c>
      <c r="F128" s="63">
        <v>0.55105634969325157</v>
      </c>
      <c r="G128" s="64">
        <v>0</v>
      </c>
      <c r="H128" s="63">
        <v>0</v>
      </c>
      <c r="I128" s="63">
        <v>0</v>
      </c>
      <c r="J128" s="63">
        <v>0.24799999999999997</v>
      </c>
      <c r="K128" s="63">
        <v>0.111</v>
      </c>
      <c r="L128" s="63">
        <v>0.5533683883011824</v>
      </c>
      <c r="M128" s="63">
        <v>8.4606692387594593E-2</v>
      </c>
      <c r="N128" s="57">
        <v>0</v>
      </c>
      <c r="O128" s="65">
        <v>0</v>
      </c>
      <c r="P128" s="65">
        <f>1</f>
        <v>1</v>
      </c>
      <c r="Q128" s="66">
        <v>0</v>
      </c>
      <c r="R128" s="67">
        <v>0</v>
      </c>
      <c r="S128" s="67">
        <v>0.156095331511518</v>
      </c>
      <c r="T128" s="67">
        <v>0</v>
      </c>
      <c r="U128" s="67">
        <v>0</v>
      </c>
    </row>
    <row r="129" spans="1:21" s="57" customFormat="1" x14ac:dyDescent="0.35">
      <c r="A129" s="63">
        <v>0</v>
      </c>
      <c r="B129" s="63">
        <v>0</v>
      </c>
      <c r="C129" s="63">
        <v>0</v>
      </c>
      <c r="D129" s="63">
        <v>0.45748428800000002</v>
      </c>
      <c r="E129" s="63">
        <v>0.34699999187870029</v>
      </c>
      <c r="F129" s="63">
        <v>0.53325941717791414</v>
      </c>
      <c r="G129" s="64">
        <v>0</v>
      </c>
      <c r="H129" s="63">
        <v>0</v>
      </c>
      <c r="I129" s="63">
        <v>0</v>
      </c>
      <c r="J129" s="63">
        <v>0.26999999999999996</v>
      </c>
      <c r="K129" s="63">
        <v>0.11</v>
      </c>
      <c r="L129" s="63">
        <v>0.58012134411947724</v>
      </c>
      <c r="M129" s="63">
        <v>8.2918162932185777E-2</v>
      </c>
      <c r="N129" s="57">
        <v>0</v>
      </c>
      <c r="O129" s="65">
        <v>0</v>
      </c>
      <c r="P129" s="65">
        <f>1</f>
        <v>1</v>
      </c>
      <c r="Q129" s="66">
        <v>0</v>
      </c>
      <c r="R129" s="67">
        <v>0</v>
      </c>
      <c r="S129" s="67">
        <v>0.36879389649307076</v>
      </c>
      <c r="T129" s="67">
        <v>0</v>
      </c>
      <c r="U129" s="67">
        <v>0</v>
      </c>
    </row>
    <row r="130" spans="1:21" s="57" customFormat="1" x14ac:dyDescent="0.35">
      <c r="A130" s="63">
        <v>0</v>
      </c>
      <c r="B130" s="63">
        <v>0</v>
      </c>
      <c r="C130" s="63">
        <v>0</v>
      </c>
      <c r="D130" s="63">
        <v>0.43651181900000002</v>
      </c>
      <c r="E130" s="63">
        <v>0.35100013806209546</v>
      </c>
      <c r="F130" s="63">
        <v>0.51420082822085889</v>
      </c>
      <c r="G130" s="64">
        <v>0</v>
      </c>
      <c r="H130" s="63">
        <v>0</v>
      </c>
      <c r="I130" s="63">
        <v>0</v>
      </c>
      <c r="J130" s="63">
        <v>0.26999999999999996</v>
      </c>
      <c r="K130" s="63">
        <v>0.11</v>
      </c>
      <c r="L130" s="63">
        <v>0.58815370255133792</v>
      </c>
      <c r="M130" s="63">
        <v>8.1065365781273185E-2</v>
      </c>
      <c r="N130" s="57">
        <v>0</v>
      </c>
      <c r="O130" s="65">
        <v>0</v>
      </c>
      <c r="P130" s="65">
        <f>1</f>
        <v>1</v>
      </c>
      <c r="Q130" s="66">
        <v>0</v>
      </c>
      <c r="R130" s="67">
        <v>0</v>
      </c>
      <c r="S130" s="67">
        <v>0.36879389649307076</v>
      </c>
      <c r="T130" s="67">
        <v>0</v>
      </c>
      <c r="U130" s="67">
        <v>0</v>
      </c>
    </row>
    <row r="131" spans="1:21" s="57" customFormat="1" x14ac:dyDescent="0.35">
      <c r="A131" s="63">
        <v>0.12</v>
      </c>
      <c r="B131" s="63">
        <v>8.1000000000000003E-2</v>
      </c>
      <c r="C131" s="63">
        <v>0.127</v>
      </c>
      <c r="D131" s="63">
        <v>0.43123141399999998</v>
      </c>
      <c r="E131" s="63">
        <v>0.35300000812129972</v>
      </c>
      <c r="F131" s="63">
        <v>0.64673769938650305</v>
      </c>
      <c r="G131" s="64">
        <v>0</v>
      </c>
      <c r="H131" s="63">
        <v>5.5E-2</v>
      </c>
      <c r="I131" s="63">
        <v>3.1000000000000003E-2</v>
      </c>
      <c r="J131" s="63">
        <v>0.21299999999999999</v>
      </c>
      <c r="K131" s="63">
        <v>0.11799999999999999</v>
      </c>
      <c r="L131" s="63">
        <v>0.58981580584940885</v>
      </c>
      <c r="M131" s="63">
        <v>0.12222392046297671</v>
      </c>
      <c r="N131" s="57">
        <v>0</v>
      </c>
      <c r="O131" s="65">
        <v>0</v>
      </c>
      <c r="P131" s="65">
        <f>1</f>
        <v>1</v>
      </c>
      <c r="Q131" s="66">
        <v>0</v>
      </c>
      <c r="R131" s="67">
        <v>0</v>
      </c>
      <c r="S131" s="67">
        <v>0.15639389315954927</v>
      </c>
      <c r="T131" s="67">
        <v>0</v>
      </c>
      <c r="U131" s="67">
        <v>0</v>
      </c>
    </row>
    <row r="132" spans="1:21" s="57" customFormat="1" x14ac:dyDescent="0.35">
      <c r="A132" s="63">
        <v>0.30599999999999999</v>
      </c>
      <c r="B132" s="63">
        <v>0.21600000000000003</v>
      </c>
      <c r="C132" s="63">
        <v>0.29699999999999999</v>
      </c>
      <c r="D132" s="63">
        <v>0.43856399200000001</v>
      </c>
      <c r="E132" s="63">
        <v>0.35000000000000003</v>
      </c>
      <c r="F132" s="63">
        <v>0.86266079754601221</v>
      </c>
      <c r="G132" s="64">
        <v>0</v>
      </c>
      <c r="H132" s="63">
        <v>0.20399999999999999</v>
      </c>
      <c r="I132" s="63">
        <v>0.11700000000000001</v>
      </c>
      <c r="J132" s="63">
        <v>0.126</v>
      </c>
      <c r="K132" s="63">
        <v>0.124</v>
      </c>
      <c r="L132" s="63">
        <v>0.58814685749844431</v>
      </c>
      <c r="M132" s="63">
        <v>0.23378468615521589</v>
      </c>
      <c r="N132" s="57">
        <v>0</v>
      </c>
      <c r="O132" s="65">
        <v>0</v>
      </c>
      <c r="P132" s="65">
        <f>1</f>
        <v>1</v>
      </c>
      <c r="Q132" s="66">
        <v>0</v>
      </c>
      <c r="R132" s="67">
        <v>0</v>
      </c>
      <c r="S132" s="67">
        <v>0.15639389315954927</v>
      </c>
      <c r="T132" s="67">
        <v>0</v>
      </c>
      <c r="U132" s="67">
        <v>0</v>
      </c>
    </row>
    <row r="133" spans="1:21" s="57" customFormat="1" x14ac:dyDescent="0.35">
      <c r="A133" s="63">
        <v>0.373</v>
      </c>
      <c r="B133" s="63">
        <v>0.36</v>
      </c>
      <c r="C133" s="63">
        <v>0.43200000000000005</v>
      </c>
      <c r="D133" s="63">
        <v>0.450905371</v>
      </c>
      <c r="E133" s="63">
        <v>0.34899986193790455</v>
      </c>
      <c r="F133" s="63">
        <v>0.99457042944785279</v>
      </c>
      <c r="G133" s="64">
        <v>0</v>
      </c>
      <c r="H133" s="63">
        <v>0.34899999999999998</v>
      </c>
      <c r="I133" s="63">
        <v>0.20500000000000002</v>
      </c>
      <c r="J133" s="63">
        <v>0.105</v>
      </c>
      <c r="K133" s="63">
        <v>0.13200000000000001</v>
      </c>
      <c r="L133" s="63">
        <v>0.58725015556938398</v>
      </c>
      <c r="M133" s="63">
        <v>0.3470699658703072</v>
      </c>
      <c r="N133" s="57">
        <v>0</v>
      </c>
      <c r="O133" s="65">
        <v>0</v>
      </c>
      <c r="P133" s="65">
        <f>1</f>
        <v>1</v>
      </c>
      <c r="Q133" s="66">
        <v>0</v>
      </c>
      <c r="R133" s="67">
        <v>0</v>
      </c>
      <c r="S133" s="67">
        <v>0.156095331511518</v>
      </c>
      <c r="T133" s="67">
        <v>0</v>
      </c>
      <c r="U133" s="67">
        <v>0</v>
      </c>
    </row>
    <row r="134" spans="1:21" s="57" customFormat="1" x14ac:dyDescent="0.35">
      <c r="A134" s="63">
        <v>0.38400000000000001</v>
      </c>
      <c r="B134" s="63">
        <v>0.45799999999999996</v>
      </c>
      <c r="C134" s="63">
        <v>0.496</v>
      </c>
      <c r="D134" s="63">
        <v>0.47123206899999998</v>
      </c>
      <c r="E134" s="63">
        <v>0.34800012994079571</v>
      </c>
      <c r="F134" s="63">
        <v>1</v>
      </c>
      <c r="G134" s="64">
        <v>5.355752995814702E-2</v>
      </c>
      <c r="H134" s="63">
        <v>0.41099999999999998</v>
      </c>
      <c r="I134" s="63">
        <v>0.251</v>
      </c>
      <c r="J134" s="63">
        <v>0.17099999999999999</v>
      </c>
      <c r="K134" s="63">
        <v>0.15000000000000002</v>
      </c>
      <c r="L134" s="63">
        <v>0.59229807093963904</v>
      </c>
      <c r="M134" s="63">
        <v>0.40883046446060245</v>
      </c>
      <c r="N134" s="57">
        <v>0</v>
      </c>
      <c r="O134" s="65">
        <v>0</v>
      </c>
      <c r="P134" s="65">
        <f>1</f>
        <v>1</v>
      </c>
      <c r="Q134" s="66">
        <v>0</v>
      </c>
      <c r="R134" s="67">
        <v>0</v>
      </c>
      <c r="S134" s="67">
        <v>0.15639389315954927</v>
      </c>
      <c r="T134" s="67">
        <v>0</v>
      </c>
      <c r="U134" s="67">
        <v>0</v>
      </c>
    </row>
    <row r="135" spans="1:21" s="57" customFormat="1" x14ac:dyDescent="0.35">
      <c r="A135" s="63">
        <v>0.38100000000000001</v>
      </c>
      <c r="B135" s="63">
        <v>0.48</v>
      </c>
      <c r="C135" s="63">
        <v>0.496</v>
      </c>
      <c r="D135" s="63">
        <v>0.47521060700000001</v>
      </c>
      <c r="E135" s="63">
        <v>0.34899986193790455</v>
      </c>
      <c r="F135" s="63">
        <v>1</v>
      </c>
      <c r="G135" s="64">
        <v>5.554067823729042E-2</v>
      </c>
      <c r="H135" s="63">
        <v>0.40799999999999997</v>
      </c>
      <c r="I135" s="63">
        <v>0.255</v>
      </c>
      <c r="J135" s="63">
        <v>0.27300000000000002</v>
      </c>
      <c r="K135" s="63">
        <v>0.17499999999999999</v>
      </c>
      <c r="L135" s="63">
        <v>0.60151711263223395</v>
      </c>
      <c r="M135" s="63">
        <v>0.42678683780976406</v>
      </c>
      <c r="N135" s="57">
        <v>0</v>
      </c>
      <c r="O135" s="65">
        <v>0</v>
      </c>
      <c r="P135" s="65">
        <f>1</f>
        <v>1</v>
      </c>
      <c r="Q135" s="66">
        <v>0</v>
      </c>
      <c r="R135" s="67">
        <v>0</v>
      </c>
      <c r="S135" s="67">
        <v>0.15639389315954927</v>
      </c>
      <c r="T135" s="67">
        <v>0</v>
      </c>
      <c r="U135" s="67">
        <v>0</v>
      </c>
    </row>
    <row r="136" spans="1:21" s="57" customFormat="1" x14ac:dyDescent="0.35">
      <c r="A136" s="63">
        <v>0.36899999999999999</v>
      </c>
      <c r="B136" s="63">
        <v>0.41699999999999904</v>
      </c>
      <c r="C136" s="63">
        <v>0.43799999999999994</v>
      </c>
      <c r="D136" s="63">
        <v>0.46109752100000001</v>
      </c>
      <c r="E136" s="63">
        <v>0.34899986193790455</v>
      </c>
      <c r="F136" s="63">
        <v>1</v>
      </c>
      <c r="G136" s="64">
        <v>6.5910818196363756E-3</v>
      </c>
      <c r="H136" s="63">
        <v>0.35099999999999998</v>
      </c>
      <c r="I136" s="63">
        <v>0.22200000000000003</v>
      </c>
      <c r="J136" s="63">
        <v>0.35600000000000004</v>
      </c>
      <c r="K136" s="63">
        <v>0.22099999999999997</v>
      </c>
      <c r="L136" s="63">
        <v>0.60996328562538893</v>
      </c>
      <c r="M136" s="63">
        <v>0.41466530642528565</v>
      </c>
      <c r="N136" s="57">
        <v>0</v>
      </c>
      <c r="O136" s="65">
        <v>0</v>
      </c>
      <c r="P136" s="65">
        <f>1</f>
        <v>1</v>
      </c>
      <c r="Q136" s="66">
        <v>0</v>
      </c>
      <c r="R136" s="67">
        <v>0</v>
      </c>
      <c r="S136" s="67">
        <v>0.156095331511518</v>
      </c>
      <c r="T136" s="67">
        <v>0</v>
      </c>
      <c r="U136" s="67">
        <v>0</v>
      </c>
    </row>
    <row r="137" spans="1:21" s="57" customFormat="1" x14ac:dyDescent="0.35">
      <c r="A137" s="63">
        <v>0.33900000000000002</v>
      </c>
      <c r="B137" s="63">
        <v>0.28899999999999998</v>
      </c>
      <c r="C137" s="63">
        <v>0.33500000000000002</v>
      </c>
      <c r="D137" s="63">
        <v>0.43415106799999997</v>
      </c>
      <c r="E137" s="63">
        <v>0.34699999187870029</v>
      </c>
      <c r="F137" s="63">
        <v>0.89839223926380363</v>
      </c>
      <c r="G137" s="64">
        <v>0</v>
      </c>
      <c r="H137" s="63">
        <v>0.27299999999999996</v>
      </c>
      <c r="I137" s="63">
        <v>0.17400000000000002</v>
      </c>
      <c r="J137" s="63">
        <v>0.40699999999999997</v>
      </c>
      <c r="K137" s="63">
        <v>0.29099999999999998</v>
      </c>
      <c r="L137" s="63">
        <v>0.61163347853142502</v>
      </c>
      <c r="M137" s="63">
        <v>0.40237639115595786</v>
      </c>
      <c r="N137" s="57">
        <v>0</v>
      </c>
      <c r="O137" s="65">
        <v>0</v>
      </c>
      <c r="P137" s="65">
        <f>1</f>
        <v>1</v>
      </c>
      <c r="Q137" s="66">
        <v>0</v>
      </c>
      <c r="R137" s="67">
        <v>0</v>
      </c>
      <c r="S137" s="67">
        <v>0.15639389315954927</v>
      </c>
      <c r="T137" s="67">
        <v>0</v>
      </c>
      <c r="U137" s="67">
        <v>0</v>
      </c>
    </row>
    <row r="138" spans="1:21" s="57" customFormat="1" x14ac:dyDescent="0.35">
      <c r="A138" s="63">
        <v>0.23899999999999999</v>
      </c>
      <c r="B138" s="63">
        <v>0.13699999999999998</v>
      </c>
      <c r="C138" s="63">
        <v>0.19800000000000001</v>
      </c>
      <c r="D138" s="63">
        <v>0.412526432</v>
      </c>
      <c r="E138" s="63">
        <v>0.34899986193790455</v>
      </c>
      <c r="F138" s="63">
        <v>0.73518171779141106</v>
      </c>
      <c r="G138" s="64">
        <v>0</v>
      </c>
      <c r="H138" s="63">
        <v>0.16999999999999998</v>
      </c>
      <c r="I138" s="63">
        <v>0.10700000000000001</v>
      </c>
      <c r="J138" s="63">
        <v>0.42799999999999999</v>
      </c>
      <c r="K138" s="63">
        <v>0.35399999999999998</v>
      </c>
      <c r="L138" s="63">
        <v>0.6126042314872433</v>
      </c>
      <c r="M138" s="63">
        <v>0.36447848345451844</v>
      </c>
      <c r="N138" s="57">
        <v>0</v>
      </c>
      <c r="O138" s="65">
        <v>0</v>
      </c>
      <c r="P138" s="65">
        <f>1</f>
        <v>1</v>
      </c>
      <c r="Q138" s="66">
        <v>0</v>
      </c>
      <c r="R138" s="67">
        <v>0</v>
      </c>
      <c r="S138" s="67">
        <v>0.15639389315954927</v>
      </c>
      <c r="T138" s="67">
        <v>0</v>
      </c>
      <c r="U138" s="67">
        <v>0</v>
      </c>
    </row>
    <row r="139" spans="1:21" s="57" customFormat="1" x14ac:dyDescent="0.35">
      <c r="A139" s="63">
        <v>5.6000000000000001E-2</v>
      </c>
      <c r="B139" s="63">
        <v>1.7000000000000001E-2</v>
      </c>
      <c r="C139" s="63">
        <v>5.5E-2</v>
      </c>
      <c r="D139" s="63">
        <v>0.34461741800000001</v>
      </c>
      <c r="E139" s="63">
        <v>0.35900002436389922</v>
      </c>
      <c r="F139" s="63">
        <v>0.46669684049079752</v>
      </c>
      <c r="G139" s="64">
        <v>0</v>
      </c>
      <c r="H139" s="63">
        <v>6.9999999999999993E-2</v>
      </c>
      <c r="I139" s="63">
        <v>3.7999999999999999E-2</v>
      </c>
      <c r="J139" s="63">
        <v>0.28099999999999997</v>
      </c>
      <c r="K139" s="63">
        <v>0.40200000000000002</v>
      </c>
      <c r="L139" s="63">
        <v>0.62155133789670192</v>
      </c>
      <c r="M139" s="63">
        <v>0.31795993470841372</v>
      </c>
      <c r="N139" s="57">
        <v>0</v>
      </c>
      <c r="O139" s="65">
        <v>0</v>
      </c>
      <c r="P139" s="65">
        <f>1</f>
        <v>1</v>
      </c>
      <c r="Q139" s="66">
        <v>0</v>
      </c>
      <c r="R139" s="67">
        <v>0</v>
      </c>
      <c r="S139" s="67">
        <v>0.30183786306462623</v>
      </c>
      <c r="T139" s="67">
        <v>0</v>
      </c>
      <c r="U139" s="67">
        <v>0</v>
      </c>
    </row>
    <row r="140" spans="1:21" s="57" customFormat="1" x14ac:dyDescent="0.35">
      <c r="A140" s="63">
        <v>0</v>
      </c>
      <c r="B140" s="63">
        <v>0</v>
      </c>
      <c r="C140" s="63">
        <v>0</v>
      </c>
      <c r="D140" s="63">
        <v>0.34607711600000002</v>
      </c>
      <c r="E140" s="63">
        <v>0.37200019491119363</v>
      </c>
      <c r="F140" s="63">
        <v>0.40353435582822084</v>
      </c>
      <c r="G140" s="64">
        <v>0</v>
      </c>
      <c r="H140" s="63">
        <v>0</v>
      </c>
      <c r="I140" s="63">
        <v>0</v>
      </c>
      <c r="J140" s="63">
        <v>0.23800000000000002</v>
      </c>
      <c r="K140" s="63">
        <v>0.45800000000000002</v>
      </c>
      <c r="L140" s="63">
        <v>0.62640572495332925</v>
      </c>
      <c r="M140" s="63">
        <v>0.30839531087698469</v>
      </c>
      <c r="N140" s="57">
        <v>0</v>
      </c>
      <c r="O140" s="65">
        <v>0</v>
      </c>
      <c r="P140" s="65">
        <f>1</f>
        <v>1</v>
      </c>
      <c r="Q140" s="66">
        <v>0</v>
      </c>
      <c r="R140" s="67">
        <v>0</v>
      </c>
      <c r="S140" s="67">
        <v>0.156095331511518</v>
      </c>
      <c r="T140" s="67">
        <v>0</v>
      </c>
      <c r="U140" s="67">
        <v>0</v>
      </c>
    </row>
    <row r="141" spans="1:21" s="57" customFormat="1" x14ac:dyDescent="0.35">
      <c r="A141" s="63">
        <v>0</v>
      </c>
      <c r="B141" s="63">
        <v>0</v>
      </c>
      <c r="C141" s="63">
        <v>0</v>
      </c>
      <c r="D141" s="63">
        <v>0.38436776900000003</v>
      </c>
      <c r="E141" s="63">
        <v>0.37100005684909815</v>
      </c>
      <c r="F141" s="63">
        <v>0.44803226993865031</v>
      </c>
      <c r="G141" s="64">
        <v>0</v>
      </c>
      <c r="H141" s="63">
        <v>0</v>
      </c>
      <c r="I141" s="63">
        <v>0</v>
      </c>
      <c r="J141" s="63">
        <v>0.253</v>
      </c>
      <c r="K141" s="63">
        <v>0.50600000000000001</v>
      </c>
      <c r="L141" s="63">
        <v>0.62530118232731802</v>
      </c>
      <c r="M141" s="63">
        <v>0.33690651431963198</v>
      </c>
      <c r="N141" s="57">
        <v>0</v>
      </c>
      <c r="O141" s="65">
        <v>0</v>
      </c>
      <c r="P141" s="65">
        <f>1</f>
        <v>1</v>
      </c>
      <c r="Q141" s="66">
        <v>0</v>
      </c>
      <c r="R141" s="67">
        <v>0</v>
      </c>
      <c r="S141" s="67">
        <v>0.36879389649307076</v>
      </c>
      <c r="T141" s="67">
        <v>0</v>
      </c>
      <c r="U141" s="67">
        <v>0</v>
      </c>
    </row>
    <row r="142" spans="1:21" s="57" customFormat="1" x14ac:dyDescent="0.35">
      <c r="A142" s="63">
        <v>0</v>
      </c>
      <c r="B142" s="63">
        <v>0</v>
      </c>
      <c r="C142" s="63">
        <v>0</v>
      </c>
      <c r="D142" s="63">
        <v>0.41364261899999999</v>
      </c>
      <c r="E142" s="63">
        <v>0.36900018678989388</v>
      </c>
      <c r="F142" s="63">
        <v>0.48215604294478526</v>
      </c>
      <c r="G142" s="64">
        <v>0</v>
      </c>
      <c r="H142" s="63">
        <v>0</v>
      </c>
      <c r="I142" s="63">
        <v>0</v>
      </c>
      <c r="J142" s="63">
        <v>0.29599999999999999</v>
      </c>
      <c r="K142" s="63">
        <v>0.54799999999999993</v>
      </c>
      <c r="L142" s="63">
        <v>0.62520597386434351</v>
      </c>
      <c r="M142" s="63">
        <v>0.36460609882771927</v>
      </c>
      <c r="N142" s="57">
        <v>0</v>
      </c>
      <c r="O142" s="65">
        <v>0</v>
      </c>
      <c r="P142" s="65">
        <f>1</f>
        <v>1</v>
      </c>
      <c r="Q142" s="66">
        <v>0</v>
      </c>
      <c r="R142" s="67">
        <v>0</v>
      </c>
      <c r="S142" s="67">
        <v>0.15669245480758048</v>
      </c>
      <c r="T142" s="67">
        <v>0</v>
      </c>
      <c r="U142" s="67">
        <v>0</v>
      </c>
    </row>
    <row r="143" spans="1:21" s="57" customFormat="1" x14ac:dyDescent="0.35">
      <c r="A143" s="63">
        <v>0</v>
      </c>
      <c r="B143" s="63">
        <v>0</v>
      </c>
      <c r="C143" s="63">
        <v>0</v>
      </c>
      <c r="D143" s="63">
        <v>0.43220439799999999</v>
      </c>
      <c r="E143" s="63">
        <v>0.36999991878700267</v>
      </c>
      <c r="F143" s="63">
        <v>0.503792300613497</v>
      </c>
      <c r="G143" s="64">
        <v>0</v>
      </c>
      <c r="H143" s="63">
        <v>0</v>
      </c>
      <c r="I143" s="63">
        <v>0</v>
      </c>
      <c r="J143" s="63">
        <v>0.374</v>
      </c>
      <c r="K143" s="63">
        <v>0.58399999999999996</v>
      </c>
      <c r="L143" s="63">
        <v>0.62175046670815182</v>
      </c>
      <c r="M143" s="63">
        <v>0.38848805460750857</v>
      </c>
      <c r="N143" s="57">
        <v>0</v>
      </c>
      <c r="O143" s="65">
        <v>0</v>
      </c>
      <c r="P143" s="65">
        <f>1</f>
        <v>1</v>
      </c>
      <c r="Q143" s="66">
        <v>0</v>
      </c>
      <c r="R143" s="67">
        <v>0</v>
      </c>
      <c r="S143" s="67">
        <v>0.36939101978269684</v>
      </c>
      <c r="T143" s="67">
        <v>0</v>
      </c>
      <c r="U143" s="67">
        <v>0</v>
      </c>
    </row>
    <row r="144" spans="1:21" s="57" customFormat="1" x14ac:dyDescent="0.35">
      <c r="A144" s="63">
        <v>0</v>
      </c>
      <c r="B144" s="63">
        <v>0</v>
      </c>
      <c r="C144" s="63">
        <v>0</v>
      </c>
      <c r="D144" s="63">
        <v>0.45847632599999999</v>
      </c>
      <c r="E144" s="63">
        <v>0.36200003248519891</v>
      </c>
      <c r="F144" s="63">
        <v>0.53441576687116565</v>
      </c>
      <c r="G144" s="64">
        <v>0</v>
      </c>
      <c r="H144" s="63">
        <v>0</v>
      </c>
      <c r="I144" s="63">
        <v>0</v>
      </c>
      <c r="J144" s="63">
        <v>0.45700000000000002</v>
      </c>
      <c r="K144" s="63">
        <v>0.61899999999999999</v>
      </c>
      <c r="L144" s="63">
        <v>0.61293030491599254</v>
      </c>
      <c r="M144" s="63">
        <v>0.41134834545184745</v>
      </c>
      <c r="N144" s="57">
        <v>0</v>
      </c>
      <c r="O144" s="65">
        <v>0</v>
      </c>
      <c r="P144" s="65">
        <f>1</f>
        <v>1</v>
      </c>
      <c r="Q144" s="66">
        <v>0</v>
      </c>
      <c r="R144" s="67">
        <v>0</v>
      </c>
      <c r="S144" s="67">
        <v>0.15758813974523786</v>
      </c>
      <c r="T144" s="67">
        <v>0</v>
      </c>
      <c r="U144" s="67">
        <v>0</v>
      </c>
    </row>
    <row r="145" spans="1:21" s="57" customFormat="1" x14ac:dyDescent="0.35">
      <c r="A145" s="63">
        <v>0</v>
      </c>
      <c r="B145" s="63">
        <v>0</v>
      </c>
      <c r="C145" s="63">
        <v>0</v>
      </c>
      <c r="D145" s="63">
        <v>0.48614243400000001</v>
      </c>
      <c r="E145" s="63">
        <v>0.35799988630180374</v>
      </c>
      <c r="F145" s="63">
        <v>0.56666432515337428</v>
      </c>
      <c r="G145" s="64">
        <v>0</v>
      </c>
      <c r="H145" s="63">
        <v>0</v>
      </c>
      <c r="I145" s="63">
        <v>0</v>
      </c>
      <c r="J145" s="63">
        <v>0.53</v>
      </c>
      <c r="K145" s="63">
        <v>0.65300000000000002</v>
      </c>
      <c r="L145" s="63">
        <v>0.60488363410080892</v>
      </c>
      <c r="M145" s="63">
        <v>0.43427696987683634</v>
      </c>
      <c r="N145" s="57">
        <v>0</v>
      </c>
      <c r="O145" s="65">
        <v>0</v>
      </c>
      <c r="P145" s="65">
        <f>1</f>
        <v>1</v>
      </c>
      <c r="Q145" s="66">
        <v>0</v>
      </c>
      <c r="R145" s="67">
        <v>0</v>
      </c>
      <c r="S145" s="67">
        <v>0.36998814307875938</v>
      </c>
      <c r="T145" s="67">
        <v>0</v>
      </c>
      <c r="U145" s="67">
        <v>0</v>
      </c>
    </row>
    <row r="146" spans="1:21" s="57" customFormat="1" x14ac:dyDescent="0.35">
      <c r="A146" s="63">
        <v>0</v>
      </c>
      <c r="B146" s="63">
        <v>0</v>
      </c>
      <c r="C146" s="63">
        <v>0</v>
      </c>
      <c r="D146" s="63">
        <v>0.52357058199999995</v>
      </c>
      <c r="E146" s="63">
        <v>0.35900002436389922</v>
      </c>
      <c r="F146" s="63">
        <v>0.61029187116564421</v>
      </c>
      <c r="G146" s="64">
        <v>0</v>
      </c>
      <c r="H146" s="63">
        <v>0</v>
      </c>
      <c r="I146" s="63">
        <v>0</v>
      </c>
      <c r="J146" s="63">
        <v>0.62</v>
      </c>
      <c r="K146" s="63">
        <v>0.68300000000000005</v>
      </c>
      <c r="L146" s="63">
        <v>0.57243248288736781</v>
      </c>
      <c r="M146" s="63">
        <v>0.4540189939160113</v>
      </c>
      <c r="N146" s="57">
        <v>0</v>
      </c>
      <c r="O146" s="65">
        <v>0</v>
      </c>
      <c r="P146" s="65">
        <f>1</f>
        <v>1</v>
      </c>
      <c r="Q146" s="66">
        <v>0</v>
      </c>
      <c r="R146" s="67">
        <v>0</v>
      </c>
      <c r="S146" s="67">
        <v>0.15758877440288419</v>
      </c>
      <c r="T146" s="67">
        <v>0</v>
      </c>
      <c r="U146" s="67">
        <v>0</v>
      </c>
    </row>
    <row r="147" spans="1:21" s="57" customFormat="1" x14ac:dyDescent="0.35">
      <c r="A147" s="63">
        <v>0</v>
      </c>
      <c r="B147" s="63">
        <v>0</v>
      </c>
      <c r="C147" s="63">
        <v>0</v>
      </c>
      <c r="D147" s="63">
        <v>0.564047148</v>
      </c>
      <c r="E147" s="63">
        <v>0.35900002436389922</v>
      </c>
      <c r="F147" s="63">
        <v>0.65747273006134976</v>
      </c>
      <c r="G147" s="64">
        <v>0</v>
      </c>
      <c r="H147" s="63">
        <v>0</v>
      </c>
      <c r="I147" s="63">
        <v>0</v>
      </c>
      <c r="J147" s="63">
        <v>0.70799999999999996</v>
      </c>
      <c r="K147" s="63">
        <v>0.70399999999999996</v>
      </c>
      <c r="L147" s="63">
        <v>0.57423708774113258</v>
      </c>
      <c r="M147" s="63">
        <v>0.46781762872829796</v>
      </c>
      <c r="N147" s="57">
        <v>0</v>
      </c>
      <c r="O147" s="65">
        <v>0</v>
      </c>
      <c r="P147" s="65">
        <f>1</f>
        <v>1</v>
      </c>
      <c r="Q147" s="66">
        <v>0</v>
      </c>
      <c r="R147" s="67">
        <v>0</v>
      </c>
      <c r="S147" s="67">
        <v>0.15758877440288419</v>
      </c>
      <c r="T147" s="67">
        <v>0</v>
      </c>
      <c r="U147" s="67">
        <v>0</v>
      </c>
    </row>
    <row r="148" spans="1:21" s="57" customFormat="1" x14ac:dyDescent="0.35">
      <c r="A148" s="63">
        <v>0</v>
      </c>
      <c r="B148" s="63">
        <v>0</v>
      </c>
      <c r="C148" s="63">
        <v>0</v>
      </c>
      <c r="D148" s="63">
        <v>0.60432528500000005</v>
      </c>
      <c r="E148" s="63">
        <v>0.3600001624259947</v>
      </c>
      <c r="F148" s="63">
        <v>0.70442230061349698</v>
      </c>
      <c r="G148" s="64">
        <v>0</v>
      </c>
      <c r="H148" s="63">
        <v>0</v>
      </c>
      <c r="I148" s="63">
        <v>0</v>
      </c>
      <c r="J148" s="63">
        <v>0.75199999999999989</v>
      </c>
      <c r="K148" s="63">
        <v>0.72599999999999998</v>
      </c>
      <c r="L148" s="63">
        <v>0.57625202240199136</v>
      </c>
      <c r="M148" s="63">
        <v>0.48282630954147504</v>
      </c>
      <c r="N148" s="57">
        <v>0</v>
      </c>
      <c r="O148" s="65">
        <v>0</v>
      </c>
      <c r="P148" s="65">
        <f>1</f>
        <v>1</v>
      </c>
      <c r="Q148" s="66">
        <v>0</v>
      </c>
      <c r="R148" s="67">
        <v>0</v>
      </c>
      <c r="S148" s="67">
        <v>0.15758877440288419</v>
      </c>
      <c r="T148" s="67">
        <v>0</v>
      </c>
      <c r="U148" s="67">
        <v>0</v>
      </c>
    </row>
    <row r="149" spans="1:21" s="57" customFormat="1" x14ac:dyDescent="0.35">
      <c r="A149" s="63">
        <v>0</v>
      </c>
      <c r="B149" s="63">
        <v>0</v>
      </c>
      <c r="C149" s="63">
        <v>0</v>
      </c>
      <c r="D149" s="63">
        <v>0.64680523499999998</v>
      </c>
      <c r="E149" s="63">
        <v>0.3600001624259947</v>
      </c>
      <c r="F149" s="63">
        <v>0.75393840490797548</v>
      </c>
      <c r="G149" s="64">
        <v>0</v>
      </c>
      <c r="H149" s="63">
        <v>0</v>
      </c>
      <c r="I149" s="63">
        <v>0</v>
      </c>
      <c r="J149" s="63">
        <v>0.78800000000000003</v>
      </c>
      <c r="K149" s="63">
        <v>0.73299999999999998</v>
      </c>
      <c r="L149" s="63">
        <v>0.58007093963907896</v>
      </c>
      <c r="M149" s="63">
        <v>0.48726613740911112</v>
      </c>
      <c r="N149" s="57">
        <v>0</v>
      </c>
      <c r="O149" s="65">
        <v>0</v>
      </c>
      <c r="P149" s="65">
        <f>1</f>
        <v>1</v>
      </c>
      <c r="Q149" s="66">
        <v>0</v>
      </c>
      <c r="R149" s="67">
        <v>0</v>
      </c>
      <c r="S149" s="67">
        <v>0.15758877440288419</v>
      </c>
      <c r="T149" s="67">
        <v>0</v>
      </c>
      <c r="U149" s="67">
        <v>0</v>
      </c>
    </row>
    <row r="150" spans="1:21" s="57" customFormat="1" x14ac:dyDescent="0.35">
      <c r="A150" s="63">
        <v>0</v>
      </c>
      <c r="B150" s="63">
        <v>0</v>
      </c>
      <c r="C150" s="63">
        <v>0</v>
      </c>
      <c r="D150" s="63">
        <v>0.68888568299999997</v>
      </c>
      <c r="E150" s="63">
        <v>0.35700015430469495</v>
      </c>
      <c r="F150" s="63">
        <v>0.80298883435582824</v>
      </c>
      <c r="G150" s="64">
        <v>0</v>
      </c>
      <c r="H150" s="63">
        <v>0</v>
      </c>
      <c r="I150" s="63">
        <v>0</v>
      </c>
      <c r="J150" s="63">
        <v>0.80799999999999994</v>
      </c>
      <c r="K150" s="63">
        <v>0.72</v>
      </c>
      <c r="L150" s="63">
        <v>0.58005413814561302</v>
      </c>
      <c r="M150" s="63">
        <v>0.47855557204332988</v>
      </c>
      <c r="N150" s="57">
        <v>0</v>
      </c>
      <c r="O150" s="65">
        <v>0</v>
      </c>
      <c r="P150" s="65">
        <f>1</f>
        <v>1</v>
      </c>
      <c r="Q150" s="66">
        <v>0</v>
      </c>
      <c r="R150" s="67">
        <v>0</v>
      </c>
      <c r="S150" s="67">
        <v>0.1569916511068217</v>
      </c>
      <c r="T150" s="67">
        <v>0</v>
      </c>
      <c r="U150" s="67">
        <v>0</v>
      </c>
    </row>
    <row r="151" spans="1:21" s="57" customFormat="1" x14ac:dyDescent="0.35">
      <c r="A151" s="63">
        <v>0</v>
      </c>
      <c r="B151" s="63">
        <v>0</v>
      </c>
      <c r="C151" s="63">
        <v>0</v>
      </c>
      <c r="D151" s="63">
        <v>0.70893419700000004</v>
      </c>
      <c r="E151" s="63">
        <v>0.35900002436389922</v>
      </c>
      <c r="F151" s="63">
        <v>0.82635806748466256</v>
      </c>
      <c r="G151" s="64">
        <v>0</v>
      </c>
      <c r="H151" s="63">
        <v>0</v>
      </c>
      <c r="I151" s="63">
        <v>0</v>
      </c>
      <c r="J151" s="63">
        <v>0.79500000000000004</v>
      </c>
      <c r="K151" s="63">
        <v>0.68899999999999995</v>
      </c>
      <c r="L151" s="63">
        <v>0.58121717485998758</v>
      </c>
      <c r="M151" s="63">
        <v>0.45816938714942873</v>
      </c>
      <c r="N151" s="57">
        <v>0</v>
      </c>
      <c r="O151" s="65">
        <v>0</v>
      </c>
      <c r="P151" s="65">
        <f>1</f>
        <v>1</v>
      </c>
      <c r="Q151" s="66">
        <v>0</v>
      </c>
      <c r="R151" s="67">
        <v>0</v>
      </c>
      <c r="S151" s="67">
        <v>0.15639452781719557</v>
      </c>
      <c r="T151" s="67">
        <v>0</v>
      </c>
      <c r="U151" s="67">
        <v>0</v>
      </c>
    </row>
    <row r="152" spans="1:21" s="57" customFormat="1" x14ac:dyDescent="0.35">
      <c r="A152" s="63">
        <v>0</v>
      </c>
      <c r="B152" s="63">
        <v>0</v>
      </c>
      <c r="C152" s="63">
        <v>0</v>
      </c>
      <c r="D152" s="63">
        <v>0.69710707999999999</v>
      </c>
      <c r="E152" s="63">
        <v>0.36099989442310348</v>
      </c>
      <c r="F152" s="63">
        <v>0.8125719631901841</v>
      </c>
      <c r="G152" s="64">
        <v>0</v>
      </c>
      <c r="H152" s="63">
        <v>0</v>
      </c>
      <c r="I152" s="63">
        <v>0</v>
      </c>
      <c r="J152" s="63">
        <v>0.78999999999999992</v>
      </c>
      <c r="K152" s="63">
        <v>0.69400000000000006</v>
      </c>
      <c r="L152" s="63">
        <v>0.58722650902302431</v>
      </c>
      <c r="M152" s="63">
        <v>0.46185739723994657</v>
      </c>
      <c r="N152" s="57">
        <v>0</v>
      </c>
      <c r="O152" s="65">
        <v>0</v>
      </c>
      <c r="P152" s="65">
        <f>1</f>
        <v>1</v>
      </c>
      <c r="Q152" s="66">
        <v>0</v>
      </c>
      <c r="R152" s="67">
        <v>0</v>
      </c>
      <c r="S152" s="67">
        <v>0.15609596616916432</v>
      </c>
      <c r="T152" s="67">
        <v>0</v>
      </c>
      <c r="U152" s="67">
        <v>0</v>
      </c>
    </row>
    <row r="153" spans="1:21" s="57" customFormat="1" x14ac:dyDescent="0.35">
      <c r="A153" s="63">
        <v>0</v>
      </c>
      <c r="B153" s="63">
        <v>0</v>
      </c>
      <c r="C153" s="63">
        <v>0</v>
      </c>
      <c r="D153" s="63">
        <v>0.67072794400000002</v>
      </c>
      <c r="E153" s="63">
        <v>0.36200003248519891</v>
      </c>
      <c r="F153" s="63">
        <v>0.78182352760736196</v>
      </c>
      <c r="G153" s="64">
        <v>0</v>
      </c>
      <c r="H153" s="63">
        <v>0</v>
      </c>
      <c r="I153" s="63">
        <v>0</v>
      </c>
      <c r="J153" s="63">
        <v>0.77799999999999991</v>
      </c>
      <c r="K153" s="63">
        <v>0.67500000000000004</v>
      </c>
      <c r="L153" s="63">
        <v>0.63246421904169259</v>
      </c>
      <c r="M153" s="63">
        <v>0.44929818964238016</v>
      </c>
      <c r="N153" s="57">
        <v>0</v>
      </c>
      <c r="O153" s="65">
        <v>0</v>
      </c>
      <c r="P153" s="65">
        <f>1</f>
        <v>1</v>
      </c>
      <c r="Q153" s="66">
        <v>0</v>
      </c>
      <c r="R153" s="67">
        <v>0</v>
      </c>
      <c r="S153" s="67">
        <v>0.15639452781719557</v>
      </c>
      <c r="T153" s="67">
        <v>0</v>
      </c>
      <c r="U153" s="67">
        <v>0</v>
      </c>
    </row>
    <row r="154" spans="1:21" s="57" customFormat="1" x14ac:dyDescent="0.35">
      <c r="A154" s="63">
        <v>0</v>
      </c>
      <c r="B154" s="63">
        <v>0</v>
      </c>
      <c r="C154" s="63">
        <v>0</v>
      </c>
      <c r="D154" s="63">
        <v>0.63980309599999996</v>
      </c>
      <c r="E154" s="63">
        <v>0.36200003248519891</v>
      </c>
      <c r="F154" s="63">
        <v>0.74721300613496933</v>
      </c>
      <c r="G154" s="64">
        <v>0</v>
      </c>
      <c r="H154" s="63">
        <v>0</v>
      </c>
      <c r="I154" s="63">
        <v>0</v>
      </c>
      <c r="J154" s="63">
        <v>0.72</v>
      </c>
      <c r="K154" s="63">
        <v>0.60499999999999998</v>
      </c>
      <c r="L154" s="63">
        <v>0.64205662725575607</v>
      </c>
      <c r="M154" s="63">
        <v>0.40280011871197502</v>
      </c>
      <c r="N154" s="57">
        <v>0</v>
      </c>
      <c r="O154" s="65">
        <v>0</v>
      </c>
      <c r="P154" s="65">
        <f>1</f>
        <v>1</v>
      </c>
      <c r="Q154" s="66">
        <v>0</v>
      </c>
      <c r="R154" s="67">
        <v>0</v>
      </c>
      <c r="S154" s="67">
        <v>0.15639452781719557</v>
      </c>
      <c r="T154" s="67">
        <v>0</v>
      </c>
      <c r="U154" s="67">
        <v>0</v>
      </c>
    </row>
    <row r="155" spans="1:21" s="57" customFormat="1" x14ac:dyDescent="0.35">
      <c r="A155" s="63">
        <v>0.03</v>
      </c>
      <c r="B155" s="63">
        <v>0</v>
      </c>
      <c r="C155" s="63">
        <v>3.6999999999999901E-2</v>
      </c>
      <c r="D155" s="63">
        <v>0.60584827900000005</v>
      </c>
      <c r="E155" s="63">
        <v>0.3680000487277984</v>
      </c>
      <c r="F155" s="63">
        <v>0.74525730061349693</v>
      </c>
      <c r="G155" s="64">
        <v>0</v>
      </c>
      <c r="H155" s="63">
        <v>1.1999999999999999E-2</v>
      </c>
      <c r="I155" s="63">
        <v>1.2E-2</v>
      </c>
      <c r="J155" s="63">
        <v>0.66499999999999992</v>
      </c>
      <c r="K155" s="63">
        <v>0.52800000000000002</v>
      </c>
      <c r="L155" s="63">
        <v>0</v>
      </c>
      <c r="M155" s="63">
        <v>0.36293686006825937</v>
      </c>
      <c r="N155" s="57">
        <v>0</v>
      </c>
      <c r="O155" s="65">
        <v>0</v>
      </c>
      <c r="P155" s="65">
        <f>1</f>
        <v>1</v>
      </c>
      <c r="Q155" s="66">
        <v>0</v>
      </c>
      <c r="R155" s="67">
        <v>0</v>
      </c>
      <c r="S155" s="67">
        <v>0.15639452781719557</v>
      </c>
      <c r="T155" s="67">
        <v>0</v>
      </c>
      <c r="U155" s="67">
        <v>0</v>
      </c>
    </row>
    <row r="156" spans="1:21" s="57" customFormat="1" x14ac:dyDescent="0.35">
      <c r="A156" s="63">
        <v>8.2000000000000003E-2</v>
      </c>
      <c r="B156" s="63">
        <v>1.7000000000000001E-2</v>
      </c>
      <c r="C156" s="63">
        <v>0.107</v>
      </c>
      <c r="D156" s="63">
        <v>0.60256063999999998</v>
      </c>
      <c r="E156" s="63">
        <v>0.36600017866859413</v>
      </c>
      <c r="F156" s="63">
        <v>0.81252889570552145</v>
      </c>
      <c r="G156" s="64">
        <v>0</v>
      </c>
      <c r="H156" s="63">
        <v>4.8999999999999995E-2</v>
      </c>
      <c r="I156" s="63">
        <v>5.6000000000000001E-2</v>
      </c>
      <c r="J156" s="63">
        <v>0.621</v>
      </c>
      <c r="K156" s="63">
        <v>0.44599999999999995</v>
      </c>
      <c r="L156" s="63">
        <v>0.64305476042314869</v>
      </c>
      <c r="M156" s="63">
        <v>0.34637691052084879</v>
      </c>
      <c r="N156" s="57">
        <v>0</v>
      </c>
      <c r="O156" s="65">
        <v>0</v>
      </c>
      <c r="P156" s="65">
        <f>1</f>
        <v>1</v>
      </c>
      <c r="Q156" s="66">
        <v>0</v>
      </c>
      <c r="R156" s="67">
        <v>0</v>
      </c>
      <c r="S156" s="67">
        <v>0.15639452781719557</v>
      </c>
      <c r="T156" s="67">
        <v>0</v>
      </c>
      <c r="U156" s="67">
        <v>0</v>
      </c>
    </row>
    <row r="157" spans="1:21" s="57" customFormat="1" x14ac:dyDescent="0.35">
      <c r="A157" s="63">
        <v>0.13600000000000001</v>
      </c>
      <c r="B157" s="63">
        <v>2.7999999999999997E-2</v>
      </c>
      <c r="C157" s="63">
        <v>0.17899999999999999</v>
      </c>
      <c r="D157" s="63">
        <v>0.61838280300000004</v>
      </c>
      <c r="E157" s="63">
        <v>0.36999991878700267</v>
      </c>
      <c r="F157" s="63">
        <v>0.9044041104294479</v>
      </c>
      <c r="G157" s="64">
        <v>0</v>
      </c>
      <c r="H157" s="63">
        <v>0.09</v>
      </c>
      <c r="I157" s="63">
        <v>0.108</v>
      </c>
      <c r="J157" s="63">
        <v>0.57499999999999996</v>
      </c>
      <c r="K157" s="63">
        <v>0.371</v>
      </c>
      <c r="L157" s="63">
        <v>0.63741319228375859</v>
      </c>
      <c r="M157" s="63">
        <v>0.34000779047336399</v>
      </c>
      <c r="N157" s="57">
        <v>0</v>
      </c>
      <c r="O157" s="65">
        <v>0</v>
      </c>
      <c r="P157" s="65">
        <f>1</f>
        <v>1</v>
      </c>
      <c r="Q157" s="66">
        <v>0</v>
      </c>
      <c r="R157" s="67">
        <v>0</v>
      </c>
      <c r="S157" s="67">
        <v>0.15609596616916432</v>
      </c>
      <c r="T157" s="67">
        <v>0</v>
      </c>
      <c r="U157" s="67">
        <v>0</v>
      </c>
    </row>
    <row r="158" spans="1:21" s="57" customFormat="1" x14ac:dyDescent="0.35">
      <c r="A158" s="63">
        <v>0.184</v>
      </c>
      <c r="B158" s="63">
        <v>3.59999999999999E-2</v>
      </c>
      <c r="C158" s="63">
        <v>0.24</v>
      </c>
      <c r="D158" s="63">
        <v>0.65846688499999995</v>
      </c>
      <c r="E158" s="63">
        <v>0.36900018678989388</v>
      </c>
      <c r="F158" s="63">
        <v>1</v>
      </c>
      <c r="G158" s="64">
        <v>1.2696949026939174E-2</v>
      </c>
      <c r="H158" s="63">
        <v>0.15199999999999997</v>
      </c>
      <c r="I158" s="63">
        <v>0.16400000000000001</v>
      </c>
      <c r="J158" s="63">
        <v>0.58399999999999996</v>
      </c>
      <c r="K158" s="63">
        <v>0.33100000000000002</v>
      </c>
      <c r="L158" s="63">
        <v>0.63307840696950834</v>
      </c>
      <c r="M158" s="63">
        <v>0.36941400801305835</v>
      </c>
      <c r="N158" s="57">
        <v>0</v>
      </c>
      <c r="O158" s="65">
        <v>0</v>
      </c>
      <c r="P158" s="65">
        <f>1</f>
        <v>1</v>
      </c>
      <c r="Q158" s="66">
        <v>0</v>
      </c>
      <c r="R158" s="67">
        <v>0</v>
      </c>
      <c r="S158" s="67">
        <v>0.15639452781719557</v>
      </c>
      <c r="T158" s="67">
        <v>0</v>
      </c>
      <c r="U158" s="67">
        <v>0</v>
      </c>
    </row>
    <row r="159" spans="1:21" s="57" customFormat="1" x14ac:dyDescent="0.35">
      <c r="A159" s="63">
        <v>0.20899999999999999</v>
      </c>
      <c r="B159" s="63">
        <v>3.9E-2</v>
      </c>
      <c r="C159" s="63">
        <v>0.27200000000000002</v>
      </c>
      <c r="D159" s="63">
        <v>0.69550253799999995</v>
      </c>
      <c r="E159" s="63">
        <v>0.36999991878700267</v>
      </c>
      <c r="F159" s="63">
        <v>1</v>
      </c>
      <c r="G159" s="64">
        <v>7.7996446285863469E-2</v>
      </c>
      <c r="H159" s="63">
        <v>0.20699999999999999</v>
      </c>
      <c r="I159" s="63">
        <v>0.20400000000000001</v>
      </c>
      <c r="J159" s="63">
        <v>0.61899999999999999</v>
      </c>
      <c r="K159" s="63">
        <v>0.32400000000000001</v>
      </c>
      <c r="L159" s="63">
        <v>0.63141692594897325</v>
      </c>
      <c r="M159" s="63">
        <v>0.40885079388633327</v>
      </c>
      <c r="N159" s="57">
        <v>0</v>
      </c>
      <c r="O159" s="65">
        <v>0</v>
      </c>
      <c r="P159" s="65">
        <f>1</f>
        <v>1</v>
      </c>
      <c r="Q159" s="66">
        <v>0</v>
      </c>
      <c r="R159" s="67">
        <v>0</v>
      </c>
      <c r="S159" s="67">
        <v>0.15639452781719557</v>
      </c>
      <c r="T159" s="67">
        <v>0</v>
      </c>
      <c r="U159" s="67">
        <v>0</v>
      </c>
    </row>
    <row r="160" spans="1:21" s="57" customFormat="1" x14ac:dyDescent="0.35">
      <c r="A160" s="63">
        <v>0.20899999999999999</v>
      </c>
      <c r="B160" s="63">
        <v>3.4000000000000002E-2</v>
      </c>
      <c r="C160" s="63">
        <v>0.26400000000000001</v>
      </c>
      <c r="D160" s="63">
        <v>0.72059707900000003</v>
      </c>
      <c r="E160" s="63">
        <v>0.37100005684909815</v>
      </c>
      <c r="F160" s="63">
        <v>1</v>
      </c>
      <c r="G160" s="64">
        <v>9.9448047983561966E-2</v>
      </c>
      <c r="H160" s="63">
        <v>0.23899999999999999</v>
      </c>
      <c r="I160" s="63">
        <v>0.21300000000000002</v>
      </c>
      <c r="J160" s="63">
        <v>0.63</v>
      </c>
      <c r="K160" s="63">
        <v>0.33200000000000002</v>
      </c>
      <c r="L160" s="63">
        <v>0.62502613565650278</v>
      </c>
      <c r="M160" s="63">
        <v>0.43360276005342041</v>
      </c>
      <c r="N160" s="57">
        <v>0</v>
      </c>
      <c r="O160" s="65">
        <v>0</v>
      </c>
      <c r="P160" s="65">
        <f>1</f>
        <v>1</v>
      </c>
      <c r="Q160" s="66">
        <v>0</v>
      </c>
      <c r="R160" s="67">
        <v>0</v>
      </c>
      <c r="S160" s="67">
        <v>0.15609596616916432</v>
      </c>
      <c r="T160" s="67">
        <v>0</v>
      </c>
      <c r="U160" s="67">
        <v>0</v>
      </c>
    </row>
    <row r="161" spans="1:21" s="57" customFormat="1" x14ac:dyDescent="0.35">
      <c r="A161" s="63">
        <v>0.17399999999999999</v>
      </c>
      <c r="B161" s="63">
        <v>2.1999999999999898E-2</v>
      </c>
      <c r="C161" s="63">
        <v>0.20399999999999999</v>
      </c>
      <c r="D161" s="63">
        <v>0.739312894</v>
      </c>
      <c r="E161" s="63">
        <v>0.36600017866859413</v>
      </c>
      <c r="F161" s="63">
        <v>1</v>
      </c>
      <c r="G161" s="64">
        <v>7.0319907957119648E-2</v>
      </c>
      <c r="H161" s="63">
        <v>0.21199999999999997</v>
      </c>
      <c r="I161" s="63">
        <v>0.17400000000000002</v>
      </c>
      <c r="J161" s="63">
        <v>0.61699999999999999</v>
      </c>
      <c r="K161" s="63">
        <v>0.34199999999999997</v>
      </c>
      <c r="L161" s="63">
        <v>0.62156253889234603</v>
      </c>
      <c r="M161" s="63">
        <v>0.40971501706484642</v>
      </c>
      <c r="N161" s="57">
        <v>0</v>
      </c>
      <c r="O161" s="65">
        <v>0</v>
      </c>
      <c r="P161" s="65">
        <f>1</f>
        <v>1</v>
      </c>
      <c r="Q161" s="66">
        <v>0</v>
      </c>
      <c r="R161" s="67">
        <v>0</v>
      </c>
      <c r="S161" s="67">
        <v>0.15639452781719557</v>
      </c>
      <c r="T161" s="67">
        <v>0</v>
      </c>
      <c r="U161" s="67">
        <v>0</v>
      </c>
    </row>
    <row r="162" spans="1:21" s="57" customFormat="1" x14ac:dyDescent="0.35">
      <c r="A162" s="63">
        <v>0.112</v>
      </c>
      <c r="B162" s="63">
        <v>0</v>
      </c>
      <c r="C162" s="63">
        <v>0.11899999999999901</v>
      </c>
      <c r="D162" s="63">
        <v>0.77701201099999995</v>
      </c>
      <c r="E162" s="63">
        <v>0.37200019491119363</v>
      </c>
      <c r="F162" s="63">
        <v>1</v>
      </c>
      <c r="G162" s="64">
        <v>3.4320762701159586E-2</v>
      </c>
      <c r="H162" s="63">
        <v>0.16</v>
      </c>
      <c r="I162" s="63">
        <v>0.112</v>
      </c>
      <c r="J162" s="63">
        <v>0.61199999999999999</v>
      </c>
      <c r="K162" s="63">
        <v>0.34100000000000003</v>
      </c>
      <c r="L162" s="63">
        <v>0.62416116988176729</v>
      </c>
      <c r="M162" s="63">
        <v>0.35576316960973436</v>
      </c>
      <c r="N162" s="57">
        <v>0</v>
      </c>
      <c r="O162" s="65">
        <v>0</v>
      </c>
      <c r="P162" s="65">
        <f>1</f>
        <v>1</v>
      </c>
      <c r="Q162" s="66">
        <v>0</v>
      </c>
      <c r="R162" s="67">
        <v>0</v>
      </c>
      <c r="S162" s="67">
        <v>0.15639452781719557</v>
      </c>
      <c r="T162" s="67">
        <v>0</v>
      </c>
      <c r="U162" s="67">
        <v>0</v>
      </c>
    </row>
    <row r="163" spans="1:21" s="57" customFormat="1" x14ac:dyDescent="0.35">
      <c r="A163" s="63">
        <v>2.8000000000000001E-2</v>
      </c>
      <c r="B163" s="63">
        <v>0</v>
      </c>
      <c r="C163" s="63">
        <v>3.2000000000000001E-2</v>
      </c>
      <c r="D163" s="63">
        <v>0.76608125500000002</v>
      </c>
      <c r="E163" s="63">
        <v>0.37499979696750668</v>
      </c>
      <c r="F163" s="63">
        <v>0.92770647239263804</v>
      </c>
      <c r="G163" s="64">
        <v>0</v>
      </c>
      <c r="H163" s="63">
        <v>9.0999999999999984E-2</v>
      </c>
      <c r="I163" s="63">
        <v>4.4999999999999998E-2</v>
      </c>
      <c r="J163" s="63">
        <v>0.51700000000000002</v>
      </c>
      <c r="K163" s="63">
        <v>0.34300000000000003</v>
      </c>
      <c r="L163" s="63">
        <v>0.62626384567517113</v>
      </c>
      <c r="M163" s="63">
        <v>0.29381918682297076</v>
      </c>
      <c r="N163" s="57">
        <v>0</v>
      </c>
      <c r="O163" s="65">
        <v>0</v>
      </c>
      <c r="P163" s="65">
        <f>1</f>
        <v>1</v>
      </c>
      <c r="Q163" s="66">
        <v>0</v>
      </c>
      <c r="R163" s="67">
        <v>0</v>
      </c>
      <c r="S163" s="67">
        <v>0.15639452781719557</v>
      </c>
      <c r="T163" s="67">
        <v>0</v>
      </c>
      <c r="U163" s="67">
        <v>0</v>
      </c>
    </row>
    <row r="164" spans="1:21" s="57" customFormat="1" x14ac:dyDescent="0.35">
      <c r="A164" s="63">
        <v>0</v>
      </c>
      <c r="B164" s="63">
        <v>0</v>
      </c>
      <c r="C164" s="63">
        <v>0</v>
      </c>
      <c r="D164" s="63">
        <v>0.71677553000000005</v>
      </c>
      <c r="E164" s="63">
        <v>0.37599993502960216</v>
      </c>
      <c r="F164" s="63">
        <v>0.83559714723926382</v>
      </c>
      <c r="G164" s="64">
        <v>0</v>
      </c>
      <c r="H164" s="63">
        <v>0</v>
      </c>
      <c r="I164" s="63">
        <v>0</v>
      </c>
      <c r="J164" s="63">
        <v>0.32400000000000001</v>
      </c>
      <c r="K164" s="63">
        <v>0.33999999999999997</v>
      </c>
      <c r="L164" s="63">
        <v>0.62713130056004973</v>
      </c>
      <c r="M164" s="63">
        <v>0.23269824899836769</v>
      </c>
      <c r="N164" s="57">
        <v>0</v>
      </c>
      <c r="O164" s="65">
        <v>0</v>
      </c>
      <c r="P164" s="65">
        <f>1</f>
        <v>1</v>
      </c>
      <c r="Q164" s="66">
        <v>0</v>
      </c>
      <c r="R164" s="67">
        <v>0</v>
      </c>
      <c r="S164" s="67">
        <v>0.15609596616916432</v>
      </c>
      <c r="T164" s="67">
        <v>0</v>
      </c>
      <c r="U164" s="67">
        <v>0</v>
      </c>
    </row>
    <row r="165" spans="1:21" s="57" customFormat="1" x14ac:dyDescent="0.35">
      <c r="A165" s="63">
        <v>0</v>
      </c>
      <c r="B165" s="63">
        <v>0</v>
      </c>
      <c r="C165" s="63">
        <v>0</v>
      </c>
      <c r="D165" s="63">
        <v>0.69716506300000003</v>
      </c>
      <c r="E165" s="63">
        <v>0.37599993502960216</v>
      </c>
      <c r="F165" s="63">
        <v>0.81263953987730053</v>
      </c>
      <c r="G165" s="64">
        <v>0</v>
      </c>
      <c r="H165" s="63">
        <v>0</v>
      </c>
      <c r="I165" s="63">
        <v>0</v>
      </c>
      <c r="J165" s="63">
        <v>0.251</v>
      </c>
      <c r="K165" s="63">
        <v>0.33800000000000002</v>
      </c>
      <c r="L165" s="63">
        <v>0.63002613565650278</v>
      </c>
      <c r="M165" s="63">
        <v>0.22759600830983828</v>
      </c>
      <c r="N165" s="57">
        <v>0</v>
      </c>
      <c r="O165" s="65">
        <v>0</v>
      </c>
      <c r="P165" s="65">
        <f>1</f>
        <v>1</v>
      </c>
      <c r="Q165" s="66">
        <v>0</v>
      </c>
      <c r="R165" s="67">
        <v>0</v>
      </c>
      <c r="S165" s="67">
        <v>0.15639452781719557</v>
      </c>
      <c r="T165" s="67">
        <v>0</v>
      </c>
      <c r="U165" s="67">
        <v>0</v>
      </c>
    </row>
    <row r="166" spans="1:21" s="57" customFormat="1" x14ac:dyDescent="0.35">
      <c r="A166" s="63">
        <v>0</v>
      </c>
      <c r="B166" s="63">
        <v>0</v>
      </c>
      <c r="C166" s="63">
        <v>0</v>
      </c>
      <c r="D166" s="63">
        <v>0.702644457</v>
      </c>
      <c r="E166" s="63">
        <v>0.37599993502960216</v>
      </c>
      <c r="F166" s="63">
        <v>0.81902653374233125</v>
      </c>
      <c r="G166" s="64">
        <v>0</v>
      </c>
      <c r="H166" s="63">
        <v>0</v>
      </c>
      <c r="I166" s="63">
        <v>0</v>
      </c>
      <c r="J166" s="63">
        <v>0.22</v>
      </c>
      <c r="K166" s="63">
        <v>0.35599999999999998</v>
      </c>
      <c r="L166" s="63">
        <v>0.63565525824517732</v>
      </c>
      <c r="M166" s="63">
        <v>0.2398972399465796</v>
      </c>
      <c r="N166" s="57">
        <v>0</v>
      </c>
      <c r="O166" s="65">
        <v>0</v>
      </c>
      <c r="P166" s="65">
        <f>1</f>
        <v>1</v>
      </c>
      <c r="Q166" s="66">
        <v>0</v>
      </c>
      <c r="R166" s="67">
        <v>0</v>
      </c>
      <c r="S166" s="67">
        <v>0.15669308946522681</v>
      </c>
      <c r="T166" s="67">
        <v>0</v>
      </c>
      <c r="U166" s="67">
        <v>0</v>
      </c>
    </row>
    <row r="167" spans="1:21" s="57" customFormat="1" x14ac:dyDescent="0.35">
      <c r="A167" s="63">
        <v>0</v>
      </c>
      <c r="B167" s="63">
        <v>0</v>
      </c>
      <c r="C167" s="63">
        <v>0</v>
      </c>
      <c r="D167" s="63">
        <v>0.71687946599999997</v>
      </c>
      <c r="E167" s="63">
        <v>0.37700007309169764</v>
      </c>
      <c r="F167" s="63">
        <v>0.83561932515337423</v>
      </c>
      <c r="G167" s="64">
        <v>0</v>
      </c>
      <c r="H167" s="63">
        <v>0</v>
      </c>
      <c r="I167" s="63">
        <v>0</v>
      </c>
      <c r="J167" s="63">
        <v>0.23299999999999998</v>
      </c>
      <c r="K167" s="63">
        <v>0.39499999999999996</v>
      </c>
      <c r="L167" s="63">
        <v>0.63668637212196633</v>
      </c>
      <c r="M167" s="63">
        <v>0.26521219765543852</v>
      </c>
      <c r="N167" s="57">
        <v>0</v>
      </c>
      <c r="O167" s="65">
        <v>0</v>
      </c>
      <c r="P167" s="65">
        <f>1</f>
        <v>1</v>
      </c>
      <c r="Q167" s="66">
        <v>0</v>
      </c>
      <c r="R167" s="67">
        <v>0</v>
      </c>
      <c r="S167" s="67">
        <v>0.1569916511068217</v>
      </c>
      <c r="T167" s="67">
        <v>0</v>
      </c>
      <c r="U167" s="67">
        <v>0</v>
      </c>
    </row>
    <row r="168" spans="1:21" s="57" customFormat="1" x14ac:dyDescent="0.35">
      <c r="A168" s="63">
        <v>0</v>
      </c>
      <c r="B168" s="63">
        <v>0</v>
      </c>
      <c r="C168" s="63">
        <v>0</v>
      </c>
      <c r="D168" s="63">
        <v>0.73354011799999996</v>
      </c>
      <c r="E168" s="63">
        <v>0.37299992690830241</v>
      </c>
      <c r="F168" s="63">
        <v>0.8550395705521473</v>
      </c>
      <c r="G168" s="64">
        <v>0</v>
      </c>
      <c r="H168" s="63">
        <v>0</v>
      </c>
      <c r="I168" s="63">
        <v>0</v>
      </c>
      <c r="J168" s="63">
        <v>0.27699999999999997</v>
      </c>
      <c r="K168" s="63">
        <v>0.44800000000000001</v>
      </c>
      <c r="L168" s="63">
        <v>0.63864405724953321</v>
      </c>
      <c r="M168" s="63">
        <v>0.3005880694465054</v>
      </c>
      <c r="N168" s="57">
        <v>0</v>
      </c>
      <c r="O168" s="65">
        <v>0</v>
      </c>
      <c r="P168" s="65">
        <f>1</f>
        <v>1</v>
      </c>
      <c r="Q168" s="66">
        <v>0</v>
      </c>
      <c r="R168" s="67">
        <v>0</v>
      </c>
      <c r="S168" s="67">
        <v>0.15758877440288419</v>
      </c>
      <c r="T168" s="67">
        <v>0</v>
      </c>
      <c r="U168" s="67">
        <v>0</v>
      </c>
    </row>
    <row r="169" spans="1:21" s="57" customFormat="1" x14ac:dyDescent="0.35">
      <c r="A169" s="63">
        <v>0</v>
      </c>
      <c r="B169" s="63">
        <v>0</v>
      </c>
      <c r="C169" s="63">
        <v>0</v>
      </c>
      <c r="D169" s="63">
        <v>0.75291925000000004</v>
      </c>
      <c r="E169" s="63">
        <v>0.36900018678989388</v>
      </c>
      <c r="F169" s="63">
        <v>0.87762855828220854</v>
      </c>
      <c r="G169" s="63">
        <v>0</v>
      </c>
      <c r="H169" s="63">
        <v>0</v>
      </c>
      <c r="I169" s="63">
        <v>0.34899999999999998</v>
      </c>
      <c r="J169" s="63">
        <v>0.34899999999999998</v>
      </c>
      <c r="K169" s="63">
        <v>0.50900000000000001</v>
      </c>
      <c r="L169" s="63">
        <v>0.63848288736776593</v>
      </c>
      <c r="M169" s="57">
        <v>0.34166486125537915</v>
      </c>
      <c r="N169" s="65">
        <v>0</v>
      </c>
      <c r="O169" s="65">
        <v>0</v>
      </c>
      <c r="P169" s="66">
        <v>1</v>
      </c>
      <c r="Q169" s="67">
        <v>0</v>
      </c>
      <c r="R169" s="67">
        <v>0.15758877440288419</v>
      </c>
      <c r="S169" s="67">
        <v>0.15758877440288419</v>
      </c>
      <c r="T169" s="67">
        <v>0</v>
      </c>
      <c r="U169" s="57">
        <v>0</v>
      </c>
    </row>
    <row r="170" spans="1:21" s="57" customFormat="1" x14ac:dyDescent="0.35">
      <c r="A170" s="63"/>
      <c r="B170" s="63"/>
      <c r="C170" s="63"/>
      <c r="D170" s="63"/>
      <c r="E170" s="63"/>
      <c r="F170" s="64"/>
      <c r="G170" s="63"/>
      <c r="H170" s="63"/>
      <c r="I170" s="63"/>
      <c r="J170" s="63"/>
      <c r="K170" s="63"/>
      <c r="L170" s="63"/>
      <c r="M170" s="57">
        <v>0.38479054755898506</v>
      </c>
      <c r="N170" s="68">
        <v>0</v>
      </c>
      <c r="O170" s="65"/>
      <c r="P170" s="66"/>
      <c r="Q170" s="67"/>
      <c r="R170" s="67"/>
      <c r="S170" s="67"/>
      <c r="T170" s="67"/>
    </row>
    <row r="171" spans="1:21" x14ac:dyDescent="0.35">
      <c r="M171" s="46">
        <v>0.42159726962457333</v>
      </c>
      <c r="N171" s="46">
        <v>0</v>
      </c>
      <c r="P171" s="69"/>
      <c r="S171" s="70"/>
      <c r="T171" s="70"/>
    </row>
    <row r="172" spans="1:21" x14ac:dyDescent="0.35">
      <c r="M172" s="46">
        <v>0.45789775931147059</v>
      </c>
      <c r="N172" s="46">
        <v>0</v>
      </c>
      <c r="P172" s="69"/>
      <c r="S172" s="70"/>
      <c r="T172" s="70"/>
    </row>
    <row r="173" spans="1:21" x14ac:dyDescent="0.35">
      <c r="M173" s="46">
        <v>0.48631599643864076</v>
      </c>
      <c r="N173" s="46">
        <v>0</v>
      </c>
      <c r="P173" s="69"/>
    </row>
    <row r="174" spans="1:21" x14ac:dyDescent="0.35">
      <c r="M174" s="46">
        <v>0.5083789137854281</v>
      </c>
      <c r="N174" s="46">
        <v>0</v>
      </c>
      <c r="P174" s="69"/>
    </row>
    <row r="175" spans="1:21" x14ac:dyDescent="0.35">
      <c r="M175" s="46">
        <v>0.52500571301380028</v>
      </c>
      <c r="N175" s="46">
        <v>0</v>
      </c>
      <c r="P175" s="69"/>
    </row>
    <row r="176" spans="1:21" x14ac:dyDescent="0.35">
      <c r="M176" s="46">
        <v>0.53862917346787353</v>
      </c>
      <c r="N176" s="46">
        <v>0</v>
      </c>
      <c r="P176" s="69"/>
    </row>
    <row r="177" spans="13:16" x14ac:dyDescent="0.35">
      <c r="M177" s="46">
        <v>0.54037201365187715</v>
      </c>
      <c r="N177" s="46">
        <v>0</v>
      </c>
      <c r="P177" s="69"/>
    </row>
    <row r="178" spans="13:16" x14ac:dyDescent="0.35">
      <c r="M178" s="46">
        <v>0.52978587327496662</v>
      </c>
      <c r="N178" s="46">
        <v>0</v>
      </c>
      <c r="P178" s="69"/>
    </row>
    <row r="179" spans="13:16" x14ac:dyDescent="0.35">
      <c r="M179" s="46">
        <v>0.52704258792105652</v>
      </c>
      <c r="N179" s="46">
        <v>0</v>
      </c>
      <c r="P179" s="69"/>
    </row>
    <row r="180" spans="13:16" x14ac:dyDescent="0.35">
      <c r="M180" s="46">
        <v>0.52638225255972693</v>
      </c>
      <c r="N180" s="46">
        <v>0</v>
      </c>
      <c r="P180" s="69"/>
    </row>
    <row r="181" spans="13:16" x14ac:dyDescent="0.35">
      <c r="M181" s="46">
        <v>0.51059600830983831</v>
      </c>
      <c r="N181" s="46">
        <v>0</v>
      </c>
      <c r="P181" s="69"/>
    </row>
    <row r="182" spans="13:16" x14ac:dyDescent="0.35">
      <c r="M182" s="46">
        <v>0.4819388633328387</v>
      </c>
      <c r="N182" s="46">
        <v>0</v>
      </c>
      <c r="P182" s="69"/>
    </row>
    <row r="183" spans="13:16" x14ac:dyDescent="0.35">
      <c r="M183" s="46">
        <v>0.46811003116189343</v>
      </c>
      <c r="N183" s="46">
        <v>0</v>
      </c>
      <c r="P183" s="69"/>
    </row>
    <row r="184" spans="13:16" x14ac:dyDescent="0.35">
      <c r="M184" s="46">
        <v>0.44086147796408959</v>
      </c>
      <c r="N184" s="46">
        <v>0</v>
      </c>
      <c r="P184" s="69"/>
    </row>
    <row r="185" spans="13:16" x14ac:dyDescent="0.35">
      <c r="M185" s="46">
        <v>0.37401142602760057</v>
      </c>
      <c r="N185" s="46">
        <v>0</v>
      </c>
      <c r="P185" s="69"/>
    </row>
    <row r="186" spans="13:16" x14ac:dyDescent="0.35">
      <c r="M186" s="46">
        <v>0.2889279566701291</v>
      </c>
      <c r="N186" s="46">
        <v>0</v>
      </c>
      <c r="P186" s="69"/>
    </row>
    <row r="187" spans="13:16" x14ac:dyDescent="0.35">
      <c r="M187" s="46">
        <v>0.21152099718059059</v>
      </c>
      <c r="N187" s="46">
        <v>0</v>
      </c>
      <c r="P187" s="69"/>
    </row>
    <row r="188" spans="13:16" x14ac:dyDescent="0.35">
      <c r="M188" s="46">
        <v>0.15513228965721917</v>
      </c>
      <c r="N188" s="46">
        <v>0</v>
      </c>
      <c r="P188" s="69"/>
    </row>
    <row r="189" spans="13:16" x14ac:dyDescent="0.35">
      <c r="M189" s="46">
        <v>0.1355684819706188</v>
      </c>
      <c r="N189" s="46">
        <v>0</v>
      </c>
      <c r="P189" s="69"/>
    </row>
    <row r="190" spans="13:16" x14ac:dyDescent="0.35">
      <c r="M190" s="46">
        <v>0.12859786318444874</v>
      </c>
      <c r="N190" s="46">
        <v>0</v>
      </c>
      <c r="P190" s="69"/>
    </row>
    <row r="191" spans="13:16" x14ac:dyDescent="0.35">
      <c r="M191" s="46">
        <v>0.13030976405994954</v>
      </c>
      <c r="N191" s="46">
        <v>0</v>
      </c>
      <c r="P191" s="69"/>
    </row>
    <row r="192" spans="13:16" x14ac:dyDescent="0.35">
      <c r="M192" s="46">
        <v>0.14537179106692388</v>
      </c>
      <c r="N192" s="46">
        <v>0</v>
      </c>
      <c r="P192" s="69"/>
    </row>
    <row r="193" spans="13:16" x14ac:dyDescent="0.35">
      <c r="M193" s="46">
        <v>0.17764341890488203</v>
      </c>
      <c r="N193" s="46">
        <v>0</v>
      </c>
      <c r="P193" s="69"/>
    </row>
    <row r="194" spans="13:16" x14ac:dyDescent="0.35">
      <c r="M194" s="46">
        <v>0.2221888262353465</v>
      </c>
      <c r="N194" s="46">
        <v>0</v>
      </c>
      <c r="P194" s="69"/>
    </row>
    <row r="195" spans="13:16" x14ac:dyDescent="0.35">
      <c r="M195" s="46">
        <v>0.24692001780679626</v>
      </c>
      <c r="N195" s="46">
        <v>0</v>
      </c>
      <c r="P195" s="69"/>
    </row>
    <row r="196" spans="13:16" x14ac:dyDescent="0.35">
      <c r="M196" s="46">
        <v>0.27833224514022853</v>
      </c>
      <c r="N196" s="46">
        <v>0</v>
      </c>
      <c r="P196" s="69"/>
    </row>
    <row r="197" spans="13:16" x14ac:dyDescent="0.35">
      <c r="M197" s="46">
        <v>0.2931589256566256</v>
      </c>
      <c r="N197" s="46">
        <v>0</v>
      </c>
      <c r="P197" s="69"/>
    </row>
    <row r="198" spans="13:16" x14ac:dyDescent="0.35">
      <c r="M198" s="46">
        <v>0.30626161151506159</v>
      </c>
      <c r="N198" s="46">
        <v>0</v>
      </c>
      <c r="P198" s="69"/>
    </row>
    <row r="199" spans="13:16" x14ac:dyDescent="0.35">
      <c r="M199" s="46">
        <v>0.3209715091259831</v>
      </c>
      <c r="N199" s="46">
        <v>0</v>
      </c>
      <c r="P199" s="69"/>
    </row>
    <row r="200" spans="13:16" x14ac:dyDescent="0.35">
      <c r="M200" s="46">
        <v>0.32944917643567295</v>
      </c>
      <c r="N200" s="46">
        <v>0</v>
      </c>
      <c r="P200" s="69"/>
    </row>
    <row r="201" spans="13:16" x14ac:dyDescent="0.35">
      <c r="M201" s="46">
        <v>0.32942877281495775</v>
      </c>
      <c r="N201" s="46">
        <v>0</v>
      </c>
      <c r="P201" s="69"/>
    </row>
    <row r="202" spans="13:16" x14ac:dyDescent="0.35">
      <c r="M202" s="46">
        <v>0.31617250333877428</v>
      </c>
      <c r="N202" s="46">
        <v>0</v>
      </c>
      <c r="P202" s="69"/>
    </row>
    <row r="203" spans="13:16" x14ac:dyDescent="0.35">
      <c r="M203" s="46">
        <v>0.31611529900578722</v>
      </c>
      <c r="N203" s="46">
        <v>0</v>
      </c>
      <c r="P203" s="69"/>
    </row>
    <row r="204" spans="13:16" x14ac:dyDescent="0.35">
      <c r="M204" s="46">
        <v>0.37606395607656923</v>
      </c>
      <c r="N204" s="46">
        <v>0</v>
      </c>
      <c r="P204" s="69"/>
    </row>
    <row r="205" spans="13:16" x14ac:dyDescent="0.35">
      <c r="M205" s="46">
        <v>0.43700838403323933</v>
      </c>
      <c r="N205" s="46">
        <v>0</v>
      </c>
      <c r="P205" s="69"/>
    </row>
    <row r="206" spans="13:16" x14ac:dyDescent="0.35">
      <c r="M206" s="46">
        <v>0.47322955928179256</v>
      </c>
      <c r="N206" s="46">
        <v>0</v>
      </c>
      <c r="P206" s="69"/>
    </row>
    <row r="207" spans="13:16" x14ac:dyDescent="0.35">
      <c r="M207" s="46">
        <v>0.48228483454518473</v>
      </c>
      <c r="N207" s="46">
        <v>0</v>
      </c>
      <c r="P207" s="69"/>
    </row>
    <row r="208" spans="13:16" x14ac:dyDescent="0.35">
      <c r="M208" s="46">
        <v>0.46448508680813178</v>
      </c>
      <c r="N208" s="46">
        <v>0</v>
      </c>
      <c r="P208" s="69"/>
    </row>
    <row r="209" spans="13:16" x14ac:dyDescent="0.35">
      <c r="M209" s="46">
        <v>0.4042595340554978</v>
      </c>
      <c r="N209" s="46">
        <v>0</v>
      </c>
      <c r="P209" s="69"/>
    </row>
    <row r="210" spans="13:16" x14ac:dyDescent="0.35">
      <c r="M210" s="46">
        <v>0.31725055646238315</v>
      </c>
      <c r="N210" s="46">
        <v>0</v>
      </c>
      <c r="P210" s="69"/>
    </row>
    <row r="211" spans="13:16" x14ac:dyDescent="0.35">
      <c r="M211" s="46">
        <v>0.23934522926250185</v>
      </c>
      <c r="N211" s="46">
        <v>0</v>
      </c>
      <c r="P211" s="69"/>
    </row>
    <row r="212" spans="13:16" x14ac:dyDescent="0.35">
      <c r="M212" s="46">
        <v>0.18830175100163229</v>
      </c>
      <c r="N212" s="46">
        <v>0</v>
      </c>
      <c r="P212" s="69"/>
    </row>
    <row r="213" spans="13:16" x14ac:dyDescent="0.35">
      <c r="M213" s="46">
        <v>0.17828668941979522</v>
      </c>
      <c r="N213" s="46">
        <v>0</v>
      </c>
      <c r="P213" s="69"/>
    </row>
    <row r="214" spans="13:16" x14ac:dyDescent="0.35">
      <c r="M214" s="46">
        <v>0.17357783053865558</v>
      </c>
      <c r="N214" s="46">
        <v>0</v>
      </c>
      <c r="P214" s="69"/>
    </row>
    <row r="215" spans="13:16" x14ac:dyDescent="0.35">
      <c r="M215" s="46">
        <v>0.16524284018400356</v>
      </c>
      <c r="N215" s="46">
        <v>0</v>
      </c>
      <c r="P215" s="69"/>
    </row>
    <row r="216" spans="13:16" x14ac:dyDescent="0.35">
      <c r="M216" s="46">
        <v>0.15684203887817183</v>
      </c>
      <c r="N216" s="46">
        <v>0</v>
      </c>
      <c r="P216" s="69"/>
    </row>
    <row r="217" spans="13:16" x14ac:dyDescent="0.35">
      <c r="M217" s="46">
        <v>0.14548657070782015</v>
      </c>
      <c r="N217" s="46">
        <v>0</v>
      </c>
      <c r="P217" s="69"/>
    </row>
    <row r="218" spans="13:16" x14ac:dyDescent="0.35">
      <c r="M218" s="46">
        <v>0.14353353613295741</v>
      </c>
      <c r="N218" s="46">
        <v>0</v>
      </c>
      <c r="P218" s="69"/>
    </row>
    <row r="219" spans="13:16" x14ac:dyDescent="0.35">
      <c r="M219" s="46">
        <v>0.13470218133254191</v>
      </c>
      <c r="N219" s="46">
        <v>0</v>
      </c>
      <c r="P219" s="69"/>
    </row>
    <row r="220" spans="13:16" x14ac:dyDescent="0.35">
      <c r="M220" s="46">
        <v>0.12916552901023892</v>
      </c>
      <c r="N220" s="46">
        <v>0</v>
      </c>
      <c r="P220" s="69"/>
    </row>
    <row r="221" spans="13:16" x14ac:dyDescent="0.35">
      <c r="M221" s="46">
        <v>0.12043990206262056</v>
      </c>
      <c r="N221" s="46">
        <v>0</v>
      </c>
      <c r="P221" s="69"/>
    </row>
    <row r="222" spans="13:16" x14ac:dyDescent="0.35">
      <c r="M222" s="46">
        <v>0.11492973734975515</v>
      </c>
      <c r="N222" s="46">
        <v>0</v>
      </c>
      <c r="P222" s="69"/>
    </row>
    <row r="223" spans="13:16" x14ac:dyDescent="0.35">
      <c r="M223" s="46">
        <v>0.10366144828609584</v>
      </c>
      <c r="N223" s="46">
        <v>0</v>
      </c>
      <c r="P223" s="69"/>
    </row>
    <row r="224" spans="13:16" x14ac:dyDescent="0.35">
      <c r="M224" s="46">
        <v>9.0887001038729778E-2</v>
      </c>
      <c r="N224" s="46">
        <v>0</v>
      </c>
      <c r="P224" s="69"/>
    </row>
    <row r="225" spans="13:16" x14ac:dyDescent="0.35">
      <c r="M225" s="46">
        <v>7.8898427066330323E-2</v>
      </c>
      <c r="N225" s="46">
        <v>0</v>
      </c>
      <c r="P225" s="69"/>
    </row>
    <row r="226" spans="13:16" x14ac:dyDescent="0.35">
      <c r="M226" s="46">
        <v>7.3566404511055047E-2</v>
      </c>
      <c r="N226" s="46">
        <v>0</v>
      </c>
      <c r="P226" s="69"/>
    </row>
    <row r="227" spans="13:16" x14ac:dyDescent="0.35">
      <c r="M227" s="46">
        <v>0.10961893456002374</v>
      </c>
      <c r="N227" s="46">
        <v>0</v>
      </c>
      <c r="P227" s="69"/>
    </row>
    <row r="228" spans="13:16" x14ac:dyDescent="0.35">
      <c r="M228" s="46">
        <v>0.21030323490132069</v>
      </c>
      <c r="N228" s="46">
        <v>0</v>
      </c>
      <c r="P228" s="69"/>
    </row>
    <row r="229" spans="13:16" x14ac:dyDescent="0.35">
      <c r="M229" s="46">
        <v>0.32178483454518469</v>
      </c>
      <c r="N229" s="46">
        <v>0</v>
      </c>
      <c r="P229" s="69"/>
    </row>
    <row r="230" spans="13:16" x14ac:dyDescent="0.35">
      <c r="M230" s="46">
        <v>0.389182890636593</v>
      </c>
      <c r="N230" s="46">
        <v>0</v>
      </c>
      <c r="P230" s="69"/>
    </row>
    <row r="231" spans="13:16" x14ac:dyDescent="0.35">
      <c r="M231" s="46">
        <v>0.41921479447989313</v>
      </c>
      <c r="N231" s="46">
        <v>0</v>
      </c>
      <c r="P231" s="69"/>
    </row>
    <row r="232" spans="13:16" x14ac:dyDescent="0.35">
      <c r="M232" s="46">
        <v>0.42958769847158335</v>
      </c>
      <c r="N232" s="46">
        <v>0</v>
      </c>
      <c r="P232" s="69"/>
    </row>
    <row r="233" spans="13:16" x14ac:dyDescent="0.35">
      <c r="M233" s="46">
        <v>0.42806217539694313</v>
      </c>
      <c r="N233" s="46">
        <v>0</v>
      </c>
      <c r="P233" s="69"/>
    </row>
    <row r="234" spans="13:16" x14ac:dyDescent="0.35">
      <c r="M234" s="46">
        <v>0.38541185635851016</v>
      </c>
      <c r="N234" s="46">
        <v>0</v>
      </c>
      <c r="P234" s="69"/>
    </row>
    <row r="235" spans="13:16" x14ac:dyDescent="0.35">
      <c r="M235" s="46">
        <v>0.33567680664787064</v>
      </c>
      <c r="N235" s="46">
        <v>0</v>
      </c>
      <c r="P235" s="69"/>
    </row>
    <row r="236" spans="13:16" x14ac:dyDescent="0.35">
      <c r="M236" s="46">
        <v>0.31843634070336846</v>
      </c>
      <c r="N236" s="46">
        <v>0</v>
      </c>
      <c r="P236" s="69"/>
    </row>
    <row r="237" spans="13:16" x14ac:dyDescent="0.35">
      <c r="M237" s="46">
        <v>0.34735828757975956</v>
      </c>
      <c r="N237" s="46">
        <v>0</v>
      </c>
      <c r="P237" s="69"/>
    </row>
    <row r="238" spans="13:16" x14ac:dyDescent="0.35">
      <c r="M238" s="46">
        <v>0.37665069001335505</v>
      </c>
      <c r="N238" s="46">
        <v>0</v>
      </c>
      <c r="P238" s="69"/>
    </row>
    <row r="239" spans="13:16" x14ac:dyDescent="0.35">
      <c r="M239" s="46">
        <v>0.39898716426769548</v>
      </c>
      <c r="N239" s="46">
        <v>0</v>
      </c>
      <c r="P239" s="69"/>
    </row>
    <row r="240" spans="13:16" x14ac:dyDescent="0.35">
      <c r="M240" s="46">
        <v>0.41210060839887225</v>
      </c>
      <c r="N240" s="46">
        <v>0</v>
      </c>
      <c r="P240" s="69"/>
    </row>
    <row r="241" spans="13:16" x14ac:dyDescent="0.35">
      <c r="M241" s="46">
        <v>0.41879062175396942</v>
      </c>
      <c r="N241" s="46">
        <v>0</v>
      </c>
      <c r="P241" s="69"/>
    </row>
    <row r="242" spans="13:16" x14ac:dyDescent="0.35">
      <c r="M242" s="46">
        <v>0.43791808873720139</v>
      </c>
      <c r="N242" s="46">
        <v>0</v>
      </c>
      <c r="P242" s="69"/>
    </row>
    <row r="243" spans="13:16" x14ac:dyDescent="0.35">
      <c r="M243" s="46">
        <v>0.44818622941089187</v>
      </c>
      <c r="N243" s="46">
        <v>0</v>
      </c>
      <c r="P243" s="69"/>
    </row>
    <row r="244" spans="13:16" x14ac:dyDescent="0.35">
      <c r="M244" s="46">
        <v>0.45937557501112924</v>
      </c>
      <c r="N244" s="46">
        <v>0</v>
      </c>
      <c r="P244" s="69"/>
    </row>
    <row r="245" spans="13:16" x14ac:dyDescent="0.35">
      <c r="M245" s="46">
        <v>0.4740316070633625</v>
      </c>
      <c r="N245" s="46">
        <v>0</v>
      </c>
      <c r="P245" s="69"/>
    </row>
    <row r="246" spans="13:16" x14ac:dyDescent="0.35">
      <c r="M246" s="46">
        <v>0.47418407775634364</v>
      </c>
      <c r="N246" s="46">
        <v>0</v>
      </c>
      <c r="P246" s="69"/>
    </row>
    <row r="247" spans="13:16" x14ac:dyDescent="0.35">
      <c r="M247" s="46">
        <v>0.45581147054459115</v>
      </c>
      <c r="N247" s="46">
        <v>0</v>
      </c>
      <c r="P247" s="69"/>
    </row>
    <row r="248" spans="13:16" x14ac:dyDescent="0.35">
      <c r="M248" s="46">
        <v>0.43889605282682886</v>
      </c>
      <c r="N248" s="46">
        <v>0</v>
      </c>
      <c r="P248" s="69"/>
    </row>
    <row r="249" spans="13:16" x14ac:dyDescent="0.35">
      <c r="M249" s="46">
        <v>0.41078320225552756</v>
      </c>
      <c r="N249" s="46">
        <v>0</v>
      </c>
      <c r="P249" s="69"/>
    </row>
    <row r="250" spans="13:16" x14ac:dyDescent="0.35">
      <c r="M250" s="46">
        <v>0.38233447098976109</v>
      </c>
      <c r="N250" s="46">
        <v>0</v>
      </c>
      <c r="P250" s="69"/>
    </row>
    <row r="251" spans="13:16" x14ac:dyDescent="0.35">
      <c r="M251" s="46">
        <v>0.37650341296928325</v>
      </c>
      <c r="N251" s="46">
        <v>0</v>
      </c>
      <c r="P251" s="69"/>
    </row>
    <row r="252" spans="13:16" x14ac:dyDescent="0.35">
      <c r="M252" s="46">
        <v>0.4102932185784241</v>
      </c>
      <c r="N252" s="46">
        <v>0</v>
      </c>
      <c r="P252" s="69"/>
    </row>
    <row r="253" spans="13:16" x14ac:dyDescent="0.35">
      <c r="M253" s="46">
        <v>0.46040028194094079</v>
      </c>
      <c r="N253" s="46">
        <v>0</v>
      </c>
      <c r="P253" s="69"/>
    </row>
    <row r="254" spans="13:16" x14ac:dyDescent="0.35">
      <c r="M254" s="46">
        <v>0.51982875797596084</v>
      </c>
      <c r="N254" s="46">
        <v>0</v>
      </c>
      <c r="P254" s="69"/>
    </row>
    <row r="255" spans="13:16" x14ac:dyDescent="0.35">
      <c r="M255" s="46">
        <v>0.57444012464757388</v>
      </c>
      <c r="N255" s="46">
        <v>0</v>
      </c>
      <c r="P255" s="69"/>
    </row>
    <row r="256" spans="13:16" x14ac:dyDescent="0.35">
      <c r="M256" s="46">
        <v>0.60888648167383885</v>
      </c>
      <c r="N256" s="46">
        <v>0</v>
      </c>
      <c r="P256" s="69"/>
    </row>
    <row r="257" spans="13:16" x14ac:dyDescent="0.35">
      <c r="M257" s="46">
        <v>0.61337913637038133</v>
      </c>
      <c r="N257" s="46">
        <v>0</v>
      </c>
      <c r="P257" s="69"/>
    </row>
    <row r="258" spans="13:16" x14ac:dyDescent="0.35">
      <c r="M258" s="46">
        <v>0.59445889597863188</v>
      </c>
      <c r="N258" s="46">
        <v>0</v>
      </c>
      <c r="P258" s="69"/>
    </row>
    <row r="259" spans="13:16" x14ac:dyDescent="0.35">
      <c r="M259" s="46">
        <v>0.56134478409259536</v>
      </c>
      <c r="N259" s="46">
        <v>0</v>
      </c>
      <c r="P259" s="69"/>
    </row>
    <row r="260" spans="13:16" x14ac:dyDescent="0.35">
      <c r="M260" s="46">
        <v>0.54921702032942576</v>
      </c>
      <c r="N260" s="46">
        <v>0</v>
      </c>
      <c r="P260" s="69"/>
    </row>
    <row r="261" spans="13:16" x14ac:dyDescent="0.35">
      <c r="M261" s="46">
        <v>0.54999028045704113</v>
      </c>
      <c r="N261" s="46">
        <v>0</v>
      </c>
      <c r="P261" s="69"/>
    </row>
    <row r="262" spans="13:16" x14ac:dyDescent="0.35">
      <c r="M262" s="46">
        <v>0.54398352871345901</v>
      </c>
      <c r="N262" s="46">
        <v>0</v>
      </c>
      <c r="P262" s="69"/>
    </row>
    <row r="263" spans="13:16" x14ac:dyDescent="0.35">
      <c r="M263" s="46">
        <v>0.52923690458525008</v>
      </c>
      <c r="N263" s="46">
        <v>0</v>
      </c>
      <c r="P263" s="69"/>
    </row>
    <row r="264" spans="13:16" x14ac:dyDescent="0.35">
      <c r="M264" s="46">
        <v>0.4978324677251818</v>
      </c>
      <c r="N264" s="46">
        <v>0</v>
      </c>
      <c r="P264" s="69"/>
    </row>
    <row r="265" spans="13:16" x14ac:dyDescent="0.35">
      <c r="M265" s="46">
        <v>0.46865751595192162</v>
      </c>
      <c r="N265" s="46">
        <v>0</v>
      </c>
      <c r="P265" s="69"/>
    </row>
    <row r="266" spans="13:16" x14ac:dyDescent="0.35">
      <c r="M266" s="46">
        <v>0.46505408814364146</v>
      </c>
      <c r="N266" s="46">
        <v>0</v>
      </c>
      <c r="P266" s="69"/>
    </row>
    <row r="267" spans="13:16" x14ac:dyDescent="0.35">
      <c r="M267" s="46">
        <v>0.4884407924024336</v>
      </c>
      <c r="N267" s="46">
        <v>0</v>
      </c>
      <c r="P267" s="69"/>
    </row>
    <row r="268" spans="13:16" x14ac:dyDescent="0.35">
      <c r="M268" s="46">
        <v>0.52480078646683481</v>
      </c>
      <c r="N268" s="46">
        <v>0</v>
      </c>
      <c r="P268" s="69"/>
    </row>
    <row r="269" spans="13:16" x14ac:dyDescent="0.35">
      <c r="M269" s="46">
        <v>0.55229907998219319</v>
      </c>
      <c r="N269" s="46">
        <v>0</v>
      </c>
      <c r="P269" s="69"/>
    </row>
    <row r="270" spans="13:16" x14ac:dyDescent="0.35">
      <c r="M270" s="46">
        <v>0.57850489686897166</v>
      </c>
      <c r="N270" s="46">
        <v>0</v>
      </c>
      <c r="P270" s="69"/>
    </row>
    <row r="271" spans="13:16" x14ac:dyDescent="0.35">
      <c r="M271" s="46">
        <v>0.59743589553346199</v>
      </c>
      <c r="N271" s="46">
        <v>0</v>
      </c>
      <c r="P271" s="69"/>
    </row>
    <row r="272" spans="13:16" x14ac:dyDescent="0.35">
      <c r="M272" s="46">
        <v>0.611406885294554</v>
      </c>
      <c r="N272" s="46">
        <v>0</v>
      </c>
      <c r="P272" s="69"/>
    </row>
    <row r="273" spans="13:16" x14ac:dyDescent="0.35">
      <c r="M273" s="46">
        <v>0.62269008755008159</v>
      </c>
      <c r="N273" s="46">
        <v>0</v>
      </c>
      <c r="P273" s="69"/>
    </row>
    <row r="274" spans="13:16" x14ac:dyDescent="0.35">
      <c r="M274" s="46">
        <v>0.63067584211307315</v>
      </c>
      <c r="N274" s="46">
        <v>0</v>
      </c>
      <c r="P274" s="69"/>
    </row>
    <row r="275" spans="13:16" x14ac:dyDescent="0.35">
      <c r="M275" s="46">
        <v>0.65597633179997028</v>
      </c>
      <c r="N275" s="46">
        <v>0</v>
      </c>
      <c r="P275" s="69"/>
    </row>
    <row r="276" spans="13:16" x14ac:dyDescent="0.35">
      <c r="M276" s="46">
        <v>0.73731399317406143</v>
      </c>
      <c r="N276" s="46">
        <v>0</v>
      </c>
      <c r="P276" s="69"/>
    </row>
    <row r="277" spans="13:16" x14ac:dyDescent="0.35">
      <c r="M277" s="46">
        <v>0.82646379284760352</v>
      </c>
      <c r="N277" s="46">
        <v>0</v>
      </c>
      <c r="P277" s="69"/>
    </row>
    <row r="278" spans="13:16" x14ac:dyDescent="0.35">
      <c r="M278" s="46">
        <v>0.91188232675471137</v>
      </c>
      <c r="N278" s="46">
        <v>0</v>
      </c>
      <c r="P278" s="69"/>
    </row>
    <row r="279" spans="13:16" x14ac:dyDescent="0.35">
      <c r="M279" s="46">
        <v>0.96759853093930848</v>
      </c>
      <c r="N279" s="46">
        <v>0</v>
      </c>
      <c r="P279" s="69"/>
    </row>
    <row r="280" spans="13:16" x14ac:dyDescent="0.35">
      <c r="M280" s="46">
        <v>0.96687275560172137</v>
      </c>
      <c r="N280" s="46">
        <v>0</v>
      </c>
      <c r="P280" s="69"/>
    </row>
    <row r="281" spans="13:16" x14ac:dyDescent="0.35">
      <c r="M281" s="46">
        <v>0.87906566256121088</v>
      </c>
      <c r="N281" s="46">
        <v>0</v>
      </c>
      <c r="P281" s="69"/>
    </row>
    <row r="282" spans="13:16" x14ac:dyDescent="0.35">
      <c r="M282" s="46">
        <v>0.7703930108324677</v>
      </c>
      <c r="N282" s="46">
        <v>0</v>
      </c>
      <c r="P282" s="69"/>
    </row>
    <row r="283" spans="13:16" x14ac:dyDescent="0.35">
      <c r="M283" s="46">
        <v>0.66311255379136369</v>
      </c>
      <c r="N283" s="46">
        <v>0</v>
      </c>
      <c r="P283" s="69"/>
    </row>
    <row r="284" spans="13:16" x14ac:dyDescent="0.35">
      <c r="M284" s="46">
        <v>0.59370032645793147</v>
      </c>
      <c r="N284" s="46">
        <v>0</v>
      </c>
      <c r="P284" s="69"/>
    </row>
    <row r="285" spans="13:16" x14ac:dyDescent="0.35">
      <c r="M285" s="46">
        <v>0.58404577830538662</v>
      </c>
      <c r="N285" s="46">
        <v>0</v>
      </c>
      <c r="P285" s="69"/>
    </row>
    <row r="286" spans="13:16" x14ac:dyDescent="0.35">
      <c r="M286" s="46">
        <v>0.57425359845674429</v>
      </c>
      <c r="N286" s="46">
        <v>0</v>
      </c>
      <c r="P286" s="69"/>
    </row>
    <row r="287" spans="13:16" x14ac:dyDescent="0.35">
      <c r="M287" s="46">
        <v>0.55320462976702778</v>
      </c>
      <c r="N287" s="46">
        <v>0</v>
      </c>
      <c r="P287" s="69"/>
    </row>
    <row r="288" spans="13:16" x14ac:dyDescent="0.35">
      <c r="M288" s="46">
        <v>0.52630598011574414</v>
      </c>
      <c r="N288" s="46">
        <v>0</v>
      </c>
      <c r="P288" s="69"/>
    </row>
    <row r="289" spans="13:16" x14ac:dyDescent="0.35">
      <c r="M289" s="46">
        <v>0.48884248404807834</v>
      </c>
      <c r="N289" s="46">
        <v>0</v>
      </c>
      <c r="P289" s="69"/>
    </row>
    <row r="290" spans="13:16" x14ac:dyDescent="0.35">
      <c r="M290" s="46">
        <v>0.45912093782460306</v>
      </c>
      <c r="N290" s="46">
        <v>0</v>
      </c>
      <c r="P290" s="69"/>
    </row>
    <row r="291" spans="13:16" x14ac:dyDescent="0.35">
      <c r="M291" s="46">
        <v>0.44754206855616557</v>
      </c>
      <c r="N291" s="46">
        <v>0</v>
      </c>
      <c r="P291" s="69"/>
    </row>
    <row r="292" spans="13:16" x14ac:dyDescent="0.35">
      <c r="M292" s="46">
        <v>0.44399361923133995</v>
      </c>
      <c r="N292" s="46">
        <v>0</v>
      </c>
      <c r="P292" s="69"/>
    </row>
    <row r="293" spans="13:16" x14ac:dyDescent="0.35">
      <c r="M293" s="46">
        <v>0.43204867190977891</v>
      </c>
      <c r="N293" s="46">
        <v>0</v>
      </c>
      <c r="P293" s="69"/>
    </row>
    <row r="294" spans="13:16" x14ac:dyDescent="0.35">
      <c r="M294" s="46">
        <v>0.40472065588366224</v>
      </c>
      <c r="N294" s="46">
        <v>0</v>
      </c>
      <c r="P294" s="69"/>
    </row>
    <row r="295" spans="13:16" x14ac:dyDescent="0.35">
      <c r="M295" s="46">
        <v>0.39316597418014543</v>
      </c>
      <c r="N295" s="46">
        <v>0</v>
      </c>
      <c r="P295" s="69"/>
    </row>
    <row r="296" spans="13:16" x14ac:dyDescent="0.35">
      <c r="M296" s="46">
        <v>0.39198887075233713</v>
      </c>
      <c r="N296" s="46">
        <v>0</v>
      </c>
      <c r="P296" s="69"/>
    </row>
    <row r="297" spans="13:16" x14ac:dyDescent="0.35">
      <c r="M297" s="46">
        <v>0.40248931592224368</v>
      </c>
      <c r="N297" s="46">
        <v>0</v>
      </c>
      <c r="P297" s="69"/>
    </row>
    <row r="298" spans="13:16" x14ac:dyDescent="0.35">
      <c r="M298" s="46">
        <v>0.41748323193352127</v>
      </c>
      <c r="N298" s="46">
        <v>0</v>
      </c>
      <c r="P298" s="69"/>
    </row>
    <row r="299" spans="13:16" x14ac:dyDescent="0.35">
      <c r="M299" s="46">
        <v>0.47122547855764946</v>
      </c>
      <c r="N299" s="46">
        <v>0</v>
      </c>
      <c r="P299" s="69"/>
    </row>
    <row r="300" spans="13:16" x14ac:dyDescent="0.35">
      <c r="M300" s="46">
        <v>0.56259304051046144</v>
      </c>
      <c r="N300" s="46">
        <v>0</v>
      </c>
      <c r="P300" s="69"/>
    </row>
    <row r="301" spans="13:16" x14ac:dyDescent="0.35">
      <c r="M301" s="46">
        <v>0.63762746698323192</v>
      </c>
      <c r="N301" s="46">
        <v>0</v>
      </c>
      <c r="P301" s="69"/>
    </row>
    <row r="302" spans="13:16" x14ac:dyDescent="0.35">
      <c r="M302" s="46">
        <v>0.70913585101647125</v>
      </c>
      <c r="N302" s="46">
        <v>0</v>
      </c>
      <c r="P302" s="69"/>
    </row>
    <row r="303" spans="13:16" x14ac:dyDescent="0.35">
      <c r="M303" s="46">
        <v>0.77084738091704996</v>
      </c>
      <c r="N303" s="46">
        <v>0</v>
      </c>
      <c r="P303" s="69"/>
    </row>
    <row r="304" spans="13:16" x14ac:dyDescent="0.35">
      <c r="M304" s="46">
        <v>0.79497061878617004</v>
      </c>
      <c r="N304" s="46">
        <v>0</v>
      </c>
      <c r="P304" s="69"/>
    </row>
    <row r="305" spans="13:16" x14ac:dyDescent="0.35">
      <c r="M305" s="46">
        <v>0.77015217391304358</v>
      </c>
      <c r="N305" s="46">
        <v>0</v>
      </c>
      <c r="P305" s="69"/>
    </row>
    <row r="306" spans="13:16" x14ac:dyDescent="0.35">
      <c r="M306" s="46">
        <v>0.7119309244695059</v>
      </c>
      <c r="N306" s="46">
        <v>0</v>
      </c>
      <c r="P306" s="69"/>
    </row>
    <row r="307" spans="13:16" x14ac:dyDescent="0.35">
      <c r="M307" s="46">
        <v>0.65616426769550373</v>
      </c>
      <c r="N307" s="46">
        <v>0</v>
      </c>
      <c r="P307" s="69"/>
    </row>
    <row r="308" spans="13:16" x14ac:dyDescent="0.35">
      <c r="M308" s="46">
        <v>0.63375997922540428</v>
      </c>
      <c r="N308" s="46">
        <v>0</v>
      </c>
      <c r="P308" s="69"/>
    </row>
    <row r="309" spans="13:16" x14ac:dyDescent="0.35">
      <c r="M309" s="46">
        <v>0.63610268585843599</v>
      </c>
      <c r="N309" s="46">
        <v>0</v>
      </c>
      <c r="P309" s="69"/>
    </row>
    <row r="310" spans="13:16" x14ac:dyDescent="0.35">
      <c r="M310" s="46">
        <v>0.63812472176880841</v>
      </c>
      <c r="N310" s="46">
        <v>0</v>
      </c>
      <c r="P310" s="69"/>
    </row>
    <row r="311" spans="13:16" x14ac:dyDescent="0.35">
      <c r="M311" s="46">
        <v>0.63549859029529598</v>
      </c>
      <c r="N311" s="46">
        <v>0</v>
      </c>
      <c r="P311" s="69"/>
    </row>
    <row r="312" spans="13:16" x14ac:dyDescent="0.35">
      <c r="M312" s="46">
        <v>0.62274091111440866</v>
      </c>
      <c r="N312" s="46">
        <v>0</v>
      </c>
      <c r="P312" s="69"/>
    </row>
    <row r="313" spans="13:16" x14ac:dyDescent="0.35">
      <c r="M313" s="46">
        <v>0.60645763466389668</v>
      </c>
      <c r="N313" s="46">
        <v>0</v>
      </c>
      <c r="P313" s="69"/>
    </row>
    <row r="314" spans="13:16" x14ac:dyDescent="0.35">
      <c r="M314" s="46">
        <v>0.59285791660483744</v>
      </c>
      <c r="N314" s="46">
        <v>0</v>
      </c>
      <c r="P314" s="69"/>
    </row>
    <row r="315" spans="13:16" x14ac:dyDescent="0.35">
      <c r="M315" s="46">
        <v>0.56877400207745954</v>
      </c>
      <c r="N315" s="46">
        <v>0</v>
      </c>
      <c r="P315" s="69"/>
    </row>
    <row r="316" spans="13:16" x14ac:dyDescent="0.35">
      <c r="M316" s="46">
        <v>0.54592773408517581</v>
      </c>
      <c r="N316" s="46">
        <v>0</v>
      </c>
      <c r="P316" s="69"/>
    </row>
    <row r="317" spans="13:16" x14ac:dyDescent="0.35">
      <c r="M317" s="46">
        <v>0.52115365781273193</v>
      </c>
      <c r="N317" s="46">
        <v>0</v>
      </c>
      <c r="P317" s="69"/>
    </row>
    <row r="318" spans="13:16" x14ac:dyDescent="0.35">
      <c r="M318" s="46">
        <v>0.50635131325122418</v>
      </c>
      <c r="N318" s="46">
        <v>0</v>
      </c>
      <c r="P318" s="69"/>
    </row>
    <row r="319" spans="13:16" x14ac:dyDescent="0.35">
      <c r="M319" s="46">
        <v>0.49741155957857253</v>
      </c>
      <c r="N319" s="46">
        <v>0</v>
      </c>
      <c r="P319" s="69"/>
    </row>
    <row r="320" spans="13:16" x14ac:dyDescent="0.35">
      <c r="M320" s="46">
        <v>0.49334003561359252</v>
      </c>
      <c r="N320" s="46">
        <v>0</v>
      </c>
      <c r="P320" s="69"/>
    </row>
    <row r="321" spans="13:16" x14ac:dyDescent="0.35">
      <c r="M321" s="46">
        <v>0.47619372310431818</v>
      </c>
      <c r="N321" s="46">
        <v>0</v>
      </c>
      <c r="P321" s="69"/>
    </row>
    <row r="322" spans="13:16" x14ac:dyDescent="0.35">
      <c r="M322" s="46">
        <v>0.44443515358361774</v>
      </c>
      <c r="N322" s="46">
        <v>0</v>
      </c>
      <c r="P322" s="69"/>
    </row>
    <row r="323" spans="13:16" x14ac:dyDescent="0.35">
      <c r="M323" s="46">
        <v>0.43366411930553495</v>
      </c>
      <c r="N323" s="46">
        <v>0</v>
      </c>
      <c r="P323" s="69"/>
    </row>
    <row r="324" spans="13:16" x14ac:dyDescent="0.35">
      <c r="M324" s="46">
        <v>0.47495303457486276</v>
      </c>
      <c r="N324" s="46">
        <v>0</v>
      </c>
      <c r="P324" s="69"/>
    </row>
    <row r="325" spans="13:16" x14ac:dyDescent="0.35">
      <c r="M325" s="46">
        <v>0.54251736162635411</v>
      </c>
      <c r="N325" s="46">
        <v>0</v>
      </c>
      <c r="P325" s="69"/>
    </row>
    <row r="326" spans="13:16" x14ac:dyDescent="0.35">
      <c r="M326" s="46">
        <v>0.59279336696839291</v>
      </c>
      <c r="N326" s="46">
        <v>0</v>
      </c>
      <c r="P326" s="69"/>
    </row>
    <row r="327" spans="13:16" x14ac:dyDescent="0.35">
      <c r="M327" s="46">
        <v>0.6354790028194095</v>
      </c>
      <c r="N327" s="46">
        <v>0</v>
      </c>
      <c r="P327" s="69"/>
    </row>
    <row r="328" spans="13:16" x14ac:dyDescent="0.35">
      <c r="M328" s="46">
        <v>0.65761804422021075</v>
      </c>
      <c r="N328" s="46">
        <v>0</v>
      </c>
      <c r="P328" s="69"/>
    </row>
    <row r="329" spans="13:16" x14ac:dyDescent="0.35">
      <c r="M329" s="46">
        <v>0.67777207300786468</v>
      </c>
      <c r="N329" s="46">
        <v>0</v>
      </c>
      <c r="P329" s="69"/>
    </row>
    <row r="330" spans="13:16" x14ac:dyDescent="0.35">
      <c r="M330" s="46">
        <v>0.69455965276747289</v>
      </c>
      <c r="N330" s="46">
        <v>0</v>
      </c>
      <c r="P330" s="69"/>
    </row>
    <row r="331" spans="13:16" x14ac:dyDescent="0.35">
      <c r="M331" s="46">
        <v>0.69396475738240093</v>
      </c>
      <c r="N331" s="46">
        <v>0</v>
      </c>
      <c r="P331" s="69"/>
    </row>
    <row r="332" spans="13:16" x14ac:dyDescent="0.35">
      <c r="M332" s="46">
        <v>0.65002366820002966</v>
      </c>
      <c r="N332" s="46">
        <v>0</v>
      </c>
      <c r="P332" s="69"/>
    </row>
    <row r="333" spans="13:16" x14ac:dyDescent="0.35">
      <c r="M333" s="46">
        <v>0.65515009645347966</v>
      </c>
      <c r="N333" s="46">
        <v>0</v>
      </c>
      <c r="P333" s="69"/>
    </row>
    <row r="334" spans="13:16" x14ac:dyDescent="0.35">
      <c r="M334" s="46">
        <v>0.65681391897907704</v>
      </c>
      <c r="N334" s="46">
        <v>0</v>
      </c>
      <c r="P334" s="69"/>
    </row>
    <row r="335" spans="13:16" x14ac:dyDescent="0.35">
      <c r="M335" s="46">
        <v>0.65174387891378538</v>
      </c>
      <c r="N335" s="46">
        <v>0</v>
      </c>
      <c r="P335" s="69"/>
    </row>
    <row r="336" spans="13:16" x14ac:dyDescent="0.35">
      <c r="M336" s="46">
        <v>0.6405547558985013</v>
      </c>
      <c r="N336" s="46">
        <v>0</v>
      </c>
      <c r="P336" s="69"/>
    </row>
    <row r="337" spans="13:16" x14ac:dyDescent="0.35">
      <c r="M337" s="46">
        <v>0.63079232823861109</v>
      </c>
      <c r="N337" s="46">
        <v>0</v>
      </c>
      <c r="P337" s="69"/>
    </row>
    <row r="338" spans="13:16" x14ac:dyDescent="0.35">
      <c r="M338" s="46">
        <v>0.62397002522629474</v>
      </c>
      <c r="N338" s="46">
        <v>0</v>
      </c>
      <c r="P338" s="69"/>
    </row>
    <row r="339" spans="13:16" x14ac:dyDescent="0.35">
      <c r="M339" s="46">
        <v>0.61575293070188453</v>
      </c>
      <c r="N339" s="46">
        <v>0</v>
      </c>
    </row>
    <row r="340" spans="13:16" x14ac:dyDescent="0.35">
      <c r="M340" s="46">
        <v>0.61157597566404509</v>
      </c>
      <c r="N340" s="46">
        <v>0</v>
      </c>
    </row>
    <row r="341" spans="13:16" x14ac:dyDescent="0.35">
      <c r="M341" s="46">
        <v>0.6038117673245289</v>
      </c>
      <c r="N341" s="46">
        <v>0</v>
      </c>
    </row>
    <row r="342" spans="13:16" x14ac:dyDescent="0.35">
      <c r="M342" s="46">
        <v>0.58563718652619079</v>
      </c>
      <c r="N342" s="46">
        <v>0</v>
      </c>
    </row>
    <row r="343" spans="13:16" x14ac:dyDescent="0.35">
      <c r="M343" s="46">
        <v>0.56621249443537613</v>
      </c>
      <c r="N343" s="46">
        <v>0</v>
      </c>
    </row>
    <row r="344" spans="13:16" x14ac:dyDescent="0.35">
      <c r="M344" s="46">
        <v>0.54169201661967648</v>
      </c>
      <c r="N344" s="46">
        <v>0</v>
      </c>
    </row>
    <row r="345" spans="13:16" x14ac:dyDescent="0.35">
      <c r="M345" s="46">
        <v>0.52296468318741651</v>
      </c>
      <c r="N345" s="46">
        <v>0</v>
      </c>
    </row>
    <row r="346" spans="13:16" x14ac:dyDescent="0.35">
      <c r="M346" s="46">
        <v>0.50107545629915418</v>
      </c>
      <c r="N346" s="46">
        <v>0</v>
      </c>
    </row>
    <row r="347" spans="13:16" x14ac:dyDescent="0.35">
      <c r="M347" s="46">
        <v>0.51586362961863785</v>
      </c>
      <c r="N347" s="46">
        <v>0</v>
      </c>
    </row>
    <row r="348" spans="13:16" x14ac:dyDescent="0.35">
      <c r="M348" s="46">
        <v>0.61640317554533308</v>
      </c>
      <c r="N348" s="46">
        <v>0</v>
      </c>
    </row>
    <row r="349" spans="13:16" x14ac:dyDescent="0.35">
      <c r="M349" s="46">
        <v>0.71449436118118415</v>
      </c>
      <c r="N349" s="46">
        <v>0</v>
      </c>
    </row>
    <row r="350" spans="13:16" x14ac:dyDescent="0.35">
      <c r="M350" s="46">
        <v>0.75681050600979372</v>
      </c>
      <c r="N350" s="46">
        <v>0</v>
      </c>
    </row>
    <row r="351" spans="13:16" x14ac:dyDescent="0.35">
      <c r="M351" s="46">
        <v>0.76382571598159965</v>
      </c>
      <c r="N351" s="46">
        <v>0</v>
      </c>
    </row>
    <row r="352" spans="13:16" x14ac:dyDescent="0.35">
      <c r="M352" s="46">
        <v>0.73105089775931142</v>
      </c>
      <c r="N352" s="46">
        <v>0</v>
      </c>
    </row>
    <row r="353" spans="13:14" x14ac:dyDescent="0.35">
      <c r="M353" s="46">
        <v>0.69131903843300191</v>
      </c>
      <c r="N353" s="46">
        <v>0</v>
      </c>
    </row>
    <row r="354" spans="13:14" x14ac:dyDescent="0.35">
      <c r="M354" s="46">
        <v>0.64502722955928182</v>
      </c>
      <c r="N354" s="46">
        <v>0</v>
      </c>
    </row>
    <row r="355" spans="13:14" x14ac:dyDescent="0.35">
      <c r="M355" s="46">
        <v>0.57076710194390856</v>
      </c>
      <c r="N355" s="46">
        <v>0</v>
      </c>
    </row>
    <row r="356" spans="13:14" x14ac:dyDescent="0.35">
      <c r="M356" s="46">
        <v>0.50571115892565666</v>
      </c>
      <c r="N356" s="46">
        <v>0</v>
      </c>
    </row>
    <row r="357" spans="13:14" x14ac:dyDescent="0.35">
      <c r="M357" s="46">
        <v>0.50523727556017206</v>
      </c>
      <c r="N357" s="46">
        <v>0</v>
      </c>
    </row>
    <row r="358" spans="13:14" x14ac:dyDescent="0.35">
      <c r="M358" s="46">
        <v>0.51314542216946135</v>
      </c>
      <c r="N358" s="46">
        <v>0</v>
      </c>
    </row>
    <row r="359" spans="13:14" x14ac:dyDescent="0.35">
      <c r="M359" s="46">
        <v>0.51806551417124203</v>
      </c>
      <c r="N359" s="46">
        <v>0</v>
      </c>
    </row>
    <row r="360" spans="13:14" x14ac:dyDescent="0.35">
      <c r="M360" s="46">
        <v>0.50630627689568186</v>
      </c>
      <c r="N360" s="46">
        <v>0</v>
      </c>
    </row>
    <row r="361" spans="13:14" x14ac:dyDescent="0.35">
      <c r="M361" s="46">
        <v>0.50163763169609732</v>
      </c>
      <c r="N361" s="46">
        <v>0</v>
      </c>
    </row>
    <row r="362" spans="13:14" x14ac:dyDescent="0.35">
      <c r="M362" s="46">
        <v>0.49598182222881732</v>
      </c>
      <c r="N362" s="46">
        <v>0</v>
      </c>
    </row>
    <row r="363" spans="13:14" x14ac:dyDescent="0.35">
      <c r="M363" s="46">
        <v>0.50143797299302573</v>
      </c>
      <c r="N363" s="46">
        <v>0</v>
      </c>
    </row>
    <row r="364" spans="13:14" x14ac:dyDescent="0.35">
      <c r="M364" s="46">
        <v>0.51114297373497553</v>
      </c>
      <c r="N364" s="46">
        <v>0</v>
      </c>
    </row>
    <row r="365" spans="13:14" x14ac:dyDescent="0.35">
      <c r="M365" s="46">
        <v>0.51592921798486424</v>
      </c>
      <c r="N365" s="46">
        <v>0</v>
      </c>
    </row>
    <row r="366" spans="13:14" x14ac:dyDescent="0.35">
      <c r="M366" s="46">
        <v>0.5130745659593412</v>
      </c>
      <c r="N366" s="46">
        <v>0</v>
      </c>
    </row>
    <row r="367" spans="13:14" x14ac:dyDescent="0.35">
      <c r="M367" s="46">
        <v>0.5045534203887817</v>
      </c>
      <c r="N367" s="46">
        <v>0</v>
      </c>
    </row>
    <row r="368" spans="13:14" x14ac:dyDescent="0.35">
      <c r="M368" s="46">
        <v>0.50097521887520402</v>
      </c>
      <c r="N368" s="46">
        <v>0</v>
      </c>
    </row>
    <row r="369" spans="13:14" x14ac:dyDescent="0.35">
      <c r="M369" s="46">
        <v>0.495170500074195</v>
      </c>
      <c r="N369" s="46">
        <v>0</v>
      </c>
    </row>
    <row r="370" spans="13:14" x14ac:dyDescent="0.35">
      <c r="M370" s="46">
        <v>0.48792320819112628</v>
      </c>
      <c r="N370" s="46">
        <v>0</v>
      </c>
    </row>
    <row r="371" spans="13:14" x14ac:dyDescent="0.35">
      <c r="M371" s="46">
        <v>0.51575500816144826</v>
      </c>
      <c r="N371" s="46">
        <v>0</v>
      </c>
    </row>
    <row r="372" spans="13:14" x14ac:dyDescent="0.35">
      <c r="M372" s="46">
        <v>0.59694702478112482</v>
      </c>
      <c r="N372" s="46">
        <v>0</v>
      </c>
    </row>
    <row r="373" spans="13:14" x14ac:dyDescent="0.35">
      <c r="M373" s="46">
        <v>0.67041897907701431</v>
      </c>
      <c r="N373" s="46">
        <v>0</v>
      </c>
    </row>
    <row r="374" spans="13:14" x14ac:dyDescent="0.35">
      <c r="M374" s="46">
        <v>0.72702811989909488</v>
      </c>
      <c r="N374" s="46">
        <v>0</v>
      </c>
    </row>
    <row r="375" spans="13:14" x14ac:dyDescent="0.35">
      <c r="M375" s="46">
        <v>0.74579299599347093</v>
      </c>
      <c r="N375" s="46">
        <v>0</v>
      </c>
    </row>
    <row r="376" spans="13:14" x14ac:dyDescent="0.35">
      <c r="M376" s="46">
        <v>0.71152129396052832</v>
      </c>
      <c r="N376" s="46">
        <v>0</v>
      </c>
    </row>
    <row r="377" spans="13:14" x14ac:dyDescent="0.35">
      <c r="M377" s="46">
        <v>0.62565187713310577</v>
      </c>
      <c r="N377" s="46">
        <v>0</v>
      </c>
    </row>
    <row r="378" spans="13:14" x14ac:dyDescent="0.35">
      <c r="M378" s="46">
        <v>0.49030278973141417</v>
      </c>
      <c r="N378" s="46">
        <v>0</v>
      </c>
    </row>
    <row r="379" spans="13:14" x14ac:dyDescent="0.35">
      <c r="M379" s="46">
        <v>0.32087639115595784</v>
      </c>
      <c r="N379" s="46">
        <v>0</v>
      </c>
    </row>
    <row r="380" spans="13:14" x14ac:dyDescent="0.35">
      <c r="M380" s="46">
        <v>0.17927993767621309</v>
      </c>
      <c r="N380" s="46">
        <v>0</v>
      </c>
    </row>
    <row r="381" spans="13:14" x14ac:dyDescent="0.35">
      <c r="M381" s="46">
        <v>0.14777548597714796</v>
      </c>
      <c r="N381" s="46">
        <v>0</v>
      </c>
    </row>
    <row r="382" spans="13:14" x14ac:dyDescent="0.35">
      <c r="M382" s="46">
        <v>0.13008992432111591</v>
      </c>
      <c r="N382" s="46">
        <v>0</v>
      </c>
    </row>
    <row r="383" spans="13:14" x14ac:dyDescent="0.35">
      <c r="M383" s="46">
        <v>0.11360624721768808</v>
      </c>
      <c r="N383" s="46">
        <v>0</v>
      </c>
    </row>
    <row r="384" spans="13:14" x14ac:dyDescent="0.35">
      <c r="M384" s="46">
        <v>9.9108621457189502E-2</v>
      </c>
      <c r="N384" s="46">
        <v>0</v>
      </c>
    </row>
    <row r="385" spans="13:14" x14ac:dyDescent="0.35">
      <c r="M385" s="46">
        <v>8.7272369787802354E-2</v>
      </c>
      <c r="N385" s="46">
        <v>0</v>
      </c>
    </row>
    <row r="386" spans="13:14" x14ac:dyDescent="0.35">
      <c r="M386" s="46">
        <v>8.375990503041994E-2</v>
      </c>
      <c r="N386" s="46">
        <v>0</v>
      </c>
    </row>
    <row r="387" spans="13:14" x14ac:dyDescent="0.35">
      <c r="M387" s="46">
        <v>8.0128876687935904E-2</v>
      </c>
      <c r="N387" s="46">
        <v>0</v>
      </c>
    </row>
    <row r="388" spans="13:14" x14ac:dyDescent="0.35">
      <c r="M388" s="46">
        <v>8.1273185932630956E-2</v>
      </c>
      <c r="N388" s="46">
        <v>0</v>
      </c>
    </row>
    <row r="389" spans="13:14" x14ac:dyDescent="0.35">
      <c r="M389" s="46">
        <v>9.1272889152693271E-2</v>
      </c>
      <c r="N389" s="46">
        <v>0</v>
      </c>
    </row>
    <row r="390" spans="13:14" x14ac:dyDescent="0.35">
      <c r="M390" s="46">
        <v>0.10975812435079388</v>
      </c>
      <c r="N390" s="46">
        <v>0</v>
      </c>
    </row>
    <row r="391" spans="13:14" x14ac:dyDescent="0.35">
      <c r="M391" s="46">
        <v>0.13485353910075679</v>
      </c>
      <c r="N391" s="46">
        <v>0</v>
      </c>
    </row>
    <row r="392" spans="13:14" x14ac:dyDescent="0.35">
      <c r="M392" s="46">
        <v>0.1645198100608399</v>
      </c>
      <c r="N392" s="46">
        <v>0</v>
      </c>
    </row>
    <row r="393" spans="13:14" x14ac:dyDescent="0.35">
      <c r="M393" s="46">
        <v>0.21023957560468912</v>
      </c>
      <c r="N393" s="46">
        <v>0</v>
      </c>
    </row>
    <row r="394" spans="13:14" x14ac:dyDescent="0.35">
      <c r="M394" s="46">
        <v>0.25439850126131475</v>
      </c>
      <c r="N394" s="46">
        <v>0</v>
      </c>
    </row>
    <row r="395" spans="13:14" x14ac:dyDescent="0.35">
      <c r="M395" s="46">
        <v>0.36298486422317855</v>
      </c>
      <c r="N395" s="46">
        <v>0</v>
      </c>
    </row>
    <row r="396" spans="13:14" x14ac:dyDescent="0.35">
      <c r="M396" s="46">
        <v>0.54653383291289503</v>
      </c>
      <c r="N396" s="46">
        <v>0</v>
      </c>
    </row>
    <row r="397" spans="13:14" x14ac:dyDescent="0.35">
      <c r="M397" s="46">
        <v>0.71189123015284173</v>
      </c>
      <c r="N397" s="46">
        <v>0</v>
      </c>
    </row>
    <row r="398" spans="13:14" x14ac:dyDescent="0.35">
      <c r="M398" s="46">
        <v>0.81338113963496073</v>
      </c>
      <c r="N398" s="46">
        <v>0</v>
      </c>
    </row>
    <row r="399" spans="13:14" x14ac:dyDescent="0.35">
      <c r="M399" s="46">
        <v>0.87596906069149727</v>
      </c>
      <c r="N399" s="46">
        <v>0</v>
      </c>
    </row>
    <row r="400" spans="13:14" x14ac:dyDescent="0.35">
      <c r="M400" s="46">
        <v>0.88002567146460908</v>
      </c>
      <c r="N400" s="46">
        <v>0</v>
      </c>
    </row>
    <row r="401" spans="13:14" x14ac:dyDescent="0.35">
      <c r="M401" s="46">
        <v>0.84618956818519064</v>
      </c>
      <c r="N401" s="46">
        <v>0</v>
      </c>
    </row>
    <row r="402" spans="13:14" x14ac:dyDescent="0.35">
      <c r="M402" s="46">
        <v>0.77923356581095116</v>
      </c>
      <c r="N402" s="46">
        <v>0</v>
      </c>
    </row>
    <row r="403" spans="13:14" x14ac:dyDescent="0.35">
      <c r="M403" s="46">
        <v>0.70484263243804723</v>
      </c>
      <c r="N403" s="46">
        <v>0</v>
      </c>
    </row>
    <row r="404" spans="13:14" x14ac:dyDescent="0.35">
      <c r="M404" s="46">
        <v>0.66991504674284019</v>
      </c>
      <c r="N404" s="46">
        <v>0</v>
      </c>
    </row>
    <row r="405" spans="13:14" x14ac:dyDescent="0.35">
      <c r="M405" s="46">
        <v>0.66546238314289963</v>
      </c>
      <c r="N405" s="46">
        <v>0</v>
      </c>
    </row>
    <row r="406" spans="13:14" x14ac:dyDescent="0.35">
      <c r="M406" s="46">
        <v>0.66941949844190529</v>
      </c>
      <c r="N406" s="46">
        <v>0</v>
      </c>
    </row>
    <row r="407" spans="13:14" x14ac:dyDescent="0.35">
      <c r="M407" s="46">
        <v>0.67081844487312647</v>
      </c>
      <c r="N407" s="46">
        <v>0</v>
      </c>
    </row>
    <row r="408" spans="13:14" x14ac:dyDescent="0.35">
      <c r="M408" s="46">
        <v>0.67398256417866154</v>
      </c>
      <c r="N408" s="46">
        <v>0</v>
      </c>
    </row>
    <row r="409" spans="13:14" x14ac:dyDescent="0.35">
      <c r="M409" s="46">
        <v>0.67317628728297962</v>
      </c>
      <c r="N409" s="46">
        <v>0</v>
      </c>
    </row>
    <row r="410" spans="13:14" x14ac:dyDescent="0.35">
      <c r="M410" s="46">
        <v>0.6752394272147203</v>
      </c>
      <c r="N410" s="46">
        <v>0</v>
      </c>
    </row>
    <row r="411" spans="13:14" x14ac:dyDescent="0.35">
      <c r="M411" s="46">
        <v>0.67817443240836917</v>
      </c>
      <c r="N411" s="46">
        <v>0</v>
      </c>
    </row>
    <row r="412" spans="13:14" x14ac:dyDescent="0.35">
      <c r="M412" s="46">
        <v>0.67643374387891375</v>
      </c>
      <c r="N412" s="46">
        <v>0</v>
      </c>
    </row>
    <row r="413" spans="13:14" x14ac:dyDescent="0.35">
      <c r="M413" s="46">
        <v>0.66756618192610184</v>
      </c>
      <c r="N413" s="46">
        <v>0</v>
      </c>
    </row>
    <row r="414" spans="13:14" x14ac:dyDescent="0.35">
      <c r="M414" s="46">
        <v>0.63712331206410444</v>
      </c>
      <c r="N414" s="46">
        <v>0</v>
      </c>
    </row>
    <row r="415" spans="13:14" x14ac:dyDescent="0.35">
      <c r="M415" s="46">
        <v>0.5704502151654548</v>
      </c>
      <c r="N415" s="46">
        <v>0</v>
      </c>
    </row>
    <row r="416" spans="13:14" x14ac:dyDescent="0.35">
      <c r="M416" s="46">
        <v>0.4867519661670871</v>
      </c>
      <c r="N416" s="46">
        <v>0</v>
      </c>
    </row>
    <row r="417" spans="13:14" x14ac:dyDescent="0.35">
      <c r="M417" s="46">
        <v>0.39954540733046451</v>
      </c>
      <c r="N417" s="46">
        <v>0</v>
      </c>
    </row>
    <row r="418" spans="13:14" x14ac:dyDescent="0.35">
      <c r="M418" s="46">
        <v>0.31186325864371567</v>
      </c>
      <c r="N418" s="46">
        <v>0</v>
      </c>
    </row>
    <row r="419" spans="13:14" x14ac:dyDescent="0.35">
      <c r="M419" s="46">
        <v>0.25746230894791516</v>
      </c>
      <c r="N419" s="46">
        <v>0</v>
      </c>
    </row>
    <row r="420" spans="13:14" x14ac:dyDescent="0.35">
      <c r="M420" s="46">
        <v>0.24872814957708861</v>
      </c>
      <c r="N420" s="46">
        <v>0</v>
      </c>
    </row>
    <row r="421" spans="13:14" x14ac:dyDescent="0.35">
      <c r="M421" s="46">
        <v>0.27911663451550678</v>
      </c>
      <c r="N421" s="46">
        <v>0</v>
      </c>
    </row>
    <row r="422" spans="13:14" x14ac:dyDescent="0.35">
      <c r="M422" s="46">
        <v>0.33486652322303012</v>
      </c>
      <c r="N422" s="46">
        <v>0</v>
      </c>
    </row>
    <row r="423" spans="13:14" x14ac:dyDescent="0.35">
      <c r="M423" s="46">
        <v>0.39921902359400502</v>
      </c>
      <c r="N423" s="46">
        <v>0</v>
      </c>
    </row>
    <row r="424" spans="13:14" x14ac:dyDescent="0.35">
      <c r="M424" s="46">
        <v>0.44918237127170202</v>
      </c>
      <c r="N424" s="46">
        <v>0</v>
      </c>
    </row>
    <row r="425" spans="13:14" x14ac:dyDescent="0.35">
      <c r="M425" s="46">
        <v>0.47516270960083101</v>
      </c>
      <c r="N425" s="46">
        <v>0</v>
      </c>
    </row>
    <row r="426" spans="13:14" x14ac:dyDescent="0.35">
      <c r="M426" s="46">
        <v>0.47747299302567148</v>
      </c>
      <c r="N426" s="46">
        <v>0</v>
      </c>
    </row>
    <row r="427" spans="13:14" x14ac:dyDescent="0.35">
      <c r="M427" s="46">
        <v>0.46519669090369492</v>
      </c>
      <c r="N427" s="46">
        <v>0</v>
      </c>
    </row>
    <row r="428" spans="13:14" x14ac:dyDescent="0.35">
      <c r="M428" s="46">
        <v>0.46679640896275409</v>
      </c>
      <c r="N428" s="46">
        <v>0</v>
      </c>
    </row>
    <row r="429" spans="13:14" x14ac:dyDescent="0.35">
      <c r="M429" s="46">
        <v>0.49785405846564773</v>
      </c>
      <c r="N429" s="46">
        <v>0</v>
      </c>
    </row>
    <row r="430" spans="13:14" x14ac:dyDescent="0.35">
      <c r="M430" s="46">
        <v>0.5422887668793589</v>
      </c>
      <c r="N430" s="46">
        <v>0</v>
      </c>
    </row>
    <row r="431" spans="13:14" x14ac:dyDescent="0.35">
      <c r="M431" s="46">
        <v>0.57903464905772373</v>
      </c>
      <c r="N431" s="46">
        <v>0</v>
      </c>
    </row>
    <row r="432" spans="13:14" x14ac:dyDescent="0.35">
      <c r="M432" s="46">
        <v>0.59004652025523074</v>
      </c>
      <c r="N432" s="46">
        <v>0</v>
      </c>
    </row>
    <row r="433" spans="13:14" x14ac:dyDescent="0.35">
      <c r="M433" s="46">
        <v>0.59966219023594003</v>
      </c>
      <c r="N433" s="46">
        <v>0</v>
      </c>
    </row>
    <row r="434" spans="13:14" x14ac:dyDescent="0.35">
      <c r="M434" s="46">
        <v>0.6032455853984271</v>
      </c>
      <c r="N434" s="46">
        <v>0</v>
      </c>
    </row>
    <row r="435" spans="13:14" x14ac:dyDescent="0.35">
      <c r="M435" s="46">
        <v>0.60972213978335055</v>
      </c>
      <c r="N435" s="46">
        <v>0</v>
      </c>
    </row>
    <row r="436" spans="13:14" x14ac:dyDescent="0.35">
      <c r="M436" s="46">
        <v>0.62252337142009206</v>
      </c>
      <c r="N436" s="46">
        <v>0</v>
      </c>
    </row>
    <row r="437" spans="13:14" x14ac:dyDescent="0.35">
      <c r="M437" s="46">
        <v>0.63506825938566558</v>
      </c>
      <c r="N437" s="46">
        <v>0</v>
      </c>
    </row>
    <row r="438" spans="13:14" x14ac:dyDescent="0.35">
      <c r="M438" s="46">
        <v>0.6444934708413711</v>
      </c>
      <c r="N438" s="46">
        <v>0</v>
      </c>
    </row>
    <row r="439" spans="13:14" x14ac:dyDescent="0.35">
      <c r="M439" s="46">
        <v>0.65416953553939761</v>
      </c>
      <c r="N439" s="46">
        <v>0</v>
      </c>
    </row>
    <row r="440" spans="13:14" x14ac:dyDescent="0.35">
      <c r="M440" s="46">
        <v>0.65977029232823858</v>
      </c>
      <c r="N440" s="46">
        <v>0</v>
      </c>
    </row>
    <row r="441" spans="13:14" x14ac:dyDescent="0.35">
      <c r="M441" s="46">
        <v>0.65970967502596822</v>
      </c>
      <c r="N441" s="46">
        <v>0</v>
      </c>
    </row>
    <row r="442" spans="13:14" x14ac:dyDescent="0.35">
      <c r="M442" s="46">
        <v>0.66148197061878611</v>
      </c>
      <c r="N442" s="46">
        <v>0</v>
      </c>
    </row>
    <row r="443" spans="13:14" x14ac:dyDescent="0.35">
      <c r="M443" s="46">
        <v>0.66484463570262653</v>
      </c>
      <c r="N443" s="46">
        <v>0</v>
      </c>
    </row>
    <row r="444" spans="13:14" x14ac:dyDescent="0.35">
      <c r="M444" s="46">
        <v>0.6903999109660186</v>
      </c>
      <c r="N444" s="46">
        <v>0</v>
      </c>
    </row>
    <row r="445" spans="13:14" x14ac:dyDescent="0.35">
      <c r="M445" s="46">
        <v>0.72506165603205219</v>
      </c>
      <c r="N445" s="46">
        <v>0</v>
      </c>
    </row>
    <row r="446" spans="13:14" x14ac:dyDescent="0.35">
      <c r="M446" s="46">
        <v>0.77390503041994352</v>
      </c>
      <c r="N446" s="46">
        <v>0</v>
      </c>
    </row>
    <row r="447" spans="13:14" x14ac:dyDescent="0.35">
      <c r="M447" s="46">
        <v>0.81887564920611366</v>
      </c>
      <c r="N447" s="46">
        <v>0</v>
      </c>
    </row>
    <row r="448" spans="13:14" x14ac:dyDescent="0.35">
      <c r="M448" s="46">
        <v>0.84155935598753528</v>
      </c>
      <c r="N448" s="46">
        <v>0</v>
      </c>
    </row>
    <row r="449" spans="13:14" x14ac:dyDescent="0.35">
      <c r="M449" s="46">
        <v>0.81697121234604542</v>
      </c>
      <c r="N449" s="46">
        <v>0</v>
      </c>
    </row>
    <row r="450" spans="13:14" x14ac:dyDescent="0.35">
      <c r="M450" s="46">
        <v>0.77430457041104017</v>
      </c>
      <c r="N450" s="46">
        <v>0</v>
      </c>
    </row>
    <row r="451" spans="13:14" x14ac:dyDescent="0.35">
      <c r="M451" s="46">
        <v>0.72307211752485534</v>
      </c>
      <c r="N451" s="46">
        <v>0</v>
      </c>
    </row>
    <row r="452" spans="13:14" x14ac:dyDescent="0.35">
      <c r="M452" s="46">
        <v>0.68103902656180437</v>
      </c>
      <c r="N452" s="46">
        <v>0</v>
      </c>
    </row>
    <row r="453" spans="13:14" x14ac:dyDescent="0.35">
      <c r="M453" s="46">
        <v>0.67256158183706782</v>
      </c>
      <c r="N453" s="46">
        <v>0</v>
      </c>
    </row>
    <row r="454" spans="13:14" x14ac:dyDescent="0.35">
      <c r="M454" s="46">
        <v>0.6665063065736756</v>
      </c>
      <c r="N454" s="46">
        <v>0</v>
      </c>
    </row>
    <row r="455" spans="13:14" x14ac:dyDescent="0.35">
      <c r="M455" s="46">
        <v>0.65730731562546374</v>
      </c>
      <c r="N455" s="46">
        <v>0</v>
      </c>
    </row>
    <row r="456" spans="13:14" x14ac:dyDescent="0.35">
      <c r="M456" s="46">
        <v>0.64758851461641198</v>
      </c>
      <c r="N456" s="46">
        <v>0</v>
      </c>
    </row>
    <row r="457" spans="13:14" x14ac:dyDescent="0.35">
      <c r="M457" s="46">
        <v>0.63924654993322449</v>
      </c>
      <c r="N457" s="46">
        <v>0</v>
      </c>
    </row>
    <row r="458" spans="13:14" x14ac:dyDescent="0.35">
      <c r="M458" s="46">
        <v>0.62630560914082212</v>
      </c>
      <c r="N458" s="46">
        <v>0</v>
      </c>
    </row>
    <row r="459" spans="13:14" x14ac:dyDescent="0.35">
      <c r="M459" s="46">
        <v>0.61231985457783056</v>
      </c>
      <c r="N459" s="46">
        <v>0</v>
      </c>
    </row>
    <row r="460" spans="13:14" x14ac:dyDescent="0.35">
      <c r="M460" s="46">
        <v>0.59666152248108029</v>
      </c>
      <c r="N460" s="46">
        <v>0</v>
      </c>
    </row>
    <row r="461" spans="13:14" x14ac:dyDescent="0.35">
      <c r="M461" s="46">
        <v>0.58054770737498151</v>
      </c>
      <c r="N461" s="46">
        <v>0</v>
      </c>
    </row>
    <row r="462" spans="13:14" x14ac:dyDescent="0.35">
      <c r="M462" s="46">
        <v>0.57072473660780532</v>
      </c>
      <c r="N462" s="46">
        <v>0</v>
      </c>
    </row>
    <row r="463" spans="13:14" x14ac:dyDescent="0.35">
      <c r="M463" s="46">
        <v>0.56719149725478557</v>
      </c>
      <c r="N463" s="46">
        <v>0</v>
      </c>
    </row>
    <row r="464" spans="13:14" x14ac:dyDescent="0.35">
      <c r="M464" s="46">
        <v>0.56785487461047635</v>
      </c>
      <c r="N464" s="46">
        <v>0</v>
      </c>
    </row>
    <row r="465" spans="13:14" x14ac:dyDescent="0.35">
      <c r="M465" s="46">
        <v>0.56951840035613588</v>
      </c>
      <c r="N465" s="46">
        <v>0</v>
      </c>
    </row>
    <row r="466" spans="13:14" x14ac:dyDescent="0.35">
      <c r="M466" s="46">
        <v>0.57307323044962166</v>
      </c>
      <c r="N466" s="46">
        <v>0</v>
      </c>
    </row>
    <row r="467" spans="13:14" x14ac:dyDescent="0.35">
      <c r="M467" s="46">
        <v>0.61489820448137711</v>
      </c>
      <c r="N467" s="46">
        <v>0</v>
      </c>
    </row>
    <row r="468" spans="13:14" x14ac:dyDescent="0.35">
      <c r="M468" s="46">
        <v>0.71045629915417718</v>
      </c>
      <c r="N468" s="46">
        <v>0</v>
      </c>
    </row>
    <row r="469" spans="13:14" x14ac:dyDescent="0.35">
      <c r="M469" s="46">
        <v>0.8177975960825048</v>
      </c>
      <c r="N469" s="46">
        <v>0</v>
      </c>
    </row>
    <row r="470" spans="13:14" x14ac:dyDescent="0.35">
      <c r="M470" s="46">
        <v>0.91172874313696395</v>
      </c>
      <c r="N470" s="46">
        <v>0</v>
      </c>
    </row>
    <row r="471" spans="13:14" x14ac:dyDescent="0.35">
      <c r="M471" s="46">
        <v>0.96639189790770152</v>
      </c>
      <c r="N471" s="46">
        <v>0</v>
      </c>
    </row>
    <row r="472" spans="13:14" x14ac:dyDescent="0.35">
      <c r="M472" s="46">
        <v>0.97470752337142008</v>
      </c>
      <c r="N472" s="46">
        <v>0</v>
      </c>
    </row>
    <row r="473" spans="13:14" x14ac:dyDescent="0.35">
      <c r="M473" s="46">
        <v>0.93423430776079541</v>
      </c>
      <c r="N473" s="46">
        <v>0</v>
      </c>
    </row>
    <row r="474" spans="13:14" x14ac:dyDescent="0.35">
      <c r="M474" s="46">
        <v>0.85797596082504812</v>
      </c>
      <c r="N474" s="46">
        <v>0</v>
      </c>
    </row>
    <row r="475" spans="13:14" x14ac:dyDescent="0.35">
      <c r="M475" s="46">
        <v>0.76932037394272146</v>
      </c>
      <c r="N475" s="46">
        <v>0</v>
      </c>
    </row>
    <row r="476" spans="13:14" x14ac:dyDescent="0.35">
      <c r="M476" s="46">
        <v>0.68572963347677696</v>
      </c>
      <c r="N476" s="46">
        <v>0</v>
      </c>
    </row>
    <row r="477" spans="13:14" x14ac:dyDescent="0.35">
      <c r="M477" s="46">
        <v>0.6724726962457338</v>
      </c>
      <c r="N477" s="46">
        <v>0</v>
      </c>
    </row>
    <row r="478" spans="13:14" x14ac:dyDescent="0.35">
      <c r="M478" s="46">
        <v>0.66748070930405112</v>
      </c>
      <c r="N478" s="46">
        <v>0</v>
      </c>
    </row>
    <row r="479" spans="13:14" x14ac:dyDescent="0.35">
      <c r="M479" s="46">
        <v>0.6600094969580057</v>
      </c>
      <c r="N479" s="46">
        <v>0</v>
      </c>
    </row>
    <row r="480" spans="13:14" x14ac:dyDescent="0.35">
      <c r="M480" s="46">
        <v>0.64736229410891821</v>
      </c>
      <c r="N480" s="46">
        <v>0</v>
      </c>
    </row>
    <row r="481" spans="13:14" x14ac:dyDescent="0.35">
      <c r="M481" s="46">
        <v>0.63869298115447393</v>
      </c>
      <c r="N481" s="46">
        <v>0</v>
      </c>
    </row>
    <row r="482" spans="13:14" x14ac:dyDescent="0.35">
      <c r="M482" s="46">
        <v>0.63106922392046294</v>
      </c>
      <c r="N482" s="46">
        <v>0</v>
      </c>
    </row>
    <row r="483" spans="13:14" x14ac:dyDescent="0.35">
      <c r="M483" s="46">
        <v>0.62243292773408521</v>
      </c>
      <c r="N483" s="46">
        <v>0</v>
      </c>
    </row>
    <row r="484" spans="13:14" x14ac:dyDescent="0.35">
      <c r="M484" s="46">
        <v>0.60333959044368601</v>
      </c>
      <c r="N484" s="46">
        <v>0</v>
      </c>
    </row>
    <row r="485" spans="13:14" x14ac:dyDescent="0.35">
      <c r="M485" s="46">
        <v>0.58279952515209965</v>
      </c>
      <c r="N485" s="46">
        <v>0</v>
      </c>
    </row>
    <row r="486" spans="13:14" x14ac:dyDescent="0.35">
      <c r="M486" s="46">
        <v>0.54613429292179849</v>
      </c>
      <c r="N486" s="46">
        <v>0</v>
      </c>
    </row>
    <row r="487" spans="13:14" x14ac:dyDescent="0.35">
      <c r="M487" s="46">
        <v>0.50770143938269774</v>
      </c>
      <c r="N487" s="46">
        <v>0</v>
      </c>
    </row>
    <row r="488" spans="13:14" x14ac:dyDescent="0.35">
      <c r="M488" s="46">
        <v>0.46887505564623827</v>
      </c>
      <c r="N488" s="46">
        <v>0</v>
      </c>
    </row>
    <row r="489" spans="13:14" x14ac:dyDescent="0.35">
      <c r="M489" s="46">
        <v>0.43433847751891974</v>
      </c>
      <c r="N489" s="46">
        <v>0</v>
      </c>
    </row>
    <row r="490" spans="13:14" x14ac:dyDescent="0.35">
      <c r="M490" s="46">
        <v>0.39758562101201955</v>
      </c>
      <c r="N490" s="46">
        <v>0</v>
      </c>
    </row>
    <row r="491" spans="13:14" x14ac:dyDescent="0.35">
      <c r="M491" s="46">
        <v>0.38949532571598161</v>
      </c>
      <c r="N491" s="46">
        <v>0</v>
      </c>
    </row>
    <row r="492" spans="13:14" x14ac:dyDescent="0.35">
      <c r="M492" s="46">
        <v>0.42671887520403623</v>
      </c>
      <c r="N492" s="46">
        <v>0</v>
      </c>
    </row>
    <row r="493" spans="13:14" x14ac:dyDescent="0.35">
      <c r="M493" s="46">
        <v>0.47429537023297225</v>
      </c>
      <c r="N493" s="46">
        <v>0</v>
      </c>
    </row>
    <row r="494" spans="13:14" x14ac:dyDescent="0.35">
      <c r="M494" s="46">
        <v>0.50453746846713166</v>
      </c>
      <c r="N494" s="46">
        <v>0</v>
      </c>
    </row>
    <row r="495" spans="13:14" x14ac:dyDescent="0.35">
      <c r="M495" s="46">
        <v>0.5167935895533462</v>
      </c>
      <c r="N495" s="46">
        <v>0</v>
      </c>
    </row>
    <row r="496" spans="13:14" x14ac:dyDescent="0.35">
      <c r="M496" s="46">
        <v>0.51120010387297821</v>
      </c>
      <c r="N496" s="46">
        <v>0</v>
      </c>
    </row>
    <row r="497" spans="13:14" x14ac:dyDescent="0.35">
      <c r="M497" s="46">
        <v>0.48059296631547704</v>
      </c>
      <c r="N497" s="46">
        <v>0</v>
      </c>
    </row>
    <row r="498" spans="13:14" x14ac:dyDescent="0.35">
      <c r="M498" s="46">
        <v>0.4559692090814661</v>
      </c>
      <c r="N498" s="46">
        <v>0</v>
      </c>
    </row>
    <row r="499" spans="13:14" x14ac:dyDescent="0.35">
      <c r="M499" s="46">
        <v>0.47581785131325127</v>
      </c>
      <c r="N499" s="46">
        <v>0</v>
      </c>
    </row>
    <row r="500" spans="13:14" x14ac:dyDescent="0.35">
      <c r="M500" s="46">
        <v>0.53312175396943162</v>
      </c>
      <c r="N500" s="46">
        <v>0</v>
      </c>
    </row>
    <row r="501" spans="13:14" x14ac:dyDescent="0.35">
      <c r="M501" s="46">
        <v>0.57668177771182672</v>
      </c>
      <c r="N501" s="46">
        <v>0</v>
      </c>
    </row>
    <row r="502" spans="13:14" x14ac:dyDescent="0.35">
      <c r="M502" s="46">
        <v>0.58330056388188156</v>
      </c>
      <c r="N502" s="46">
        <v>0</v>
      </c>
    </row>
    <row r="503" spans="13:14" x14ac:dyDescent="0.35">
      <c r="M503" s="46">
        <v>0.56871382994509567</v>
      </c>
      <c r="N503" s="46">
        <v>0</v>
      </c>
    </row>
    <row r="504" spans="13:14" x14ac:dyDescent="0.35">
      <c r="M504" s="46">
        <v>0.55409304051046149</v>
      </c>
      <c r="N504" s="46">
        <v>0</v>
      </c>
    </row>
    <row r="505" spans="13:14" x14ac:dyDescent="0.35">
      <c r="M505" s="46">
        <v>0.55234730672206556</v>
      </c>
      <c r="N505" s="46">
        <v>0</v>
      </c>
    </row>
    <row r="506" spans="13:14" x14ac:dyDescent="0.35">
      <c r="M506" s="46">
        <v>0.55996668645199588</v>
      </c>
      <c r="N506" s="46">
        <v>0</v>
      </c>
    </row>
    <row r="507" spans="13:14" x14ac:dyDescent="0.35">
      <c r="M507" s="46">
        <v>0.57979151209378244</v>
      </c>
      <c r="N507" s="46">
        <v>0</v>
      </c>
    </row>
    <row r="508" spans="13:14" x14ac:dyDescent="0.35">
      <c r="M508" s="46">
        <v>0.60636860068259391</v>
      </c>
      <c r="N508" s="46">
        <v>0</v>
      </c>
    </row>
    <row r="509" spans="13:14" x14ac:dyDescent="0.35">
      <c r="M509" s="46">
        <v>0.62667688084285511</v>
      </c>
      <c r="N509" s="46">
        <v>0</v>
      </c>
    </row>
    <row r="510" spans="13:14" x14ac:dyDescent="0.35">
      <c r="M510" s="46">
        <v>0.63493693426324382</v>
      </c>
      <c r="N510" s="46">
        <v>0</v>
      </c>
    </row>
    <row r="511" spans="13:14" x14ac:dyDescent="0.35">
      <c r="M511" s="46">
        <v>0.63105757530790918</v>
      </c>
      <c r="N511" s="46">
        <v>0</v>
      </c>
    </row>
    <row r="512" spans="13:14" x14ac:dyDescent="0.35">
      <c r="M512" s="46">
        <v>0.62486615224810804</v>
      </c>
      <c r="N512" s="46">
        <v>0</v>
      </c>
    </row>
    <row r="513" spans="13:14" x14ac:dyDescent="0.35">
      <c r="M513" s="46">
        <v>0.61193255675916314</v>
      </c>
      <c r="N513" s="46">
        <v>0</v>
      </c>
    </row>
    <row r="514" spans="13:14" x14ac:dyDescent="0.35">
      <c r="M514" s="46">
        <v>0.58785984567443239</v>
      </c>
      <c r="N514" s="46">
        <v>0</v>
      </c>
    </row>
    <row r="515" spans="13:14" x14ac:dyDescent="0.35">
      <c r="M515" s="46">
        <v>0.60510921501706483</v>
      </c>
      <c r="N515" s="46">
        <v>0</v>
      </c>
    </row>
    <row r="516" spans="13:14" x14ac:dyDescent="0.35">
      <c r="M516" s="46">
        <v>0.67679269921353313</v>
      </c>
      <c r="N516" s="46">
        <v>0</v>
      </c>
    </row>
    <row r="517" spans="13:14" x14ac:dyDescent="0.35">
      <c r="M517" s="46">
        <v>0.74282104169758123</v>
      </c>
      <c r="N517" s="46">
        <v>0</v>
      </c>
    </row>
    <row r="518" spans="13:14" x14ac:dyDescent="0.35">
      <c r="M518" s="46">
        <v>0.73060097937379442</v>
      </c>
      <c r="N518" s="46">
        <v>0</v>
      </c>
    </row>
    <row r="519" spans="13:14" x14ac:dyDescent="0.35">
      <c r="M519" s="46">
        <v>0.68817576791808877</v>
      </c>
      <c r="N519" s="46">
        <v>0</v>
      </c>
    </row>
    <row r="520" spans="13:14" x14ac:dyDescent="0.35">
      <c r="M520" s="46">
        <v>0.61718875204036205</v>
      </c>
      <c r="N520" s="46">
        <v>0</v>
      </c>
    </row>
    <row r="521" spans="13:14" x14ac:dyDescent="0.35">
      <c r="M521" s="46">
        <v>0.56030776079537026</v>
      </c>
      <c r="N521" s="46">
        <v>0</v>
      </c>
    </row>
    <row r="522" spans="13:14" x14ac:dyDescent="0.35">
      <c r="M522" s="46">
        <v>0.47874870158777266</v>
      </c>
      <c r="N522" s="46">
        <v>0</v>
      </c>
    </row>
    <row r="523" spans="13:14" x14ac:dyDescent="0.35">
      <c r="M523" s="46">
        <v>0.3717317851313251</v>
      </c>
      <c r="N523" s="46">
        <v>0</v>
      </c>
    </row>
    <row r="524" spans="13:14" x14ac:dyDescent="0.35">
      <c r="M524" s="46">
        <v>0.26946468318741651</v>
      </c>
      <c r="N524" s="46">
        <v>0</v>
      </c>
    </row>
    <row r="525" spans="13:14" x14ac:dyDescent="0.35">
      <c r="M525" s="46">
        <v>0.22571538803976851</v>
      </c>
      <c r="N525" s="46">
        <v>0</v>
      </c>
    </row>
    <row r="526" spans="13:14" x14ac:dyDescent="0.35">
      <c r="M526" s="46">
        <v>0.19579670574269178</v>
      </c>
      <c r="N526" s="46">
        <v>0</v>
      </c>
    </row>
    <row r="527" spans="13:14" x14ac:dyDescent="0.35">
      <c r="M527" s="46">
        <v>0.17470084582282236</v>
      </c>
      <c r="N527" s="46">
        <v>0</v>
      </c>
    </row>
    <row r="528" spans="13:14" x14ac:dyDescent="0.35">
      <c r="M528" s="46">
        <v>0.15864779640896276</v>
      </c>
      <c r="N528" s="46">
        <v>0</v>
      </c>
    </row>
    <row r="529" spans="13:14" x14ac:dyDescent="0.35">
      <c r="M529" s="46">
        <v>0.15475048226739871</v>
      </c>
      <c r="N529" s="46">
        <v>0</v>
      </c>
    </row>
    <row r="530" spans="13:14" x14ac:dyDescent="0.35">
      <c r="M530" s="46">
        <v>0.15277815699658701</v>
      </c>
      <c r="N530" s="46">
        <v>0</v>
      </c>
    </row>
    <row r="531" spans="13:14" x14ac:dyDescent="0.35">
      <c r="M531" s="46">
        <v>0.14937334916159667</v>
      </c>
      <c r="N531" s="46">
        <v>0</v>
      </c>
    </row>
    <row r="532" spans="13:14" x14ac:dyDescent="0.35">
      <c r="M532" s="46">
        <v>0.14776428253450066</v>
      </c>
      <c r="N532" s="46">
        <v>0</v>
      </c>
    </row>
    <row r="533" spans="13:14" x14ac:dyDescent="0.35">
      <c r="M533" s="46">
        <v>0.14007152396497996</v>
      </c>
      <c r="N533" s="46">
        <v>0</v>
      </c>
    </row>
    <row r="534" spans="13:14" x14ac:dyDescent="0.35">
      <c r="M534" s="46">
        <v>0.12617005490428848</v>
      </c>
      <c r="N534" s="46">
        <v>0</v>
      </c>
    </row>
    <row r="535" spans="13:14" x14ac:dyDescent="0.35">
      <c r="M535" s="46">
        <v>0.1110514171242024</v>
      </c>
      <c r="N535" s="46">
        <v>0</v>
      </c>
    </row>
    <row r="536" spans="13:14" x14ac:dyDescent="0.35">
      <c r="M536" s="46">
        <v>9.6467576791808882E-2</v>
      </c>
      <c r="N536" s="46">
        <v>0</v>
      </c>
    </row>
    <row r="537" spans="13:14" x14ac:dyDescent="0.35">
      <c r="M537" s="46">
        <v>8.3736162635405842E-2</v>
      </c>
      <c r="N537" s="46">
        <v>0</v>
      </c>
    </row>
    <row r="538" spans="13:14" x14ac:dyDescent="0.35">
      <c r="M538" s="46">
        <v>7.2530716723549479E-2</v>
      </c>
      <c r="N538" s="46">
        <v>0</v>
      </c>
    </row>
    <row r="539" spans="13:14" x14ac:dyDescent="0.35">
      <c r="M539" s="46">
        <v>0.11156959489538507</v>
      </c>
      <c r="N539" s="46">
        <v>0</v>
      </c>
    </row>
    <row r="540" spans="13:14" x14ac:dyDescent="0.35">
      <c r="M540" s="46">
        <v>0.22377348271256861</v>
      </c>
      <c r="N540" s="46">
        <v>0</v>
      </c>
    </row>
    <row r="541" spans="13:14" x14ac:dyDescent="0.35">
      <c r="M541" s="46">
        <v>0.33982497403175543</v>
      </c>
      <c r="N541" s="46">
        <v>0</v>
      </c>
    </row>
    <row r="542" spans="13:14" x14ac:dyDescent="0.35">
      <c r="M542" s="46">
        <v>0.40846520255230745</v>
      </c>
      <c r="N542" s="46">
        <v>0</v>
      </c>
    </row>
    <row r="543" spans="13:14" x14ac:dyDescent="0.35">
      <c r="M543" s="46">
        <v>0.43098753524261763</v>
      </c>
      <c r="N543" s="46">
        <v>0</v>
      </c>
    </row>
    <row r="544" spans="13:14" x14ac:dyDescent="0.35">
      <c r="M544" s="46">
        <v>0.40378134738091703</v>
      </c>
      <c r="N544" s="46">
        <v>0</v>
      </c>
    </row>
    <row r="545" spans="13:14" x14ac:dyDescent="0.35">
      <c r="M545" s="46">
        <v>0.32455193648909331</v>
      </c>
      <c r="N545" s="46">
        <v>0</v>
      </c>
    </row>
    <row r="546" spans="13:14" x14ac:dyDescent="0.35">
      <c r="M546" s="46">
        <v>0.22372562694761833</v>
      </c>
      <c r="N546" s="46">
        <v>0</v>
      </c>
    </row>
    <row r="547" spans="13:14" x14ac:dyDescent="0.35">
      <c r="M547" s="46">
        <v>0.13553027155364297</v>
      </c>
      <c r="N547" s="46">
        <v>0</v>
      </c>
    </row>
    <row r="548" spans="13:14" x14ac:dyDescent="0.35">
      <c r="M548" s="46">
        <v>9.2688158480486713E-2</v>
      </c>
      <c r="N548" s="46">
        <v>0</v>
      </c>
    </row>
    <row r="549" spans="13:14" x14ac:dyDescent="0.35">
      <c r="M549" s="46">
        <v>8.1274669832319346E-2</v>
      </c>
      <c r="N549" s="46">
        <v>0</v>
      </c>
    </row>
    <row r="550" spans="13:14" x14ac:dyDescent="0.35">
      <c r="M550" s="46">
        <v>7.9424469505861406E-2</v>
      </c>
      <c r="N550" s="46">
        <v>0</v>
      </c>
    </row>
    <row r="551" spans="13:14" x14ac:dyDescent="0.35">
      <c r="M551" s="46">
        <v>8.1226814067369049E-2</v>
      </c>
      <c r="N551" s="46">
        <v>0</v>
      </c>
    </row>
    <row r="552" spans="13:14" x14ac:dyDescent="0.35">
      <c r="M552" s="46">
        <v>8.8450586140376902E-2</v>
      </c>
      <c r="N552" s="46">
        <v>0</v>
      </c>
    </row>
    <row r="553" spans="13:14" x14ac:dyDescent="0.35">
      <c r="M553" s="46">
        <v>9.4657886926843737E-2</v>
      </c>
      <c r="N553" s="46">
        <v>0</v>
      </c>
    </row>
    <row r="554" spans="13:14" x14ac:dyDescent="0.35">
      <c r="M554" s="46">
        <v>9.986229410891824E-2</v>
      </c>
      <c r="N554" s="46">
        <v>0</v>
      </c>
    </row>
    <row r="555" spans="13:14" x14ac:dyDescent="0.35">
      <c r="M555" s="46">
        <v>9.9108102092298561E-2</v>
      </c>
      <c r="N555" s="46">
        <v>0</v>
      </c>
    </row>
    <row r="556" spans="13:14" x14ac:dyDescent="0.35">
      <c r="M556" s="46">
        <v>9.446594450215165E-2</v>
      </c>
      <c r="N556" s="46">
        <v>0</v>
      </c>
    </row>
    <row r="557" spans="13:14" x14ac:dyDescent="0.35">
      <c r="M557" s="46">
        <v>8.9143270514913192E-2</v>
      </c>
      <c r="N557" s="46">
        <v>0</v>
      </c>
    </row>
    <row r="558" spans="13:14" x14ac:dyDescent="0.35">
      <c r="M558" s="46">
        <v>8.3268363258643716E-2</v>
      </c>
      <c r="N558" s="46">
        <v>0</v>
      </c>
    </row>
    <row r="559" spans="13:14" x14ac:dyDescent="0.35">
      <c r="M559" s="46">
        <v>7.361715388039769E-2</v>
      </c>
      <c r="N559" s="46">
        <v>0</v>
      </c>
    </row>
    <row r="560" spans="13:14" x14ac:dyDescent="0.35">
      <c r="M560" s="46">
        <v>6.7759385665529012E-2</v>
      </c>
      <c r="N560" s="46">
        <v>0</v>
      </c>
    </row>
    <row r="561" spans="13:14" x14ac:dyDescent="0.35">
      <c r="M561" s="46">
        <v>6.2289953999109658E-2</v>
      </c>
      <c r="N561" s="46">
        <v>0</v>
      </c>
    </row>
    <row r="562" spans="13:14" x14ac:dyDescent="0.35">
      <c r="M562" s="46">
        <v>5.900148389968838E-2</v>
      </c>
      <c r="N562" s="46">
        <v>0</v>
      </c>
    </row>
    <row r="563" spans="13:14" x14ac:dyDescent="0.35">
      <c r="M563" s="46">
        <v>8.1031013503487168E-2</v>
      </c>
      <c r="N563" s="46">
        <v>0</v>
      </c>
    </row>
    <row r="564" spans="13:14" x14ac:dyDescent="0.35">
      <c r="M564" s="46">
        <v>0.13854318148093189</v>
      </c>
      <c r="N564" s="46">
        <v>0</v>
      </c>
    </row>
    <row r="565" spans="13:14" x14ac:dyDescent="0.35">
      <c r="M565" s="46">
        <v>0.19961982489983679</v>
      </c>
      <c r="N565" s="46">
        <v>0</v>
      </c>
    </row>
    <row r="566" spans="13:14" x14ac:dyDescent="0.35">
      <c r="M566" s="46">
        <v>0.26077793441163377</v>
      </c>
      <c r="N566" s="46">
        <v>0</v>
      </c>
    </row>
    <row r="567" spans="13:14" x14ac:dyDescent="0.35">
      <c r="M567" s="46">
        <v>0.30356610773111736</v>
      </c>
      <c r="N567" s="46">
        <v>0</v>
      </c>
    </row>
    <row r="568" spans="13:14" x14ac:dyDescent="0.35">
      <c r="M568" s="46">
        <v>0.32432163525745661</v>
      </c>
      <c r="N568" s="46">
        <v>0</v>
      </c>
    </row>
    <row r="569" spans="13:14" x14ac:dyDescent="0.35">
      <c r="M569" s="46">
        <v>0.30511819261017953</v>
      </c>
      <c r="N569" s="46">
        <v>0</v>
      </c>
    </row>
    <row r="570" spans="13:14" x14ac:dyDescent="0.35">
      <c r="M570" s="46">
        <v>0.2926959489538507</v>
      </c>
      <c r="N570" s="46">
        <v>0</v>
      </c>
    </row>
    <row r="571" spans="13:14" x14ac:dyDescent="0.35">
      <c r="M571" s="46">
        <v>0.29821204926546968</v>
      </c>
      <c r="N571" s="46">
        <v>0</v>
      </c>
    </row>
    <row r="572" spans="13:14" x14ac:dyDescent="0.35">
      <c r="M572" s="46">
        <v>0.33268919721026857</v>
      </c>
      <c r="N572" s="46">
        <v>0</v>
      </c>
    </row>
    <row r="573" spans="13:14" x14ac:dyDescent="0.35">
      <c r="M573" s="46">
        <v>0.37108732749666123</v>
      </c>
      <c r="N573" s="46">
        <v>0</v>
      </c>
    </row>
    <row r="574" spans="13:14" x14ac:dyDescent="0.35">
      <c r="M574" s="46">
        <v>0.38756351090666274</v>
      </c>
      <c r="N574" s="46">
        <v>0</v>
      </c>
    </row>
    <row r="575" spans="13:14" x14ac:dyDescent="0.35">
      <c r="M575" s="46">
        <v>0.4000443686006826</v>
      </c>
      <c r="N575" s="46">
        <v>0</v>
      </c>
    </row>
    <row r="576" spans="13:14" x14ac:dyDescent="0.35">
      <c r="M576" s="46">
        <v>0.40391385962308946</v>
      </c>
      <c r="N576" s="46">
        <v>0</v>
      </c>
    </row>
    <row r="577" spans="13:14" x14ac:dyDescent="0.35">
      <c r="M577" s="46">
        <v>0.41490369491022405</v>
      </c>
      <c r="N577" s="46">
        <v>0</v>
      </c>
    </row>
    <row r="578" spans="13:14" x14ac:dyDescent="0.35">
      <c r="M578" s="46">
        <v>0.42707538210416979</v>
      </c>
      <c r="N578" s="46">
        <v>0</v>
      </c>
    </row>
    <row r="579" spans="13:14" x14ac:dyDescent="0.35">
      <c r="M579" s="46">
        <v>0.45256024632734826</v>
      </c>
      <c r="N579" s="46">
        <v>0</v>
      </c>
    </row>
    <row r="580" spans="13:14" x14ac:dyDescent="0.35">
      <c r="M580" s="46">
        <v>0.4797958154028788</v>
      </c>
      <c r="N580" s="46">
        <v>0</v>
      </c>
    </row>
    <row r="581" spans="13:14" x14ac:dyDescent="0.35">
      <c r="M581" s="46">
        <v>0.50648434485828753</v>
      </c>
      <c r="N581" s="46">
        <v>0</v>
      </c>
    </row>
    <row r="582" spans="13:14" x14ac:dyDescent="0.35">
      <c r="M582" s="46">
        <v>0.52587334916159667</v>
      </c>
      <c r="N582" s="46">
        <v>0</v>
      </c>
    </row>
    <row r="583" spans="13:14" x14ac:dyDescent="0.35">
      <c r="M583" s="46">
        <v>0.54777466983231937</v>
      </c>
      <c r="N583" s="46">
        <v>0</v>
      </c>
    </row>
    <row r="584" spans="13:14" x14ac:dyDescent="0.35">
      <c r="M584" s="46">
        <v>0.56348397388336546</v>
      </c>
      <c r="N584" s="46">
        <v>0</v>
      </c>
    </row>
    <row r="585" spans="13:14" x14ac:dyDescent="0.35">
      <c r="M585" s="46">
        <v>0.57839026561804419</v>
      </c>
      <c r="N585" s="46">
        <v>0</v>
      </c>
    </row>
    <row r="586" spans="13:14" x14ac:dyDescent="0.35">
      <c r="M586" s="46">
        <v>0.59106759163080569</v>
      </c>
      <c r="N586" s="46">
        <v>0</v>
      </c>
    </row>
    <row r="587" spans="13:14" x14ac:dyDescent="0.35">
      <c r="M587" s="46">
        <v>0.64862613147351245</v>
      </c>
      <c r="N587" s="46">
        <v>0</v>
      </c>
    </row>
    <row r="588" spans="13:14" x14ac:dyDescent="0.35">
      <c r="M588" s="46">
        <v>0.77949517732601281</v>
      </c>
      <c r="N588" s="46">
        <v>0</v>
      </c>
    </row>
    <row r="589" spans="13:14" x14ac:dyDescent="0.35">
      <c r="M589" s="46">
        <v>0.91152196171538802</v>
      </c>
      <c r="N589" s="46">
        <v>0</v>
      </c>
    </row>
    <row r="590" spans="13:14" x14ac:dyDescent="0.35">
      <c r="M590" s="46">
        <v>0.99483239353019737</v>
      </c>
      <c r="N590" s="46">
        <v>0</v>
      </c>
    </row>
    <row r="591" spans="13:14" x14ac:dyDescent="0.35">
      <c r="M591" s="46">
        <v>1</v>
      </c>
      <c r="N591" s="46">
        <v>5.1809659416650639E-2</v>
      </c>
    </row>
    <row r="592" spans="13:14" x14ac:dyDescent="0.35">
      <c r="M592" s="46">
        <v>1</v>
      </c>
      <c r="N592" s="46">
        <v>1.0422396984749938E-2</v>
      </c>
    </row>
    <row r="593" spans="13:14" x14ac:dyDescent="0.35">
      <c r="M593" s="46">
        <v>0.9699603056833358</v>
      </c>
      <c r="N593" s="46">
        <v>0</v>
      </c>
    </row>
    <row r="594" spans="13:14" x14ac:dyDescent="0.35">
      <c r="M594" s="46">
        <v>0.89239627541178224</v>
      </c>
      <c r="N594" s="46">
        <v>0</v>
      </c>
    </row>
    <row r="595" spans="13:14" x14ac:dyDescent="0.35">
      <c r="M595" s="46">
        <v>0.77686422317851311</v>
      </c>
      <c r="N595" s="46">
        <v>0</v>
      </c>
    </row>
    <row r="596" spans="13:14" x14ac:dyDescent="0.35">
      <c r="M596" s="46">
        <v>0.65712027006974327</v>
      </c>
      <c r="N596" s="46">
        <v>0</v>
      </c>
    </row>
    <row r="597" spans="13:14" x14ac:dyDescent="0.35">
      <c r="M597" s="46">
        <v>0.63839056239798186</v>
      </c>
      <c r="N597" s="46">
        <v>0</v>
      </c>
    </row>
    <row r="598" spans="13:14" x14ac:dyDescent="0.35">
      <c r="M598" s="46">
        <v>0.63515825790176583</v>
      </c>
      <c r="N598" s="46">
        <v>0</v>
      </c>
    </row>
    <row r="599" spans="13:14" x14ac:dyDescent="0.35">
      <c r="M599" s="46">
        <v>0.6256730227036652</v>
      </c>
      <c r="N599" s="46">
        <v>0</v>
      </c>
    </row>
    <row r="600" spans="13:14" x14ac:dyDescent="0.35">
      <c r="M600" s="46">
        <v>0.62134189048820299</v>
      </c>
      <c r="N600" s="46">
        <v>0</v>
      </c>
    </row>
    <row r="601" spans="13:14" x14ac:dyDescent="0.35">
      <c r="M601" s="46">
        <v>0.61252619082949999</v>
      </c>
      <c r="N601" s="46">
        <v>0</v>
      </c>
    </row>
    <row r="602" spans="13:14" x14ac:dyDescent="0.35">
      <c r="M602" s="46">
        <v>0.60539553346193797</v>
      </c>
      <c r="N602" s="46">
        <v>0</v>
      </c>
    </row>
    <row r="603" spans="13:14" x14ac:dyDescent="0.35">
      <c r="M603" s="46">
        <v>0.59243077607953698</v>
      </c>
      <c r="N603" s="46">
        <v>0</v>
      </c>
    </row>
    <row r="604" spans="13:14" x14ac:dyDescent="0.35">
      <c r="M604" s="46">
        <v>0.57624877578275702</v>
      </c>
      <c r="N604" s="46">
        <v>0</v>
      </c>
    </row>
    <row r="605" spans="13:14" x14ac:dyDescent="0.35">
      <c r="M605" s="46">
        <v>0.56194709897610917</v>
      </c>
      <c r="N605" s="46">
        <v>0</v>
      </c>
    </row>
    <row r="606" spans="13:14" x14ac:dyDescent="0.35">
      <c r="M606" s="46">
        <v>0.54852930701884561</v>
      </c>
      <c r="N606" s="46">
        <v>0</v>
      </c>
    </row>
    <row r="607" spans="13:14" x14ac:dyDescent="0.35">
      <c r="M607" s="46">
        <v>0.5366357026265024</v>
      </c>
      <c r="N607" s="46">
        <v>0</v>
      </c>
    </row>
    <row r="608" spans="13:14" x14ac:dyDescent="0.35">
      <c r="M608" s="46">
        <v>0.52221345897017357</v>
      </c>
      <c r="N608" s="46">
        <v>0</v>
      </c>
    </row>
    <row r="609" spans="13:14" x14ac:dyDescent="0.35">
      <c r="M609" s="46">
        <v>0.50963533165158037</v>
      </c>
      <c r="N609" s="46">
        <v>0</v>
      </c>
    </row>
    <row r="610" spans="13:14" x14ac:dyDescent="0.35">
      <c r="M610" s="46">
        <v>0.4897533016768067</v>
      </c>
      <c r="N610" s="46">
        <v>0</v>
      </c>
    </row>
    <row r="611" spans="13:14" x14ac:dyDescent="0.35">
      <c r="M611" s="46">
        <v>0.53452730375426627</v>
      </c>
      <c r="N611" s="46">
        <v>0</v>
      </c>
    </row>
    <row r="612" spans="13:14" x14ac:dyDescent="0.35">
      <c r="M612" s="46">
        <v>0.63717027748924182</v>
      </c>
      <c r="N612" s="46">
        <v>0</v>
      </c>
    </row>
    <row r="613" spans="13:14" x14ac:dyDescent="0.35">
      <c r="M613" s="46">
        <v>0.74077006974328541</v>
      </c>
      <c r="N613" s="46">
        <v>0</v>
      </c>
    </row>
    <row r="614" spans="13:14" x14ac:dyDescent="0.35">
      <c r="M614" s="46">
        <v>0.7729307018845526</v>
      </c>
      <c r="N614" s="46">
        <v>0</v>
      </c>
    </row>
    <row r="615" spans="13:14" x14ac:dyDescent="0.35">
      <c r="M615" s="46">
        <v>0.77024662412820888</v>
      </c>
      <c r="N615" s="46">
        <v>0</v>
      </c>
    </row>
    <row r="616" spans="13:14" x14ac:dyDescent="0.35">
      <c r="M616" s="46">
        <v>0.72943916011277632</v>
      </c>
      <c r="N616" s="46">
        <v>0</v>
      </c>
    </row>
    <row r="617" spans="13:14" x14ac:dyDescent="0.35">
      <c r="M617" s="46">
        <v>0.63791348864816744</v>
      </c>
      <c r="N617" s="46">
        <v>0</v>
      </c>
    </row>
    <row r="618" spans="13:14" x14ac:dyDescent="0.35">
      <c r="M618" s="46">
        <v>0.53820648464163823</v>
      </c>
      <c r="N618" s="46">
        <v>0</v>
      </c>
    </row>
    <row r="619" spans="13:14" x14ac:dyDescent="0.35">
      <c r="M619" s="46">
        <v>0.4423056833358065</v>
      </c>
      <c r="N619" s="46">
        <v>0</v>
      </c>
    </row>
    <row r="620" spans="13:14" x14ac:dyDescent="0.35">
      <c r="M620" s="46">
        <v>0.39135198100608398</v>
      </c>
      <c r="N620" s="46">
        <v>0</v>
      </c>
    </row>
    <row r="621" spans="13:14" x14ac:dyDescent="0.35">
      <c r="M621" s="46">
        <v>0.37394502151654546</v>
      </c>
      <c r="N621" s="46">
        <v>0</v>
      </c>
    </row>
    <row r="622" spans="13:14" x14ac:dyDescent="0.35">
      <c r="M622" s="46">
        <v>0.35074847900281941</v>
      </c>
      <c r="N622" s="46">
        <v>0</v>
      </c>
    </row>
    <row r="623" spans="13:14" x14ac:dyDescent="0.35">
      <c r="M623" s="46">
        <v>0.30442728891526932</v>
      </c>
      <c r="N623" s="46">
        <v>0</v>
      </c>
    </row>
    <row r="624" spans="13:14" x14ac:dyDescent="0.35">
      <c r="M624" s="46">
        <v>0.27214957708858883</v>
      </c>
      <c r="N624" s="46">
        <v>0</v>
      </c>
    </row>
    <row r="625" spans="13:14" x14ac:dyDescent="0.35">
      <c r="M625" s="46">
        <v>0.24629774447247366</v>
      </c>
      <c r="N625" s="46">
        <v>0</v>
      </c>
    </row>
    <row r="626" spans="13:14" x14ac:dyDescent="0.35">
      <c r="M626" s="46">
        <v>0.22421412672503338</v>
      </c>
      <c r="N626" s="46">
        <v>0</v>
      </c>
    </row>
    <row r="627" spans="13:14" x14ac:dyDescent="0.35">
      <c r="M627" s="46">
        <v>0.20529099272889151</v>
      </c>
      <c r="N627" s="46">
        <v>0</v>
      </c>
    </row>
    <row r="628" spans="13:14" x14ac:dyDescent="0.35">
      <c r="M628" s="46">
        <v>0.19283521293960529</v>
      </c>
      <c r="N628" s="46">
        <v>0</v>
      </c>
    </row>
    <row r="629" spans="13:14" x14ac:dyDescent="0.35">
      <c r="M629" s="46">
        <v>0.18962279269921353</v>
      </c>
      <c r="N629" s="46">
        <v>0</v>
      </c>
    </row>
    <row r="630" spans="13:14" x14ac:dyDescent="0.35">
      <c r="M630" s="46">
        <v>0.18258806944650541</v>
      </c>
      <c r="N630" s="46">
        <v>0</v>
      </c>
    </row>
    <row r="631" spans="13:14" x14ac:dyDescent="0.35">
      <c r="M631" s="46">
        <v>0.17595948953850718</v>
      </c>
      <c r="N631" s="46">
        <v>0</v>
      </c>
    </row>
    <row r="632" spans="13:14" x14ac:dyDescent="0.35">
      <c r="M632" s="46">
        <v>0.17386926843745362</v>
      </c>
      <c r="N632" s="46">
        <v>0</v>
      </c>
    </row>
    <row r="633" spans="13:14" x14ac:dyDescent="0.35">
      <c r="M633" s="46">
        <v>0.17432170945244099</v>
      </c>
      <c r="N633" s="46">
        <v>0</v>
      </c>
    </row>
    <row r="634" spans="13:14" x14ac:dyDescent="0.35">
      <c r="M634" s="46">
        <v>0.17575886630063808</v>
      </c>
      <c r="N634" s="46">
        <v>0</v>
      </c>
    </row>
    <row r="635" spans="13:14" x14ac:dyDescent="0.35">
      <c r="M635" s="46">
        <v>0.25526227926992134</v>
      </c>
      <c r="N635" s="46">
        <v>0</v>
      </c>
    </row>
    <row r="636" spans="13:14" x14ac:dyDescent="0.35">
      <c r="M636" s="46">
        <v>0.40802633921946874</v>
      </c>
      <c r="N636" s="46">
        <v>0</v>
      </c>
    </row>
    <row r="637" spans="13:14" x14ac:dyDescent="0.35">
      <c r="M637" s="46">
        <v>0.54776405994954747</v>
      </c>
      <c r="N637" s="46">
        <v>0</v>
      </c>
    </row>
    <row r="638" spans="13:14" x14ac:dyDescent="0.35">
      <c r="M638" s="46">
        <v>0.64013451550675171</v>
      </c>
      <c r="N638" s="46">
        <v>0</v>
      </c>
    </row>
    <row r="639" spans="13:14" x14ac:dyDescent="0.35">
      <c r="M639" s="46">
        <v>0.6677477370529753</v>
      </c>
      <c r="N639" s="46">
        <v>0</v>
      </c>
    </row>
    <row r="640" spans="13:14" x14ac:dyDescent="0.35">
      <c r="M640" s="46">
        <v>0.63688032349013202</v>
      </c>
      <c r="N640" s="46">
        <v>0</v>
      </c>
    </row>
    <row r="641" spans="13:14" x14ac:dyDescent="0.35">
      <c r="M641" s="46">
        <v>0.55344606024632736</v>
      </c>
      <c r="N641" s="46">
        <v>0</v>
      </c>
    </row>
    <row r="642" spans="13:14" x14ac:dyDescent="0.35">
      <c r="M642" s="46">
        <v>0.4371523964979967</v>
      </c>
      <c r="N642" s="46">
        <v>0</v>
      </c>
    </row>
    <row r="643" spans="13:14" x14ac:dyDescent="0.35">
      <c r="M643" s="46">
        <v>0.31908999851610031</v>
      </c>
      <c r="N643" s="46">
        <v>0</v>
      </c>
    </row>
    <row r="644" spans="13:14" x14ac:dyDescent="0.35">
      <c r="M644" s="46">
        <v>0.25155297521887521</v>
      </c>
      <c r="N644" s="46">
        <v>0</v>
      </c>
    </row>
    <row r="645" spans="13:14" x14ac:dyDescent="0.35">
      <c r="M645" s="46">
        <v>0.26910966018697136</v>
      </c>
      <c r="N645" s="46">
        <v>0</v>
      </c>
    </row>
    <row r="646" spans="13:14" x14ac:dyDescent="0.35">
      <c r="M646" s="46">
        <v>0.28231258346935745</v>
      </c>
      <c r="N646" s="46">
        <v>0</v>
      </c>
    </row>
    <row r="647" spans="13:14" x14ac:dyDescent="0.35">
      <c r="M647" s="46">
        <v>0.30118185190681113</v>
      </c>
      <c r="N647" s="46">
        <v>0</v>
      </c>
    </row>
    <row r="648" spans="13:14" x14ac:dyDescent="0.35">
      <c r="M648" s="46">
        <v>0.32740792402433594</v>
      </c>
      <c r="N648" s="46">
        <v>0</v>
      </c>
    </row>
    <row r="649" spans="13:14" x14ac:dyDescent="0.35">
      <c r="M649" s="46">
        <v>0.34860476331799972</v>
      </c>
      <c r="N649" s="46">
        <v>0</v>
      </c>
    </row>
    <row r="650" spans="13:14" x14ac:dyDescent="0.35">
      <c r="M650" s="46">
        <v>0.36794413117673241</v>
      </c>
      <c r="N650" s="46">
        <v>0</v>
      </c>
    </row>
    <row r="651" spans="13:14" x14ac:dyDescent="0.35">
      <c r="M651" s="46">
        <v>0.39009177919572641</v>
      </c>
      <c r="N651" s="46">
        <v>0</v>
      </c>
    </row>
    <row r="652" spans="13:14" x14ac:dyDescent="0.35">
      <c r="M652" s="46">
        <v>0.40762635405846565</v>
      </c>
      <c r="N652" s="46">
        <v>0</v>
      </c>
    </row>
    <row r="653" spans="13:14" x14ac:dyDescent="0.35">
      <c r="M653" s="46">
        <v>0.42167829054755901</v>
      </c>
      <c r="N653" s="46">
        <v>0</v>
      </c>
    </row>
    <row r="654" spans="13:14" x14ac:dyDescent="0.35">
      <c r="M654" s="46">
        <v>0.43795073453034572</v>
      </c>
      <c r="N654" s="46">
        <v>0</v>
      </c>
    </row>
    <row r="655" spans="13:14" x14ac:dyDescent="0.35">
      <c r="M655" s="46">
        <v>0.45262850571301383</v>
      </c>
      <c r="N655" s="46">
        <v>0</v>
      </c>
    </row>
    <row r="656" spans="13:14" x14ac:dyDescent="0.35">
      <c r="M656" s="46">
        <v>0.4701075827274076</v>
      </c>
      <c r="N656" s="46">
        <v>0</v>
      </c>
    </row>
    <row r="657" spans="13:14" x14ac:dyDescent="0.35">
      <c r="M657" s="46">
        <v>0.48610491170796855</v>
      </c>
      <c r="N657" s="46">
        <v>0</v>
      </c>
    </row>
    <row r="658" spans="13:14" x14ac:dyDescent="0.35">
      <c r="M658" s="46">
        <v>0.49994197952218428</v>
      </c>
      <c r="N658" s="46">
        <v>0</v>
      </c>
    </row>
    <row r="659" spans="13:14" x14ac:dyDescent="0.35">
      <c r="M659" s="46">
        <v>0.57988974625315326</v>
      </c>
      <c r="N659" s="46">
        <v>0</v>
      </c>
    </row>
    <row r="660" spans="13:14" x14ac:dyDescent="0.35">
      <c r="M660" s="46">
        <v>0.72119624573378838</v>
      </c>
      <c r="N660" s="46">
        <v>0</v>
      </c>
    </row>
    <row r="661" spans="13:14" x14ac:dyDescent="0.35">
      <c r="M661" s="46">
        <v>0.85254889449473215</v>
      </c>
      <c r="N661" s="46">
        <v>0</v>
      </c>
    </row>
    <row r="662" spans="13:14" x14ac:dyDescent="0.35">
      <c r="M662" s="46">
        <v>0.96232905475589858</v>
      </c>
      <c r="N662" s="46">
        <v>0</v>
      </c>
    </row>
    <row r="663" spans="13:14" x14ac:dyDescent="0.35">
      <c r="M663" s="46">
        <v>1</v>
      </c>
      <c r="N663" s="46">
        <v>1.6417375988850624E-2</v>
      </c>
    </row>
    <row r="664" spans="13:14" x14ac:dyDescent="0.35">
      <c r="M664" s="46">
        <v>0.99198486422317844</v>
      </c>
      <c r="N664" s="46">
        <v>0</v>
      </c>
    </row>
    <row r="665" spans="13:14" x14ac:dyDescent="0.35">
      <c r="M665" s="46">
        <v>0.9452126428253449</v>
      </c>
      <c r="N665" s="46">
        <v>0</v>
      </c>
    </row>
    <row r="666" spans="13:14" x14ac:dyDescent="0.35">
      <c r="M666" s="46">
        <v>0.85164134144531833</v>
      </c>
      <c r="N666" s="46">
        <v>0</v>
      </c>
    </row>
    <row r="667" spans="13:14" x14ac:dyDescent="0.35">
      <c r="M667" s="46">
        <v>0.72075812435079389</v>
      </c>
      <c r="N667" s="46">
        <v>0</v>
      </c>
    </row>
    <row r="668" spans="13:14" x14ac:dyDescent="0.35">
      <c r="M668" s="46">
        <v>0.59857026265024482</v>
      </c>
      <c r="N668" s="46">
        <v>0</v>
      </c>
    </row>
    <row r="669" spans="13:14" x14ac:dyDescent="0.35">
      <c r="M669" s="46">
        <v>0.58770937824603053</v>
      </c>
      <c r="N669" s="46">
        <v>0</v>
      </c>
    </row>
    <row r="670" spans="13:14" x14ac:dyDescent="0.35">
      <c r="M670" s="46">
        <v>0.58820655883662265</v>
      </c>
      <c r="N670" s="46">
        <v>0</v>
      </c>
    </row>
    <row r="671" spans="13:14" x14ac:dyDescent="0.35">
      <c r="M671" s="46">
        <v>0.5738453034574863</v>
      </c>
      <c r="N671" s="46">
        <v>0</v>
      </c>
    </row>
    <row r="672" spans="13:14" x14ac:dyDescent="0.35">
      <c r="M672" s="46">
        <v>0.54351520997180591</v>
      </c>
      <c r="N672" s="46">
        <v>0</v>
      </c>
    </row>
    <row r="673" spans="13:14" x14ac:dyDescent="0.35">
      <c r="M673" s="46">
        <v>0.52049428698619971</v>
      </c>
      <c r="N673" s="46">
        <v>0</v>
      </c>
    </row>
    <row r="674" spans="13:14" x14ac:dyDescent="0.35">
      <c r="M674" s="46">
        <v>0.49269646831874164</v>
      </c>
      <c r="N674" s="46">
        <v>0</v>
      </c>
    </row>
    <row r="675" spans="13:14" x14ac:dyDescent="0.35">
      <c r="M675" s="46">
        <v>0.46954295889597863</v>
      </c>
      <c r="N675" s="46">
        <v>0</v>
      </c>
    </row>
    <row r="676" spans="13:14" x14ac:dyDescent="0.35">
      <c r="M676" s="46">
        <v>0.43267161299896123</v>
      </c>
      <c r="N676" s="46">
        <v>0</v>
      </c>
    </row>
    <row r="677" spans="13:14" x14ac:dyDescent="0.35">
      <c r="M677" s="46">
        <v>0.39431748033832914</v>
      </c>
      <c r="N677" s="46">
        <v>0</v>
      </c>
    </row>
    <row r="678" spans="13:14" x14ac:dyDescent="0.35">
      <c r="M678" s="46">
        <v>0.357358361774744</v>
      </c>
      <c r="N678" s="46">
        <v>0</v>
      </c>
    </row>
    <row r="679" spans="13:14" x14ac:dyDescent="0.35">
      <c r="M679" s="46">
        <v>0.32271101053568779</v>
      </c>
      <c r="N679" s="46">
        <v>0</v>
      </c>
    </row>
    <row r="680" spans="13:14" x14ac:dyDescent="0.35">
      <c r="M680" s="46">
        <v>0.29040169164564478</v>
      </c>
      <c r="N680" s="46">
        <v>0</v>
      </c>
    </row>
    <row r="681" spans="13:14" x14ac:dyDescent="0.35">
      <c r="M681" s="46">
        <v>0.26130041549191274</v>
      </c>
      <c r="N681" s="46">
        <v>0</v>
      </c>
    </row>
    <row r="682" spans="13:14" x14ac:dyDescent="0.35">
      <c r="M682" s="46">
        <v>0.23905163970915566</v>
      </c>
      <c r="N682" s="46">
        <v>0</v>
      </c>
    </row>
    <row r="683" spans="13:14" x14ac:dyDescent="0.35">
      <c r="M683" s="46">
        <v>0.30553939753672654</v>
      </c>
      <c r="N683" s="46">
        <v>0</v>
      </c>
    </row>
    <row r="684" spans="13:14" x14ac:dyDescent="0.35">
      <c r="M684" s="46">
        <v>0.44693396646386702</v>
      </c>
      <c r="N684" s="46">
        <v>0</v>
      </c>
    </row>
    <row r="685" spans="13:14" x14ac:dyDescent="0.35">
      <c r="M685" s="46">
        <v>0.57649272889152692</v>
      </c>
      <c r="N685" s="46">
        <v>0</v>
      </c>
    </row>
    <row r="686" spans="13:14" x14ac:dyDescent="0.35">
      <c r="M686" s="46">
        <v>0.65414549636444574</v>
      </c>
      <c r="N686" s="46">
        <v>0</v>
      </c>
    </row>
    <row r="687" spans="13:14" x14ac:dyDescent="0.35">
      <c r="M687" s="46">
        <v>0.67261210862145726</v>
      </c>
      <c r="N687" s="46">
        <v>0</v>
      </c>
    </row>
    <row r="688" spans="13:14" x14ac:dyDescent="0.35">
      <c r="M688" s="46">
        <v>0.63003783944205372</v>
      </c>
      <c r="N688" s="46">
        <v>0</v>
      </c>
    </row>
    <row r="689" spans="13:14" x14ac:dyDescent="0.35">
      <c r="M689" s="46">
        <v>0.57010684077756346</v>
      </c>
      <c r="N689" s="46">
        <v>0</v>
      </c>
    </row>
    <row r="690" spans="13:14" x14ac:dyDescent="0.35">
      <c r="M690" s="46">
        <v>0.47310624721768807</v>
      </c>
      <c r="N690" s="46">
        <v>0</v>
      </c>
    </row>
    <row r="691" spans="13:14" x14ac:dyDescent="0.35">
      <c r="M691" s="46">
        <v>0.34791163377355694</v>
      </c>
      <c r="N691" s="46">
        <v>0</v>
      </c>
    </row>
    <row r="692" spans="13:14" x14ac:dyDescent="0.35">
      <c r="M692" s="46">
        <v>0.23427029232823859</v>
      </c>
      <c r="N692" s="46">
        <v>0</v>
      </c>
    </row>
    <row r="693" spans="13:14" x14ac:dyDescent="0.35">
      <c r="M693" s="46">
        <v>0.2398952366820003</v>
      </c>
      <c r="N693" s="46">
        <v>0</v>
      </c>
    </row>
    <row r="694" spans="13:14" x14ac:dyDescent="0.35">
      <c r="M694" s="46">
        <v>0.25889464312212496</v>
      </c>
      <c r="N694" s="46">
        <v>0</v>
      </c>
    </row>
    <row r="695" spans="13:14" x14ac:dyDescent="0.35">
      <c r="M695" s="46">
        <v>0.26380746401543259</v>
      </c>
      <c r="N695" s="46">
        <v>0</v>
      </c>
    </row>
    <row r="696" spans="13:14" x14ac:dyDescent="0.35">
      <c r="M696" s="46">
        <v>0.25345459266953557</v>
      </c>
      <c r="N696" s="46">
        <v>0</v>
      </c>
    </row>
    <row r="697" spans="13:14" x14ac:dyDescent="0.35">
      <c r="M697" s="46">
        <v>0.2357737794925063</v>
      </c>
      <c r="N697" s="46">
        <v>0</v>
      </c>
    </row>
    <row r="698" spans="13:14" x14ac:dyDescent="0.35">
      <c r="M698" s="46">
        <v>0.20570871049117079</v>
      </c>
      <c r="N698" s="46">
        <v>0</v>
      </c>
    </row>
    <row r="699" spans="13:14" x14ac:dyDescent="0.35">
      <c r="M699" s="46">
        <v>0.17637431369639411</v>
      </c>
      <c r="N699" s="46">
        <v>0</v>
      </c>
    </row>
    <row r="700" spans="13:14" x14ac:dyDescent="0.35">
      <c r="M700" s="46">
        <v>0.15335628431518031</v>
      </c>
      <c r="N700" s="46">
        <v>0</v>
      </c>
    </row>
    <row r="701" spans="13:14" x14ac:dyDescent="0.35">
      <c r="M701" s="46">
        <v>0.13311782163525746</v>
      </c>
      <c r="N701" s="46">
        <v>0</v>
      </c>
    </row>
    <row r="702" spans="13:14" x14ac:dyDescent="0.35">
      <c r="M702" s="46">
        <v>0.11851009051788099</v>
      </c>
      <c r="N702" s="46">
        <v>0</v>
      </c>
    </row>
    <row r="703" spans="13:14" x14ac:dyDescent="0.35">
      <c r="M703" s="46">
        <v>0.11136845229262501</v>
      </c>
      <c r="N703" s="46">
        <v>0</v>
      </c>
    </row>
    <row r="704" spans="13:14" x14ac:dyDescent="0.35">
      <c r="M704" s="46">
        <v>0.11242320819112628</v>
      </c>
      <c r="N704" s="46">
        <v>0</v>
      </c>
    </row>
    <row r="705" spans="13:14" x14ac:dyDescent="0.35">
      <c r="M705" s="46">
        <v>0.11898679329277341</v>
      </c>
      <c r="N705" s="46">
        <v>0</v>
      </c>
    </row>
    <row r="706" spans="13:14" x14ac:dyDescent="0.35">
      <c r="M706" s="46">
        <v>0.12971249443537616</v>
      </c>
      <c r="N706" s="46">
        <v>0</v>
      </c>
    </row>
    <row r="707" spans="13:14" x14ac:dyDescent="0.35">
      <c r="M707" s="46">
        <v>0.21940992728891526</v>
      </c>
      <c r="N707" s="46">
        <v>0</v>
      </c>
    </row>
    <row r="708" spans="13:14" x14ac:dyDescent="0.35">
      <c r="M708" s="46">
        <v>0.37205334619379726</v>
      </c>
      <c r="N708" s="46">
        <v>0</v>
      </c>
    </row>
    <row r="709" spans="13:14" x14ac:dyDescent="0.35">
      <c r="M709" s="46">
        <v>0.51013844784092588</v>
      </c>
      <c r="N709" s="46">
        <v>0</v>
      </c>
    </row>
    <row r="710" spans="13:14" x14ac:dyDescent="0.35">
      <c r="M710" s="46">
        <v>0.6054597121234605</v>
      </c>
      <c r="N710" s="46">
        <v>0</v>
      </c>
    </row>
    <row r="711" spans="13:14" x14ac:dyDescent="0.35">
      <c r="M711" s="46">
        <v>0.64171279121531377</v>
      </c>
      <c r="N711" s="46">
        <v>0</v>
      </c>
    </row>
    <row r="712" spans="13:14" x14ac:dyDescent="0.35">
      <c r="M712" s="46">
        <v>0.62009385665529015</v>
      </c>
      <c r="N712" s="46">
        <v>0</v>
      </c>
    </row>
    <row r="713" spans="13:14" x14ac:dyDescent="0.35">
      <c r="M713" s="46">
        <v>0.57332860958599197</v>
      </c>
      <c r="N713" s="46">
        <v>0</v>
      </c>
    </row>
    <row r="714" spans="13:14" x14ac:dyDescent="0.35">
      <c r="M714" s="46">
        <v>0.47766990651431962</v>
      </c>
      <c r="N714" s="46">
        <v>0</v>
      </c>
    </row>
    <row r="715" spans="13:14" x14ac:dyDescent="0.35">
      <c r="M715" s="46">
        <v>0.34673430776079533</v>
      </c>
      <c r="N715" s="46">
        <v>0</v>
      </c>
    </row>
    <row r="716" spans="13:14" x14ac:dyDescent="0.35">
      <c r="M716" s="46">
        <v>0.22848174803383289</v>
      </c>
      <c r="N716" s="46">
        <v>0</v>
      </c>
    </row>
    <row r="717" spans="13:14" x14ac:dyDescent="0.35">
      <c r="M717" s="46">
        <v>0.22186785873274967</v>
      </c>
      <c r="N717" s="46">
        <v>0</v>
      </c>
    </row>
    <row r="718" spans="13:14" x14ac:dyDescent="0.35">
      <c r="M718" s="46">
        <v>0.23262086362961865</v>
      </c>
      <c r="N718" s="46">
        <v>0</v>
      </c>
    </row>
    <row r="719" spans="13:14" x14ac:dyDescent="0.35">
      <c r="M719" s="46">
        <v>0.23604637186526189</v>
      </c>
      <c r="N719" s="46">
        <v>0</v>
      </c>
    </row>
    <row r="720" spans="13:14" x14ac:dyDescent="0.35">
      <c r="M720" s="46">
        <v>0.23417984864223176</v>
      </c>
      <c r="N720" s="46">
        <v>0</v>
      </c>
    </row>
    <row r="721" spans="13:14" x14ac:dyDescent="0.35">
      <c r="M721" s="46">
        <v>0.22078327645051196</v>
      </c>
      <c r="N721" s="46">
        <v>0</v>
      </c>
    </row>
    <row r="722" spans="13:14" x14ac:dyDescent="0.35">
      <c r="M722" s="46">
        <v>0.20054540733046447</v>
      </c>
      <c r="N722" s="46">
        <v>0</v>
      </c>
    </row>
    <row r="723" spans="13:14" x14ac:dyDescent="0.35">
      <c r="M723" s="46">
        <v>0.1821950586140377</v>
      </c>
      <c r="N723" s="46">
        <v>0</v>
      </c>
    </row>
    <row r="724" spans="13:14" x14ac:dyDescent="0.35">
      <c r="M724" s="46">
        <v>0.17101038729781867</v>
      </c>
      <c r="N724" s="46">
        <v>0</v>
      </c>
    </row>
    <row r="725" spans="13:14" x14ac:dyDescent="0.35">
      <c r="M725" s="46">
        <v>0.16878906365929663</v>
      </c>
      <c r="N725" s="46">
        <v>0</v>
      </c>
    </row>
    <row r="726" spans="13:14" x14ac:dyDescent="0.35">
      <c r="M726" s="46">
        <v>0.17730048968689716</v>
      </c>
      <c r="N726" s="46">
        <v>0</v>
      </c>
    </row>
    <row r="727" spans="13:14" x14ac:dyDescent="0.35">
      <c r="M727" s="46">
        <v>0.20074781124795965</v>
      </c>
      <c r="N727" s="46">
        <v>0</v>
      </c>
    </row>
    <row r="728" spans="13:14" x14ac:dyDescent="0.35">
      <c r="M728" s="46">
        <v>0.22297640599495472</v>
      </c>
      <c r="N728" s="46">
        <v>0</v>
      </c>
    </row>
    <row r="729" spans="13:14" x14ac:dyDescent="0.35">
      <c r="M729" s="46">
        <v>0.24875100163228966</v>
      </c>
      <c r="N729" s="46">
        <v>0</v>
      </c>
    </row>
    <row r="730" spans="13:14" x14ac:dyDescent="0.35">
      <c r="M730" s="46">
        <v>0.27749250630657368</v>
      </c>
      <c r="N730" s="46">
        <v>0</v>
      </c>
    </row>
    <row r="731" spans="13:14" x14ac:dyDescent="0.35">
      <c r="M731" s="46">
        <v>0.38490621753969428</v>
      </c>
      <c r="N731" s="46">
        <v>0</v>
      </c>
    </row>
    <row r="732" spans="13:14" x14ac:dyDescent="0.35">
      <c r="M732" s="46">
        <v>0.55101632289657221</v>
      </c>
      <c r="N732" s="46">
        <v>0</v>
      </c>
    </row>
    <row r="733" spans="13:14" x14ac:dyDescent="0.35">
      <c r="M733" s="46">
        <v>0.70169134886481677</v>
      </c>
      <c r="N733" s="46">
        <v>0</v>
      </c>
    </row>
    <row r="734" spans="13:14" x14ac:dyDescent="0.35">
      <c r="M734" s="46">
        <v>0.78405690755304946</v>
      </c>
      <c r="N734" s="46">
        <v>0</v>
      </c>
    </row>
    <row r="735" spans="13:14" x14ac:dyDescent="0.35">
      <c r="M735" s="46">
        <v>0.81931748033832918</v>
      </c>
      <c r="N735" s="46">
        <v>0</v>
      </c>
    </row>
    <row r="736" spans="13:14" x14ac:dyDescent="0.35">
      <c r="M736" s="46">
        <v>0.7915229262501855</v>
      </c>
      <c r="N736" s="46">
        <v>0</v>
      </c>
    </row>
    <row r="737" spans="13:14" x14ac:dyDescent="0.35">
      <c r="M737" s="46">
        <v>0.74970722659148237</v>
      </c>
      <c r="N737" s="46">
        <v>0</v>
      </c>
    </row>
    <row r="738" spans="13:14" x14ac:dyDescent="0.35">
      <c r="M738" s="46">
        <v>0.68489924321115891</v>
      </c>
      <c r="N738" s="46">
        <v>0</v>
      </c>
    </row>
    <row r="739" spans="13:14" x14ac:dyDescent="0.35">
      <c r="M739" s="46">
        <v>0.58560676658257904</v>
      </c>
      <c r="N739" s="46">
        <v>0</v>
      </c>
    </row>
    <row r="740" spans="13:14" x14ac:dyDescent="0.35">
      <c r="M740" s="46">
        <v>0.49275790176584061</v>
      </c>
      <c r="N740" s="46">
        <v>0</v>
      </c>
    </row>
    <row r="741" spans="13:14" x14ac:dyDescent="0.35">
      <c r="M741" s="46">
        <v>0.49386555868823268</v>
      </c>
      <c r="N741" s="46">
        <v>0</v>
      </c>
    </row>
    <row r="742" spans="13:14" x14ac:dyDescent="0.35">
      <c r="M742" s="46">
        <v>0.50834263243804723</v>
      </c>
      <c r="N742" s="46">
        <v>0</v>
      </c>
    </row>
    <row r="743" spans="13:14" x14ac:dyDescent="0.35">
      <c r="M743" s="46">
        <v>0.50206135925211459</v>
      </c>
      <c r="N743" s="46">
        <v>0</v>
      </c>
    </row>
    <row r="744" spans="13:14" x14ac:dyDescent="0.35">
      <c r="M744" s="46">
        <v>0.47632245140228519</v>
      </c>
      <c r="N744" s="46">
        <v>0</v>
      </c>
    </row>
    <row r="745" spans="13:14" x14ac:dyDescent="0.35">
      <c r="M745" s="46">
        <v>0.44599658703071671</v>
      </c>
      <c r="N745" s="46">
        <v>0</v>
      </c>
    </row>
    <row r="746" spans="13:14" x14ac:dyDescent="0.35">
      <c r="M746" s="46">
        <v>0.42023846267992288</v>
      </c>
      <c r="N746" s="46">
        <v>0</v>
      </c>
    </row>
    <row r="747" spans="13:14" x14ac:dyDescent="0.35">
      <c r="M747" s="46">
        <v>0.38879477667309692</v>
      </c>
      <c r="N747" s="46">
        <v>0</v>
      </c>
    </row>
    <row r="748" spans="13:14" x14ac:dyDescent="0.35">
      <c r="M748" s="46">
        <v>0.36016946134441308</v>
      </c>
      <c r="N748" s="46">
        <v>0</v>
      </c>
    </row>
    <row r="749" spans="13:14" x14ac:dyDescent="0.35">
      <c r="M749" s="46">
        <v>0.32589931740614331</v>
      </c>
      <c r="N749" s="46">
        <v>0</v>
      </c>
    </row>
    <row r="750" spans="13:14" x14ac:dyDescent="0.35">
      <c r="M750" s="46">
        <v>0.29315929663154772</v>
      </c>
      <c r="N750" s="46">
        <v>0</v>
      </c>
    </row>
    <row r="751" spans="13:14" x14ac:dyDescent="0.35">
      <c r="M751" s="46">
        <v>0.25796253153286836</v>
      </c>
      <c r="N751" s="46">
        <v>0</v>
      </c>
    </row>
    <row r="752" spans="13:14" x14ac:dyDescent="0.35">
      <c r="M752" s="46">
        <v>0.22825775337587179</v>
      </c>
      <c r="N752" s="46">
        <v>0</v>
      </c>
    </row>
    <row r="753" spans="13:14" x14ac:dyDescent="0.35">
      <c r="M753" s="46">
        <v>0.21307590146906069</v>
      </c>
      <c r="N753" s="46">
        <v>0</v>
      </c>
    </row>
    <row r="754" spans="13:14" x14ac:dyDescent="0.35">
      <c r="M754" s="46">
        <v>0.206857471434931</v>
      </c>
      <c r="N754" s="46">
        <v>0</v>
      </c>
    </row>
    <row r="755" spans="13:14" x14ac:dyDescent="0.35">
      <c r="M755" s="46">
        <v>0.26683966463867043</v>
      </c>
      <c r="N755" s="46">
        <v>0</v>
      </c>
    </row>
    <row r="756" spans="13:14" x14ac:dyDescent="0.35">
      <c r="M756" s="46">
        <v>0.39830219617153878</v>
      </c>
      <c r="N756" s="46">
        <v>0</v>
      </c>
    </row>
    <row r="757" spans="13:14" x14ac:dyDescent="0.35">
      <c r="M757" s="46">
        <v>0.53144353761685714</v>
      </c>
      <c r="N757" s="46">
        <v>0</v>
      </c>
    </row>
    <row r="758" spans="13:14" x14ac:dyDescent="0.35">
      <c r="M758" s="46">
        <v>0.61655178809912448</v>
      </c>
      <c r="N758" s="46">
        <v>0</v>
      </c>
    </row>
    <row r="759" spans="13:14" x14ac:dyDescent="0.35">
      <c r="M759" s="46">
        <v>0.65470114260276002</v>
      </c>
      <c r="N759" s="46">
        <v>0</v>
      </c>
    </row>
    <row r="760" spans="13:14" x14ac:dyDescent="0.35">
      <c r="M760" s="46">
        <v>0.64518244546668646</v>
      </c>
      <c r="N760" s="46">
        <v>0</v>
      </c>
    </row>
    <row r="761" spans="13:14" x14ac:dyDescent="0.35">
      <c r="M761" s="46">
        <v>0.57439397536726511</v>
      </c>
      <c r="N761" s="46">
        <v>0</v>
      </c>
    </row>
    <row r="762" spans="13:14" x14ac:dyDescent="0.35">
      <c r="M762" s="46">
        <v>0.47038470099421281</v>
      </c>
      <c r="N762" s="46">
        <v>0</v>
      </c>
    </row>
    <row r="763" spans="13:14" x14ac:dyDescent="0.35">
      <c r="M763" s="46">
        <v>0.33901253895236683</v>
      </c>
      <c r="N763" s="46">
        <v>0</v>
      </c>
    </row>
    <row r="764" spans="13:14" x14ac:dyDescent="0.35">
      <c r="M764" s="46">
        <v>0.22264022852055201</v>
      </c>
      <c r="N764" s="46">
        <v>0</v>
      </c>
    </row>
    <row r="765" spans="13:14" x14ac:dyDescent="0.35">
      <c r="M765" s="46">
        <v>0.21209830835435525</v>
      </c>
      <c r="N765" s="46">
        <v>0</v>
      </c>
    </row>
    <row r="766" spans="13:14" x14ac:dyDescent="0.35">
      <c r="M766" s="46">
        <v>0.22429774447247366</v>
      </c>
      <c r="N766" s="46">
        <v>0</v>
      </c>
    </row>
    <row r="767" spans="13:14" x14ac:dyDescent="0.35">
      <c r="M767" s="46">
        <v>0.22876361477964088</v>
      </c>
      <c r="N767" s="46">
        <v>0</v>
      </c>
    </row>
    <row r="768" spans="13:14" x14ac:dyDescent="0.35">
      <c r="M768" s="46">
        <v>0.2089462086362962</v>
      </c>
      <c r="N768" s="46">
        <v>0</v>
      </c>
    </row>
    <row r="769" spans="13:14" x14ac:dyDescent="0.35">
      <c r="M769" s="46">
        <v>0.18661626354058466</v>
      </c>
      <c r="N769" s="46">
        <v>0</v>
      </c>
    </row>
    <row r="770" spans="13:14" x14ac:dyDescent="0.35">
      <c r="M770" s="46">
        <v>0.16794183113221547</v>
      </c>
      <c r="N770" s="46">
        <v>0</v>
      </c>
    </row>
    <row r="771" spans="13:14" x14ac:dyDescent="0.35">
      <c r="M771" s="46">
        <v>0.15203323935301971</v>
      </c>
      <c r="N771" s="46">
        <v>0</v>
      </c>
    </row>
    <row r="772" spans="13:14" x14ac:dyDescent="0.35">
      <c r="M772" s="46">
        <v>0.13909192758569522</v>
      </c>
      <c r="N772" s="46">
        <v>0</v>
      </c>
    </row>
    <row r="773" spans="13:14" x14ac:dyDescent="0.35">
      <c r="M773" s="46">
        <v>0.12798449324825642</v>
      </c>
      <c r="N773" s="46">
        <v>0</v>
      </c>
    </row>
    <row r="774" spans="13:14" x14ac:dyDescent="0.35">
      <c r="M774" s="46">
        <v>0.12282415788692684</v>
      </c>
      <c r="N774" s="46">
        <v>0</v>
      </c>
    </row>
    <row r="775" spans="13:14" x14ac:dyDescent="0.35">
      <c r="M775" s="46">
        <v>0.11625604689123015</v>
      </c>
      <c r="N775" s="46">
        <v>0</v>
      </c>
    </row>
    <row r="776" spans="13:14" x14ac:dyDescent="0.35">
      <c r="M776" s="46">
        <v>0.11367740020774596</v>
      </c>
      <c r="N776" s="46">
        <v>0</v>
      </c>
    </row>
    <row r="777" spans="13:14" x14ac:dyDescent="0.35">
      <c r="M777" s="46">
        <v>0.11229945095711528</v>
      </c>
      <c r="N777" s="46">
        <v>0</v>
      </c>
    </row>
    <row r="778" spans="13:14" x14ac:dyDescent="0.35">
      <c r="M778" s="46">
        <v>0.11387980412524114</v>
      </c>
      <c r="N778" s="46">
        <v>0</v>
      </c>
    </row>
    <row r="779" spans="13:14" x14ac:dyDescent="0.35">
      <c r="M779" s="46">
        <v>0.19969372310431815</v>
      </c>
      <c r="N779" s="46">
        <v>0</v>
      </c>
    </row>
    <row r="780" spans="13:14" x14ac:dyDescent="0.35">
      <c r="M780" s="46">
        <v>0.37729114111886036</v>
      </c>
      <c r="N780" s="46">
        <v>0</v>
      </c>
    </row>
    <row r="781" spans="13:14" x14ac:dyDescent="0.35">
      <c r="M781" s="46">
        <v>0.54948004154919128</v>
      </c>
      <c r="N781" s="46">
        <v>0</v>
      </c>
    </row>
    <row r="782" spans="13:14" x14ac:dyDescent="0.35">
      <c r="M782" s="46">
        <v>0.64976561804422017</v>
      </c>
      <c r="N782" s="46">
        <v>0</v>
      </c>
    </row>
    <row r="783" spans="13:14" x14ac:dyDescent="0.35">
      <c r="M783" s="46">
        <v>0.68292402433595489</v>
      </c>
      <c r="N783" s="46">
        <v>0</v>
      </c>
    </row>
    <row r="784" spans="13:14" x14ac:dyDescent="0.35">
      <c r="M784" s="46">
        <v>0.65969713607360136</v>
      </c>
      <c r="N784" s="46">
        <v>0</v>
      </c>
    </row>
    <row r="785" spans="13:14" x14ac:dyDescent="0.35">
      <c r="M785" s="46">
        <v>0.59167554533313549</v>
      </c>
      <c r="N785" s="46">
        <v>0</v>
      </c>
    </row>
    <row r="786" spans="13:14" x14ac:dyDescent="0.35">
      <c r="M786" s="46">
        <v>0.48277815699658705</v>
      </c>
      <c r="N786" s="46">
        <v>0</v>
      </c>
    </row>
    <row r="787" spans="13:14" x14ac:dyDescent="0.35">
      <c r="M787" s="46">
        <v>0.33823482712568631</v>
      </c>
      <c r="N787" s="46">
        <v>0</v>
      </c>
    </row>
    <row r="788" spans="13:14" x14ac:dyDescent="0.35">
      <c r="M788" s="46">
        <v>0.21270833951624868</v>
      </c>
      <c r="N788" s="46">
        <v>0</v>
      </c>
    </row>
    <row r="789" spans="13:14" x14ac:dyDescent="0.35">
      <c r="M789" s="46">
        <v>0.20786422317851314</v>
      </c>
      <c r="N789" s="46">
        <v>0</v>
      </c>
    </row>
    <row r="790" spans="13:14" x14ac:dyDescent="0.35">
      <c r="M790" s="46">
        <v>0.24207745956373347</v>
      </c>
      <c r="N790" s="46">
        <v>0</v>
      </c>
    </row>
    <row r="791" spans="13:14" x14ac:dyDescent="0.35">
      <c r="M791" s="46">
        <v>0.27329373794331502</v>
      </c>
      <c r="N791" s="46">
        <v>0</v>
      </c>
    </row>
    <row r="792" spans="13:14" x14ac:dyDescent="0.35">
      <c r="M792" s="46">
        <v>0.2815707820151358</v>
      </c>
      <c r="N792" s="46">
        <v>0</v>
      </c>
    </row>
    <row r="793" spans="13:14" x14ac:dyDescent="0.35">
      <c r="M793" s="46">
        <v>0.28385806499480637</v>
      </c>
      <c r="N793" s="46">
        <v>0</v>
      </c>
    </row>
    <row r="794" spans="13:14" x14ac:dyDescent="0.35">
      <c r="M794" s="46">
        <v>0.28314846416382256</v>
      </c>
      <c r="N794" s="46">
        <v>0</v>
      </c>
    </row>
    <row r="795" spans="13:14" x14ac:dyDescent="0.35">
      <c r="M795" s="46">
        <v>0.28409964386407477</v>
      </c>
      <c r="N795" s="46">
        <v>0</v>
      </c>
    </row>
    <row r="796" spans="13:14" x14ac:dyDescent="0.35">
      <c r="M796" s="46">
        <v>0.28462791215313848</v>
      </c>
      <c r="N796" s="46">
        <v>0</v>
      </c>
    </row>
    <row r="797" spans="13:14" x14ac:dyDescent="0.35">
      <c r="M797" s="46">
        <v>0.28961055052678442</v>
      </c>
      <c r="N797" s="46">
        <v>0</v>
      </c>
    </row>
    <row r="798" spans="13:14" x14ac:dyDescent="0.35">
      <c r="M798" s="46">
        <v>0.29535569075530493</v>
      </c>
      <c r="N798" s="46">
        <v>0</v>
      </c>
    </row>
    <row r="799" spans="13:14" x14ac:dyDescent="0.35">
      <c r="M799" s="46">
        <v>0.29890918533907107</v>
      </c>
      <c r="N799" s="46">
        <v>0</v>
      </c>
    </row>
    <row r="800" spans="13:14" x14ac:dyDescent="0.35">
      <c r="M800" s="46">
        <v>0.30347217688084283</v>
      </c>
      <c r="N800" s="46">
        <v>0</v>
      </c>
    </row>
    <row r="801" spans="13:14" x14ac:dyDescent="0.35">
      <c r="M801" s="46">
        <v>0.31615677400207748</v>
      </c>
      <c r="N801" s="46">
        <v>0</v>
      </c>
    </row>
    <row r="802" spans="13:14" x14ac:dyDescent="0.35">
      <c r="M802" s="46">
        <v>0.32942877281495775</v>
      </c>
      <c r="N802" s="46">
        <v>0</v>
      </c>
    </row>
    <row r="803" spans="13:14" x14ac:dyDescent="0.35">
      <c r="M803" s="46">
        <v>0.42101090666270963</v>
      </c>
      <c r="N803" s="46">
        <v>0</v>
      </c>
    </row>
    <row r="804" spans="13:14" x14ac:dyDescent="0.35">
      <c r="M804" s="46">
        <v>0.58115529010238909</v>
      </c>
      <c r="N804" s="46">
        <v>0</v>
      </c>
    </row>
    <row r="805" spans="13:14" x14ac:dyDescent="0.35">
      <c r="M805" s="46">
        <v>0.72827073749814508</v>
      </c>
      <c r="N805" s="46">
        <v>0</v>
      </c>
    </row>
    <row r="806" spans="13:14" x14ac:dyDescent="0.35">
      <c r="M806" s="46">
        <v>0.8155914824157886</v>
      </c>
      <c r="N806" s="46">
        <v>0</v>
      </c>
    </row>
    <row r="807" spans="13:14" x14ac:dyDescent="0.35">
      <c r="M807" s="46">
        <v>0.840453257159816</v>
      </c>
      <c r="N807" s="46">
        <v>0</v>
      </c>
    </row>
    <row r="808" spans="13:14" x14ac:dyDescent="0.35">
      <c r="M808" s="46">
        <v>0.8065331651580353</v>
      </c>
      <c r="N808" s="46">
        <v>0</v>
      </c>
    </row>
    <row r="809" spans="13:14" x14ac:dyDescent="0.35">
      <c r="M809" s="46">
        <v>0.72651112924766281</v>
      </c>
      <c r="N809" s="46">
        <v>0</v>
      </c>
    </row>
    <row r="810" spans="13:14" x14ac:dyDescent="0.35">
      <c r="M810" s="46">
        <v>0.60227370529752189</v>
      </c>
      <c r="N810" s="46">
        <v>0</v>
      </c>
    </row>
    <row r="811" spans="13:14" x14ac:dyDescent="0.35">
      <c r="M811" s="46">
        <v>0.45525819854577831</v>
      </c>
      <c r="N811" s="46">
        <v>0</v>
      </c>
    </row>
    <row r="812" spans="13:14" x14ac:dyDescent="0.35">
      <c r="M812" s="46">
        <v>0.32725537913637037</v>
      </c>
      <c r="N812" s="46">
        <v>0</v>
      </c>
    </row>
    <row r="813" spans="13:14" x14ac:dyDescent="0.35">
      <c r="M813" s="46">
        <v>0.30854488796557356</v>
      </c>
      <c r="N813" s="46">
        <v>0</v>
      </c>
    </row>
    <row r="814" spans="13:14" x14ac:dyDescent="0.35">
      <c r="M814" s="46">
        <v>0.32420299747737052</v>
      </c>
      <c r="N814" s="46">
        <v>0</v>
      </c>
    </row>
    <row r="815" spans="13:14" x14ac:dyDescent="0.35">
      <c r="M815" s="46">
        <v>0.34086644902804575</v>
      </c>
      <c r="N815" s="46">
        <v>0</v>
      </c>
    </row>
    <row r="816" spans="13:14" x14ac:dyDescent="0.35">
      <c r="M816" s="46">
        <v>0.34956989167532271</v>
      </c>
      <c r="N816" s="46">
        <v>0</v>
      </c>
    </row>
    <row r="817" spans="13:14" x14ac:dyDescent="0.35">
      <c r="M817" s="46">
        <v>0.3621032052233269</v>
      </c>
      <c r="N817" s="46">
        <v>0</v>
      </c>
    </row>
    <row r="818" spans="13:14" x14ac:dyDescent="0.35">
      <c r="M818" s="46">
        <v>0.37423334322599794</v>
      </c>
      <c r="N818" s="46">
        <v>0</v>
      </c>
    </row>
    <row r="819" spans="13:14" x14ac:dyDescent="0.35">
      <c r="M819" s="46">
        <v>0.38561574417569372</v>
      </c>
      <c r="N819" s="46">
        <v>0</v>
      </c>
    </row>
    <row r="820" spans="13:14" x14ac:dyDescent="0.35">
      <c r="M820" s="46">
        <v>0.40008628876687941</v>
      </c>
      <c r="N820" s="46">
        <v>0</v>
      </c>
    </row>
    <row r="821" spans="13:14" x14ac:dyDescent="0.35">
      <c r="M821" s="46">
        <v>0.41469542958895983</v>
      </c>
      <c r="N821" s="46">
        <v>0</v>
      </c>
    </row>
    <row r="822" spans="13:14" x14ac:dyDescent="0.35">
      <c r="M822" s="46">
        <v>0.4279554830093486</v>
      </c>
      <c r="N822" s="46">
        <v>0</v>
      </c>
    </row>
    <row r="823" spans="13:14" x14ac:dyDescent="0.35">
      <c r="M823" s="46">
        <v>0.42369683929366375</v>
      </c>
      <c r="N823" s="46">
        <v>0</v>
      </c>
    </row>
    <row r="824" spans="13:14" x14ac:dyDescent="0.35">
      <c r="M824" s="46">
        <v>0.42080063807686602</v>
      </c>
      <c r="N824" s="46">
        <v>0</v>
      </c>
    </row>
    <row r="825" spans="13:14" x14ac:dyDescent="0.35">
      <c r="M825" s="46">
        <v>0.41974350793886334</v>
      </c>
      <c r="N825" s="46">
        <v>0</v>
      </c>
    </row>
    <row r="826" spans="13:14" x14ac:dyDescent="0.35">
      <c r="M826" s="46">
        <v>0.43092024039174953</v>
      </c>
      <c r="N826" s="46">
        <v>0</v>
      </c>
    </row>
    <row r="827" spans="13:14" x14ac:dyDescent="0.35">
      <c r="M827" s="46">
        <v>0.49154585250037097</v>
      </c>
      <c r="N827" s="46">
        <v>0</v>
      </c>
    </row>
    <row r="828" spans="13:14" x14ac:dyDescent="0.35">
      <c r="M828" s="46">
        <v>0.59226242765989023</v>
      </c>
      <c r="N828" s="46">
        <v>0</v>
      </c>
    </row>
    <row r="829" spans="13:14" x14ac:dyDescent="0.35">
      <c r="M829" s="46">
        <v>0.69613117673245295</v>
      </c>
      <c r="N829" s="46">
        <v>0</v>
      </c>
    </row>
    <row r="830" spans="13:14" x14ac:dyDescent="0.35">
      <c r="M830" s="46">
        <v>0.763820448137706</v>
      </c>
      <c r="N830" s="46">
        <v>0</v>
      </c>
    </row>
    <row r="831" spans="13:14" x14ac:dyDescent="0.35">
      <c r="M831" s="46">
        <v>0.77986785873274966</v>
      </c>
      <c r="N831" s="46">
        <v>0</v>
      </c>
    </row>
    <row r="832" spans="13:14" x14ac:dyDescent="0.35">
      <c r="M832" s="46">
        <v>0.75331325122421733</v>
      </c>
      <c r="N832" s="46">
        <v>0</v>
      </c>
    </row>
    <row r="833" spans="13:14" x14ac:dyDescent="0.35">
      <c r="M833" s="46">
        <v>0.70128312806054316</v>
      </c>
      <c r="N833" s="46">
        <v>0</v>
      </c>
    </row>
    <row r="834" spans="13:14" x14ac:dyDescent="0.35">
      <c r="M834" s="46">
        <v>0.61172510758272747</v>
      </c>
      <c r="N834" s="46">
        <v>0</v>
      </c>
    </row>
    <row r="835" spans="13:14" x14ac:dyDescent="0.35">
      <c r="M835" s="46">
        <v>0.49630857694019886</v>
      </c>
      <c r="N835" s="46">
        <v>0</v>
      </c>
    </row>
    <row r="836" spans="13:14" x14ac:dyDescent="0.35">
      <c r="M836" s="46">
        <v>0.39461886036503929</v>
      </c>
      <c r="N836" s="46">
        <v>0</v>
      </c>
    </row>
    <row r="837" spans="13:14" x14ac:dyDescent="0.35">
      <c r="M837" s="46">
        <v>0.36198679329277345</v>
      </c>
      <c r="N837" s="46">
        <v>0</v>
      </c>
    </row>
    <row r="838" spans="13:14" x14ac:dyDescent="0.35">
      <c r="M838" s="46">
        <v>0.35789694316664189</v>
      </c>
      <c r="N838" s="46">
        <v>0</v>
      </c>
    </row>
    <row r="839" spans="13:14" x14ac:dyDescent="0.35">
      <c r="M839" s="46">
        <v>0.35826546965425138</v>
      </c>
      <c r="N839" s="46">
        <v>0</v>
      </c>
    </row>
    <row r="840" spans="13:14" x14ac:dyDescent="0.35">
      <c r="M840" s="46">
        <v>0.36112909927288911</v>
      </c>
      <c r="N840" s="46">
        <v>0</v>
      </c>
    </row>
    <row r="841" spans="13:14" x14ac:dyDescent="0.35">
      <c r="M841" s="46">
        <v>0.36612487015877732</v>
      </c>
      <c r="N841" s="46">
        <v>0</v>
      </c>
    </row>
    <row r="842" spans="13:14" x14ac:dyDescent="0.35">
      <c r="M842" s="46">
        <v>0.36474803383291288</v>
      </c>
      <c r="N842" s="46">
        <v>0</v>
      </c>
    </row>
    <row r="843" spans="13:14" x14ac:dyDescent="0.35">
      <c r="M843" s="46">
        <v>0.34681147054459116</v>
      </c>
      <c r="N843" s="46">
        <v>0</v>
      </c>
    </row>
    <row r="844" spans="13:14" x14ac:dyDescent="0.35">
      <c r="M844" s="46">
        <v>0.31483046446060248</v>
      </c>
      <c r="N844" s="46">
        <v>0</v>
      </c>
    </row>
    <row r="845" spans="13:14" x14ac:dyDescent="0.35">
      <c r="M845" s="46">
        <v>0.27703464905772368</v>
      </c>
      <c r="N845" s="46">
        <v>0</v>
      </c>
    </row>
    <row r="846" spans="13:14" x14ac:dyDescent="0.35">
      <c r="M846" s="46">
        <v>0.24516530642528567</v>
      </c>
      <c r="N846" s="46">
        <v>0</v>
      </c>
    </row>
    <row r="847" spans="13:14" x14ac:dyDescent="0.35">
      <c r="M847" s="46">
        <v>0.21853027155364299</v>
      </c>
      <c r="N847" s="46">
        <v>0</v>
      </c>
    </row>
    <row r="848" spans="13:14" x14ac:dyDescent="0.35">
      <c r="M848" s="46">
        <v>0.18853999109660186</v>
      </c>
      <c r="N848" s="46">
        <v>0</v>
      </c>
    </row>
    <row r="849" spans="13:14" x14ac:dyDescent="0.35">
      <c r="M849" s="46">
        <v>0.16707018845526042</v>
      </c>
      <c r="N849" s="46">
        <v>0</v>
      </c>
    </row>
    <row r="850" spans="13:14" x14ac:dyDescent="0.35">
      <c r="M850" s="46">
        <v>0.153443166641935</v>
      </c>
      <c r="N850" s="46">
        <v>0</v>
      </c>
    </row>
    <row r="851" spans="13:14" x14ac:dyDescent="0.35">
      <c r="M851" s="46">
        <v>0.19764238017510016</v>
      </c>
      <c r="N851" s="46">
        <v>0</v>
      </c>
    </row>
    <row r="852" spans="13:14" x14ac:dyDescent="0.35">
      <c r="M852" s="46">
        <v>0.3003622199139338</v>
      </c>
      <c r="N852" s="46">
        <v>0</v>
      </c>
    </row>
    <row r="853" spans="13:14" x14ac:dyDescent="0.35">
      <c r="M853" s="46">
        <v>0.40817391304347828</v>
      </c>
      <c r="N853" s="46">
        <v>0</v>
      </c>
    </row>
    <row r="854" spans="13:14" x14ac:dyDescent="0.35">
      <c r="M854" s="46">
        <v>0.47682734827125689</v>
      </c>
      <c r="N854" s="46">
        <v>0</v>
      </c>
    </row>
    <row r="855" spans="13:14" x14ac:dyDescent="0.35">
      <c r="M855" s="46">
        <v>0.49918415195132809</v>
      </c>
      <c r="N855" s="46">
        <v>0</v>
      </c>
    </row>
    <row r="856" spans="13:14" x14ac:dyDescent="0.35">
      <c r="M856" s="46">
        <v>0.47626546965425137</v>
      </c>
      <c r="N856" s="46">
        <v>0</v>
      </c>
    </row>
    <row r="857" spans="13:14" x14ac:dyDescent="0.35">
      <c r="M857" s="46">
        <v>0.39417428401840032</v>
      </c>
      <c r="N857" s="46">
        <v>0</v>
      </c>
    </row>
    <row r="858" spans="13:14" x14ac:dyDescent="0.35">
      <c r="M858" s="46">
        <v>0.28443596972844637</v>
      </c>
      <c r="N858" s="46">
        <v>0</v>
      </c>
    </row>
    <row r="859" spans="13:14" x14ac:dyDescent="0.35">
      <c r="M859" s="46">
        <v>0.17060936340703367</v>
      </c>
      <c r="N859" s="46">
        <v>0</v>
      </c>
    </row>
    <row r="860" spans="13:14" x14ac:dyDescent="0.35">
      <c r="M860" s="46">
        <v>0.10227956670129099</v>
      </c>
      <c r="N860" s="46">
        <v>0</v>
      </c>
    </row>
    <row r="861" spans="13:14" x14ac:dyDescent="0.35">
      <c r="M861" s="46">
        <v>7.8107063362516702E-2</v>
      </c>
      <c r="N861" s="46">
        <v>0</v>
      </c>
    </row>
    <row r="862" spans="13:14" x14ac:dyDescent="0.35">
      <c r="M862" s="46">
        <v>7.7232452886184896E-2</v>
      </c>
      <c r="N862" s="46">
        <v>0</v>
      </c>
    </row>
    <row r="863" spans="13:14" x14ac:dyDescent="0.35">
      <c r="M863" s="46">
        <v>7.7812138299450953E-2</v>
      </c>
      <c r="N863" s="46">
        <v>0</v>
      </c>
    </row>
    <row r="864" spans="13:14" x14ac:dyDescent="0.35">
      <c r="M864" s="46">
        <v>8.1925434040658857E-2</v>
      </c>
      <c r="N864" s="46">
        <v>0</v>
      </c>
    </row>
    <row r="865" spans="13:14" x14ac:dyDescent="0.35">
      <c r="M865" s="46">
        <v>8.9979818964238026E-2</v>
      </c>
      <c r="N865" s="46">
        <v>0</v>
      </c>
    </row>
    <row r="866" spans="13:14" x14ac:dyDescent="0.35">
      <c r="M866" s="46">
        <v>9.892461789583025E-2</v>
      </c>
      <c r="N866" s="46">
        <v>0</v>
      </c>
    </row>
    <row r="867" spans="13:14" x14ac:dyDescent="0.35">
      <c r="M867" s="46">
        <v>0.10718125834693575</v>
      </c>
      <c r="N867" s="46">
        <v>0</v>
      </c>
    </row>
    <row r="868" spans="13:14" x14ac:dyDescent="0.35">
      <c r="M868" s="46">
        <v>0.11577800860661819</v>
      </c>
      <c r="N868" s="46">
        <v>0</v>
      </c>
    </row>
    <row r="869" spans="13:14" x14ac:dyDescent="0.35">
      <c r="M869" s="46">
        <v>0.12587090072711085</v>
      </c>
      <c r="N869" s="46">
        <v>0</v>
      </c>
    </row>
    <row r="870" spans="13:14" x14ac:dyDescent="0.35">
      <c r="M870" s="46">
        <v>0.1354389375278231</v>
      </c>
      <c r="N870" s="46">
        <v>0</v>
      </c>
    </row>
    <row r="871" spans="13:14" x14ac:dyDescent="0.35">
      <c r="M871" s="46">
        <v>0.14745481525448878</v>
      </c>
      <c r="N871" s="46">
        <v>0</v>
      </c>
    </row>
    <row r="872" spans="13:14" x14ac:dyDescent="0.35">
      <c r="M872" s="46">
        <v>0.16538729781866746</v>
      </c>
      <c r="N872" s="46">
        <v>0</v>
      </c>
    </row>
    <row r="873" spans="13:14" x14ac:dyDescent="0.35">
      <c r="M873" s="46">
        <v>0.17882638373645943</v>
      </c>
      <c r="N873" s="46">
        <v>0</v>
      </c>
    </row>
    <row r="874" spans="13:14" x14ac:dyDescent="0.35">
      <c r="M874" s="46">
        <v>0.19426725033387743</v>
      </c>
      <c r="N874" s="46">
        <v>0</v>
      </c>
    </row>
    <row r="875" spans="13:14" x14ac:dyDescent="0.35">
      <c r="M875" s="46">
        <v>0.26639605282682888</v>
      </c>
      <c r="N875" s="46">
        <v>0</v>
      </c>
    </row>
    <row r="876" spans="13:14" x14ac:dyDescent="0.35">
      <c r="M876" s="46">
        <v>0.3958587327496661</v>
      </c>
      <c r="N876" s="46">
        <v>0</v>
      </c>
    </row>
    <row r="877" spans="13:14" x14ac:dyDescent="0.35">
      <c r="M877" s="46">
        <v>0.52564794479893162</v>
      </c>
      <c r="N877" s="46">
        <v>0</v>
      </c>
    </row>
    <row r="878" spans="13:14" x14ac:dyDescent="0.35">
      <c r="M878" s="46">
        <v>0.60144554088143642</v>
      </c>
      <c r="N878" s="46">
        <v>0</v>
      </c>
    </row>
    <row r="879" spans="13:14" x14ac:dyDescent="0.35">
      <c r="M879" s="46">
        <v>0.61998456744324082</v>
      </c>
      <c r="N879" s="46">
        <v>0</v>
      </c>
    </row>
    <row r="880" spans="13:14" x14ac:dyDescent="0.35">
      <c r="M880" s="46">
        <v>0.5935098679329277</v>
      </c>
      <c r="N880" s="46">
        <v>0</v>
      </c>
    </row>
    <row r="881" spans="13:14" x14ac:dyDescent="0.35">
      <c r="M881" s="46">
        <v>0.52052515209971806</v>
      </c>
      <c r="N881" s="46">
        <v>0</v>
      </c>
    </row>
    <row r="882" spans="13:14" x14ac:dyDescent="0.35">
      <c r="M882" s="46">
        <v>0.41738522035910375</v>
      </c>
      <c r="N882" s="46">
        <v>0</v>
      </c>
    </row>
    <row r="883" spans="13:14" x14ac:dyDescent="0.35">
      <c r="M883" s="46">
        <v>0.30754132660632144</v>
      </c>
      <c r="N883" s="46">
        <v>0</v>
      </c>
    </row>
    <row r="884" spans="13:14" x14ac:dyDescent="0.35">
      <c r="M884" s="46">
        <v>0.2254833061285057</v>
      </c>
      <c r="N884" s="46">
        <v>0</v>
      </c>
    </row>
    <row r="885" spans="13:14" x14ac:dyDescent="0.35">
      <c r="M885" s="46">
        <v>0.2087445466686452</v>
      </c>
      <c r="N885" s="46">
        <v>0</v>
      </c>
    </row>
    <row r="886" spans="13:14" x14ac:dyDescent="0.35">
      <c r="M886" s="46">
        <v>0.2234774447247366</v>
      </c>
      <c r="N886" s="46">
        <v>0</v>
      </c>
    </row>
    <row r="887" spans="13:14" x14ac:dyDescent="0.35">
      <c r="M887" s="46">
        <v>0.23788084285502301</v>
      </c>
      <c r="N887" s="46">
        <v>0</v>
      </c>
    </row>
    <row r="888" spans="13:14" x14ac:dyDescent="0.35">
      <c r="M888" s="46">
        <v>0.23428691200474849</v>
      </c>
      <c r="N888" s="46">
        <v>0</v>
      </c>
    </row>
    <row r="889" spans="13:14" x14ac:dyDescent="0.35">
      <c r="M889" s="46">
        <v>0.22911693129544444</v>
      </c>
      <c r="N889" s="46">
        <v>0</v>
      </c>
    </row>
    <row r="890" spans="13:14" x14ac:dyDescent="0.35">
      <c r="M890" s="46">
        <v>0.22797944798931591</v>
      </c>
      <c r="N890" s="46">
        <v>0</v>
      </c>
    </row>
    <row r="891" spans="13:14" x14ac:dyDescent="0.35">
      <c r="M891" s="46">
        <v>0.21515017064846415</v>
      </c>
      <c r="N891" s="46">
        <v>0</v>
      </c>
    </row>
    <row r="892" spans="13:14" x14ac:dyDescent="0.35">
      <c r="M892" s="46">
        <v>0.20067146460899243</v>
      </c>
      <c r="N892" s="46">
        <v>0</v>
      </c>
    </row>
    <row r="893" spans="13:14" x14ac:dyDescent="0.35">
      <c r="M893" s="46">
        <v>0.18795481525448882</v>
      </c>
      <c r="N893" s="46">
        <v>0</v>
      </c>
    </row>
    <row r="894" spans="13:14" x14ac:dyDescent="0.35">
      <c r="M894" s="46">
        <v>0.17631814809318891</v>
      </c>
      <c r="N894" s="46">
        <v>0</v>
      </c>
    </row>
    <row r="895" spans="13:14" x14ac:dyDescent="0.35">
      <c r="M895" s="46">
        <v>0.16760661819261016</v>
      </c>
      <c r="N895" s="46">
        <v>0</v>
      </c>
    </row>
    <row r="896" spans="13:14" x14ac:dyDescent="0.35">
      <c r="M896" s="46">
        <v>0.1645876242765989</v>
      </c>
      <c r="N896" s="46">
        <v>0</v>
      </c>
    </row>
    <row r="897" spans="13:14" x14ac:dyDescent="0.35">
      <c r="M897" s="46">
        <v>0.16138536874907256</v>
      </c>
      <c r="N897" s="46">
        <v>0</v>
      </c>
    </row>
    <row r="898" spans="13:14" x14ac:dyDescent="0.35">
      <c r="M898" s="46">
        <v>0.16032883217094523</v>
      </c>
      <c r="N898" s="46">
        <v>0</v>
      </c>
    </row>
    <row r="899" spans="13:14" x14ac:dyDescent="0.35">
      <c r="M899" s="46">
        <v>0.20127719246178957</v>
      </c>
      <c r="N899" s="46">
        <v>0</v>
      </c>
    </row>
    <row r="900" spans="13:14" x14ac:dyDescent="0.35">
      <c r="M900" s="46">
        <v>0.27997165751595193</v>
      </c>
      <c r="N900" s="46">
        <v>0</v>
      </c>
    </row>
    <row r="901" spans="13:14" x14ac:dyDescent="0.35">
      <c r="M901" s="46">
        <v>0.36192669535539396</v>
      </c>
      <c r="N901" s="46">
        <v>0</v>
      </c>
    </row>
    <row r="902" spans="13:14" x14ac:dyDescent="0.35">
      <c r="M902" s="46">
        <v>0.41599836771034276</v>
      </c>
      <c r="N902" s="46">
        <v>0</v>
      </c>
    </row>
    <row r="903" spans="13:14" x14ac:dyDescent="0.35">
      <c r="M903" s="46">
        <v>0.43605586882326758</v>
      </c>
      <c r="N903" s="46">
        <v>0</v>
      </c>
    </row>
    <row r="904" spans="13:14" x14ac:dyDescent="0.35">
      <c r="M904" s="46">
        <v>0.4217078943463422</v>
      </c>
      <c r="N904" s="46">
        <v>0</v>
      </c>
    </row>
    <row r="905" spans="13:14" x14ac:dyDescent="0.35">
      <c r="M905" s="46">
        <v>0.38961144086659744</v>
      </c>
      <c r="N905" s="46">
        <v>0</v>
      </c>
    </row>
    <row r="906" spans="13:14" x14ac:dyDescent="0.35">
      <c r="M906" s="46">
        <v>0.3288749072562695</v>
      </c>
      <c r="N906" s="46">
        <v>0</v>
      </c>
    </row>
    <row r="907" spans="13:14" x14ac:dyDescent="0.35">
      <c r="M907" s="46">
        <v>0.23680939308502746</v>
      </c>
      <c r="N907" s="46">
        <v>0</v>
      </c>
    </row>
    <row r="908" spans="13:14" x14ac:dyDescent="0.35">
      <c r="M908" s="46">
        <v>0.13076376316960972</v>
      </c>
      <c r="N908" s="46">
        <v>0</v>
      </c>
    </row>
    <row r="909" spans="13:14" x14ac:dyDescent="0.35">
      <c r="M909" s="46">
        <v>0.10628787653954593</v>
      </c>
      <c r="N909" s="46">
        <v>0</v>
      </c>
    </row>
    <row r="910" spans="13:14" x14ac:dyDescent="0.35">
      <c r="M910" s="46">
        <v>0.11938781718355838</v>
      </c>
      <c r="N910" s="46">
        <v>0</v>
      </c>
    </row>
    <row r="911" spans="13:14" x14ac:dyDescent="0.35">
      <c r="M911" s="46">
        <v>0.12758673393678588</v>
      </c>
      <c r="N911" s="46">
        <v>0</v>
      </c>
    </row>
    <row r="912" spans="13:14" x14ac:dyDescent="0.35">
      <c r="M912" s="46">
        <v>0.12764297373497552</v>
      </c>
      <c r="N912" s="46">
        <v>0</v>
      </c>
    </row>
    <row r="913" spans="13:14" x14ac:dyDescent="0.35">
      <c r="M913" s="46">
        <v>0.12103739427214721</v>
      </c>
      <c r="N913" s="46">
        <v>0</v>
      </c>
    </row>
    <row r="914" spans="13:14" x14ac:dyDescent="0.35">
      <c r="M914" s="46">
        <v>0.11464497699955482</v>
      </c>
      <c r="N914" s="46">
        <v>0</v>
      </c>
    </row>
    <row r="915" spans="13:14" x14ac:dyDescent="0.35">
      <c r="M915" s="46">
        <v>0.11692276302121976</v>
      </c>
      <c r="N915" s="46">
        <v>0</v>
      </c>
    </row>
    <row r="916" spans="13:14" x14ac:dyDescent="0.35">
      <c r="M916" s="46">
        <v>0.11909875352426176</v>
      </c>
      <c r="N916" s="46">
        <v>0</v>
      </c>
    </row>
    <row r="917" spans="13:14" x14ac:dyDescent="0.35">
      <c r="M917" s="46">
        <v>0.12215551268734234</v>
      </c>
      <c r="N917" s="46">
        <v>0</v>
      </c>
    </row>
    <row r="918" spans="13:14" x14ac:dyDescent="0.35">
      <c r="M918" s="46">
        <v>0.12730227036652322</v>
      </c>
      <c r="N918" s="46">
        <v>0</v>
      </c>
    </row>
    <row r="919" spans="13:14" x14ac:dyDescent="0.35">
      <c r="M919" s="46">
        <v>0.12773608844042142</v>
      </c>
      <c r="N919" s="46">
        <v>0</v>
      </c>
    </row>
    <row r="920" spans="13:14" x14ac:dyDescent="0.35">
      <c r="M920" s="46">
        <v>0.12713355097195431</v>
      </c>
      <c r="N920" s="46">
        <v>0</v>
      </c>
    </row>
    <row r="921" spans="13:14" x14ac:dyDescent="0.35">
      <c r="M921" s="46">
        <v>0.12365781273185933</v>
      </c>
      <c r="N921" s="46">
        <v>0</v>
      </c>
    </row>
    <row r="922" spans="13:14" x14ac:dyDescent="0.35">
      <c r="M922" s="46">
        <v>0.12288039768511649</v>
      </c>
      <c r="N922" s="46">
        <v>0</v>
      </c>
    </row>
    <row r="923" spans="13:14" x14ac:dyDescent="0.35">
      <c r="M923" s="46">
        <v>0.20029351535836179</v>
      </c>
      <c r="N923" s="46">
        <v>0</v>
      </c>
    </row>
    <row r="924" spans="13:14" x14ac:dyDescent="0.35">
      <c r="M924" s="46">
        <v>0.34463444131176735</v>
      </c>
      <c r="N924" s="46">
        <v>0</v>
      </c>
    </row>
    <row r="925" spans="13:14" x14ac:dyDescent="0.35">
      <c r="M925" s="46">
        <v>0.4827438789137854</v>
      </c>
      <c r="N925" s="46">
        <v>0</v>
      </c>
    </row>
    <row r="926" spans="13:14" x14ac:dyDescent="0.35">
      <c r="M926" s="46">
        <v>0.56942847603502</v>
      </c>
      <c r="N926" s="46">
        <v>0</v>
      </c>
    </row>
    <row r="927" spans="13:14" x14ac:dyDescent="0.35">
      <c r="M927" s="46">
        <v>0.60327793441163369</v>
      </c>
      <c r="N927" s="46">
        <v>0</v>
      </c>
    </row>
    <row r="928" spans="13:14" x14ac:dyDescent="0.35">
      <c r="M928" s="46">
        <v>0.58430316070633626</v>
      </c>
      <c r="N928" s="46">
        <v>0</v>
      </c>
    </row>
    <row r="929" spans="13:14" x14ac:dyDescent="0.35">
      <c r="M929" s="46">
        <v>0.51310127615373202</v>
      </c>
      <c r="N929" s="46">
        <v>0</v>
      </c>
    </row>
    <row r="930" spans="13:14" x14ac:dyDescent="0.35">
      <c r="M930" s="46">
        <v>0.40635761982489982</v>
      </c>
      <c r="N930" s="46">
        <v>0</v>
      </c>
    </row>
    <row r="931" spans="13:14" x14ac:dyDescent="0.35">
      <c r="M931" s="46">
        <v>0.27406796260572786</v>
      </c>
      <c r="N931" s="46">
        <v>0</v>
      </c>
    </row>
    <row r="932" spans="13:14" x14ac:dyDescent="0.35">
      <c r="M932" s="46">
        <v>0.14740146906069149</v>
      </c>
      <c r="N932" s="46">
        <v>0</v>
      </c>
    </row>
    <row r="933" spans="13:14" x14ac:dyDescent="0.35">
      <c r="M933" s="46">
        <v>0.11017480338329129</v>
      </c>
      <c r="N933" s="46">
        <v>0</v>
      </c>
    </row>
    <row r="934" spans="13:14" x14ac:dyDescent="0.35">
      <c r="M934" s="46">
        <v>0.11029544442795666</v>
      </c>
      <c r="N934" s="46">
        <v>0</v>
      </c>
    </row>
    <row r="935" spans="13:14" x14ac:dyDescent="0.35">
      <c r="M935" s="46">
        <v>0.10378565069001336</v>
      </c>
      <c r="N935" s="46">
        <v>0</v>
      </c>
    </row>
    <row r="936" spans="13:14" x14ac:dyDescent="0.35">
      <c r="M936" s="46">
        <v>8.6311470544591193E-2</v>
      </c>
      <c r="N936" s="46">
        <v>0</v>
      </c>
    </row>
    <row r="937" spans="13:14" x14ac:dyDescent="0.35">
      <c r="M937" s="46">
        <v>6.8847751891972092E-2</v>
      </c>
      <c r="N937" s="46">
        <v>0</v>
      </c>
    </row>
    <row r="938" spans="13:14" x14ac:dyDescent="0.35">
      <c r="M938" s="46">
        <v>5.7103650393233417E-2</v>
      </c>
      <c r="N938" s="46">
        <v>0</v>
      </c>
    </row>
    <row r="939" spans="13:14" x14ac:dyDescent="0.35">
      <c r="M939" s="46">
        <v>5.5579314438343963E-2</v>
      </c>
      <c r="N939" s="46">
        <v>0</v>
      </c>
    </row>
    <row r="940" spans="13:14" x14ac:dyDescent="0.35">
      <c r="M940" s="46">
        <v>5.2300192906959496E-2</v>
      </c>
      <c r="N940" s="46">
        <v>0</v>
      </c>
    </row>
    <row r="941" spans="13:14" x14ac:dyDescent="0.35">
      <c r="M941" s="46">
        <v>5.0210639560765692E-2</v>
      </c>
      <c r="N941" s="46">
        <v>0</v>
      </c>
    </row>
    <row r="942" spans="13:14" x14ac:dyDescent="0.35">
      <c r="M942" s="46">
        <v>4.9019364890933372E-2</v>
      </c>
      <c r="N942" s="46">
        <v>0</v>
      </c>
    </row>
    <row r="943" spans="13:14" x14ac:dyDescent="0.35">
      <c r="M943" s="46">
        <v>4.6137260721175244E-2</v>
      </c>
      <c r="N943" s="46">
        <v>0</v>
      </c>
    </row>
    <row r="944" spans="13:14" x14ac:dyDescent="0.35">
      <c r="M944" s="46">
        <v>4.1407182074491768E-2</v>
      </c>
      <c r="N944" s="46">
        <v>0</v>
      </c>
    </row>
    <row r="945" spans="13:14" x14ac:dyDescent="0.35">
      <c r="M945" s="46">
        <v>3.711782163525746E-2</v>
      </c>
      <c r="N945" s="46">
        <v>0</v>
      </c>
    </row>
    <row r="946" spans="13:14" x14ac:dyDescent="0.35">
      <c r="M946" s="46">
        <v>3.2965350942276303E-2</v>
      </c>
      <c r="N946" s="46">
        <v>0</v>
      </c>
    </row>
    <row r="947" spans="13:14" x14ac:dyDescent="0.35">
      <c r="M947" s="46">
        <v>8.4928030865113524E-2</v>
      </c>
      <c r="N947" s="46">
        <v>0</v>
      </c>
    </row>
    <row r="948" spans="13:14" x14ac:dyDescent="0.35">
      <c r="M948" s="46">
        <v>0.18744724736607807</v>
      </c>
      <c r="N948" s="46">
        <v>0</v>
      </c>
    </row>
    <row r="949" spans="13:14" x14ac:dyDescent="0.35">
      <c r="M949" s="46">
        <v>0.28859496958005637</v>
      </c>
      <c r="N949" s="46">
        <v>0</v>
      </c>
    </row>
    <row r="950" spans="13:14" x14ac:dyDescent="0.35">
      <c r="M950" s="46">
        <v>0.38545948953850717</v>
      </c>
      <c r="N950" s="46">
        <v>0</v>
      </c>
    </row>
    <row r="951" spans="13:14" x14ac:dyDescent="0.35">
      <c r="M951" s="46">
        <v>0.44547907701439388</v>
      </c>
      <c r="N951" s="46">
        <v>0</v>
      </c>
    </row>
    <row r="952" spans="13:14" x14ac:dyDescent="0.35">
      <c r="M952" s="46">
        <v>0.45587653954592672</v>
      </c>
      <c r="N952" s="46">
        <v>0</v>
      </c>
    </row>
    <row r="953" spans="13:14" x14ac:dyDescent="0.35">
      <c r="M953" s="46">
        <v>0.40442075975664049</v>
      </c>
      <c r="N953" s="46">
        <v>0</v>
      </c>
    </row>
    <row r="954" spans="13:14" x14ac:dyDescent="0.35">
      <c r="M954" s="46">
        <v>0.31231198990948217</v>
      </c>
      <c r="N954" s="46">
        <v>0</v>
      </c>
    </row>
    <row r="955" spans="13:14" x14ac:dyDescent="0.35">
      <c r="M955" s="46">
        <v>0.18705052678438938</v>
      </c>
      <c r="N955" s="46">
        <v>0</v>
      </c>
    </row>
    <row r="956" spans="13:14" x14ac:dyDescent="0.35">
      <c r="M956" s="46">
        <v>5.5001261314735123E-2</v>
      </c>
      <c r="N956" s="46">
        <v>0</v>
      </c>
    </row>
    <row r="957" spans="13:14" x14ac:dyDescent="0.35">
      <c r="M957" s="46">
        <v>1.3064920611366672E-2</v>
      </c>
      <c r="N957" s="46">
        <v>0</v>
      </c>
    </row>
    <row r="958" spans="13:14" x14ac:dyDescent="0.35">
      <c r="M958" s="46">
        <v>1.68824009496958E-2</v>
      </c>
      <c r="N958" s="46">
        <v>0</v>
      </c>
    </row>
    <row r="959" spans="13:14" x14ac:dyDescent="0.35">
      <c r="M959" s="46">
        <v>2.03543552455854E-2</v>
      </c>
      <c r="N959" s="46">
        <v>0</v>
      </c>
    </row>
    <row r="960" spans="13:14" x14ac:dyDescent="0.35">
      <c r="M960" s="46">
        <v>1.984396794776673E-2</v>
      </c>
      <c r="N960" s="46">
        <v>0</v>
      </c>
    </row>
    <row r="961" spans="13:14" x14ac:dyDescent="0.35">
      <c r="M961" s="46">
        <v>2.0189048820299749E-2</v>
      </c>
      <c r="N961" s="46">
        <v>0</v>
      </c>
    </row>
    <row r="962" spans="13:14" x14ac:dyDescent="0.35">
      <c r="M962" s="46">
        <v>2.0458154028787656E-2</v>
      </c>
      <c r="N962" s="46">
        <v>0</v>
      </c>
    </row>
    <row r="963" spans="13:14" x14ac:dyDescent="0.35">
      <c r="M963" s="46">
        <v>2.3962234752930703E-2</v>
      </c>
      <c r="N963" s="46">
        <v>0</v>
      </c>
    </row>
    <row r="964" spans="13:14" x14ac:dyDescent="0.35">
      <c r="M964" s="46">
        <v>2.913392194687639E-2</v>
      </c>
      <c r="N964" s="46">
        <v>0</v>
      </c>
    </row>
    <row r="965" spans="13:14" x14ac:dyDescent="0.35">
      <c r="M965" s="46">
        <v>3.9354800415491914E-2</v>
      </c>
      <c r="N965" s="46">
        <v>0</v>
      </c>
    </row>
    <row r="966" spans="13:14" x14ac:dyDescent="0.35">
      <c r="M966" s="46">
        <v>4.4768363258643716E-2</v>
      </c>
      <c r="N966" s="46">
        <v>0</v>
      </c>
    </row>
    <row r="967" spans="13:14" x14ac:dyDescent="0.35">
      <c r="M967" s="46">
        <v>4.3005861403769108E-2</v>
      </c>
      <c r="N967" s="46">
        <v>0</v>
      </c>
    </row>
    <row r="968" spans="13:14" x14ac:dyDescent="0.35">
      <c r="M968" s="46">
        <v>4.3806722065588367E-2</v>
      </c>
      <c r="N968" s="46">
        <v>0</v>
      </c>
    </row>
    <row r="969" spans="13:14" x14ac:dyDescent="0.35">
      <c r="M969" s="46">
        <v>4.4727110847306718E-2</v>
      </c>
      <c r="N969" s="46">
        <v>0</v>
      </c>
    </row>
    <row r="970" spans="13:14" x14ac:dyDescent="0.35">
      <c r="M970" s="46">
        <v>4.947581243507939E-2</v>
      </c>
      <c r="N970" s="46">
        <v>0</v>
      </c>
    </row>
    <row r="971" spans="13:14" x14ac:dyDescent="0.35">
      <c r="M971" s="46">
        <v>0.10788470099421278</v>
      </c>
      <c r="N971" s="46">
        <v>0</v>
      </c>
    </row>
    <row r="972" spans="13:14" x14ac:dyDescent="0.35">
      <c r="M972" s="46">
        <v>0.21332111589256564</v>
      </c>
      <c r="N972" s="46">
        <v>0</v>
      </c>
    </row>
    <row r="973" spans="13:14" x14ac:dyDescent="0.35">
      <c r="M973" s="46">
        <v>0.314323119157145</v>
      </c>
      <c r="N973" s="46">
        <v>0</v>
      </c>
    </row>
    <row r="974" spans="13:14" x14ac:dyDescent="0.35">
      <c r="M974" s="46">
        <v>0.39916560320522332</v>
      </c>
      <c r="N974" s="46">
        <v>0</v>
      </c>
    </row>
    <row r="975" spans="13:14" x14ac:dyDescent="0.35">
      <c r="M975" s="46">
        <v>0.44054214275115006</v>
      </c>
      <c r="N975" s="46">
        <v>0</v>
      </c>
    </row>
    <row r="976" spans="13:14" x14ac:dyDescent="0.35">
      <c r="M976" s="46">
        <v>0.43476131473512386</v>
      </c>
      <c r="N976" s="46">
        <v>0</v>
      </c>
    </row>
    <row r="977" spans="13:14" x14ac:dyDescent="0.35">
      <c r="M977" s="46">
        <v>0.37537372013651882</v>
      </c>
      <c r="N977" s="46">
        <v>0</v>
      </c>
    </row>
    <row r="978" spans="13:14" x14ac:dyDescent="0.35">
      <c r="M978" s="46">
        <v>0.28905772369787802</v>
      </c>
      <c r="N978" s="46">
        <v>0</v>
      </c>
    </row>
    <row r="979" spans="13:14" x14ac:dyDescent="0.35">
      <c r="M979" s="46">
        <v>0.18853338774298856</v>
      </c>
      <c r="N979" s="46">
        <v>0</v>
      </c>
    </row>
    <row r="980" spans="13:14" x14ac:dyDescent="0.35">
      <c r="M980" s="46">
        <v>0.1076475738240095</v>
      </c>
      <c r="N980" s="46">
        <v>0</v>
      </c>
    </row>
    <row r="981" spans="13:14" x14ac:dyDescent="0.35">
      <c r="M981" s="46">
        <v>9.8166938714942878E-2</v>
      </c>
      <c r="N981" s="46">
        <v>0</v>
      </c>
    </row>
    <row r="982" spans="13:14" x14ac:dyDescent="0.35">
      <c r="M982" s="46">
        <v>0.1300241875649206</v>
      </c>
      <c r="N982" s="46">
        <v>0</v>
      </c>
    </row>
    <row r="983" spans="13:14" x14ac:dyDescent="0.35">
      <c r="M983" s="46">
        <v>0.15956113666716129</v>
      </c>
      <c r="N983" s="46">
        <v>0</v>
      </c>
    </row>
    <row r="984" spans="13:14" x14ac:dyDescent="0.35">
      <c r="M984" s="46">
        <v>0.16452470692981155</v>
      </c>
      <c r="N984" s="46">
        <v>0</v>
      </c>
    </row>
    <row r="985" spans="13:14" x14ac:dyDescent="0.35">
      <c r="M985" s="46">
        <v>0.16154310728594745</v>
      </c>
      <c r="N985" s="46">
        <v>0</v>
      </c>
    </row>
    <row r="986" spans="13:14" x14ac:dyDescent="0.35">
      <c r="M986" s="46">
        <v>0.15805045258940498</v>
      </c>
      <c r="N986" s="46">
        <v>0</v>
      </c>
    </row>
    <row r="987" spans="13:14" x14ac:dyDescent="0.35">
      <c r="M987" s="46">
        <v>0.15534114853835881</v>
      </c>
      <c r="N987" s="46">
        <v>0</v>
      </c>
    </row>
    <row r="988" spans="13:14" x14ac:dyDescent="0.35">
      <c r="M988" s="46">
        <v>0.15092906959489538</v>
      </c>
      <c r="N988" s="46">
        <v>0</v>
      </c>
    </row>
    <row r="989" spans="13:14" x14ac:dyDescent="0.35">
      <c r="M989" s="46">
        <v>0.14780954147499628</v>
      </c>
      <c r="N989" s="46">
        <v>0</v>
      </c>
    </row>
    <row r="990" spans="13:14" x14ac:dyDescent="0.35">
      <c r="M990" s="46">
        <v>0.14576309541474997</v>
      </c>
      <c r="N990" s="46">
        <v>0</v>
      </c>
    </row>
    <row r="991" spans="13:14" x14ac:dyDescent="0.35">
      <c r="M991" s="46">
        <v>0.1427414304792996</v>
      </c>
      <c r="N991" s="46">
        <v>0</v>
      </c>
    </row>
    <row r="992" spans="13:14" x14ac:dyDescent="0.35">
      <c r="M992" s="46">
        <v>0.14356217539694316</v>
      </c>
      <c r="N992" s="46">
        <v>0</v>
      </c>
    </row>
    <row r="993" spans="13:14" x14ac:dyDescent="0.35">
      <c r="M993" s="46">
        <v>0.1419151209378246</v>
      </c>
      <c r="N993" s="46">
        <v>0</v>
      </c>
    </row>
    <row r="994" spans="13:14" x14ac:dyDescent="0.35">
      <c r="M994" s="46">
        <v>0.14734827125686303</v>
      </c>
      <c r="N994" s="46">
        <v>0</v>
      </c>
    </row>
    <row r="995" spans="13:14" x14ac:dyDescent="0.35">
      <c r="M995" s="46">
        <v>0.24243211158925657</v>
      </c>
      <c r="N995" s="46">
        <v>0</v>
      </c>
    </row>
    <row r="996" spans="13:14" x14ac:dyDescent="0.35">
      <c r="M996" s="46">
        <v>0.39624907256269482</v>
      </c>
      <c r="N996" s="46">
        <v>0</v>
      </c>
    </row>
    <row r="997" spans="13:14" x14ac:dyDescent="0.35">
      <c r="M997" s="46">
        <v>0.53219884255824301</v>
      </c>
      <c r="N997" s="46">
        <v>0</v>
      </c>
    </row>
    <row r="998" spans="13:14" x14ac:dyDescent="0.35">
      <c r="M998" s="46">
        <v>0.62068088737201366</v>
      </c>
      <c r="N998" s="46">
        <v>0</v>
      </c>
    </row>
    <row r="999" spans="13:14" x14ac:dyDescent="0.35">
      <c r="M999" s="46">
        <v>0.65339056239798188</v>
      </c>
      <c r="N999" s="46">
        <v>0</v>
      </c>
    </row>
    <row r="1000" spans="13:14" x14ac:dyDescent="0.35">
      <c r="M1000" s="46">
        <v>0.62994932482564181</v>
      </c>
      <c r="N1000" s="46">
        <v>0</v>
      </c>
    </row>
    <row r="1001" spans="13:14" x14ac:dyDescent="0.35">
      <c r="M1001" s="46">
        <v>0.55044598605134298</v>
      </c>
      <c r="N1001" s="46">
        <v>0</v>
      </c>
    </row>
    <row r="1002" spans="13:14" x14ac:dyDescent="0.35">
      <c r="M1002" s="46">
        <v>0.43468103576198253</v>
      </c>
      <c r="N1002" s="46">
        <v>0</v>
      </c>
    </row>
    <row r="1003" spans="13:14" x14ac:dyDescent="0.35">
      <c r="M1003" s="46">
        <v>0.30044999258050159</v>
      </c>
      <c r="N1003" s="46">
        <v>0</v>
      </c>
    </row>
    <row r="1004" spans="13:14" x14ac:dyDescent="0.35">
      <c r="M1004" s="46">
        <v>0.18152626502448432</v>
      </c>
      <c r="N1004" s="46">
        <v>0</v>
      </c>
    </row>
    <row r="1005" spans="13:14" x14ac:dyDescent="0.35">
      <c r="M1005" s="46">
        <v>0.14885034871642677</v>
      </c>
      <c r="N1005" s="46">
        <v>0</v>
      </c>
    </row>
    <row r="1006" spans="13:14" x14ac:dyDescent="0.35">
      <c r="M1006" s="46">
        <v>0.16123386259088887</v>
      </c>
      <c r="N1006" s="46">
        <v>0</v>
      </c>
    </row>
    <row r="1007" spans="13:14" x14ac:dyDescent="0.35">
      <c r="M1007" s="46">
        <v>0.16975033387742988</v>
      </c>
      <c r="N1007" s="46">
        <v>0</v>
      </c>
    </row>
    <row r="1008" spans="13:14" x14ac:dyDescent="0.35">
      <c r="M1008" s="46">
        <v>0.16195889597863186</v>
      </c>
      <c r="N1008" s="46">
        <v>0</v>
      </c>
    </row>
    <row r="1009" spans="13:14" x14ac:dyDescent="0.35">
      <c r="M1009" s="46">
        <v>0.1531308057575308</v>
      </c>
      <c r="N1009" s="46">
        <v>0</v>
      </c>
    </row>
    <row r="1010" spans="13:14" x14ac:dyDescent="0.35">
      <c r="M1010" s="46">
        <v>0.14768170351684226</v>
      </c>
      <c r="N1010" s="46">
        <v>0</v>
      </c>
    </row>
    <row r="1011" spans="13:14" x14ac:dyDescent="0.35">
      <c r="M1011" s="46">
        <v>0.15284715833209675</v>
      </c>
      <c r="N1011" s="46">
        <v>0</v>
      </c>
    </row>
    <row r="1012" spans="13:14" x14ac:dyDescent="0.35">
      <c r="M1012" s="46">
        <v>0.16022622050749369</v>
      </c>
      <c r="N1012" s="46">
        <v>0</v>
      </c>
    </row>
    <row r="1013" spans="13:14" x14ac:dyDescent="0.35">
      <c r="M1013" s="46">
        <v>0.16217665825790176</v>
      </c>
      <c r="N1013" s="46">
        <v>0</v>
      </c>
    </row>
    <row r="1014" spans="13:14" x14ac:dyDescent="0.35">
      <c r="M1014" s="46">
        <v>0.16229574120789436</v>
      </c>
      <c r="N1014" s="46">
        <v>0</v>
      </c>
    </row>
    <row r="1015" spans="13:14" x14ac:dyDescent="0.35">
      <c r="M1015" s="46">
        <v>0.16393693426324379</v>
      </c>
      <c r="N1015" s="46">
        <v>0</v>
      </c>
    </row>
    <row r="1016" spans="13:14" x14ac:dyDescent="0.35">
      <c r="M1016" s="46">
        <v>0.16943203739427215</v>
      </c>
      <c r="N1016" s="46">
        <v>0</v>
      </c>
    </row>
    <row r="1017" spans="13:14" x14ac:dyDescent="0.35">
      <c r="M1017" s="46">
        <v>0.18171108473067218</v>
      </c>
      <c r="N1017" s="46">
        <v>0</v>
      </c>
    </row>
    <row r="1018" spans="13:14" x14ac:dyDescent="0.35">
      <c r="M1018" s="46">
        <v>0.20658198545778306</v>
      </c>
      <c r="N1018" s="46">
        <v>0</v>
      </c>
    </row>
    <row r="1019" spans="13:14" x14ac:dyDescent="0.35">
      <c r="M1019" s="46">
        <v>0.33102544887965574</v>
      </c>
      <c r="N1019" s="46">
        <v>0</v>
      </c>
    </row>
    <row r="1020" spans="13:14" x14ac:dyDescent="0.35">
      <c r="M1020" s="46">
        <v>0.50369209081466093</v>
      </c>
      <c r="N1020" s="46">
        <v>0</v>
      </c>
    </row>
    <row r="1021" spans="13:14" x14ac:dyDescent="0.35">
      <c r="M1021" s="46">
        <v>0.65871308799525152</v>
      </c>
      <c r="N1021" s="46">
        <v>0</v>
      </c>
    </row>
    <row r="1022" spans="13:14" x14ac:dyDescent="0.35">
      <c r="M1022" s="46">
        <v>0.75820077162783805</v>
      </c>
      <c r="N1022" s="46">
        <v>0</v>
      </c>
    </row>
    <row r="1023" spans="13:14" x14ac:dyDescent="0.35">
      <c r="M1023" s="46">
        <v>0.79391400801305834</v>
      </c>
      <c r="N1023" s="46">
        <v>0</v>
      </c>
    </row>
    <row r="1024" spans="13:14" x14ac:dyDescent="0.35">
      <c r="M1024" s="46">
        <v>0.77738151060988281</v>
      </c>
      <c r="N1024" s="46">
        <v>0</v>
      </c>
    </row>
    <row r="1025" spans="13:14" x14ac:dyDescent="0.35">
      <c r="M1025" s="46">
        <v>0.72312234752930704</v>
      </c>
      <c r="N1025" s="46">
        <v>0</v>
      </c>
    </row>
    <row r="1026" spans="13:14" x14ac:dyDescent="0.35">
      <c r="M1026" s="46">
        <v>0.64158725330167676</v>
      </c>
      <c r="N1026" s="46">
        <v>0</v>
      </c>
    </row>
    <row r="1027" spans="13:14" x14ac:dyDescent="0.35">
      <c r="M1027" s="46">
        <v>0.54916990651431963</v>
      </c>
      <c r="N1027" s="46">
        <v>0</v>
      </c>
    </row>
    <row r="1028" spans="13:14" x14ac:dyDescent="0.35">
      <c r="M1028" s="46">
        <v>0.47275285650690013</v>
      </c>
      <c r="N1028" s="46">
        <v>0</v>
      </c>
    </row>
    <row r="1029" spans="13:14" x14ac:dyDescent="0.35">
      <c r="M1029" s="46">
        <v>0.48908354355245587</v>
      </c>
      <c r="N1029" s="46">
        <v>0</v>
      </c>
    </row>
    <row r="1030" spans="13:14" x14ac:dyDescent="0.35">
      <c r="M1030" s="46">
        <v>0.54176836325864375</v>
      </c>
      <c r="N1030" s="46">
        <v>0</v>
      </c>
    </row>
    <row r="1031" spans="13:14" x14ac:dyDescent="0.35">
      <c r="M1031" s="46">
        <v>0.58077303754266207</v>
      </c>
      <c r="N1031" s="46">
        <v>0</v>
      </c>
    </row>
    <row r="1032" spans="13:14" x14ac:dyDescent="0.35">
      <c r="M1032" s="46">
        <v>0.602256195281199</v>
      </c>
      <c r="N1032" s="46">
        <v>0</v>
      </c>
    </row>
    <row r="1033" spans="13:14" x14ac:dyDescent="0.35">
      <c r="M1033" s="46">
        <v>0.61692424692090819</v>
      </c>
      <c r="N1033" s="46">
        <v>0</v>
      </c>
    </row>
    <row r="1034" spans="13:14" x14ac:dyDescent="0.35">
      <c r="M1034" s="46">
        <v>0.63271130731562553</v>
      </c>
      <c r="N1034" s="46">
        <v>0</v>
      </c>
    </row>
    <row r="1035" spans="13:14" x14ac:dyDescent="0.35">
      <c r="M1035" s="46">
        <v>0.64142751150022259</v>
      </c>
      <c r="N1035" s="46">
        <v>0</v>
      </c>
    </row>
    <row r="1036" spans="13:14" x14ac:dyDescent="0.35">
      <c r="M1036" s="46">
        <v>0.64592892120492651</v>
      </c>
      <c r="N1036" s="46">
        <v>0</v>
      </c>
    </row>
    <row r="1037" spans="13:14" x14ac:dyDescent="0.35">
      <c r="M1037" s="46">
        <v>0.6503615521590741</v>
      </c>
      <c r="N1037" s="46">
        <v>0</v>
      </c>
    </row>
    <row r="1038" spans="13:14" x14ac:dyDescent="0.35">
      <c r="M1038" s="46">
        <v>0.6545232972251076</v>
      </c>
      <c r="N1038" s="46">
        <v>0</v>
      </c>
    </row>
    <row r="1039" spans="13:14" x14ac:dyDescent="0.35">
      <c r="M1039" s="46">
        <v>0.65330293812138307</v>
      </c>
      <c r="N1039" s="46">
        <v>0</v>
      </c>
    </row>
    <row r="1040" spans="13:14" x14ac:dyDescent="0.35">
      <c r="M1040" s="46">
        <v>0.65411908294999266</v>
      </c>
      <c r="N1040" s="46">
        <v>0</v>
      </c>
    </row>
    <row r="1041" spans="13:14" x14ac:dyDescent="0.35">
      <c r="M1041" s="46">
        <v>0.6553172577533759</v>
      </c>
      <c r="N1041" s="46">
        <v>0</v>
      </c>
    </row>
    <row r="1042" spans="13:14" x14ac:dyDescent="0.35">
      <c r="M1042" s="46">
        <v>0.65734997774150472</v>
      </c>
      <c r="N1042" s="46">
        <v>0</v>
      </c>
    </row>
    <row r="1043" spans="13:14" x14ac:dyDescent="0.35">
      <c r="M1043" s="46">
        <v>0.72012627986348121</v>
      </c>
      <c r="N1043" s="46">
        <v>0</v>
      </c>
    </row>
    <row r="1044" spans="13:14" x14ac:dyDescent="0.35">
      <c r="M1044" s="46">
        <v>0.83897959637928476</v>
      </c>
      <c r="N1044" s="46">
        <v>0</v>
      </c>
    </row>
    <row r="1045" spans="13:14" x14ac:dyDescent="0.35">
      <c r="M1045" s="46">
        <v>0.94814646089924326</v>
      </c>
      <c r="N1045" s="46">
        <v>0</v>
      </c>
    </row>
    <row r="1046" spans="13:14" x14ac:dyDescent="0.35">
      <c r="M1046" s="46">
        <v>1</v>
      </c>
      <c r="N1046" s="46">
        <v>4.5237465309617531E-2</v>
      </c>
    </row>
    <row r="1047" spans="13:14" x14ac:dyDescent="0.35">
      <c r="M1047" s="46">
        <v>1</v>
      </c>
      <c r="N1047" s="46">
        <v>8.4065302234922007E-2</v>
      </c>
    </row>
    <row r="1048" spans="13:14" x14ac:dyDescent="0.35">
      <c r="M1048" s="46">
        <v>1</v>
      </c>
      <c r="N1048" s="46">
        <v>2.066589680140642E-2</v>
      </c>
    </row>
    <row r="1049" spans="13:14" x14ac:dyDescent="0.35">
      <c r="M1049" s="46">
        <v>0.88918259385665532</v>
      </c>
      <c r="N1049" s="46">
        <v>0</v>
      </c>
    </row>
    <row r="1050" spans="13:14" x14ac:dyDescent="0.35">
      <c r="M1050" s="46">
        <v>0.7329258792105654</v>
      </c>
      <c r="N1050" s="46">
        <v>0</v>
      </c>
    </row>
    <row r="1051" spans="13:14" x14ac:dyDescent="0.35">
      <c r="M1051" s="46">
        <v>0.55843418904882025</v>
      </c>
      <c r="N1051" s="46">
        <v>0</v>
      </c>
    </row>
    <row r="1052" spans="13:14" x14ac:dyDescent="0.35">
      <c r="M1052" s="46">
        <v>0.45237817183558393</v>
      </c>
      <c r="N1052" s="46">
        <v>0</v>
      </c>
    </row>
    <row r="1053" spans="13:14" x14ac:dyDescent="0.35">
      <c r="M1053" s="46">
        <v>0.43846661225701145</v>
      </c>
      <c r="N1053" s="46">
        <v>0</v>
      </c>
    </row>
    <row r="1054" spans="13:14" x14ac:dyDescent="0.35">
      <c r="M1054" s="46">
        <v>0.46774795963792848</v>
      </c>
      <c r="N1054" s="46">
        <v>0</v>
      </c>
    </row>
    <row r="1055" spans="13:14" x14ac:dyDescent="0.35">
      <c r="M1055" s="46">
        <v>0.50061181184151948</v>
      </c>
      <c r="N1055" s="46">
        <v>0</v>
      </c>
    </row>
    <row r="1056" spans="13:14" x14ac:dyDescent="0.35">
      <c r="M1056" s="46">
        <v>0.50754303309096305</v>
      </c>
      <c r="N1056" s="46">
        <v>0</v>
      </c>
    </row>
    <row r="1057" spans="13:14" x14ac:dyDescent="0.35">
      <c r="M1057" s="46">
        <v>0.50817020329425733</v>
      </c>
      <c r="N1057" s="46">
        <v>0</v>
      </c>
    </row>
    <row r="1058" spans="13:14" x14ac:dyDescent="0.35">
      <c r="M1058" s="46">
        <v>0.50609897610921506</v>
      </c>
      <c r="N1058" s="46">
        <v>0</v>
      </c>
    </row>
    <row r="1059" spans="13:14" x14ac:dyDescent="0.35">
      <c r="M1059" s="46">
        <v>0.48979247662857989</v>
      </c>
      <c r="N1059" s="46">
        <v>0</v>
      </c>
    </row>
    <row r="1060" spans="13:14" x14ac:dyDescent="0.35">
      <c r="M1060" s="46">
        <v>0.46703613295741209</v>
      </c>
      <c r="N1060" s="46">
        <v>0</v>
      </c>
    </row>
    <row r="1061" spans="13:14" x14ac:dyDescent="0.35">
      <c r="M1061" s="46">
        <v>0.44025997922540433</v>
      </c>
      <c r="N1061" s="46">
        <v>0</v>
      </c>
    </row>
    <row r="1062" spans="13:14" x14ac:dyDescent="0.35">
      <c r="M1062" s="46">
        <v>0.41439174951773255</v>
      </c>
      <c r="N1062" s="46">
        <v>0</v>
      </c>
    </row>
    <row r="1063" spans="13:14" x14ac:dyDescent="0.35">
      <c r="M1063" s="46">
        <v>0.38575367265172877</v>
      </c>
      <c r="N1063" s="46">
        <v>0</v>
      </c>
    </row>
    <row r="1064" spans="13:14" x14ac:dyDescent="0.35">
      <c r="M1064" s="46">
        <v>0.37249807093040516</v>
      </c>
      <c r="N1064" s="46">
        <v>0</v>
      </c>
    </row>
    <row r="1065" spans="13:14" x14ac:dyDescent="0.35">
      <c r="M1065" s="46">
        <v>0.36033209675025968</v>
      </c>
      <c r="N1065" s="46">
        <v>0</v>
      </c>
    </row>
    <row r="1066" spans="13:14" x14ac:dyDescent="0.35">
      <c r="M1066" s="46">
        <v>0.34936407478854431</v>
      </c>
      <c r="N1066" s="46">
        <v>0</v>
      </c>
    </row>
    <row r="1067" spans="13:14" x14ac:dyDescent="0.35">
      <c r="M1067" s="46">
        <v>0.40667658406291735</v>
      </c>
      <c r="N1067" s="46">
        <v>0</v>
      </c>
    </row>
    <row r="1068" spans="13:14" x14ac:dyDescent="0.35">
      <c r="M1068" s="46">
        <v>0.50549755156551412</v>
      </c>
      <c r="N1068" s="46">
        <v>0</v>
      </c>
    </row>
    <row r="1069" spans="13:14" x14ac:dyDescent="0.35">
      <c r="M1069" s="46">
        <v>0.59259177919572636</v>
      </c>
      <c r="N1069" s="46">
        <v>0</v>
      </c>
    </row>
    <row r="1070" spans="13:14" x14ac:dyDescent="0.35">
      <c r="M1070" s="46">
        <v>0.62503976851164866</v>
      </c>
      <c r="N1070" s="46">
        <v>0</v>
      </c>
    </row>
    <row r="1071" spans="13:14" x14ac:dyDescent="0.35">
      <c r="M1071" s="46">
        <v>0.60837067814215762</v>
      </c>
      <c r="N1071" s="46">
        <v>0</v>
      </c>
    </row>
    <row r="1072" spans="13:14" x14ac:dyDescent="0.35">
      <c r="M1072" s="46">
        <v>0.54498953850719689</v>
      </c>
      <c r="N1072" s="46">
        <v>0</v>
      </c>
    </row>
    <row r="1073" spans="13:14" x14ac:dyDescent="0.35">
      <c r="M1073" s="46">
        <v>0.43325656625612108</v>
      </c>
      <c r="N1073" s="46">
        <v>0</v>
      </c>
    </row>
    <row r="1074" spans="13:14" x14ac:dyDescent="0.35">
      <c r="M1074" s="46">
        <v>0.29464378987980411</v>
      </c>
      <c r="N1074" s="46">
        <v>0</v>
      </c>
    </row>
    <row r="1075" spans="13:14" x14ac:dyDescent="0.35">
      <c r="M1075" s="46">
        <v>0.16172562694761833</v>
      </c>
      <c r="N1075" s="46">
        <v>0</v>
      </c>
    </row>
    <row r="1076" spans="13:14" x14ac:dyDescent="0.35">
      <c r="M1076" s="46">
        <v>7.3812880249295151E-2</v>
      </c>
      <c r="N1076" s="46">
        <v>0</v>
      </c>
    </row>
    <row r="1077" spans="13:14" x14ac:dyDescent="0.35">
      <c r="M1077" s="46">
        <v>4.3553123608844044E-2</v>
      </c>
      <c r="N1077" s="46">
        <v>0</v>
      </c>
    </row>
    <row r="1078" spans="13:14" x14ac:dyDescent="0.35">
      <c r="M1078" s="46">
        <v>5.2357990799821938E-2</v>
      </c>
      <c r="N1078" s="46">
        <v>0</v>
      </c>
    </row>
    <row r="1079" spans="13:14" x14ac:dyDescent="0.35">
      <c r="M1079" s="46">
        <v>6.6176880842855029E-2</v>
      </c>
      <c r="N1079" s="46">
        <v>0</v>
      </c>
    </row>
    <row r="1080" spans="13:14" x14ac:dyDescent="0.35">
      <c r="M1080" s="46">
        <v>7.2124573378839596E-2</v>
      </c>
      <c r="N1080" s="46">
        <v>0</v>
      </c>
    </row>
    <row r="1081" spans="13:14" x14ac:dyDescent="0.35">
      <c r="M1081" s="46">
        <v>7.6610327941831133E-2</v>
      </c>
      <c r="N1081" s="46">
        <v>0</v>
      </c>
    </row>
    <row r="1082" spans="13:14" x14ac:dyDescent="0.35">
      <c r="M1082" s="46">
        <v>8.0253227481822231E-2</v>
      </c>
      <c r="N1082" s="46">
        <v>0</v>
      </c>
    </row>
    <row r="1083" spans="13:14" x14ac:dyDescent="0.35">
      <c r="M1083" s="46">
        <v>8.0030197358658545E-2</v>
      </c>
      <c r="N1083" s="46">
        <v>0</v>
      </c>
    </row>
    <row r="1084" spans="13:14" x14ac:dyDescent="0.35">
      <c r="M1084" s="46">
        <v>7.8458228223772075E-2</v>
      </c>
      <c r="N1084" s="46">
        <v>0</v>
      </c>
    </row>
    <row r="1085" spans="13:14" x14ac:dyDescent="0.35">
      <c r="M1085" s="46">
        <v>7.1770960083098384E-2</v>
      </c>
      <c r="N1085" s="46">
        <v>0</v>
      </c>
    </row>
    <row r="1086" spans="13:14" x14ac:dyDescent="0.35">
      <c r="M1086" s="46">
        <v>6.6020700400652915E-2</v>
      </c>
      <c r="N1086" s="46">
        <v>0</v>
      </c>
    </row>
    <row r="1087" spans="13:14" x14ac:dyDescent="0.35">
      <c r="M1087" s="46">
        <v>6.0211010535687788E-2</v>
      </c>
      <c r="N1087" s="46">
        <v>0</v>
      </c>
    </row>
    <row r="1088" spans="13:14" x14ac:dyDescent="0.35">
      <c r="M1088" s="46">
        <v>5.808198545778305E-2</v>
      </c>
      <c r="N1088" s="46">
        <v>0</v>
      </c>
    </row>
    <row r="1089" spans="13:14" x14ac:dyDescent="0.35">
      <c r="M1089" s="46">
        <v>5.8630434782608695E-2</v>
      </c>
      <c r="N1089" s="46">
        <v>0</v>
      </c>
    </row>
    <row r="1090" spans="13:14" x14ac:dyDescent="0.35">
      <c r="M1090" s="46">
        <v>7.1087550081614492E-2</v>
      </c>
      <c r="N1090" s="46">
        <v>0</v>
      </c>
    </row>
    <row r="1091" spans="13:14" x14ac:dyDescent="0.35">
      <c r="M1091" s="46">
        <v>0.18382860958599198</v>
      </c>
      <c r="N1091" s="46">
        <v>0</v>
      </c>
    </row>
    <row r="1092" spans="13:14" x14ac:dyDescent="0.35">
      <c r="M1092" s="46">
        <v>0.34635880694465054</v>
      </c>
      <c r="N1092" s="46">
        <v>0</v>
      </c>
    </row>
    <row r="1093" spans="13:14" x14ac:dyDescent="0.35">
      <c r="M1093" s="46">
        <v>0.48252767472918828</v>
      </c>
      <c r="N1093" s="46">
        <v>0</v>
      </c>
    </row>
    <row r="1094" spans="13:14" x14ac:dyDescent="0.35">
      <c r="M1094" s="46">
        <v>0.56846408962754114</v>
      </c>
      <c r="N1094" s="46">
        <v>0</v>
      </c>
    </row>
    <row r="1095" spans="13:14" x14ac:dyDescent="0.35">
      <c r="M1095" s="46">
        <v>0.59514668348419641</v>
      </c>
      <c r="N1095" s="46">
        <v>0</v>
      </c>
    </row>
    <row r="1096" spans="13:14" x14ac:dyDescent="0.35">
      <c r="M1096" s="46">
        <v>0.56722933669683928</v>
      </c>
      <c r="N1096" s="46">
        <v>0</v>
      </c>
    </row>
    <row r="1097" spans="13:14" x14ac:dyDescent="0.35">
      <c r="M1097" s="46">
        <v>0.476609956966909</v>
      </c>
      <c r="N1097" s="46">
        <v>0</v>
      </c>
    </row>
    <row r="1098" spans="13:14" x14ac:dyDescent="0.35">
      <c r="M1098" s="46">
        <v>0.34614275115002224</v>
      </c>
      <c r="N1098" s="46">
        <v>0</v>
      </c>
    </row>
    <row r="1099" spans="13:14" x14ac:dyDescent="0.35">
      <c r="M1099" s="46">
        <v>0.19230138002671021</v>
      </c>
      <c r="N1099" s="46">
        <v>0</v>
      </c>
    </row>
    <row r="1100" spans="13:14" x14ac:dyDescent="0.35">
      <c r="M1100" s="46">
        <v>6.1383810654399761E-2</v>
      </c>
      <c r="N1100" s="46">
        <v>0</v>
      </c>
    </row>
    <row r="1101" spans="13:14" x14ac:dyDescent="0.35">
      <c r="M1101" s="46">
        <v>1.1991764356729485E-2</v>
      </c>
      <c r="N1101" s="46">
        <v>0</v>
      </c>
    </row>
    <row r="1102" spans="13:14" x14ac:dyDescent="0.35">
      <c r="M1102" s="46">
        <v>1.989887223623683E-2</v>
      </c>
      <c r="N1102" s="46">
        <v>0</v>
      </c>
    </row>
    <row r="1103" spans="13:14" x14ac:dyDescent="0.35">
      <c r="M1103" s="46">
        <v>2.7945763466389672E-2</v>
      </c>
      <c r="N1103" s="46">
        <v>0</v>
      </c>
    </row>
    <row r="1104" spans="13:14" x14ac:dyDescent="0.35">
      <c r="M1104" s="46">
        <v>3.2981896423801747E-2</v>
      </c>
      <c r="N1104" s="46">
        <v>0</v>
      </c>
    </row>
    <row r="1105" spans="13:14" x14ac:dyDescent="0.35">
      <c r="M1105" s="46">
        <v>3.5153286837809765E-2</v>
      </c>
      <c r="N1105" s="46">
        <v>0</v>
      </c>
    </row>
    <row r="1106" spans="13:14" x14ac:dyDescent="0.35">
      <c r="M1106" s="46">
        <v>3.8851535836177474E-2</v>
      </c>
      <c r="N1106" s="46">
        <v>0</v>
      </c>
    </row>
    <row r="1107" spans="13:14" x14ac:dyDescent="0.35">
      <c r="M1107" s="46">
        <v>4.9384700994212792E-2</v>
      </c>
      <c r="N1107" s="46">
        <v>0</v>
      </c>
    </row>
    <row r="1108" spans="13:14" x14ac:dyDescent="0.35">
      <c r="M1108" s="46">
        <v>6.0782089330761242E-2</v>
      </c>
      <c r="N1108" s="46">
        <v>0</v>
      </c>
    </row>
    <row r="1109" spans="13:14" x14ac:dyDescent="0.35">
      <c r="M1109" s="46">
        <v>6.9535168422614632E-2</v>
      </c>
      <c r="N1109" s="46">
        <v>0</v>
      </c>
    </row>
    <row r="1110" spans="13:14" x14ac:dyDescent="0.35">
      <c r="M1110" s="46">
        <v>7.5506380768660036E-2</v>
      </c>
      <c r="N1110" s="46">
        <v>0</v>
      </c>
    </row>
    <row r="1111" spans="13:14" x14ac:dyDescent="0.35">
      <c r="M1111" s="46">
        <v>7.8683187416530645E-2</v>
      </c>
      <c r="N1111" s="46">
        <v>0</v>
      </c>
    </row>
    <row r="1112" spans="13:14" x14ac:dyDescent="0.35">
      <c r="M1112" s="46">
        <v>8.4058391452737802E-2</v>
      </c>
      <c r="N1112" s="46">
        <v>0</v>
      </c>
    </row>
    <row r="1113" spans="13:14" x14ac:dyDescent="0.35">
      <c r="M1113" s="46">
        <v>9.4923653361032798E-2</v>
      </c>
      <c r="N1113" s="46">
        <v>0</v>
      </c>
    </row>
    <row r="1114" spans="13:14" x14ac:dyDescent="0.35">
      <c r="M1114" s="46">
        <v>0.11777800860661819</v>
      </c>
      <c r="N1114" s="46">
        <v>0</v>
      </c>
    </row>
    <row r="1115" spans="13:14" x14ac:dyDescent="0.35">
      <c r="M1115" s="46">
        <v>0.2524919127466983</v>
      </c>
      <c r="N1115" s="46">
        <v>0</v>
      </c>
    </row>
    <row r="1116" spans="13:14" x14ac:dyDescent="0.35">
      <c r="M1116" s="46">
        <v>0.43497121234604541</v>
      </c>
      <c r="N1116" s="46">
        <v>0</v>
      </c>
    </row>
    <row r="1117" spans="13:14" x14ac:dyDescent="0.35">
      <c r="M1117" s="46">
        <v>0.58900400652915863</v>
      </c>
      <c r="N1117" s="46">
        <v>0</v>
      </c>
    </row>
    <row r="1118" spans="13:14" x14ac:dyDescent="0.35">
      <c r="M1118" s="46">
        <v>0.68866115150615814</v>
      </c>
      <c r="N1118" s="46">
        <v>0</v>
      </c>
    </row>
    <row r="1119" spans="13:14" x14ac:dyDescent="0.35">
      <c r="M1119" s="46">
        <v>0.7194532571598159</v>
      </c>
      <c r="N1119" s="46">
        <v>0</v>
      </c>
    </row>
    <row r="1120" spans="13:14" x14ac:dyDescent="0.35">
      <c r="M1120" s="46">
        <v>0.68609571152990056</v>
      </c>
      <c r="N1120" s="46">
        <v>0</v>
      </c>
    </row>
    <row r="1121" spans="13:14" x14ac:dyDescent="0.35">
      <c r="M1121" s="46">
        <v>0.60739063659296633</v>
      </c>
      <c r="N1121" s="46">
        <v>0</v>
      </c>
    </row>
    <row r="1122" spans="13:14" x14ac:dyDescent="0.35">
      <c r="M1122" s="46">
        <v>0.47652901023890787</v>
      </c>
      <c r="N1122" s="46">
        <v>0</v>
      </c>
    </row>
    <row r="1123" spans="13:14" x14ac:dyDescent="0.35">
      <c r="M1123" s="46">
        <v>0.31230828016026119</v>
      </c>
      <c r="N1123" s="46">
        <v>0</v>
      </c>
    </row>
    <row r="1124" spans="13:14" x14ac:dyDescent="0.35">
      <c r="M1124" s="46">
        <v>0.14694843448582876</v>
      </c>
      <c r="N1124" s="46">
        <v>0</v>
      </c>
    </row>
    <row r="1125" spans="13:14" x14ac:dyDescent="0.35">
      <c r="M1125" s="46">
        <v>9.1266359994064405E-2</v>
      </c>
      <c r="N1125" s="46">
        <v>0</v>
      </c>
    </row>
    <row r="1126" spans="13:14" x14ac:dyDescent="0.35">
      <c r="M1126" s="46">
        <v>0.10372147202849089</v>
      </c>
      <c r="N1126" s="46">
        <v>0</v>
      </c>
    </row>
    <row r="1127" spans="13:14" x14ac:dyDescent="0.35">
      <c r="M1127" s="46">
        <v>0.1186362961863778</v>
      </c>
      <c r="N1127" s="46">
        <v>0</v>
      </c>
    </row>
    <row r="1128" spans="13:14" x14ac:dyDescent="0.35">
      <c r="M1128" s="46">
        <v>0.13024929514764802</v>
      </c>
      <c r="N1128" s="46">
        <v>0</v>
      </c>
    </row>
    <row r="1129" spans="13:14" x14ac:dyDescent="0.35">
      <c r="M1129" s="46">
        <v>0.14349836771034277</v>
      </c>
      <c r="N1129" s="46">
        <v>0</v>
      </c>
    </row>
    <row r="1130" spans="13:14" x14ac:dyDescent="0.35">
      <c r="M1130" s="46">
        <v>0.15653509422763023</v>
      </c>
      <c r="N1130" s="46">
        <v>0</v>
      </c>
    </row>
    <row r="1131" spans="13:14" x14ac:dyDescent="0.35">
      <c r="M1131" s="46">
        <v>0.15903279418311322</v>
      </c>
      <c r="N1131" s="46">
        <v>0</v>
      </c>
    </row>
    <row r="1132" spans="13:14" x14ac:dyDescent="0.35">
      <c r="M1132" s="46">
        <v>0.16387446208636294</v>
      </c>
      <c r="N1132" s="46">
        <v>0</v>
      </c>
    </row>
    <row r="1133" spans="13:14" x14ac:dyDescent="0.35">
      <c r="M1133" s="46">
        <v>0.16447981896423802</v>
      </c>
      <c r="N1133" s="46">
        <v>0</v>
      </c>
    </row>
    <row r="1134" spans="13:14" x14ac:dyDescent="0.35">
      <c r="M1134" s="46">
        <v>0.16620633625166939</v>
      </c>
      <c r="N1134" s="46">
        <v>0</v>
      </c>
    </row>
    <row r="1135" spans="13:14" x14ac:dyDescent="0.35">
      <c r="M1135" s="46">
        <v>0.16716011277637632</v>
      </c>
      <c r="N1135" s="46">
        <v>0</v>
      </c>
    </row>
    <row r="1136" spans="13:14" x14ac:dyDescent="0.35">
      <c r="M1136" s="46">
        <v>0.1660202552307464</v>
      </c>
      <c r="N1136" s="46">
        <v>0</v>
      </c>
    </row>
    <row r="1137" spans="13:14" x14ac:dyDescent="0.35">
      <c r="M1137" s="46">
        <v>0.16749873868526485</v>
      </c>
      <c r="N1137" s="46">
        <v>0</v>
      </c>
    </row>
    <row r="1138" spans="13:14" x14ac:dyDescent="0.35">
      <c r="M1138" s="46">
        <v>0.1802577533758718</v>
      </c>
      <c r="N1138" s="46">
        <v>0</v>
      </c>
    </row>
    <row r="1139" spans="13:14" x14ac:dyDescent="0.35">
      <c r="M1139" s="46">
        <v>0.25361129247662856</v>
      </c>
      <c r="N1139" s="46">
        <v>0</v>
      </c>
    </row>
    <row r="1140" spans="13:14" x14ac:dyDescent="0.35">
      <c r="M1140" s="46">
        <v>0.35322058168867787</v>
      </c>
      <c r="N1140" s="46">
        <v>0</v>
      </c>
    </row>
    <row r="1141" spans="13:14" x14ac:dyDescent="0.35">
      <c r="M1141" s="46">
        <v>0.44411945392491464</v>
      </c>
      <c r="N1141" s="46">
        <v>0</v>
      </c>
    </row>
    <row r="1142" spans="13:14" x14ac:dyDescent="0.35">
      <c r="M1142" s="46">
        <v>0.55036941682742246</v>
      </c>
      <c r="N1142" s="46">
        <v>0</v>
      </c>
    </row>
    <row r="1143" spans="13:14" x14ac:dyDescent="0.35">
      <c r="M1143" s="46">
        <v>0.62902188752040367</v>
      </c>
      <c r="N1143" s="46">
        <v>0</v>
      </c>
    </row>
    <row r="1144" spans="13:14" x14ac:dyDescent="0.35">
      <c r="M1144" s="46">
        <v>0.66341994361181189</v>
      </c>
      <c r="N1144" s="46">
        <v>0</v>
      </c>
    </row>
    <row r="1145" spans="13:14" x14ac:dyDescent="0.35">
      <c r="M1145" s="46">
        <v>0.6035048226739872</v>
      </c>
      <c r="N1145" s="46">
        <v>0</v>
      </c>
    </row>
    <row r="1146" spans="13:14" x14ac:dyDescent="0.35">
      <c r="M1146" s="46">
        <v>0.49829358955334618</v>
      </c>
      <c r="N1146" s="46">
        <v>0</v>
      </c>
    </row>
    <row r="1147" spans="13:14" x14ac:dyDescent="0.35">
      <c r="M1147" s="46">
        <v>0.36769446505416237</v>
      </c>
      <c r="N1147" s="46">
        <v>0</v>
      </c>
    </row>
    <row r="1148" spans="13:14" x14ac:dyDescent="0.35">
      <c r="M1148" s="46">
        <v>0.25546817035168423</v>
      </c>
      <c r="N1148" s="46">
        <v>0</v>
      </c>
    </row>
    <row r="1149" spans="13:14" x14ac:dyDescent="0.35">
      <c r="M1149" s="46">
        <v>0.21120470396201219</v>
      </c>
      <c r="N1149" s="46">
        <v>0</v>
      </c>
    </row>
    <row r="1150" spans="13:14" x14ac:dyDescent="0.35">
      <c r="M1150" s="46">
        <v>0.22296868971657516</v>
      </c>
      <c r="N1150" s="46">
        <v>0</v>
      </c>
    </row>
    <row r="1151" spans="13:14" x14ac:dyDescent="0.35">
      <c r="M1151" s="46">
        <v>0.23073252708116931</v>
      </c>
      <c r="N1151" s="46">
        <v>0</v>
      </c>
    </row>
    <row r="1152" spans="13:14" x14ac:dyDescent="0.35">
      <c r="M1152" s="46">
        <v>0.23361930553494584</v>
      </c>
      <c r="N1152" s="46">
        <v>0</v>
      </c>
    </row>
    <row r="1153" spans="13:14" x14ac:dyDescent="0.35">
      <c r="M1153" s="46">
        <v>0.2280962308947915</v>
      </c>
      <c r="N1153" s="46">
        <v>0</v>
      </c>
    </row>
    <row r="1154" spans="13:14" x14ac:dyDescent="0.35">
      <c r="M1154" s="46">
        <v>0.23484404214275115</v>
      </c>
      <c r="N1154" s="46">
        <v>0</v>
      </c>
    </row>
    <row r="1155" spans="13:14" x14ac:dyDescent="0.35">
      <c r="M1155" s="46">
        <v>0.23726992135331651</v>
      </c>
      <c r="N1155" s="46">
        <v>0</v>
      </c>
    </row>
    <row r="1156" spans="13:14" x14ac:dyDescent="0.35">
      <c r="M1156" s="46">
        <v>0.24333832912895087</v>
      </c>
      <c r="N1156" s="46">
        <v>0</v>
      </c>
    </row>
    <row r="1157" spans="13:14" x14ac:dyDescent="0.35">
      <c r="M1157" s="46">
        <v>0.24922547855764951</v>
      </c>
      <c r="N1157" s="46">
        <v>0</v>
      </c>
    </row>
    <row r="1158" spans="13:14" x14ac:dyDescent="0.35">
      <c r="M1158" s="46">
        <v>0.25978216352574568</v>
      </c>
      <c r="N1158" s="46">
        <v>0</v>
      </c>
    </row>
    <row r="1159" spans="13:14" x14ac:dyDescent="0.35">
      <c r="M1159" s="46">
        <v>0.26278832170945243</v>
      </c>
      <c r="N1159" s="46">
        <v>0</v>
      </c>
    </row>
    <row r="1160" spans="13:14" x14ac:dyDescent="0.35">
      <c r="M1160" s="46">
        <v>0.26701380026710192</v>
      </c>
      <c r="N1160" s="46">
        <v>0</v>
      </c>
    </row>
    <row r="1161" spans="13:14" x14ac:dyDescent="0.35">
      <c r="M1161" s="46">
        <v>0.26915766434189048</v>
      </c>
      <c r="N1161" s="46">
        <v>0</v>
      </c>
    </row>
    <row r="1162" spans="13:14" x14ac:dyDescent="0.35">
      <c r="M1162" s="46">
        <v>0.27284218726814069</v>
      </c>
      <c r="N1162" s="46">
        <v>0</v>
      </c>
    </row>
    <row r="1163" spans="13:14" x14ac:dyDescent="0.35">
      <c r="M1163" s="46">
        <v>0.32708161448286094</v>
      </c>
      <c r="N1163" s="46">
        <v>0</v>
      </c>
    </row>
    <row r="1164" spans="13:14" x14ac:dyDescent="0.35">
      <c r="M1164" s="46">
        <v>0.40845162487015879</v>
      </c>
      <c r="N1164" s="46">
        <v>0</v>
      </c>
    </row>
    <row r="1165" spans="13:14" x14ac:dyDescent="0.35">
      <c r="M1165" s="46">
        <v>0.50204258792105649</v>
      </c>
      <c r="N1165" s="46">
        <v>0</v>
      </c>
    </row>
    <row r="1166" spans="13:14" x14ac:dyDescent="0.35">
      <c r="M1166" s="46">
        <v>0.58958539842706637</v>
      </c>
      <c r="N1166" s="46">
        <v>0</v>
      </c>
    </row>
    <row r="1167" spans="13:14" x14ac:dyDescent="0.35">
      <c r="M1167" s="46">
        <v>0.64564653509422754</v>
      </c>
      <c r="N1167" s="46">
        <v>0</v>
      </c>
    </row>
    <row r="1168" spans="13:14" x14ac:dyDescent="0.35">
      <c r="M1168" s="46">
        <v>0.66642869861997334</v>
      </c>
      <c r="N1168" s="46">
        <v>0</v>
      </c>
    </row>
    <row r="1169" spans="13:14" x14ac:dyDescent="0.35">
      <c r="M1169" s="46">
        <v>0.62631681258346927</v>
      </c>
      <c r="N1169" s="46">
        <v>0</v>
      </c>
    </row>
    <row r="1170" spans="13:14" x14ac:dyDescent="0.35">
      <c r="M1170" s="46">
        <v>0.55724335954889448</v>
      </c>
      <c r="N1170" s="46">
        <v>0</v>
      </c>
    </row>
    <row r="1171" spans="13:14" x14ac:dyDescent="0.35">
      <c r="M1171" s="46">
        <v>0.47582838700103874</v>
      </c>
      <c r="N1171" s="46">
        <v>0</v>
      </c>
    </row>
    <row r="1172" spans="13:14" x14ac:dyDescent="0.35">
      <c r="M1172" s="46">
        <v>0.41818711975070483</v>
      </c>
      <c r="N1172" s="46">
        <v>0</v>
      </c>
    </row>
    <row r="1173" spans="13:14" x14ac:dyDescent="0.35">
      <c r="M1173" s="46">
        <v>0.4063851461641193</v>
      </c>
      <c r="N1173" s="46">
        <v>0</v>
      </c>
    </row>
    <row r="1174" spans="13:14" x14ac:dyDescent="0.35">
      <c r="M1174" s="46">
        <v>0.42960713755750113</v>
      </c>
      <c r="N1174" s="46">
        <v>0</v>
      </c>
    </row>
    <row r="1175" spans="13:14" x14ac:dyDescent="0.35">
      <c r="M1175" s="46">
        <v>0.46281325122421724</v>
      </c>
      <c r="N1175" s="46">
        <v>0</v>
      </c>
    </row>
    <row r="1176" spans="13:14" x14ac:dyDescent="0.35">
      <c r="M1176" s="46">
        <v>0.49228617005490433</v>
      </c>
      <c r="N1176" s="46">
        <v>0</v>
      </c>
    </row>
    <row r="1177" spans="13:14" x14ac:dyDescent="0.35">
      <c r="M1177" s="46">
        <v>0.52667354206855621</v>
      </c>
      <c r="N1177" s="46">
        <v>0</v>
      </c>
    </row>
    <row r="1178" spans="13:14" x14ac:dyDescent="0.35">
      <c r="M1178" s="46">
        <v>0.56506180442202114</v>
      </c>
      <c r="N1178" s="46">
        <v>0</v>
      </c>
    </row>
    <row r="1179" spans="13:14" x14ac:dyDescent="0.35">
      <c r="M1179" s="46">
        <v>0.58255935598753517</v>
      </c>
      <c r="N1179" s="46">
        <v>0</v>
      </c>
    </row>
    <row r="1180" spans="13:14" x14ac:dyDescent="0.35">
      <c r="M1180" s="46">
        <v>0.60071375575011132</v>
      </c>
      <c r="N1180" s="46">
        <v>0</v>
      </c>
    </row>
    <row r="1181" spans="13:14" x14ac:dyDescent="0.35">
      <c r="M1181" s="46">
        <v>0.61691816293218582</v>
      </c>
      <c r="N1181" s="46">
        <v>0</v>
      </c>
    </row>
    <row r="1182" spans="13:14" x14ac:dyDescent="0.35">
      <c r="M1182" s="46">
        <v>0.62428631844487303</v>
      </c>
      <c r="N1182" s="46">
        <v>0</v>
      </c>
    </row>
    <row r="1183" spans="13:14" x14ac:dyDescent="0.35">
      <c r="M1183" s="46">
        <v>0.62993715684819707</v>
      </c>
      <c r="N1183" s="46">
        <v>0</v>
      </c>
    </row>
    <row r="1184" spans="13:14" x14ac:dyDescent="0.35">
      <c r="M1184" s="46">
        <v>0.63209482119008753</v>
      </c>
      <c r="N1184" s="46">
        <v>0</v>
      </c>
    </row>
    <row r="1185" spans="13:14" x14ac:dyDescent="0.35">
      <c r="M1185" s="46">
        <v>0.62218452292625015</v>
      </c>
      <c r="N1185" s="46">
        <v>0</v>
      </c>
    </row>
    <row r="1186" spans="13:14" x14ac:dyDescent="0.35">
      <c r="M1186" s="46">
        <v>0.58850029677993765</v>
      </c>
      <c r="N1186" s="46">
        <v>0</v>
      </c>
    </row>
    <row r="1187" spans="13:14" x14ac:dyDescent="0.35">
      <c r="M1187" s="46">
        <v>0.5560589108176287</v>
      </c>
      <c r="N1187" s="46">
        <v>0</v>
      </c>
    </row>
    <row r="1188" spans="13:14" x14ac:dyDescent="0.35">
      <c r="M1188" s="46">
        <v>0.56551854874610474</v>
      </c>
      <c r="N1188" s="46">
        <v>0</v>
      </c>
    </row>
    <row r="1189" spans="13:14" x14ac:dyDescent="0.35">
      <c r="M1189" s="46">
        <v>0.58331688677845372</v>
      </c>
      <c r="N1189" s="46">
        <v>0</v>
      </c>
    </row>
    <row r="1190" spans="13:14" x14ac:dyDescent="0.35">
      <c r="M1190" s="46">
        <v>0.58715684819706182</v>
      </c>
      <c r="N1190" s="46">
        <v>0</v>
      </c>
    </row>
    <row r="1191" spans="13:14" x14ac:dyDescent="0.35">
      <c r="M1191" s="46">
        <v>0.60265736756195276</v>
      </c>
      <c r="N1191" s="46">
        <v>0</v>
      </c>
    </row>
    <row r="1192" spans="13:14" x14ac:dyDescent="0.35">
      <c r="M1192" s="46">
        <v>0.63506633031607074</v>
      </c>
      <c r="N1192" s="46">
        <v>0</v>
      </c>
    </row>
    <row r="1193" spans="13:14" x14ac:dyDescent="0.35">
      <c r="M1193" s="46">
        <v>0.60222236236830384</v>
      </c>
      <c r="N1193" s="46">
        <v>0</v>
      </c>
    </row>
    <row r="1194" spans="13:14" x14ac:dyDescent="0.35">
      <c r="M1194" s="46">
        <v>0.54430360587624271</v>
      </c>
      <c r="N1194" s="46">
        <v>0</v>
      </c>
    </row>
    <row r="1195" spans="13:14" x14ac:dyDescent="0.35">
      <c r="M1195" s="46">
        <v>0.47404555572043328</v>
      </c>
      <c r="N1195" s="46">
        <v>0</v>
      </c>
    </row>
    <row r="1196" spans="13:14" x14ac:dyDescent="0.35">
      <c r="M1196" s="46">
        <v>0.42263310580204777</v>
      </c>
      <c r="N1196" s="46">
        <v>0</v>
      </c>
    </row>
    <row r="1197" spans="13:14" x14ac:dyDescent="0.35">
      <c r="M1197" s="46">
        <v>0.41651380026710194</v>
      </c>
      <c r="N1197" s="46">
        <v>0</v>
      </c>
    </row>
    <row r="1198" spans="13:14" x14ac:dyDescent="0.35">
      <c r="M1198" s="46">
        <v>0.43898516100311619</v>
      </c>
      <c r="N1198" s="46">
        <v>0</v>
      </c>
    </row>
    <row r="1199" spans="13:14" x14ac:dyDescent="0.35">
      <c r="M1199" s="46">
        <v>0.44860995696690903</v>
      </c>
      <c r="N1199" s="46">
        <v>0</v>
      </c>
    </row>
    <row r="1200" spans="13:14" x14ac:dyDescent="0.35">
      <c r="M1200" s="46">
        <v>0.44498553197803831</v>
      </c>
      <c r="N1200" s="46">
        <v>0</v>
      </c>
    </row>
    <row r="1201" spans="13:14" x14ac:dyDescent="0.35">
      <c r="M1201" s="46">
        <v>0.4358579907998219</v>
      </c>
      <c r="N1201" s="46">
        <v>0</v>
      </c>
    </row>
    <row r="1202" spans="13:14" x14ac:dyDescent="0.35">
      <c r="M1202" s="46">
        <v>0.42836637483306128</v>
      </c>
      <c r="N1202" s="46">
        <v>0</v>
      </c>
    </row>
    <row r="1203" spans="13:14" x14ac:dyDescent="0.35">
      <c r="M1203" s="46">
        <v>0.40830954147499626</v>
      </c>
      <c r="N1203" s="46">
        <v>0</v>
      </c>
    </row>
    <row r="1204" spans="13:14" x14ac:dyDescent="0.35">
      <c r="M1204" s="46">
        <v>0.38300875500816145</v>
      </c>
      <c r="N1204" s="46">
        <v>0</v>
      </c>
    </row>
    <row r="1205" spans="13:14" x14ac:dyDescent="0.35">
      <c r="M1205" s="46">
        <v>0.35744583766137406</v>
      </c>
      <c r="N1205" s="46">
        <v>0</v>
      </c>
    </row>
    <row r="1206" spans="13:14" x14ac:dyDescent="0.35">
      <c r="M1206" s="46">
        <v>0.34393470841371121</v>
      </c>
      <c r="N1206" s="46">
        <v>0</v>
      </c>
    </row>
    <row r="1207" spans="13:14" x14ac:dyDescent="0.35">
      <c r="M1207" s="46">
        <v>0.33284456150764208</v>
      </c>
      <c r="N1207" s="46">
        <v>0</v>
      </c>
    </row>
    <row r="1208" spans="13:14" x14ac:dyDescent="0.35">
      <c r="M1208" s="46">
        <v>0.3213531681258347</v>
      </c>
      <c r="N1208" s="46">
        <v>0</v>
      </c>
    </row>
    <row r="1209" spans="13:14" x14ac:dyDescent="0.35">
      <c r="M1209" s="46">
        <v>0.30017198397388334</v>
      </c>
      <c r="N1209" s="46">
        <v>0</v>
      </c>
    </row>
    <row r="1210" spans="13:14" x14ac:dyDescent="0.35">
      <c r="M1210" s="46">
        <v>0.29080924469505864</v>
      </c>
      <c r="N1210" s="46">
        <v>0</v>
      </c>
    </row>
    <row r="1211" spans="13:14" x14ac:dyDescent="0.35">
      <c r="M1211" s="46">
        <v>0.3327305980115744</v>
      </c>
      <c r="N1211" s="46">
        <v>0</v>
      </c>
    </row>
    <row r="1212" spans="13:14" x14ac:dyDescent="0.35">
      <c r="M1212" s="46">
        <v>0.3800136518771331</v>
      </c>
      <c r="N1212" s="46">
        <v>0</v>
      </c>
    </row>
    <row r="1213" spans="13:14" x14ac:dyDescent="0.35">
      <c r="M1213" s="46">
        <v>0.42464698026413411</v>
      </c>
      <c r="N1213" s="46">
        <v>0</v>
      </c>
    </row>
    <row r="1214" spans="13:14" x14ac:dyDescent="0.35">
      <c r="M1214" s="46">
        <v>0.45712561210862146</v>
      </c>
      <c r="N1214" s="46">
        <v>0</v>
      </c>
    </row>
    <row r="1215" spans="13:14" x14ac:dyDescent="0.35">
      <c r="M1215" s="46">
        <v>0.46786592966315477</v>
      </c>
      <c r="N1215" s="46">
        <v>0</v>
      </c>
    </row>
    <row r="1216" spans="13:14" x14ac:dyDescent="0.35">
      <c r="M1216" s="46">
        <v>0.46367146460899239</v>
      </c>
      <c r="N1216" s="46">
        <v>0</v>
      </c>
    </row>
    <row r="1217" spans="13:14" x14ac:dyDescent="0.35">
      <c r="M1217" s="46">
        <v>0.42780219617153881</v>
      </c>
      <c r="N1217" s="46">
        <v>0</v>
      </c>
    </row>
    <row r="1218" spans="13:14" x14ac:dyDescent="0.35">
      <c r="M1218" s="46">
        <v>0.37750415491912748</v>
      </c>
      <c r="N1218" s="46">
        <v>0</v>
      </c>
    </row>
    <row r="1219" spans="13:14" x14ac:dyDescent="0.35">
      <c r="M1219" s="46">
        <v>0.31645214423504969</v>
      </c>
      <c r="N1219" s="46">
        <v>0</v>
      </c>
    </row>
    <row r="1220" spans="13:14" x14ac:dyDescent="0.35">
      <c r="M1220" s="46">
        <v>0.26054229114111888</v>
      </c>
      <c r="N1220" s="46">
        <v>0</v>
      </c>
    </row>
    <row r="1221" spans="13:14" x14ac:dyDescent="0.35">
      <c r="M1221" s="46">
        <v>0.2427286689419795</v>
      </c>
      <c r="N1221" s="46">
        <v>0</v>
      </c>
    </row>
    <row r="1222" spans="13:14" x14ac:dyDescent="0.35">
      <c r="M1222" s="46">
        <v>0.25101825196616712</v>
      </c>
      <c r="N1222" s="46">
        <v>0</v>
      </c>
    </row>
    <row r="1223" spans="13:14" x14ac:dyDescent="0.35">
      <c r="M1223" s="46">
        <v>0.27028372162041847</v>
      </c>
      <c r="N1223" s="46">
        <v>0</v>
      </c>
    </row>
    <row r="1224" spans="13:14" x14ac:dyDescent="0.35">
      <c r="M1224" s="46">
        <v>0.28896809615669983</v>
      </c>
      <c r="N1224" s="46">
        <v>0</v>
      </c>
    </row>
    <row r="1225" spans="13:14" x14ac:dyDescent="0.35">
      <c r="M1225" s="46">
        <v>0.3111019439085918</v>
      </c>
      <c r="N1225" s="46">
        <v>0</v>
      </c>
    </row>
    <row r="1226" spans="13:14" x14ac:dyDescent="0.35">
      <c r="M1226" s="46">
        <v>0.3362895830241876</v>
      </c>
      <c r="N1226" s="46">
        <v>0</v>
      </c>
    </row>
    <row r="1227" spans="13:14" x14ac:dyDescent="0.35">
      <c r="M1227" s="46">
        <v>0.34281354800415492</v>
      </c>
      <c r="N1227" s="46">
        <v>0</v>
      </c>
    </row>
    <row r="1228" spans="13:14" x14ac:dyDescent="0.35">
      <c r="M1228" s="46">
        <v>0.34872725923727554</v>
      </c>
      <c r="N1228" s="46">
        <v>0</v>
      </c>
    </row>
    <row r="1229" spans="13:14" x14ac:dyDescent="0.35">
      <c r="M1229" s="46">
        <v>0.35814913191868231</v>
      </c>
      <c r="N1229" s="46">
        <v>0</v>
      </c>
    </row>
    <row r="1230" spans="13:14" x14ac:dyDescent="0.35">
      <c r="M1230" s="46">
        <v>0.36404882029974772</v>
      </c>
      <c r="N1230" s="46">
        <v>0</v>
      </c>
    </row>
    <row r="1231" spans="13:14" x14ac:dyDescent="0.35">
      <c r="M1231" s="46">
        <v>0.3657332690310135</v>
      </c>
      <c r="N1231" s="46">
        <v>0</v>
      </c>
    </row>
    <row r="1232" spans="13:14" x14ac:dyDescent="0.35">
      <c r="M1232" s="46">
        <v>0.36703197803828463</v>
      </c>
      <c r="N1232" s="46">
        <v>0</v>
      </c>
    </row>
    <row r="1233" spans="13:14" x14ac:dyDescent="0.35">
      <c r="M1233" s="46">
        <v>0.3678648167383885</v>
      </c>
      <c r="N1233" s="46">
        <v>0</v>
      </c>
    </row>
    <row r="1234" spans="13:14" x14ac:dyDescent="0.35">
      <c r="M1234" s="46">
        <v>0.38321063956076568</v>
      </c>
      <c r="N1234" s="46">
        <v>0</v>
      </c>
    </row>
    <row r="1235" spans="13:14" x14ac:dyDescent="0.35">
      <c r="M1235" s="46">
        <v>0.44289241727259238</v>
      </c>
      <c r="N1235" s="46">
        <v>0</v>
      </c>
    </row>
    <row r="1236" spans="13:14" x14ac:dyDescent="0.35">
      <c r="M1236" s="46">
        <v>0.51850089033981295</v>
      </c>
      <c r="N1236" s="46">
        <v>0</v>
      </c>
    </row>
    <row r="1237" spans="13:14" x14ac:dyDescent="0.35">
      <c r="M1237" s="46">
        <v>0.5906354800415492</v>
      </c>
      <c r="N1237" s="46">
        <v>0</v>
      </c>
    </row>
    <row r="1238" spans="13:14" x14ac:dyDescent="0.35">
      <c r="M1238" s="46">
        <v>0.63129492506306584</v>
      </c>
      <c r="N1238" s="46">
        <v>0</v>
      </c>
    </row>
    <row r="1239" spans="13:14" x14ac:dyDescent="0.35">
      <c r="M1239" s="46">
        <v>0.6478775040807242</v>
      </c>
      <c r="N1239" s="46">
        <v>0</v>
      </c>
    </row>
    <row r="1240" spans="13:14" x14ac:dyDescent="0.35">
      <c r="M1240" s="46">
        <v>0.6545603947173172</v>
      </c>
      <c r="N1240" s="46">
        <v>0</v>
      </c>
    </row>
    <row r="1241" spans="13:14" x14ac:dyDescent="0.35">
      <c r="M1241" s="46">
        <v>0.68761025374684681</v>
      </c>
      <c r="N1241" s="46">
        <v>0</v>
      </c>
    </row>
    <row r="1242" spans="13:14" x14ac:dyDescent="0.35">
      <c r="M1242" s="46">
        <v>0.6830163228965721</v>
      </c>
      <c r="N1242" s="46">
        <v>0</v>
      </c>
    </row>
    <row r="1243" spans="13:14" x14ac:dyDescent="0.35">
      <c r="M1243" s="46">
        <v>0.65719498441905333</v>
      </c>
      <c r="N1243" s="46">
        <v>0</v>
      </c>
    </row>
    <row r="1244" spans="13:14" x14ac:dyDescent="0.35">
      <c r="M1244" s="46">
        <v>0.58817732601276151</v>
      </c>
      <c r="N1244" s="46">
        <v>0</v>
      </c>
    </row>
    <row r="1245" spans="13:14" x14ac:dyDescent="0.35">
      <c r="M1245" s="46">
        <v>0.57831903843300192</v>
      </c>
      <c r="N1245" s="46">
        <v>0</v>
      </c>
    </row>
    <row r="1246" spans="13:14" x14ac:dyDescent="0.35">
      <c r="M1246" s="46">
        <v>0.61216760646980262</v>
      </c>
      <c r="N1246" s="46">
        <v>0</v>
      </c>
    </row>
    <row r="1247" spans="13:14" x14ac:dyDescent="0.35">
      <c r="M1247" s="46">
        <v>0.64473957560468909</v>
      </c>
      <c r="N1247" s="46">
        <v>0</v>
      </c>
    </row>
    <row r="1248" spans="13:14" x14ac:dyDescent="0.35">
      <c r="M1248" s="46">
        <v>0.66882482564178669</v>
      </c>
      <c r="N1248" s="46">
        <v>0</v>
      </c>
    </row>
    <row r="1249" spans="13:14" x14ac:dyDescent="0.35">
      <c r="M1249" s="46">
        <v>0.67388744620863639</v>
      </c>
      <c r="N1249" s="46">
        <v>0</v>
      </c>
    </row>
    <row r="1250" spans="13:14" x14ac:dyDescent="0.35">
      <c r="M1250" s="46">
        <v>0.67215269327793437</v>
      </c>
      <c r="N1250" s="46">
        <v>0</v>
      </c>
    </row>
    <row r="1251" spans="13:14" x14ac:dyDescent="0.35">
      <c r="M1251" s="46">
        <v>0.66765907404659453</v>
      </c>
      <c r="N1251" s="46">
        <v>0</v>
      </c>
    </row>
    <row r="1252" spans="13:14" x14ac:dyDescent="0.35">
      <c r="M1252" s="46">
        <v>0.66275968244546668</v>
      </c>
      <c r="N1252" s="46">
        <v>0</v>
      </c>
    </row>
    <row r="1253" spans="13:14" x14ac:dyDescent="0.35">
      <c r="M1253" s="46">
        <v>0.65931109956966905</v>
      </c>
      <c r="N1253" s="46">
        <v>0</v>
      </c>
    </row>
    <row r="1254" spans="13:14" x14ac:dyDescent="0.35">
      <c r="M1254" s="46">
        <v>0.65797989315922245</v>
      </c>
      <c r="N1254" s="46">
        <v>0</v>
      </c>
    </row>
    <row r="1255" spans="13:14" x14ac:dyDescent="0.35">
      <c r="M1255" s="46">
        <v>0.65719468763911559</v>
      </c>
      <c r="N1255" s="46">
        <v>0</v>
      </c>
    </row>
    <row r="1256" spans="13:14" x14ac:dyDescent="0.35">
      <c r="M1256" s="46">
        <v>0.65726287282979667</v>
      </c>
      <c r="N1256" s="46">
        <v>0</v>
      </c>
    </row>
    <row r="1257" spans="13:14" x14ac:dyDescent="0.35">
      <c r="M1257" s="46">
        <v>0.6578421872681407</v>
      </c>
      <c r="N1257" s="46">
        <v>0</v>
      </c>
    </row>
    <row r="1258" spans="13:14" x14ac:dyDescent="0.35">
      <c r="M1258" s="46">
        <v>0.66897892862442498</v>
      </c>
      <c r="N1258" s="46">
        <v>0</v>
      </c>
    </row>
    <row r="1259" spans="13:14" x14ac:dyDescent="0.35">
      <c r="M1259" s="46">
        <v>0.76932935153583626</v>
      </c>
      <c r="N1259" s="46">
        <v>0</v>
      </c>
    </row>
    <row r="1260" spans="13:14" x14ac:dyDescent="0.35">
      <c r="M1260" s="46">
        <v>0.90700385813918982</v>
      </c>
      <c r="N1260" s="46">
        <v>0</v>
      </c>
    </row>
    <row r="1261" spans="13:14" x14ac:dyDescent="0.35">
      <c r="M1261" s="46">
        <v>1</v>
      </c>
      <c r="N1261" s="46">
        <v>5.4439182231531588E-2</v>
      </c>
    </row>
    <row r="1262" spans="13:14" x14ac:dyDescent="0.35">
      <c r="M1262" s="46">
        <v>1</v>
      </c>
      <c r="N1262" s="46">
        <v>0.16330197610649555</v>
      </c>
    </row>
    <row r="1263" spans="13:14" x14ac:dyDescent="0.35">
      <c r="M1263" s="46">
        <v>1</v>
      </c>
      <c r="N1263" s="46">
        <v>0.16814795461071158</v>
      </c>
    </row>
    <row r="1264" spans="13:14" x14ac:dyDescent="0.35">
      <c r="M1264" s="46">
        <v>1</v>
      </c>
      <c r="N1264" s="46">
        <v>8.4571826835847685E-2</v>
      </c>
    </row>
    <row r="1265" spans="13:14" x14ac:dyDescent="0.35">
      <c r="M1265" s="46">
        <v>0.95665625463718651</v>
      </c>
      <c r="N1265" s="46">
        <v>0</v>
      </c>
    </row>
    <row r="1266" spans="13:14" x14ac:dyDescent="0.35">
      <c r="M1266" s="46">
        <v>0.84571427511500219</v>
      </c>
      <c r="N1266" s="46">
        <v>0</v>
      </c>
    </row>
    <row r="1267" spans="13:14" x14ac:dyDescent="0.35">
      <c r="M1267" s="46">
        <v>0.74554711381510608</v>
      </c>
      <c r="N1267" s="46">
        <v>0</v>
      </c>
    </row>
    <row r="1268" spans="13:14" x14ac:dyDescent="0.35">
      <c r="M1268" s="46">
        <v>0.68492231785131319</v>
      </c>
      <c r="N1268" s="46">
        <v>0</v>
      </c>
    </row>
    <row r="1269" spans="13:14" x14ac:dyDescent="0.35">
      <c r="M1269" s="46">
        <v>0.65739486570707828</v>
      </c>
      <c r="N1269" s="46">
        <v>0</v>
      </c>
    </row>
    <row r="1270" spans="13:14" x14ac:dyDescent="0.35">
      <c r="M1270" s="46">
        <v>0.64874795963792853</v>
      </c>
      <c r="N1270" s="46">
        <v>0</v>
      </c>
    </row>
    <row r="1271" spans="13:14" x14ac:dyDescent="0.35">
      <c r="M1271" s="46">
        <v>0.64410083098382553</v>
      </c>
      <c r="N1271" s="46">
        <v>0</v>
      </c>
    </row>
    <row r="1272" spans="13:14" x14ac:dyDescent="0.35">
      <c r="M1272" s="46">
        <v>0.63899955483009341</v>
      </c>
      <c r="N1272" s="46">
        <v>0</v>
      </c>
    </row>
    <row r="1273" spans="13:14" x14ac:dyDescent="0.35">
      <c r="M1273" s="46">
        <v>0.63941460157293373</v>
      </c>
      <c r="N1273" s="46">
        <v>0</v>
      </c>
    </row>
    <row r="1274" spans="13:14" x14ac:dyDescent="0.35">
      <c r="M1274" s="46">
        <v>0.64468185190681115</v>
      </c>
      <c r="N1274" s="46">
        <v>0</v>
      </c>
    </row>
    <row r="1275" spans="13:14" x14ac:dyDescent="0.35">
      <c r="M1275" s="46">
        <v>0.6511095117970026</v>
      </c>
      <c r="N1275" s="46">
        <v>0</v>
      </c>
    </row>
    <row r="1276" spans="13:14" x14ac:dyDescent="0.35">
      <c r="M1276" s="46">
        <v>0.65249621605579455</v>
      </c>
      <c r="N1276" s="46">
        <v>0</v>
      </c>
    </row>
    <row r="1277" spans="13:14" x14ac:dyDescent="0.35">
      <c r="M1277" s="46">
        <v>0.65661203442647276</v>
      </c>
      <c r="N1277" s="46">
        <v>0</v>
      </c>
    </row>
    <row r="1278" spans="13:14" x14ac:dyDescent="0.35">
      <c r="M1278" s="46">
        <v>0.65668571004600085</v>
      </c>
      <c r="N1278" s="46">
        <v>0</v>
      </c>
    </row>
    <row r="1279" spans="13:14" x14ac:dyDescent="0.35">
      <c r="M1279" s="46">
        <v>0.65938818815848055</v>
      </c>
      <c r="N1279" s="46">
        <v>0</v>
      </c>
    </row>
    <row r="1280" spans="13:14" x14ac:dyDescent="0.35">
      <c r="M1280" s="46">
        <v>0.66107137557501117</v>
      </c>
      <c r="N1280" s="46">
        <v>0</v>
      </c>
    </row>
    <row r="1281" spans="13:14" x14ac:dyDescent="0.35">
      <c r="M1281" s="46">
        <v>0.65360513429292189</v>
      </c>
      <c r="N1281" s="46">
        <v>0</v>
      </c>
    </row>
    <row r="1282" spans="13:14" x14ac:dyDescent="0.35">
      <c r="M1282" s="46">
        <v>0.64600385813918981</v>
      </c>
      <c r="N1282" s="46">
        <v>0</v>
      </c>
    </row>
    <row r="1283" spans="13:14" x14ac:dyDescent="0.35">
      <c r="M1283" s="46">
        <v>0.67615736756195277</v>
      </c>
      <c r="N1283" s="46">
        <v>0</v>
      </c>
    </row>
    <row r="1284" spans="13:14" x14ac:dyDescent="0.35">
      <c r="M1284" s="46">
        <v>0.68555453331354799</v>
      </c>
      <c r="N1284" s="46">
        <v>0</v>
      </c>
    </row>
    <row r="1285" spans="13:14" x14ac:dyDescent="0.35">
      <c r="M1285" s="46">
        <v>0.66453717168719395</v>
      </c>
      <c r="N1285" s="46">
        <v>0</v>
      </c>
    </row>
    <row r="1286" spans="13:14" x14ac:dyDescent="0.35">
      <c r="M1286" s="46">
        <v>0.62392877281495773</v>
      </c>
      <c r="N1286" s="46">
        <v>0</v>
      </c>
    </row>
    <row r="1287" spans="13:14" x14ac:dyDescent="0.35">
      <c r="M1287" s="46">
        <v>0.58402641341445316</v>
      </c>
      <c r="N1287" s="46">
        <v>0</v>
      </c>
    </row>
    <row r="1288" spans="13:14" x14ac:dyDescent="0.35">
      <c r="M1288" s="46">
        <v>0.52455408814364146</v>
      </c>
      <c r="N1288" s="46">
        <v>0</v>
      </c>
    </row>
    <row r="1289" spans="13:14" x14ac:dyDescent="0.35">
      <c r="M1289" s="46">
        <v>0.49405267843893752</v>
      </c>
      <c r="N1289" s="46">
        <v>0</v>
      </c>
    </row>
    <row r="1290" spans="13:14" x14ac:dyDescent="0.35">
      <c r="M1290" s="46">
        <v>0.45726042439531089</v>
      </c>
      <c r="N1290" s="46">
        <v>0</v>
      </c>
    </row>
    <row r="1291" spans="13:14" x14ac:dyDescent="0.35">
      <c r="M1291" s="46">
        <v>0.41736214571894942</v>
      </c>
      <c r="N1291" s="46">
        <v>0</v>
      </c>
    </row>
    <row r="1292" spans="13:14" x14ac:dyDescent="0.35">
      <c r="M1292" s="46">
        <v>0.38732067072265913</v>
      </c>
      <c r="N1292" s="46">
        <v>0</v>
      </c>
    </row>
    <row r="1293" spans="13:14" x14ac:dyDescent="0.35">
      <c r="M1293" s="46">
        <v>0.39828208933076126</v>
      </c>
      <c r="N1293" s="46">
        <v>0</v>
      </c>
    </row>
    <row r="1294" spans="13:14" x14ac:dyDescent="0.35">
      <c r="M1294" s="46">
        <v>0.42875434040658855</v>
      </c>
      <c r="N1294" s="46">
        <v>0</v>
      </c>
    </row>
    <row r="1295" spans="13:14" x14ac:dyDescent="0.35">
      <c r="M1295" s="46">
        <v>0.45563518326161156</v>
      </c>
      <c r="N1295" s="46">
        <v>0</v>
      </c>
    </row>
    <row r="1296" spans="13:14" x14ac:dyDescent="0.35">
      <c r="M1296" s="46">
        <v>0.49242795667012912</v>
      </c>
      <c r="N1296" s="46">
        <v>0</v>
      </c>
    </row>
    <row r="1297" spans="13:14" x14ac:dyDescent="0.35">
      <c r="M1297" s="46">
        <v>0.53650860661819266</v>
      </c>
      <c r="N1297" s="46">
        <v>0</v>
      </c>
    </row>
    <row r="1298" spans="13:14" x14ac:dyDescent="0.35">
      <c r="M1298" s="46">
        <v>0.56596438640747893</v>
      </c>
      <c r="N1298" s="46">
        <v>0</v>
      </c>
    </row>
    <row r="1299" spans="13:14" x14ac:dyDescent="0.35">
      <c r="M1299" s="46">
        <v>0.56474031755453324</v>
      </c>
      <c r="N1299" s="46">
        <v>0</v>
      </c>
    </row>
    <row r="1300" spans="13:14" x14ac:dyDescent="0.35">
      <c r="M1300" s="46">
        <v>0.55318007122718504</v>
      </c>
      <c r="N1300" s="46">
        <v>0</v>
      </c>
    </row>
    <row r="1301" spans="13:14" x14ac:dyDescent="0.35">
      <c r="M1301" s="46">
        <v>0.52805356877875054</v>
      </c>
      <c r="N1301" s="46">
        <v>0</v>
      </c>
    </row>
    <row r="1302" spans="13:14" x14ac:dyDescent="0.35">
      <c r="M1302" s="46">
        <v>0.48937572340109803</v>
      </c>
      <c r="N1302" s="46">
        <v>0</v>
      </c>
    </row>
    <row r="1303" spans="13:14" x14ac:dyDescent="0.35">
      <c r="M1303" s="46">
        <v>0.44003175545333134</v>
      </c>
      <c r="N1303" s="46">
        <v>0</v>
      </c>
    </row>
    <row r="1304" spans="13:14" x14ac:dyDescent="0.35">
      <c r="M1304" s="46">
        <v>0.39076435672948506</v>
      </c>
      <c r="N1304" s="46">
        <v>0</v>
      </c>
    </row>
    <row r="1305" spans="13:14" x14ac:dyDescent="0.35">
      <c r="M1305" s="46">
        <v>0.33084270663303161</v>
      </c>
      <c r="N1305" s="46">
        <v>0</v>
      </c>
    </row>
    <row r="1306" spans="13:14" x14ac:dyDescent="0.35">
      <c r="M1306" s="46">
        <v>0.28214579314438343</v>
      </c>
      <c r="N1306" s="46">
        <v>0</v>
      </c>
    </row>
    <row r="1307" spans="13:14" x14ac:dyDescent="0.35">
      <c r="M1307" s="46">
        <v>0.33786147796408966</v>
      </c>
      <c r="N1307" s="46">
        <v>0</v>
      </c>
    </row>
    <row r="1308" spans="13:14" x14ac:dyDescent="0.35">
      <c r="M1308" s="46">
        <v>0.43552500370974923</v>
      </c>
      <c r="N1308" s="46">
        <v>0</v>
      </c>
    </row>
    <row r="1309" spans="13:14" x14ac:dyDescent="0.35">
      <c r="M1309" s="46">
        <v>0.52332415788692688</v>
      </c>
      <c r="N1309" s="46">
        <v>0</v>
      </c>
    </row>
    <row r="1310" spans="13:14" x14ac:dyDescent="0.35">
      <c r="M1310" s="46">
        <v>0.60768682297076715</v>
      </c>
      <c r="N1310" s="46">
        <v>0</v>
      </c>
    </row>
    <row r="1311" spans="13:14" x14ac:dyDescent="0.35">
      <c r="M1311" s="46">
        <v>0.65816575159519219</v>
      </c>
      <c r="N1311" s="46">
        <v>0</v>
      </c>
    </row>
    <row r="1312" spans="13:14" x14ac:dyDescent="0.35">
      <c r="M1312" s="46">
        <v>0.6755114260276005</v>
      </c>
      <c r="N1312" s="46">
        <v>0</v>
      </c>
    </row>
    <row r="1313" spans="13:14" x14ac:dyDescent="0.35">
      <c r="M1313" s="46">
        <v>0.68631562546371871</v>
      </c>
      <c r="N1313" s="46">
        <v>0</v>
      </c>
    </row>
    <row r="1314" spans="13:14" x14ac:dyDescent="0.35">
      <c r="M1314" s="46">
        <v>0.62215558688232675</v>
      </c>
      <c r="N1314" s="46">
        <v>0</v>
      </c>
    </row>
    <row r="1315" spans="13:14" x14ac:dyDescent="0.35">
      <c r="M1315" s="46">
        <v>0.49624840480783494</v>
      </c>
      <c r="N1315" s="46">
        <v>0</v>
      </c>
    </row>
    <row r="1316" spans="13:14" x14ac:dyDescent="0.35">
      <c r="M1316" s="46">
        <v>0.34095251520997183</v>
      </c>
      <c r="N1316" s="46">
        <v>0</v>
      </c>
    </row>
    <row r="1317" spans="13:14" x14ac:dyDescent="0.35">
      <c r="M1317" s="46">
        <v>0.2632857248849978</v>
      </c>
      <c r="N1317" s="46">
        <v>0</v>
      </c>
    </row>
    <row r="1318" spans="13:14" x14ac:dyDescent="0.35">
      <c r="M1318" s="46">
        <v>0.26467346787357171</v>
      </c>
      <c r="N1318" s="46">
        <v>0</v>
      </c>
    </row>
    <row r="1319" spans="13:14" x14ac:dyDescent="0.35">
      <c r="M1319" s="46">
        <v>0.28209890191423059</v>
      </c>
      <c r="N1319" s="46">
        <v>0</v>
      </c>
    </row>
    <row r="1320" spans="13:14" x14ac:dyDescent="0.35">
      <c r="M1320" s="46">
        <v>0.32360876984715836</v>
      </c>
      <c r="N1320" s="46">
        <v>0</v>
      </c>
    </row>
    <row r="1321" spans="13:14" x14ac:dyDescent="0.35">
      <c r="M1321" s="46">
        <v>0.39327518919721027</v>
      </c>
      <c r="N1321" s="46">
        <v>0</v>
      </c>
    </row>
    <row r="1322" spans="13:14" x14ac:dyDescent="0.35">
      <c r="M1322" s="46">
        <v>0.4626580353168126</v>
      </c>
      <c r="N1322" s="46">
        <v>0</v>
      </c>
    </row>
    <row r="1323" spans="13:14" x14ac:dyDescent="0.35">
      <c r="M1323" s="46">
        <v>0.49627326012761536</v>
      </c>
      <c r="N1323" s="46">
        <v>0</v>
      </c>
    </row>
    <row r="1324" spans="13:14" x14ac:dyDescent="0.35">
      <c r="M1324" s="46">
        <v>0.50873030123163676</v>
      </c>
      <c r="N1324" s="46">
        <v>0</v>
      </c>
    </row>
    <row r="1325" spans="13:14" x14ac:dyDescent="0.35">
      <c r="M1325" s="46">
        <v>0.51647069298115444</v>
      </c>
      <c r="N1325" s="46">
        <v>0</v>
      </c>
    </row>
    <row r="1326" spans="13:14" x14ac:dyDescent="0.35">
      <c r="M1326" s="46">
        <v>0.52721798486422322</v>
      </c>
      <c r="N1326" s="46">
        <v>0</v>
      </c>
    </row>
    <row r="1327" spans="13:14" x14ac:dyDescent="0.35">
      <c r="M1327" s="46">
        <v>0.53673675619528116</v>
      </c>
      <c r="N1327" s="46">
        <v>0</v>
      </c>
    </row>
    <row r="1328" spans="13:14" x14ac:dyDescent="0.35">
      <c r="M1328" s="46">
        <v>0.54118430034129694</v>
      </c>
      <c r="N1328" s="46">
        <v>0</v>
      </c>
    </row>
    <row r="1329" spans="13:14" x14ac:dyDescent="0.35">
      <c r="M1329" s="46">
        <v>0.5476570707820152</v>
      </c>
      <c r="N1329" s="46">
        <v>0</v>
      </c>
    </row>
    <row r="1330" spans="13:14" x14ac:dyDescent="0.35">
      <c r="M1330" s="46">
        <v>0.56027667309689866</v>
      </c>
      <c r="N1330" s="46">
        <v>0</v>
      </c>
    </row>
    <row r="1331" spans="13:14" x14ac:dyDescent="0.35">
      <c r="M1331" s="46">
        <v>0.61851966167087102</v>
      </c>
      <c r="N1331" s="46">
        <v>0</v>
      </c>
    </row>
    <row r="1332" spans="13:14" x14ac:dyDescent="0.35">
      <c r="M1332" s="46">
        <v>0.68318682297076716</v>
      </c>
      <c r="N1332" s="46">
        <v>0</v>
      </c>
    </row>
    <row r="1333" spans="13:14" x14ac:dyDescent="0.35">
      <c r="M1333" s="46">
        <v>0.73335339071078798</v>
      </c>
      <c r="N1333" s="46">
        <v>0</v>
      </c>
    </row>
    <row r="1334" spans="13:14" x14ac:dyDescent="0.35">
      <c r="M1334" s="46">
        <v>0.77787468467131615</v>
      </c>
      <c r="N1334" s="46">
        <v>0</v>
      </c>
    </row>
    <row r="1335" spans="13:14" x14ac:dyDescent="0.35">
      <c r="M1335" s="46">
        <v>0.79941289508829194</v>
      </c>
      <c r="N1335" s="46">
        <v>0</v>
      </c>
    </row>
    <row r="1336" spans="13:14" x14ac:dyDescent="0.35">
      <c r="M1336" s="46">
        <v>0.79018437453628132</v>
      </c>
      <c r="N1336" s="46">
        <v>0</v>
      </c>
    </row>
    <row r="1337" spans="13:14" x14ac:dyDescent="0.35">
      <c r="M1337" s="46">
        <v>0.72605935598753524</v>
      </c>
      <c r="N1337" s="46">
        <v>0</v>
      </c>
    </row>
    <row r="1338" spans="13:14" x14ac:dyDescent="0.35">
      <c r="M1338" s="46">
        <v>0.62838967205816887</v>
      </c>
      <c r="N1338" s="46">
        <v>0</v>
      </c>
    </row>
    <row r="1339" spans="13:14" x14ac:dyDescent="0.35">
      <c r="M1339" s="46">
        <v>0.49721761388930108</v>
      </c>
      <c r="N1339" s="46">
        <v>0</v>
      </c>
    </row>
    <row r="1340" spans="13:14" x14ac:dyDescent="0.35">
      <c r="M1340" s="46">
        <v>0.39376828906365929</v>
      </c>
      <c r="N1340" s="46">
        <v>0</v>
      </c>
    </row>
    <row r="1341" spans="13:14" x14ac:dyDescent="0.35">
      <c r="M1341" s="46">
        <v>0.32124677251817779</v>
      </c>
      <c r="N1341" s="46">
        <v>0</v>
      </c>
    </row>
    <row r="1342" spans="13:14" x14ac:dyDescent="0.35">
      <c r="M1342" s="46">
        <v>0.27060632141267249</v>
      </c>
      <c r="N1342" s="46">
        <v>0</v>
      </c>
    </row>
    <row r="1343" spans="13:14" x14ac:dyDescent="0.35">
      <c r="M1343" s="46">
        <v>0.23529455408814365</v>
      </c>
      <c r="N1343" s="46">
        <v>0</v>
      </c>
    </row>
    <row r="1344" spans="13:14" x14ac:dyDescent="0.35">
      <c r="M1344" s="46">
        <v>0.2170318296483158</v>
      </c>
      <c r="N1344" s="46">
        <v>0</v>
      </c>
    </row>
    <row r="1345" spans="13:14" x14ac:dyDescent="0.35">
      <c r="M1345" s="46">
        <v>0.21038262353464904</v>
      </c>
      <c r="N1345" s="46">
        <v>0</v>
      </c>
    </row>
    <row r="1346" spans="13:14" x14ac:dyDescent="0.35">
      <c r="M1346" s="46">
        <v>0.22165632883217093</v>
      </c>
      <c r="N1346" s="46">
        <v>0</v>
      </c>
    </row>
    <row r="1347" spans="13:14" x14ac:dyDescent="0.35">
      <c r="M1347" s="46">
        <v>0.2414551862294109</v>
      </c>
      <c r="N1347" s="46">
        <v>0</v>
      </c>
    </row>
    <row r="1348" spans="13:14" x14ac:dyDescent="0.35">
      <c r="M1348" s="46">
        <v>0.27178394420537172</v>
      </c>
      <c r="N1348" s="46">
        <v>0</v>
      </c>
    </row>
    <row r="1349" spans="13:14" x14ac:dyDescent="0.35">
      <c r="M1349" s="46">
        <v>0.28948568036800715</v>
      </c>
      <c r="N1349" s="46">
        <v>0</v>
      </c>
    </row>
    <row r="1350" spans="13:14" x14ac:dyDescent="0.35">
      <c r="M1350" s="46">
        <v>0.30748731265766438</v>
      </c>
      <c r="N1350" s="46">
        <v>0</v>
      </c>
    </row>
    <row r="1351" spans="13:14" x14ac:dyDescent="0.35">
      <c r="M1351" s="46">
        <v>0.30948278676361479</v>
      </c>
      <c r="N1351" s="46">
        <v>0</v>
      </c>
    </row>
    <row r="1352" spans="13:14" x14ac:dyDescent="0.35">
      <c r="M1352" s="46">
        <v>0.30832527081169314</v>
      </c>
      <c r="N1352" s="46">
        <v>0</v>
      </c>
    </row>
    <row r="1353" spans="13:14" x14ac:dyDescent="0.35">
      <c r="M1353" s="46">
        <v>0.30993938269772964</v>
      </c>
      <c r="N1353" s="46">
        <v>0</v>
      </c>
    </row>
    <row r="1354" spans="13:14" x14ac:dyDescent="0.35">
      <c r="M1354" s="46">
        <v>0.31412694761834098</v>
      </c>
      <c r="N1354" s="46">
        <v>0</v>
      </c>
    </row>
    <row r="1355" spans="13:14" x14ac:dyDescent="0.35">
      <c r="M1355" s="46">
        <v>0.39361062472176878</v>
      </c>
      <c r="N1355" s="46">
        <v>0</v>
      </c>
    </row>
    <row r="1356" spans="13:14" x14ac:dyDescent="0.35">
      <c r="M1356" s="46">
        <v>0.51910632141267254</v>
      </c>
      <c r="N1356" s="46">
        <v>0</v>
      </c>
    </row>
    <row r="1357" spans="13:14" x14ac:dyDescent="0.35">
      <c r="M1357" s="46">
        <v>0.64530138002671011</v>
      </c>
      <c r="N1357" s="46">
        <v>0</v>
      </c>
    </row>
    <row r="1358" spans="13:14" x14ac:dyDescent="0.35">
      <c r="M1358" s="46">
        <v>0.75796193797299305</v>
      </c>
      <c r="N1358" s="46">
        <v>0</v>
      </c>
    </row>
    <row r="1359" spans="13:14" x14ac:dyDescent="0.35">
      <c r="M1359" s="46">
        <v>0.80594183113221551</v>
      </c>
      <c r="N1359" s="46">
        <v>0</v>
      </c>
    </row>
    <row r="1360" spans="13:14" x14ac:dyDescent="0.35">
      <c r="M1360" s="46">
        <v>0.79930790918533912</v>
      </c>
      <c r="N1360" s="46">
        <v>0</v>
      </c>
    </row>
    <row r="1361" spans="13:14" x14ac:dyDescent="0.35">
      <c r="M1361" s="46">
        <v>0.77881525448879652</v>
      </c>
      <c r="N1361" s="46">
        <v>0</v>
      </c>
    </row>
    <row r="1362" spans="13:14" x14ac:dyDescent="0.35">
      <c r="M1362" s="46">
        <v>0.71980931889004307</v>
      </c>
      <c r="N1362" s="46">
        <v>0</v>
      </c>
    </row>
    <row r="1363" spans="13:14" x14ac:dyDescent="0.35">
      <c r="M1363" s="46">
        <v>0.6190234456150765</v>
      </c>
      <c r="N1363" s="46">
        <v>0</v>
      </c>
    </row>
    <row r="1364" spans="13:14" x14ac:dyDescent="0.35">
      <c r="M1364" s="46">
        <v>0.49325233714200922</v>
      </c>
      <c r="N1364" s="46">
        <v>0</v>
      </c>
    </row>
    <row r="1365" spans="13:14" x14ac:dyDescent="0.35">
      <c r="M1365" s="46">
        <v>0.44871479447989315</v>
      </c>
      <c r="N1365" s="46">
        <v>0</v>
      </c>
    </row>
    <row r="1366" spans="13:14" x14ac:dyDescent="0.35">
      <c r="M1366" s="46">
        <v>0.48625471138151061</v>
      </c>
      <c r="N1366" s="46">
        <v>0</v>
      </c>
    </row>
    <row r="1367" spans="13:14" x14ac:dyDescent="0.35">
      <c r="M1367" s="46">
        <v>0.52314683187416533</v>
      </c>
      <c r="N1367" s="46">
        <v>0</v>
      </c>
    </row>
    <row r="1368" spans="13:14" x14ac:dyDescent="0.35">
      <c r="M1368" s="46">
        <v>0.54065076420833946</v>
      </c>
      <c r="N1368" s="46">
        <v>0</v>
      </c>
    </row>
    <row r="1369" spans="13:14" x14ac:dyDescent="0.35">
      <c r="M1369" s="46">
        <v>0.55573423356581098</v>
      </c>
      <c r="N1369" s="46">
        <v>0</v>
      </c>
    </row>
    <row r="1370" spans="13:14" x14ac:dyDescent="0.35">
      <c r="M1370" s="46">
        <v>0.56674966612257016</v>
      </c>
      <c r="N1370" s="46">
        <v>0</v>
      </c>
    </row>
    <row r="1371" spans="13:14" x14ac:dyDescent="0.35">
      <c r="M1371" s="46">
        <v>0.55982148686748778</v>
      </c>
      <c r="N1371" s="46">
        <v>0</v>
      </c>
    </row>
    <row r="1372" spans="13:14" x14ac:dyDescent="0.35">
      <c r="M1372" s="46">
        <v>0.54581748033832911</v>
      </c>
      <c r="N1372" s="46">
        <v>0</v>
      </c>
    </row>
    <row r="1373" spans="13:14" x14ac:dyDescent="0.35">
      <c r="M1373" s="46">
        <v>0.52365343522777863</v>
      </c>
      <c r="N1373" s="46">
        <v>0</v>
      </c>
    </row>
    <row r="1374" spans="13:14" x14ac:dyDescent="0.35">
      <c r="M1374" s="46">
        <v>0.51133476776969877</v>
      </c>
      <c r="N1374" s="46">
        <v>0</v>
      </c>
    </row>
    <row r="1375" spans="13:14" x14ac:dyDescent="0.35">
      <c r="M1375" s="46">
        <v>0.51435947469951038</v>
      </c>
      <c r="N1375" s="46">
        <v>0</v>
      </c>
    </row>
    <row r="1376" spans="13:14" x14ac:dyDescent="0.35">
      <c r="M1376" s="46">
        <v>0.51442439531087703</v>
      </c>
      <c r="N1376" s="46">
        <v>0</v>
      </c>
    </row>
    <row r="1377" spans="13:14" x14ac:dyDescent="0.35">
      <c r="M1377" s="46">
        <v>0.48269424246920906</v>
      </c>
      <c r="N1377" s="46">
        <v>0</v>
      </c>
    </row>
    <row r="1378" spans="13:14" x14ac:dyDescent="0.35">
      <c r="M1378" s="46">
        <v>0.43841504674284015</v>
      </c>
      <c r="N1378" s="46">
        <v>0</v>
      </c>
    </row>
    <row r="1379" spans="13:14" x14ac:dyDescent="0.35">
      <c r="M1379" s="46">
        <v>0.41509541474996292</v>
      </c>
      <c r="N1379" s="46">
        <v>0</v>
      </c>
    </row>
    <row r="1380" spans="13:14" x14ac:dyDescent="0.35">
      <c r="M1380" s="46">
        <v>0.39393285353910074</v>
      </c>
      <c r="N1380" s="46">
        <v>0</v>
      </c>
    </row>
    <row r="1381" spans="13:14" x14ac:dyDescent="0.35">
      <c r="M1381" s="46">
        <v>0.38850200326457929</v>
      </c>
      <c r="N1381" s="46">
        <v>0</v>
      </c>
    </row>
    <row r="1382" spans="13:14" x14ac:dyDescent="0.35">
      <c r="M1382" s="46">
        <v>0.41425604689123013</v>
      </c>
      <c r="N1382" s="46">
        <v>0</v>
      </c>
    </row>
    <row r="1383" spans="13:14" x14ac:dyDescent="0.35">
      <c r="M1383" s="46">
        <v>0.46440584656477218</v>
      </c>
      <c r="N1383" s="46">
        <v>0</v>
      </c>
    </row>
    <row r="1384" spans="13:14" x14ac:dyDescent="0.35">
      <c r="M1384" s="46">
        <v>0.50670062323786913</v>
      </c>
      <c r="N1384" s="46">
        <v>0</v>
      </c>
    </row>
    <row r="1385" spans="13:14" x14ac:dyDescent="0.35">
      <c r="M1385" s="46">
        <v>0.50198909333729036</v>
      </c>
      <c r="N1385" s="46">
        <v>0</v>
      </c>
    </row>
    <row r="1386" spans="13:14" x14ac:dyDescent="0.35">
      <c r="M1386" s="46">
        <v>0.47037216204184601</v>
      </c>
      <c r="N1386" s="46">
        <v>0</v>
      </c>
    </row>
    <row r="1387" spans="13:14" x14ac:dyDescent="0.35">
      <c r="M1387" s="46">
        <v>0.43515937082653217</v>
      </c>
      <c r="N1387" s="46">
        <v>0</v>
      </c>
    </row>
    <row r="1388" spans="13:14" x14ac:dyDescent="0.35">
      <c r="M1388" s="46">
        <v>0.44136600385813918</v>
      </c>
      <c r="N1388" s="46">
        <v>0</v>
      </c>
    </row>
    <row r="1389" spans="13:14" x14ac:dyDescent="0.35">
      <c r="M1389" s="46">
        <v>0.48299436118118416</v>
      </c>
      <c r="N1389" s="46">
        <v>0</v>
      </c>
    </row>
    <row r="1390" spans="13:14" x14ac:dyDescent="0.35">
      <c r="M1390" s="46">
        <v>0.54296846713162195</v>
      </c>
      <c r="N1390" s="46">
        <v>0</v>
      </c>
    </row>
    <row r="1391" spans="13:14" x14ac:dyDescent="0.35">
      <c r="M1391" s="46">
        <v>0.58739263985754564</v>
      </c>
      <c r="N1391" s="46">
        <v>0</v>
      </c>
    </row>
    <row r="1392" spans="13:14" x14ac:dyDescent="0.35">
      <c r="M1392" s="46">
        <v>0.59951535836177472</v>
      </c>
      <c r="N1392" s="46">
        <v>0</v>
      </c>
    </row>
    <row r="1393" spans="13:14" x14ac:dyDescent="0.35">
      <c r="M1393" s="46">
        <v>0.61031844487312659</v>
      </c>
      <c r="N1393" s="46">
        <v>0</v>
      </c>
    </row>
    <row r="1394" spans="13:14" x14ac:dyDescent="0.35">
      <c r="M1394" s="46">
        <v>0.6252085621012019</v>
      </c>
      <c r="N1394" s="46">
        <v>0</v>
      </c>
    </row>
    <row r="1395" spans="13:14" x14ac:dyDescent="0.35">
      <c r="M1395" s="46">
        <v>0.6320876984715833</v>
      </c>
      <c r="N1395" s="46">
        <v>0</v>
      </c>
    </row>
    <row r="1396" spans="13:14" x14ac:dyDescent="0.35">
      <c r="M1396" s="46">
        <v>0.64256603353613295</v>
      </c>
      <c r="N1396" s="46">
        <v>0</v>
      </c>
    </row>
    <row r="1397" spans="13:14" x14ac:dyDescent="0.35">
      <c r="M1397" s="46">
        <v>0.65515439976257606</v>
      </c>
      <c r="N1397" s="46">
        <v>0</v>
      </c>
    </row>
    <row r="1398" spans="13:14" x14ac:dyDescent="0.35">
      <c r="M1398" s="46">
        <v>0.66298419646831863</v>
      </c>
      <c r="N1398" s="46">
        <v>0</v>
      </c>
    </row>
    <row r="1399" spans="13:14" x14ac:dyDescent="0.35">
      <c r="M1399" s="46">
        <v>0.66966181926101787</v>
      </c>
      <c r="N1399" s="46">
        <v>0</v>
      </c>
    </row>
    <row r="1400" spans="13:14" x14ac:dyDescent="0.35">
      <c r="M1400" s="46">
        <v>0.6688197061878618</v>
      </c>
      <c r="N1400" s="46">
        <v>0</v>
      </c>
    </row>
    <row r="1401" spans="13:14" x14ac:dyDescent="0.35">
      <c r="M1401" s="46">
        <v>0.66634908740169163</v>
      </c>
      <c r="N1401" s="46">
        <v>0</v>
      </c>
    </row>
    <row r="1402" spans="13:14" x14ac:dyDescent="0.35">
      <c r="M1402" s="46">
        <v>0.67541274669832319</v>
      </c>
      <c r="N1402" s="46">
        <v>0</v>
      </c>
    </row>
    <row r="1403" spans="13:14" x14ac:dyDescent="0.35">
      <c r="M1403" s="46">
        <v>0.75282386110698918</v>
      </c>
      <c r="N1403" s="46">
        <v>0</v>
      </c>
    </row>
    <row r="1404" spans="13:14" x14ac:dyDescent="0.35">
      <c r="M1404" s="46">
        <v>0.8488198545778306</v>
      </c>
      <c r="N1404" s="46">
        <v>0</v>
      </c>
    </row>
    <row r="1405" spans="13:14" x14ac:dyDescent="0.35">
      <c r="M1405" s="46">
        <v>0.9275123163674136</v>
      </c>
      <c r="N1405" s="46">
        <v>0</v>
      </c>
    </row>
    <row r="1406" spans="13:14" x14ac:dyDescent="0.35">
      <c r="M1406" s="46">
        <v>0.9759913933818074</v>
      </c>
      <c r="N1406" s="46">
        <v>0</v>
      </c>
    </row>
    <row r="1407" spans="13:14" x14ac:dyDescent="0.35">
      <c r="M1407" s="46">
        <v>0.99134359697284458</v>
      </c>
      <c r="N1407" s="46">
        <v>0</v>
      </c>
    </row>
    <row r="1408" spans="13:14" x14ac:dyDescent="0.35">
      <c r="M1408" s="46">
        <v>0.97369483602908447</v>
      </c>
      <c r="N1408" s="46">
        <v>0</v>
      </c>
    </row>
    <row r="1409" spans="13:14" x14ac:dyDescent="0.35">
      <c r="M1409" s="46">
        <v>0.989281347380917</v>
      </c>
      <c r="N1409" s="46">
        <v>0</v>
      </c>
    </row>
    <row r="1410" spans="13:14" x14ac:dyDescent="0.35">
      <c r="M1410" s="46">
        <v>0.95525612108621449</v>
      </c>
      <c r="N1410" s="46">
        <v>0</v>
      </c>
    </row>
    <row r="1411" spans="13:14" x14ac:dyDescent="0.35">
      <c r="M1411" s="46">
        <v>0.85795726368897463</v>
      </c>
      <c r="N1411" s="46">
        <v>0</v>
      </c>
    </row>
    <row r="1412" spans="13:14" x14ac:dyDescent="0.35">
      <c r="M1412" s="46">
        <v>0.69622651728743135</v>
      </c>
      <c r="N1412" s="46">
        <v>0</v>
      </c>
    </row>
    <row r="1413" spans="13:14" x14ac:dyDescent="0.35">
      <c r="M1413" s="46">
        <v>0.6188283870010387</v>
      </c>
      <c r="N1413" s="46">
        <v>0</v>
      </c>
    </row>
    <row r="1414" spans="13:14" x14ac:dyDescent="0.35">
      <c r="M1414" s="46">
        <v>0.61735999406440123</v>
      </c>
      <c r="N1414" s="46">
        <v>0</v>
      </c>
    </row>
    <row r="1415" spans="13:14" x14ac:dyDescent="0.35">
      <c r="M1415" s="46">
        <v>0.61991126279863484</v>
      </c>
      <c r="N1415" s="46">
        <v>0</v>
      </c>
    </row>
    <row r="1416" spans="13:14" x14ac:dyDescent="0.35">
      <c r="M1416" s="46">
        <v>0.62577266656774011</v>
      </c>
      <c r="N1416" s="46">
        <v>0</v>
      </c>
    </row>
    <row r="1417" spans="13:14" x14ac:dyDescent="0.35">
      <c r="M1417" s="46">
        <v>0.63511017955186222</v>
      </c>
      <c r="N1417" s="46">
        <v>0</v>
      </c>
    </row>
    <row r="1418" spans="13:14" x14ac:dyDescent="0.35">
      <c r="M1418" s="46">
        <v>0.63481169312954444</v>
      </c>
      <c r="N1418" s="46">
        <v>0</v>
      </c>
    </row>
    <row r="1419" spans="13:14" x14ac:dyDescent="0.35">
      <c r="M1419" s="46">
        <v>0.64512004748479002</v>
      </c>
      <c r="N1419" s="46">
        <v>0</v>
      </c>
    </row>
    <row r="1420" spans="13:14" x14ac:dyDescent="0.35">
      <c r="M1420" s="46">
        <v>0.65094635702626502</v>
      </c>
      <c r="N1420" s="46">
        <v>0</v>
      </c>
    </row>
    <row r="1421" spans="13:14" x14ac:dyDescent="0.35">
      <c r="M1421" s="46">
        <v>0.65340799821932039</v>
      </c>
      <c r="N1421" s="46">
        <v>0</v>
      </c>
    </row>
    <row r="1422" spans="13:14" x14ac:dyDescent="0.35">
      <c r="M1422" s="46">
        <v>0.65667383884849384</v>
      </c>
      <c r="N1422" s="46">
        <v>0</v>
      </c>
    </row>
    <row r="1423" spans="13:14" x14ac:dyDescent="0.35">
      <c r="M1423" s="46">
        <v>0.65750497106395611</v>
      </c>
      <c r="N1423" s="46">
        <v>0</v>
      </c>
    </row>
    <row r="1424" spans="13:14" x14ac:dyDescent="0.35">
      <c r="M1424" s="46">
        <v>0.65573059801157441</v>
      </c>
      <c r="N1424" s="46">
        <v>0</v>
      </c>
    </row>
    <row r="1425" spans="13:14" x14ac:dyDescent="0.35">
      <c r="M1425" s="46">
        <v>0.64896327348271265</v>
      </c>
      <c r="N1425" s="46">
        <v>0</v>
      </c>
    </row>
    <row r="1426" spans="13:14" x14ac:dyDescent="0.35">
      <c r="M1426" s="46">
        <v>0.65585799079982199</v>
      </c>
      <c r="N1426" s="46">
        <v>0</v>
      </c>
    </row>
    <row r="1427" spans="13:14" x14ac:dyDescent="0.35">
      <c r="M1427" s="46">
        <v>0.68196735420685561</v>
      </c>
      <c r="N1427" s="46">
        <v>0</v>
      </c>
    </row>
    <row r="1428" spans="13:14" x14ac:dyDescent="0.35">
      <c r="M1428" s="46">
        <v>0.70834619379729935</v>
      </c>
      <c r="N1428" s="46">
        <v>0</v>
      </c>
    </row>
    <row r="1429" spans="13:14" x14ac:dyDescent="0.35">
      <c r="M1429" s="46">
        <v>0.6940266359994065</v>
      </c>
      <c r="N1429" s="46">
        <v>0</v>
      </c>
    </row>
    <row r="1430" spans="13:14" x14ac:dyDescent="0.35">
      <c r="M1430" s="46">
        <v>0.63351817777118269</v>
      </c>
      <c r="N1430" s="46">
        <v>0</v>
      </c>
    </row>
    <row r="1431" spans="13:14" x14ac:dyDescent="0.35">
      <c r="M1431" s="46">
        <v>0.61473148835138747</v>
      </c>
      <c r="N1431" s="46">
        <v>0</v>
      </c>
    </row>
    <row r="1432" spans="13:14" x14ac:dyDescent="0.35">
      <c r="M1432" s="46">
        <v>0.62597878023445608</v>
      </c>
      <c r="N1432" s="46">
        <v>0</v>
      </c>
    </row>
    <row r="1433" spans="13:14" x14ac:dyDescent="0.35">
      <c r="M1433" s="46">
        <v>0.66432081911262797</v>
      </c>
      <c r="N1433" s="46">
        <v>0</v>
      </c>
    </row>
    <row r="1434" spans="13:14" x14ac:dyDescent="0.35">
      <c r="M1434" s="46">
        <v>0.68360461492803082</v>
      </c>
      <c r="N1434" s="46">
        <v>0</v>
      </c>
    </row>
    <row r="1435" spans="13:14" x14ac:dyDescent="0.35">
      <c r="M1435" s="46">
        <v>0.68630909630508985</v>
      </c>
      <c r="N1435" s="46">
        <v>0</v>
      </c>
    </row>
    <row r="1436" spans="13:14" x14ac:dyDescent="0.35">
      <c r="M1436" s="46">
        <v>0.64466679032497398</v>
      </c>
      <c r="N1436" s="46">
        <v>0</v>
      </c>
    </row>
    <row r="1437" spans="13:14" x14ac:dyDescent="0.35">
      <c r="M1437" s="46">
        <v>0.63538930108324676</v>
      </c>
      <c r="N1437" s="46">
        <v>0</v>
      </c>
    </row>
    <row r="1438" spans="13:14" x14ac:dyDescent="0.35">
      <c r="M1438" s="46">
        <v>0.64802997477370528</v>
      </c>
      <c r="N1438" s="46">
        <v>0</v>
      </c>
    </row>
    <row r="1439" spans="13:14" x14ac:dyDescent="0.35">
      <c r="M1439" s="46">
        <v>0.65894925063065735</v>
      </c>
      <c r="N1439" s="46">
        <v>0</v>
      </c>
    </row>
    <row r="1440" spans="13:14" x14ac:dyDescent="0.35">
      <c r="M1440" s="46">
        <v>0.66570351684226148</v>
      </c>
      <c r="N1440" s="46">
        <v>0</v>
      </c>
    </row>
    <row r="1441" spans="13:14" x14ac:dyDescent="0.35">
      <c r="M1441" s="46">
        <v>0.67202181332541921</v>
      </c>
      <c r="N1441" s="46">
        <v>0</v>
      </c>
    </row>
    <row r="1442" spans="13:14" x14ac:dyDescent="0.35">
      <c r="M1442" s="46">
        <v>0.67424669832319328</v>
      </c>
      <c r="N1442" s="46">
        <v>0</v>
      </c>
    </row>
    <row r="1443" spans="13:14" x14ac:dyDescent="0.35">
      <c r="M1443" s="46">
        <v>0.67327704407182076</v>
      </c>
      <c r="N1443" s="46">
        <v>0</v>
      </c>
    </row>
    <row r="1444" spans="13:14" x14ac:dyDescent="0.35">
      <c r="M1444" s="46">
        <v>0.67326524706929813</v>
      </c>
      <c r="N1444" s="46">
        <v>0</v>
      </c>
    </row>
    <row r="1445" spans="13:14" x14ac:dyDescent="0.35">
      <c r="M1445" s="46">
        <v>0.67235153583617746</v>
      </c>
      <c r="N1445" s="46">
        <v>0</v>
      </c>
    </row>
    <row r="1446" spans="13:14" x14ac:dyDescent="0.35">
      <c r="M1446" s="46">
        <v>0.6736157441756937</v>
      </c>
      <c r="N1446" s="46">
        <v>0</v>
      </c>
    </row>
    <row r="1447" spans="13:14" x14ac:dyDescent="0.35">
      <c r="M1447" s="46">
        <v>0.65873200771627838</v>
      </c>
      <c r="N1447" s="46">
        <v>0</v>
      </c>
    </row>
    <row r="1448" spans="13:14" x14ac:dyDescent="0.35">
      <c r="M1448" s="46">
        <v>0.62115736756195283</v>
      </c>
      <c r="N1448" s="46">
        <v>0</v>
      </c>
    </row>
    <row r="1449" spans="13:14" x14ac:dyDescent="0.35">
      <c r="M1449" s="46">
        <v>0.57768541326606315</v>
      </c>
      <c r="N1449" s="46">
        <v>0</v>
      </c>
    </row>
    <row r="1450" spans="13:14" x14ac:dyDescent="0.35">
      <c r="M1450" s="46">
        <v>0.53793218578424096</v>
      </c>
      <c r="N1450" s="46">
        <v>0</v>
      </c>
    </row>
    <row r="1451" spans="13:14" x14ac:dyDescent="0.35">
      <c r="M1451" s="46">
        <v>0.52350875500816141</v>
      </c>
      <c r="N1451" s="46">
        <v>0</v>
      </c>
    </row>
    <row r="1452" spans="13:14" x14ac:dyDescent="0.35">
      <c r="M1452" s="46">
        <v>0.52242202107137559</v>
      </c>
      <c r="N1452" s="46">
        <v>0</v>
      </c>
    </row>
    <row r="1453" spans="13:14" x14ac:dyDescent="0.35">
      <c r="M1453" s="46">
        <v>0.55204429440569824</v>
      </c>
      <c r="N1453" s="46">
        <v>0</v>
      </c>
    </row>
    <row r="1454" spans="13:14" x14ac:dyDescent="0.35">
      <c r="M1454" s="46">
        <v>0.66610090517880993</v>
      </c>
      <c r="N1454" s="46">
        <v>0</v>
      </c>
    </row>
    <row r="1455" spans="13:14" x14ac:dyDescent="0.35">
      <c r="M1455" s="46">
        <v>0.78726650838403323</v>
      </c>
      <c r="N1455" s="46">
        <v>0</v>
      </c>
    </row>
    <row r="1456" spans="13:14" x14ac:dyDescent="0.35">
      <c r="M1456" s="46">
        <v>0.88174009496958006</v>
      </c>
      <c r="N1456" s="46">
        <v>0</v>
      </c>
    </row>
    <row r="1457" spans="13:14" x14ac:dyDescent="0.35">
      <c r="M1457" s="46">
        <v>0.80234619379729932</v>
      </c>
      <c r="N1457" s="46">
        <v>0</v>
      </c>
    </row>
    <row r="1458" spans="13:14" x14ac:dyDescent="0.35">
      <c r="M1458" s="46">
        <v>0.69761997328980563</v>
      </c>
      <c r="N1458" s="46">
        <v>0</v>
      </c>
    </row>
    <row r="1459" spans="13:14" x14ac:dyDescent="0.35">
      <c r="M1459" s="46">
        <v>0.59791838551713905</v>
      </c>
      <c r="N1459" s="46">
        <v>0</v>
      </c>
    </row>
    <row r="1460" spans="13:14" x14ac:dyDescent="0.35">
      <c r="M1460" s="46">
        <v>0.52149191274669826</v>
      </c>
      <c r="N1460" s="46">
        <v>0</v>
      </c>
    </row>
    <row r="1461" spans="13:14" x14ac:dyDescent="0.35">
      <c r="M1461" s="46">
        <v>0.49362056684968098</v>
      </c>
      <c r="N1461" s="46">
        <v>0</v>
      </c>
    </row>
    <row r="1462" spans="13:14" x14ac:dyDescent="0.35">
      <c r="M1462" s="46">
        <v>0.50290028194094083</v>
      </c>
      <c r="N1462" s="46">
        <v>0</v>
      </c>
    </row>
    <row r="1463" spans="13:14" x14ac:dyDescent="0.35">
      <c r="M1463" s="46">
        <v>0.51735242617599053</v>
      </c>
      <c r="N1463" s="46">
        <v>0</v>
      </c>
    </row>
    <row r="1464" spans="13:14" x14ac:dyDescent="0.35">
      <c r="M1464" s="46">
        <v>0.53500801305831724</v>
      </c>
      <c r="N1464" s="46">
        <v>0</v>
      </c>
    </row>
    <row r="1465" spans="13:14" x14ac:dyDescent="0.35">
      <c r="M1465" s="46">
        <v>0.57427318593263099</v>
      </c>
      <c r="N1465" s="46">
        <v>0</v>
      </c>
    </row>
    <row r="1466" spans="13:14" x14ac:dyDescent="0.35">
      <c r="M1466" s="46">
        <v>0.59530850274521441</v>
      </c>
      <c r="N1466" s="46">
        <v>0</v>
      </c>
    </row>
    <row r="1467" spans="13:14" x14ac:dyDescent="0.35">
      <c r="M1467" s="46">
        <v>0.6202941831132216</v>
      </c>
      <c r="N1467" s="46">
        <v>0</v>
      </c>
    </row>
    <row r="1468" spans="13:14" x14ac:dyDescent="0.35">
      <c r="M1468" s="46">
        <v>0.63972911411188604</v>
      </c>
      <c r="N1468" s="46">
        <v>0</v>
      </c>
    </row>
    <row r="1469" spans="13:14" x14ac:dyDescent="0.35">
      <c r="M1469" s="46">
        <v>0.64494509571152991</v>
      </c>
      <c r="N1469" s="46">
        <v>0</v>
      </c>
    </row>
    <row r="1470" spans="13:14" x14ac:dyDescent="0.35">
      <c r="M1470" s="46">
        <v>0.64676606321412666</v>
      </c>
      <c r="N1470" s="46">
        <v>0</v>
      </c>
    </row>
    <row r="1471" spans="13:14" x14ac:dyDescent="0.35">
      <c r="M1471" s="46">
        <v>0.64318674877578275</v>
      </c>
      <c r="N1471" s="46">
        <v>0</v>
      </c>
    </row>
    <row r="1472" spans="13:14" x14ac:dyDescent="0.35">
      <c r="M1472" s="46">
        <v>0.64347885442944064</v>
      </c>
      <c r="N1472" s="46">
        <v>0</v>
      </c>
    </row>
    <row r="1473" spans="13:14" x14ac:dyDescent="0.35">
      <c r="M1473" s="46">
        <v>0.64302581985457774</v>
      </c>
      <c r="N1473" s="46">
        <v>0</v>
      </c>
    </row>
    <row r="1474" spans="13:14" x14ac:dyDescent="0.35">
      <c r="M1474" s="46">
        <v>0.66253123608844033</v>
      </c>
      <c r="N1474" s="46">
        <v>0</v>
      </c>
    </row>
    <row r="1475" spans="13:14" x14ac:dyDescent="0.35">
      <c r="M1475" s="46">
        <v>0.74911537320077159</v>
      </c>
      <c r="N1475" s="46">
        <v>0</v>
      </c>
    </row>
    <row r="1476" spans="13:14" x14ac:dyDescent="0.35">
      <c r="M1476" s="46">
        <v>0.84781243507938864</v>
      </c>
      <c r="N1476" s="46">
        <v>0</v>
      </c>
    </row>
    <row r="1477" spans="13:14" x14ac:dyDescent="0.35">
      <c r="M1477" s="46">
        <v>0.9346102537468467</v>
      </c>
      <c r="N1477" s="46">
        <v>0</v>
      </c>
    </row>
    <row r="1478" spans="13:14" x14ac:dyDescent="0.35">
      <c r="M1478" s="46">
        <v>1</v>
      </c>
      <c r="N1478" s="46">
        <v>3.0487704231643584E-2</v>
      </c>
    </row>
    <row r="1479" spans="13:14" x14ac:dyDescent="0.35">
      <c r="M1479" s="46">
        <v>1</v>
      </c>
      <c r="N1479" s="46">
        <v>0.11797542413837214</v>
      </c>
    </row>
    <row r="1480" spans="13:14" x14ac:dyDescent="0.35">
      <c r="M1480" s="46">
        <v>1</v>
      </c>
      <c r="N1480" s="46">
        <v>0.1291385699419558</v>
      </c>
    </row>
    <row r="1481" spans="13:14" x14ac:dyDescent="0.35">
      <c r="M1481" s="46">
        <v>1</v>
      </c>
      <c r="N1481" s="46">
        <v>2.9020899532173329E-2</v>
      </c>
    </row>
    <row r="1482" spans="13:14" x14ac:dyDescent="0.35">
      <c r="M1482" s="46">
        <v>0.91376383736459421</v>
      </c>
      <c r="N1482" s="46">
        <v>0</v>
      </c>
    </row>
    <row r="1483" spans="13:14" x14ac:dyDescent="0.35">
      <c r="M1483" s="46">
        <v>0.78938544294405699</v>
      </c>
      <c r="N1483" s="46">
        <v>0</v>
      </c>
    </row>
    <row r="1484" spans="13:14" x14ac:dyDescent="0.35">
      <c r="M1484" s="46">
        <v>0.61083595488944942</v>
      </c>
      <c r="N1484" s="46">
        <v>0</v>
      </c>
    </row>
    <row r="1485" spans="13:14" x14ac:dyDescent="0.35">
      <c r="M1485" s="46">
        <v>0.4747125686303606</v>
      </c>
      <c r="N1485" s="46">
        <v>0</v>
      </c>
    </row>
    <row r="1486" spans="13:14" x14ac:dyDescent="0.35">
      <c r="M1486" s="46">
        <v>0.38732089330761238</v>
      </c>
      <c r="N1486" s="46">
        <v>0</v>
      </c>
    </row>
    <row r="1487" spans="13:14" x14ac:dyDescent="0.35">
      <c r="M1487" s="46">
        <v>0.31185873274966613</v>
      </c>
      <c r="N1487" s="46">
        <v>0</v>
      </c>
    </row>
    <row r="1488" spans="13:14" x14ac:dyDescent="0.35">
      <c r="M1488" s="46">
        <v>0.25037349755156552</v>
      </c>
      <c r="N1488" s="46">
        <v>0</v>
      </c>
    </row>
    <row r="1489" spans="13:14" x14ac:dyDescent="0.35">
      <c r="M1489" s="46">
        <v>0.22309637928476037</v>
      </c>
      <c r="N1489" s="46">
        <v>0</v>
      </c>
    </row>
    <row r="1490" spans="13:14" x14ac:dyDescent="0.35">
      <c r="M1490" s="46">
        <v>0.21603984270663301</v>
      </c>
      <c r="N1490" s="46">
        <v>0</v>
      </c>
    </row>
    <row r="1491" spans="13:14" x14ac:dyDescent="0.35">
      <c r="M1491" s="46">
        <v>0.23250793886333285</v>
      </c>
      <c r="N1491" s="46">
        <v>0</v>
      </c>
    </row>
    <row r="1492" spans="13:14" x14ac:dyDescent="0.35">
      <c r="M1492" s="46">
        <v>0.27076027600534203</v>
      </c>
      <c r="N1492" s="46">
        <v>0</v>
      </c>
    </row>
    <row r="1493" spans="13:14" x14ac:dyDescent="0.35">
      <c r="M1493" s="46">
        <v>0.31568556165603207</v>
      </c>
      <c r="N1493" s="46">
        <v>0</v>
      </c>
    </row>
    <row r="1494" spans="13:14" x14ac:dyDescent="0.35">
      <c r="M1494" s="46">
        <v>0.36813837364594154</v>
      </c>
      <c r="N1494" s="46">
        <v>0</v>
      </c>
    </row>
    <row r="1495" spans="13:14" x14ac:dyDescent="0.35">
      <c r="M1495" s="46">
        <v>0.43073927882475144</v>
      </c>
      <c r="N1495" s="46">
        <v>0</v>
      </c>
    </row>
    <row r="1496" spans="13:14" x14ac:dyDescent="0.35">
      <c r="M1496" s="46">
        <v>0.49566419350051938</v>
      </c>
      <c r="N1496" s="46">
        <v>0</v>
      </c>
    </row>
    <row r="1497" spans="13:14" x14ac:dyDescent="0.35">
      <c r="M1497" s="46">
        <v>0.53842387594598606</v>
      </c>
      <c r="N1497" s="46">
        <v>0</v>
      </c>
    </row>
    <row r="1498" spans="13:14" x14ac:dyDescent="0.35">
      <c r="M1498" s="46">
        <v>0.56984545184745516</v>
      </c>
      <c r="N1498" s="46">
        <v>0</v>
      </c>
    </row>
    <row r="1499" spans="13:14" x14ac:dyDescent="0.35">
      <c r="M1499" s="46">
        <v>0.61803835880694469</v>
      </c>
      <c r="N1499" s="46">
        <v>0</v>
      </c>
    </row>
    <row r="1500" spans="13:14" x14ac:dyDescent="0.35">
      <c r="M1500" s="46">
        <v>0.68382675471138155</v>
      </c>
      <c r="N1500" s="46">
        <v>0</v>
      </c>
    </row>
    <row r="1501" spans="13:14" x14ac:dyDescent="0.35">
      <c r="M1501" s="46">
        <v>0.75431102537468464</v>
      </c>
      <c r="N1501" s="46">
        <v>0</v>
      </c>
    </row>
    <row r="1502" spans="13:14" x14ac:dyDescent="0.35">
      <c r="M1502" s="46">
        <v>0.83095837661374083</v>
      </c>
      <c r="N1502" s="46">
        <v>0</v>
      </c>
    </row>
    <row r="1503" spans="13:14" x14ac:dyDescent="0.35">
      <c r="M1503" s="46">
        <v>0.88930672206558825</v>
      </c>
      <c r="N1503" s="46">
        <v>0</v>
      </c>
    </row>
    <row r="1504" spans="13:14" x14ac:dyDescent="0.35">
      <c r="M1504" s="46">
        <v>0.9136599643864074</v>
      </c>
      <c r="N1504" s="46">
        <v>0</v>
      </c>
    </row>
    <row r="1505" spans="13:14" x14ac:dyDescent="0.35">
      <c r="M1505" s="46">
        <v>0.87076339219468757</v>
      </c>
      <c r="N1505" s="46">
        <v>0</v>
      </c>
    </row>
    <row r="1506" spans="13:14" x14ac:dyDescent="0.35">
      <c r="M1506" s="46">
        <v>0.81007449176435664</v>
      </c>
      <c r="N1506" s="46">
        <v>0</v>
      </c>
    </row>
    <row r="1507" spans="13:14" x14ac:dyDescent="0.35">
      <c r="M1507" s="46">
        <v>0.74198456744324093</v>
      </c>
      <c r="N1507" s="46">
        <v>0</v>
      </c>
    </row>
    <row r="1508" spans="13:14" x14ac:dyDescent="0.35">
      <c r="M1508" s="46">
        <v>0.67530011871197504</v>
      </c>
      <c r="N1508" s="46">
        <v>0</v>
      </c>
    </row>
    <row r="1509" spans="13:14" x14ac:dyDescent="0.35">
      <c r="M1509" s="46">
        <v>0.64547818667458079</v>
      </c>
      <c r="N1509" s="46">
        <v>0</v>
      </c>
    </row>
    <row r="1510" spans="13:14" x14ac:dyDescent="0.35">
      <c r="M1510" s="46">
        <v>0.64535472622050749</v>
      </c>
      <c r="N1510" s="46">
        <v>0</v>
      </c>
    </row>
    <row r="1511" spans="13:14" x14ac:dyDescent="0.35">
      <c r="M1511" s="46">
        <v>0.64581384478409265</v>
      </c>
      <c r="N1511" s="46">
        <v>0</v>
      </c>
    </row>
    <row r="1512" spans="13:14" x14ac:dyDescent="0.35">
      <c r="M1512" s="46">
        <v>0.64710016322896569</v>
      </c>
      <c r="N1512" s="46">
        <v>0</v>
      </c>
    </row>
    <row r="1513" spans="13:14" x14ac:dyDescent="0.35">
      <c r="M1513" s="46">
        <v>0.65043485680368007</v>
      </c>
      <c r="N1513" s="46">
        <v>0</v>
      </c>
    </row>
    <row r="1514" spans="13:14" x14ac:dyDescent="0.35">
      <c r="M1514" s="46">
        <v>0.64351981006083991</v>
      </c>
      <c r="N1514" s="46">
        <v>0</v>
      </c>
    </row>
    <row r="1515" spans="13:14" x14ac:dyDescent="0.35">
      <c r="M1515" s="46">
        <v>0.63394843448582872</v>
      </c>
      <c r="N1515" s="46">
        <v>0</v>
      </c>
    </row>
    <row r="1516" spans="13:14" x14ac:dyDescent="0.35">
      <c r="M1516" s="46">
        <v>0.62530271553642969</v>
      </c>
      <c r="N1516" s="46">
        <v>0</v>
      </c>
    </row>
    <row r="1517" spans="13:14" x14ac:dyDescent="0.35">
      <c r="M1517" s="46">
        <v>0.62465365781273186</v>
      </c>
      <c r="N1517" s="46">
        <v>0</v>
      </c>
    </row>
    <row r="1518" spans="13:14" x14ac:dyDescent="0.35">
      <c r="M1518" s="46">
        <v>0.6290301973586585</v>
      </c>
      <c r="N1518" s="46">
        <v>0</v>
      </c>
    </row>
    <row r="1519" spans="13:14" x14ac:dyDescent="0.35">
      <c r="M1519" s="46">
        <v>0.63262331206410438</v>
      </c>
      <c r="N1519" s="46">
        <v>0</v>
      </c>
    </row>
    <row r="1520" spans="13:14" x14ac:dyDescent="0.35">
      <c r="M1520" s="46">
        <v>0.63108109511796995</v>
      </c>
      <c r="N1520" s="46">
        <v>0</v>
      </c>
    </row>
    <row r="1521" spans="13:14" x14ac:dyDescent="0.35">
      <c r="M1521" s="46">
        <v>0.6203337290399169</v>
      </c>
      <c r="N1521" s="46">
        <v>0</v>
      </c>
    </row>
    <row r="1522" spans="13:14" x14ac:dyDescent="0.35">
      <c r="M1522" s="46">
        <v>0.61739360439234303</v>
      </c>
      <c r="N1522" s="46">
        <v>0</v>
      </c>
    </row>
    <row r="1523" spans="13:14" x14ac:dyDescent="0.35">
      <c r="M1523" s="46">
        <v>0.65355928179255085</v>
      </c>
      <c r="N1523" s="46">
        <v>0</v>
      </c>
    </row>
    <row r="1524" spans="13:14" x14ac:dyDescent="0.35">
      <c r="M1524" s="46">
        <v>0.69081228668941985</v>
      </c>
      <c r="N1524" s="46">
        <v>0</v>
      </c>
    </row>
    <row r="1525" spans="13:14" x14ac:dyDescent="0.35">
      <c r="M1525" s="46">
        <v>0.72196423801750997</v>
      </c>
      <c r="N1525" s="46">
        <v>0</v>
      </c>
    </row>
    <row r="1526" spans="13:14" x14ac:dyDescent="0.35">
      <c r="M1526" s="46">
        <v>0.75169661670871046</v>
      </c>
      <c r="N1526" s="46">
        <v>0</v>
      </c>
    </row>
    <row r="1527" spans="13:14" x14ac:dyDescent="0.35">
      <c r="M1527" s="46">
        <v>0.75421234604540732</v>
      </c>
      <c r="N1527" s="46">
        <v>0</v>
      </c>
    </row>
    <row r="1528" spans="13:14" x14ac:dyDescent="0.35">
      <c r="M1528" s="46">
        <v>0.74031495770885891</v>
      </c>
      <c r="N1528" s="46">
        <v>0</v>
      </c>
    </row>
    <row r="1529" spans="13:14" x14ac:dyDescent="0.35">
      <c r="M1529" s="46">
        <v>0.73356224959192751</v>
      </c>
      <c r="N1529" s="46">
        <v>0</v>
      </c>
    </row>
    <row r="1530" spans="13:14" x14ac:dyDescent="0.35">
      <c r="M1530" s="46">
        <v>0.72384730672206554</v>
      </c>
      <c r="N1530" s="46">
        <v>0</v>
      </c>
    </row>
    <row r="1531" spans="13:14" x14ac:dyDescent="0.35">
      <c r="M1531" s="46">
        <v>0.69167346787357176</v>
      </c>
      <c r="N1531" s="46">
        <v>0</v>
      </c>
    </row>
    <row r="1532" spans="13:14" x14ac:dyDescent="0.35">
      <c r="M1532" s="46">
        <v>0.64358962754117821</v>
      </c>
      <c r="N1532" s="46">
        <v>0</v>
      </c>
    </row>
    <row r="1533" spans="13:14" x14ac:dyDescent="0.35">
      <c r="M1533" s="46">
        <v>0.6187756343671168</v>
      </c>
      <c r="N1533" s="46">
        <v>0</v>
      </c>
    </row>
    <row r="1534" spans="13:14" x14ac:dyDescent="0.35">
      <c r="M1534" s="46">
        <v>0.62159749220952665</v>
      </c>
      <c r="N1534" s="46">
        <v>0</v>
      </c>
    </row>
    <row r="1535" spans="13:14" x14ac:dyDescent="0.35">
      <c r="M1535" s="46">
        <v>0.62621872681406732</v>
      </c>
      <c r="N1535" s="46">
        <v>0</v>
      </c>
    </row>
    <row r="1536" spans="13:14" x14ac:dyDescent="0.35">
      <c r="M1536" s="46">
        <v>0.62805594301825196</v>
      </c>
      <c r="N1536" s="46">
        <v>0</v>
      </c>
    </row>
    <row r="1537" spans="13:14" x14ac:dyDescent="0.35">
      <c r="M1537" s="46">
        <v>0.63292461789583032</v>
      </c>
      <c r="N1537" s="46">
        <v>0</v>
      </c>
    </row>
    <row r="1538" spans="13:14" x14ac:dyDescent="0.35">
      <c r="M1538" s="46">
        <v>0.63379759608250485</v>
      </c>
      <c r="N1538" s="46">
        <v>0</v>
      </c>
    </row>
    <row r="1539" spans="13:14" x14ac:dyDescent="0.35">
      <c r="M1539" s="46">
        <v>0.62894346342187268</v>
      </c>
      <c r="N1539" s="46">
        <v>0</v>
      </c>
    </row>
    <row r="1540" spans="13:14" x14ac:dyDescent="0.35">
      <c r="M1540" s="46">
        <v>0.62045355393975365</v>
      </c>
      <c r="N1540" s="46">
        <v>0</v>
      </c>
    </row>
    <row r="1541" spans="13:14" x14ac:dyDescent="0.35">
      <c r="M1541" s="46">
        <v>0.610375871791067</v>
      </c>
      <c r="N1541" s="46">
        <v>0</v>
      </c>
    </row>
    <row r="1542" spans="13:14" x14ac:dyDescent="0.35">
      <c r="M1542" s="46">
        <v>0.60345474105950436</v>
      </c>
      <c r="N1542" s="46">
        <v>0</v>
      </c>
    </row>
    <row r="1543" spans="13:14" x14ac:dyDescent="0.35">
      <c r="M1543" s="46">
        <v>0.59368890043033085</v>
      </c>
      <c r="N1543" s="46">
        <v>0</v>
      </c>
    </row>
    <row r="1544" spans="13:14" x14ac:dyDescent="0.35">
      <c r="M1544" s="46">
        <v>0.58011455705594295</v>
      </c>
      <c r="N1544" s="46">
        <v>0</v>
      </c>
    </row>
    <row r="1545" spans="13:14" x14ac:dyDescent="0.35">
      <c r="M1545" s="46">
        <v>0.57407983380323491</v>
      </c>
      <c r="N1545" s="46">
        <v>0</v>
      </c>
    </row>
    <row r="1546" spans="13:14" x14ac:dyDescent="0.35">
      <c r="M1546" s="46">
        <v>0.57737505564623826</v>
      </c>
      <c r="N1546" s="46">
        <v>0</v>
      </c>
    </row>
    <row r="1547" spans="13:14" x14ac:dyDescent="0.35">
      <c r="M1547" s="46">
        <v>0.65060572785279713</v>
      </c>
      <c r="N1547" s="46">
        <v>0</v>
      </c>
    </row>
    <row r="1548" spans="13:14" x14ac:dyDescent="0.35">
      <c r="M1548" s="46">
        <v>0.74304703962012175</v>
      </c>
      <c r="N1548" s="46">
        <v>0</v>
      </c>
    </row>
    <row r="1549" spans="13:14" x14ac:dyDescent="0.35">
      <c r="M1549" s="46">
        <v>0.85397291883068704</v>
      </c>
      <c r="N1549" s="46">
        <v>0</v>
      </c>
    </row>
    <row r="1550" spans="13:14" x14ac:dyDescent="0.35">
      <c r="M1550" s="46">
        <v>0.9559547410595044</v>
      </c>
      <c r="N1550" s="46">
        <v>0</v>
      </c>
    </row>
    <row r="1551" spans="13:14" x14ac:dyDescent="0.35">
      <c r="M1551" s="46">
        <v>1</v>
      </c>
      <c r="N1551" s="46">
        <v>4.313469676476913E-2</v>
      </c>
    </row>
    <row r="1552" spans="13:14" x14ac:dyDescent="0.35">
      <c r="M1552" s="46">
        <v>1</v>
      </c>
      <c r="N1552" s="46">
        <v>9.4595927497737126E-2</v>
      </c>
    </row>
    <row r="1553" spans="13:14" x14ac:dyDescent="0.35">
      <c r="M1553" s="46">
        <v>1</v>
      </c>
      <c r="N1553" s="46">
        <v>4.8324432710568355E-2</v>
      </c>
    </row>
    <row r="1554" spans="13:14" x14ac:dyDescent="0.35">
      <c r="M1554" s="46">
        <v>0.9545741207894346</v>
      </c>
      <c r="N1554" s="46">
        <v>0</v>
      </c>
    </row>
    <row r="1555" spans="13:14" x14ac:dyDescent="0.35">
      <c r="M1555" s="46">
        <v>0.8539160854726221</v>
      </c>
      <c r="N1555" s="46">
        <v>0</v>
      </c>
    </row>
    <row r="1556" spans="13:14" x14ac:dyDescent="0.35">
      <c r="M1556" s="46">
        <v>0.72358658554681698</v>
      </c>
      <c r="N1556" s="46">
        <v>0</v>
      </c>
    </row>
    <row r="1557" spans="13:14" x14ac:dyDescent="0.35">
      <c r="M1557" s="46">
        <v>0.66981198990948221</v>
      </c>
      <c r="N1557" s="46">
        <v>0</v>
      </c>
    </row>
    <row r="1558" spans="13:14" x14ac:dyDescent="0.35">
      <c r="M1558" s="46">
        <v>0.67421479447989308</v>
      </c>
      <c r="N1558" s="46">
        <v>0</v>
      </c>
    </row>
    <row r="1559" spans="13:14" x14ac:dyDescent="0.35">
      <c r="M1559" s="46">
        <v>0.67759726962457345</v>
      </c>
      <c r="N1559" s="46">
        <v>0</v>
      </c>
    </row>
    <row r="1560" spans="13:14" x14ac:dyDescent="0.35">
      <c r="M1560" s="46">
        <v>0.67934597121234608</v>
      </c>
      <c r="N1560" s="46">
        <v>0</v>
      </c>
    </row>
    <row r="1561" spans="13:14" x14ac:dyDescent="0.35">
      <c r="M1561" s="46">
        <v>0.68201981006084</v>
      </c>
      <c r="N1561" s="46">
        <v>0</v>
      </c>
    </row>
    <row r="1562" spans="13:14" x14ac:dyDescent="0.35">
      <c r="M1562" s="46">
        <v>0.67985502300044509</v>
      </c>
      <c r="N1562" s="46">
        <v>0</v>
      </c>
    </row>
    <row r="1563" spans="13:14" x14ac:dyDescent="0.35">
      <c r="M1563" s="46">
        <v>0.67710186971360731</v>
      </c>
      <c r="N1563" s="46">
        <v>0</v>
      </c>
    </row>
    <row r="1564" spans="13:14" x14ac:dyDescent="0.35">
      <c r="M1564" s="46">
        <v>0.67657901765840633</v>
      </c>
      <c r="N1564" s="46">
        <v>0</v>
      </c>
    </row>
    <row r="1565" spans="13:14" x14ac:dyDescent="0.35">
      <c r="M1565" s="46">
        <v>0.6752432111589256</v>
      </c>
      <c r="N1565" s="46">
        <v>0</v>
      </c>
    </row>
    <row r="1566" spans="13:14" x14ac:dyDescent="0.35">
      <c r="M1566" s="46">
        <v>0.67640235940050453</v>
      </c>
      <c r="N1566" s="46">
        <v>0</v>
      </c>
    </row>
    <row r="1567" spans="13:14" x14ac:dyDescent="0.35">
      <c r="M1567" s="46">
        <v>0.67502374239501406</v>
      </c>
      <c r="N1567" s="46">
        <v>0</v>
      </c>
    </row>
    <row r="1568" spans="13:14" x14ac:dyDescent="0.35">
      <c r="M1568" s="46">
        <v>0.67071301380026715</v>
      </c>
      <c r="N1568" s="46">
        <v>0</v>
      </c>
    </row>
    <row r="1569" spans="13:14" x14ac:dyDescent="0.35">
      <c r="M1569" s="46">
        <v>0.6677136073601424</v>
      </c>
      <c r="N1569" s="46">
        <v>0</v>
      </c>
    </row>
    <row r="1570" spans="13:14" x14ac:dyDescent="0.35">
      <c r="M1570" s="46">
        <v>0.67185086808131766</v>
      </c>
      <c r="N1570" s="46">
        <v>0</v>
      </c>
    </row>
    <row r="1571" spans="13:14" x14ac:dyDescent="0.35">
      <c r="M1571" s="46">
        <v>0.73871598159964391</v>
      </c>
      <c r="N1571" s="46">
        <v>0</v>
      </c>
    </row>
    <row r="1572" spans="13:14" x14ac:dyDescent="0.35">
      <c r="M1572" s="46">
        <v>0.83567784537765244</v>
      </c>
      <c r="N1572" s="46">
        <v>0</v>
      </c>
    </row>
    <row r="1573" spans="13:14" x14ac:dyDescent="0.35">
      <c r="M1573" s="46">
        <v>0.938446357026265</v>
      </c>
      <c r="N1573" s="46">
        <v>0</v>
      </c>
    </row>
    <row r="1574" spans="13:14" x14ac:dyDescent="0.35">
      <c r="M1574" s="46">
        <v>1</v>
      </c>
      <c r="N1574" s="46">
        <v>1.6068645718742895E-2</v>
      </c>
    </row>
    <row r="1575" spans="13:14" x14ac:dyDescent="0.35">
      <c r="M1575" s="46">
        <v>1</v>
      </c>
      <c r="N1575" s="46">
        <v>7.6302619744954503E-2</v>
      </c>
    </row>
    <row r="1576" spans="13:14" x14ac:dyDescent="0.35">
      <c r="M1576" s="46">
        <v>1</v>
      </c>
      <c r="N1576" s="46">
        <v>4.1772219556738467E-2</v>
      </c>
    </row>
    <row r="1577" spans="13:14" x14ac:dyDescent="0.35">
      <c r="M1577" s="46">
        <v>1</v>
      </c>
      <c r="N1577" s="46">
        <v>2.3734468737608233E-2</v>
      </c>
    </row>
    <row r="1578" spans="13:14" x14ac:dyDescent="0.35">
      <c r="M1578" s="46">
        <v>0.9640581688677845</v>
      </c>
      <c r="N1578" s="46">
        <v>0</v>
      </c>
    </row>
    <row r="1579" spans="13:14" x14ac:dyDescent="0.35">
      <c r="M1579" s="46">
        <v>0.8719119305534947</v>
      </c>
      <c r="N1579" s="46">
        <v>0</v>
      </c>
    </row>
    <row r="1580" spans="13:14" x14ac:dyDescent="0.35">
      <c r="M1580" s="46">
        <v>0.71298783202255522</v>
      </c>
      <c r="N1580" s="46">
        <v>0</v>
      </c>
    </row>
    <row r="1581" spans="13:14" x14ac:dyDescent="0.35">
      <c r="M1581" s="46">
        <v>0.61159355987535247</v>
      </c>
      <c r="N1581" s="46">
        <v>0</v>
      </c>
    </row>
    <row r="1582" spans="13:14" x14ac:dyDescent="0.35">
      <c r="M1582" s="46">
        <v>0.57841593708265326</v>
      </c>
      <c r="N1582" s="46">
        <v>0</v>
      </c>
    </row>
    <row r="1583" spans="13:14" x14ac:dyDescent="0.35">
      <c r="M1583" s="46">
        <v>0.53165113518326157</v>
      </c>
      <c r="N1583" s="46">
        <v>0</v>
      </c>
    </row>
    <row r="1584" spans="13:14" x14ac:dyDescent="0.35">
      <c r="M1584" s="46">
        <v>0.46371345897017363</v>
      </c>
      <c r="N1584" s="46">
        <v>0</v>
      </c>
    </row>
    <row r="1585" spans="13:14" x14ac:dyDescent="0.35">
      <c r="M1585" s="46">
        <v>0.39664972547855765</v>
      </c>
      <c r="N1585" s="46">
        <v>0</v>
      </c>
    </row>
    <row r="1586" spans="13:14" x14ac:dyDescent="0.35">
      <c r="M1586" s="46">
        <v>0.33490703368452296</v>
      </c>
      <c r="N1586" s="46">
        <v>0</v>
      </c>
    </row>
    <row r="1587" spans="13:14" x14ac:dyDescent="0.35">
      <c r="M1587" s="46">
        <v>0.28255312360884405</v>
      </c>
      <c r="N1587" s="46">
        <v>0</v>
      </c>
    </row>
    <row r="1588" spans="13:14" x14ac:dyDescent="0.35">
      <c r="M1588" s="46">
        <v>0.24587060394717317</v>
      </c>
      <c r="N1588" s="46">
        <v>0</v>
      </c>
    </row>
    <row r="1589" spans="13:14" x14ac:dyDescent="0.35">
      <c r="M1589" s="46">
        <v>0.21898545778305387</v>
      </c>
      <c r="N1589" s="46">
        <v>0</v>
      </c>
    </row>
    <row r="1590" spans="13:14" x14ac:dyDescent="0.35">
      <c r="M1590" s="46">
        <v>0.1996343671167829</v>
      </c>
      <c r="N1590" s="46">
        <v>0</v>
      </c>
    </row>
    <row r="1591" spans="13:14" x14ac:dyDescent="0.35">
      <c r="M1591" s="46">
        <v>0.19251617450660335</v>
      </c>
      <c r="N1591" s="46">
        <v>0</v>
      </c>
    </row>
    <row r="1592" spans="13:14" x14ac:dyDescent="0.35">
      <c r="M1592" s="46">
        <v>0.18184678735717466</v>
      </c>
      <c r="N1592" s="46">
        <v>0</v>
      </c>
    </row>
    <row r="1593" spans="13:14" x14ac:dyDescent="0.35">
      <c r="M1593" s="46">
        <v>0.16558777266656774</v>
      </c>
      <c r="N1593" s="46">
        <v>0</v>
      </c>
    </row>
    <row r="1594" spans="13:14" x14ac:dyDescent="0.35">
      <c r="M1594" s="46">
        <v>0.19386066181926101</v>
      </c>
      <c r="N1594" s="46">
        <v>0</v>
      </c>
    </row>
    <row r="1595" spans="13:14" x14ac:dyDescent="0.35">
      <c r="M1595" s="46">
        <v>0.33059853093930847</v>
      </c>
      <c r="N1595" s="46">
        <v>0</v>
      </c>
    </row>
    <row r="1596" spans="13:14" x14ac:dyDescent="0.35">
      <c r="M1596" s="46">
        <v>0.48329893159222437</v>
      </c>
      <c r="N1596" s="46">
        <v>0</v>
      </c>
    </row>
    <row r="1597" spans="13:14" x14ac:dyDescent="0.35">
      <c r="M1597" s="46">
        <v>0.60698211900875498</v>
      </c>
      <c r="N1597" s="46">
        <v>0</v>
      </c>
    </row>
    <row r="1598" spans="13:14" x14ac:dyDescent="0.35">
      <c r="M1598" s="46">
        <v>0.64206536578127316</v>
      </c>
      <c r="N1598" s="46">
        <v>0</v>
      </c>
    </row>
    <row r="1599" spans="13:14" x14ac:dyDescent="0.35">
      <c r="M1599" s="46">
        <v>0.62552211010535685</v>
      </c>
      <c r="N1599" s="46">
        <v>0</v>
      </c>
    </row>
    <row r="1600" spans="13:14" x14ac:dyDescent="0.35">
      <c r="M1600" s="46">
        <v>0.55956751743582134</v>
      </c>
      <c r="N1600" s="46">
        <v>0</v>
      </c>
    </row>
    <row r="1601" spans="13:14" x14ac:dyDescent="0.35">
      <c r="M1601" s="46">
        <v>0.49250586140376906</v>
      </c>
      <c r="N1601" s="46">
        <v>0</v>
      </c>
    </row>
    <row r="1602" spans="13:14" x14ac:dyDescent="0.35">
      <c r="M1602" s="46">
        <v>0.38967168719394568</v>
      </c>
      <c r="N1602" s="46">
        <v>0</v>
      </c>
    </row>
    <row r="1603" spans="13:14" x14ac:dyDescent="0.35">
      <c r="M1603" s="46">
        <v>0.26643114705445908</v>
      </c>
      <c r="N1603" s="46">
        <v>0</v>
      </c>
    </row>
    <row r="1604" spans="13:14" x14ac:dyDescent="0.35">
      <c r="M1604" s="46">
        <v>0.15542995993470843</v>
      </c>
      <c r="N1604" s="46">
        <v>0</v>
      </c>
    </row>
    <row r="1605" spans="13:14" x14ac:dyDescent="0.35">
      <c r="M1605" s="46">
        <v>8.4249814512538948E-2</v>
      </c>
      <c r="N1605" s="46">
        <v>0</v>
      </c>
    </row>
    <row r="1606" spans="13:14" x14ac:dyDescent="0.35">
      <c r="M1606" s="46">
        <v>7.4030494138596234E-2</v>
      </c>
      <c r="N1606" s="46">
        <v>0</v>
      </c>
    </row>
    <row r="1607" spans="13:14" x14ac:dyDescent="0.35">
      <c r="M1607" s="46">
        <v>6.4123312064104473E-2</v>
      </c>
      <c r="N1607" s="46">
        <v>0</v>
      </c>
    </row>
    <row r="1608" spans="13:14" x14ac:dyDescent="0.35">
      <c r="M1608" s="46">
        <v>5.1002596824454668E-2</v>
      </c>
      <c r="N1608" s="46">
        <v>0</v>
      </c>
    </row>
    <row r="1609" spans="13:14" x14ac:dyDescent="0.35">
      <c r="M1609" s="46">
        <v>4.4367265172874308E-2</v>
      </c>
      <c r="N1609" s="46">
        <v>0</v>
      </c>
    </row>
    <row r="1610" spans="13:14" x14ac:dyDescent="0.35">
      <c r="M1610" s="46">
        <v>4.137668793589553E-2</v>
      </c>
      <c r="N1610" s="46">
        <v>0</v>
      </c>
    </row>
    <row r="1611" spans="13:14" x14ac:dyDescent="0.35">
      <c r="M1611" s="46">
        <v>4.1976109215017064E-2</v>
      </c>
      <c r="N1611" s="46">
        <v>0</v>
      </c>
    </row>
    <row r="1612" spans="13:14" x14ac:dyDescent="0.35">
      <c r="M1612" s="46">
        <v>4.1727259237275556E-2</v>
      </c>
      <c r="N1612" s="46">
        <v>0</v>
      </c>
    </row>
    <row r="1613" spans="13:14" x14ac:dyDescent="0.35">
      <c r="M1613" s="46">
        <v>4.2804051046149282E-2</v>
      </c>
      <c r="N1613" s="46">
        <v>0</v>
      </c>
    </row>
    <row r="1614" spans="13:14" x14ac:dyDescent="0.35">
      <c r="M1614" s="46">
        <v>4.0946950586140382E-2</v>
      </c>
      <c r="N1614" s="46">
        <v>0</v>
      </c>
    </row>
    <row r="1615" spans="13:14" x14ac:dyDescent="0.35">
      <c r="M1615" s="46">
        <v>4.3457857248849978E-2</v>
      </c>
      <c r="N1615" s="46">
        <v>0</v>
      </c>
    </row>
    <row r="1616" spans="13:14" x14ac:dyDescent="0.35">
      <c r="M1616" s="46">
        <v>4.634255824306277E-2</v>
      </c>
      <c r="N1616" s="46">
        <v>0</v>
      </c>
    </row>
    <row r="1617" spans="13:14" x14ac:dyDescent="0.35">
      <c r="M1617" s="46">
        <v>5.1438418162932188E-2</v>
      </c>
      <c r="N1617" s="46">
        <v>0</v>
      </c>
    </row>
    <row r="1618" spans="13:14" x14ac:dyDescent="0.35">
      <c r="M1618" s="46">
        <v>9.4651580353168119E-2</v>
      </c>
      <c r="N1618" s="46">
        <v>0</v>
      </c>
    </row>
    <row r="1619" spans="13:14" x14ac:dyDescent="0.35">
      <c r="M1619" s="46">
        <v>0.22390428847009944</v>
      </c>
      <c r="N1619" s="46">
        <v>0</v>
      </c>
    </row>
    <row r="1620" spans="13:14" x14ac:dyDescent="0.35">
      <c r="M1620" s="46">
        <v>0.37139479151209376</v>
      </c>
      <c r="N1620" s="46">
        <v>0</v>
      </c>
    </row>
    <row r="1621" spans="13:14" x14ac:dyDescent="0.35">
      <c r="M1621" s="46">
        <v>0.49907367561952815</v>
      </c>
      <c r="N1621" s="46">
        <v>0</v>
      </c>
    </row>
    <row r="1622" spans="13:14" x14ac:dyDescent="0.35">
      <c r="M1622" s="46">
        <v>0.61065699658703065</v>
      </c>
      <c r="N1622" s="46">
        <v>0</v>
      </c>
    </row>
    <row r="1623" spans="13:14" x14ac:dyDescent="0.35">
      <c r="M1623" s="46">
        <v>0.68815254488796562</v>
      </c>
      <c r="N1623" s="46">
        <v>0</v>
      </c>
    </row>
    <row r="1624" spans="13:14" x14ac:dyDescent="0.35">
      <c r="M1624" s="46">
        <v>0.71277110847306713</v>
      </c>
      <c r="N1624" s="46">
        <v>0</v>
      </c>
    </row>
    <row r="1625" spans="13:14" x14ac:dyDescent="0.35">
      <c r="M1625" s="46">
        <v>0.70146178958302419</v>
      </c>
      <c r="N1625" s="46">
        <v>0</v>
      </c>
    </row>
    <row r="1626" spans="13:14" x14ac:dyDescent="0.35">
      <c r="M1626" s="46">
        <v>0.64579804125241136</v>
      </c>
      <c r="N1626" s="46">
        <v>0</v>
      </c>
    </row>
    <row r="1627" spans="13:14" x14ac:dyDescent="0.35">
      <c r="M1627" s="46">
        <v>0.54288254933966462</v>
      </c>
      <c r="N1627" s="46">
        <v>0</v>
      </c>
    </row>
    <row r="1628" spans="13:14" x14ac:dyDescent="0.35">
      <c r="M1628" s="46">
        <v>0.41032148686748776</v>
      </c>
      <c r="N1628" s="46">
        <v>0</v>
      </c>
    </row>
    <row r="1629" spans="13:14" x14ac:dyDescent="0.35">
      <c r="M1629" s="46">
        <v>0.35322941089182369</v>
      </c>
      <c r="N1629" s="46">
        <v>0</v>
      </c>
    </row>
    <row r="1630" spans="13:14" x14ac:dyDescent="0.35">
      <c r="M1630" s="46">
        <v>0.37210921501706479</v>
      </c>
      <c r="N1630" s="46">
        <v>0</v>
      </c>
    </row>
    <row r="1631" spans="13:14" x14ac:dyDescent="0.35">
      <c r="M1631" s="46">
        <v>0.3811920166196765</v>
      </c>
      <c r="N1631" s="46">
        <v>0</v>
      </c>
    </row>
    <row r="1632" spans="13:14" x14ac:dyDescent="0.35">
      <c r="M1632" s="46">
        <v>0.35737512984122277</v>
      </c>
      <c r="N1632" s="46">
        <v>0</v>
      </c>
    </row>
    <row r="1633" spans="13:14" x14ac:dyDescent="0.35">
      <c r="M1633" s="46">
        <v>0.32295006677548593</v>
      </c>
      <c r="N1633" s="46">
        <v>0</v>
      </c>
    </row>
    <row r="1634" spans="13:14" x14ac:dyDescent="0.35">
      <c r="M1634" s="46">
        <v>0.28525011129247663</v>
      </c>
      <c r="N1634" s="46">
        <v>0</v>
      </c>
    </row>
    <row r="1635" spans="13:14" x14ac:dyDescent="0.35">
      <c r="M1635" s="46">
        <v>0.25542454370084583</v>
      </c>
      <c r="N1635" s="46">
        <v>0</v>
      </c>
    </row>
    <row r="1636" spans="13:14" x14ac:dyDescent="0.35">
      <c r="M1636" s="46">
        <v>0.23258495325715983</v>
      </c>
      <c r="N1636" s="46">
        <v>0</v>
      </c>
    </row>
    <row r="1637" spans="13:14" x14ac:dyDescent="0.35">
      <c r="M1637" s="46">
        <v>0.21210914082208041</v>
      </c>
      <c r="N1637" s="46">
        <v>0</v>
      </c>
    </row>
    <row r="1638" spans="13:14" x14ac:dyDescent="0.35">
      <c r="M1638" s="46">
        <v>0.18411856358510167</v>
      </c>
      <c r="N1638" s="46">
        <v>0</v>
      </c>
    </row>
    <row r="1639" spans="13:14" x14ac:dyDescent="0.35">
      <c r="M1639" s="46">
        <v>0.15780649948063513</v>
      </c>
      <c r="N1639" s="46">
        <v>0</v>
      </c>
    </row>
    <row r="1640" spans="13:14" x14ac:dyDescent="0.35">
      <c r="M1640" s="46">
        <v>0.14320930405104615</v>
      </c>
      <c r="N1640" s="46">
        <v>0</v>
      </c>
    </row>
    <row r="1641" spans="13:14" x14ac:dyDescent="0.35">
      <c r="M1641" s="46">
        <v>0.11849406440124648</v>
      </c>
      <c r="N1641" s="46">
        <v>0</v>
      </c>
    </row>
    <row r="1642" spans="13:14" x14ac:dyDescent="0.35">
      <c r="M1642" s="46">
        <v>0.11540391749517732</v>
      </c>
      <c r="N1642" s="46">
        <v>0</v>
      </c>
    </row>
    <row r="1643" spans="13:14" x14ac:dyDescent="0.35">
      <c r="M1643" s="46">
        <v>0.16475953405549784</v>
      </c>
      <c r="N1643" s="46">
        <v>0</v>
      </c>
    </row>
    <row r="1644" spans="13:14" x14ac:dyDescent="0.35">
      <c r="M1644" s="46">
        <v>0.23876413414453185</v>
      </c>
      <c r="N1644" s="46">
        <v>0</v>
      </c>
    </row>
    <row r="1645" spans="13:14" x14ac:dyDescent="0.35">
      <c r="M1645" s="46">
        <v>0.31105401394865712</v>
      </c>
      <c r="N1645" s="46">
        <v>0</v>
      </c>
    </row>
    <row r="1646" spans="13:14" x14ac:dyDescent="0.35">
      <c r="M1646" s="46">
        <v>0.37779566701290995</v>
      </c>
      <c r="N1646" s="46">
        <v>0</v>
      </c>
    </row>
    <row r="1647" spans="13:14" x14ac:dyDescent="0.35">
      <c r="M1647" s="46">
        <v>0.4144396794776673</v>
      </c>
      <c r="N1647" s="46">
        <v>0</v>
      </c>
    </row>
    <row r="1648" spans="13:14" x14ac:dyDescent="0.35">
      <c r="M1648" s="46">
        <v>0.42142580501558091</v>
      </c>
      <c r="N1648" s="46">
        <v>0</v>
      </c>
    </row>
    <row r="1649" spans="13:14" x14ac:dyDescent="0.35">
      <c r="M1649" s="46">
        <v>0.37739768511648614</v>
      </c>
      <c r="N1649" s="46">
        <v>0</v>
      </c>
    </row>
    <row r="1650" spans="13:14" x14ac:dyDescent="0.35">
      <c r="M1650" s="46">
        <v>0.30689011722807541</v>
      </c>
      <c r="N1650" s="46">
        <v>0</v>
      </c>
    </row>
    <row r="1651" spans="13:14" x14ac:dyDescent="0.35">
      <c r="M1651" s="46">
        <v>0.21688618489390118</v>
      </c>
      <c r="N1651" s="46">
        <v>0</v>
      </c>
    </row>
    <row r="1652" spans="13:14" x14ac:dyDescent="0.35">
      <c r="M1652" s="46">
        <v>0.12178772814957708</v>
      </c>
      <c r="N1652" s="46">
        <v>0</v>
      </c>
    </row>
    <row r="1653" spans="13:14" x14ac:dyDescent="0.35">
      <c r="M1653" s="46">
        <v>6.0058985012613149E-2</v>
      </c>
      <c r="N1653" s="46">
        <v>0</v>
      </c>
    </row>
    <row r="1654" spans="13:14" x14ac:dyDescent="0.35">
      <c r="M1654" s="46">
        <v>4.9152025523074641E-2</v>
      </c>
      <c r="N1654" s="46">
        <v>0</v>
      </c>
    </row>
    <row r="1655" spans="13:14" x14ac:dyDescent="0.35">
      <c r="M1655" s="46">
        <v>4.3096750259682438E-2</v>
      </c>
      <c r="N1655" s="46">
        <v>0</v>
      </c>
    </row>
    <row r="1656" spans="13:14" x14ac:dyDescent="0.35">
      <c r="M1656" s="46">
        <v>4.1979522184300337E-2</v>
      </c>
      <c r="N1656" s="46">
        <v>0</v>
      </c>
    </row>
    <row r="1657" spans="13:14" x14ac:dyDescent="0.35">
      <c r="M1657" s="46">
        <v>4.3165083840332394E-2</v>
      </c>
      <c r="N1657" s="46">
        <v>0</v>
      </c>
    </row>
    <row r="1658" spans="13:14" x14ac:dyDescent="0.35">
      <c r="M1658" s="46">
        <v>4.6161819261017957E-2</v>
      </c>
      <c r="N1658" s="46">
        <v>0</v>
      </c>
    </row>
    <row r="1659" spans="13:14" x14ac:dyDescent="0.35">
      <c r="M1659" s="46">
        <v>4.8698619973289808E-2</v>
      </c>
      <c r="N1659" s="46">
        <v>0</v>
      </c>
    </row>
    <row r="1660" spans="13:14" x14ac:dyDescent="0.35">
      <c r="M1660" s="46">
        <v>5.097343819557798E-2</v>
      </c>
      <c r="N1660" s="46">
        <v>0</v>
      </c>
    </row>
    <row r="1661" spans="13:14" x14ac:dyDescent="0.35">
      <c r="M1661" s="46">
        <v>5.2989686897165753E-2</v>
      </c>
      <c r="N1661" s="46">
        <v>0</v>
      </c>
    </row>
    <row r="1662" spans="13:14" x14ac:dyDescent="0.35">
      <c r="M1662" s="46">
        <v>5.3278750556462383E-2</v>
      </c>
      <c r="N1662" s="46">
        <v>0</v>
      </c>
    </row>
    <row r="1663" spans="13:14" x14ac:dyDescent="0.35">
      <c r="M1663" s="46">
        <v>5.6305609140822076E-2</v>
      </c>
      <c r="N1663" s="46">
        <v>0</v>
      </c>
    </row>
    <row r="1664" spans="13:14" x14ac:dyDescent="0.35">
      <c r="M1664" s="46">
        <v>6.1649725478557647E-2</v>
      </c>
      <c r="N1664" s="46">
        <v>0</v>
      </c>
    </row>
    <row r="1665" spans="13:14" x14ac:dyDescent="0.35">
      <c r="M1665" s="46">
        <v>7.0375204036207159E-2</v>
      </c>
      <c r="N1665" s="46">
        <v>0</v>
      </c>
    </row>
    <row r="1666" spans="13:14" x14ac:dyDescent="0.35">
      <c r="M1666" s="46">
        <v>0.11772443982786764</v>
      </c>
      <c r="N1666" s="46">
        <v>0</v>
      </c>
    </row>
    <row r="1667" spans="13:14" x14ac:dyDescent="0.35">
      <c r="M1667" s="46">
        <v>0.2294045852500371</v>
      </c>
      <c r="N1667" s="46">
        <v>0</v>
      </c>
    </row>
    <row r="1668" spans="13:14" x14ac:dyDescent="0.35">
      <c r="M1668" s="46">
        <v>0.33856536578127322</v>
      </c>
      <c r="N1668" s="46">
        <v>0</v>
      </c>
    </row>
    <row r="1669" spans="13:14" x14ac:dyDescent="0.35">
      <c r="M1669" s="46">
        <v>0.42130123163674132</v>
      </c>
      <c r="N1669" s="46">
        <v>0</v>
      </c>
    </row>
    <row r="1670" spans="13:14" x14ac:dyDescent="0.35">
      <c r="M1670" s="46">
        <v>0.47534077756343673</v>
      </c>
      <c r="N1670" s="46">
        <v>0</v>
      </c>
    </row>
    <row r="1671" spans="13:14" x14ac:dyDescent="0.35">
      <c r="M1671" s="46">
        <v>0.49235272295592819</v>
      </c>
      <c r="N1671" s="46">
        <v>0</v>
      </c>
    </row>
    <row r="1672" spans="13:14" x14ac:dyDescent="0.35">
      <c r="M1672" s="46">
        <v>0.47150964534797446</v>
      </c>
      <c r="N1672" s="46">
        <v>0</v>
      </c>
    </row>
    <row r="1673" spans="13:14" x14ac:dyDescent="0.35">
      <c r="M1673" s="46">
        <v>0.44603064252856506</v>
      </c>
      <c r="N1673" s="46">
        <v>0</v>
      </c>
    </row>
    <row r="1674" spans="13:14" x14ac:dyDescent="0.35">
      <c r="M1674" s="46">
        <v>0.40301854874610477</v>
      </c>
      <c r="N1674" s="46">
        <v>0</v>
      </c>
    </row>
    <row r="1675" spans="13:14" x14ac:dyDescent="0.35">
      <c r="M1675" s="46">
        <v>0.34399176435672946</v>
      </c>
      <c r="N1675" s="46">
        <v>0</v>
      </c>
    </row>
    <row r="1676" spans="13:14" x14ac:dyDescent="0.35">
      <c r="M1676" s="46">
        <v>0.27815299005787208</v>
      </c>
      <c r="N1676" s="46">
        <v>0</v>
      </c>
    </row>
    <row r="1677" spans="13:14" x14ac:dyDescent="0.35">
      <c r="M1677" s="46">
        <v>0.2283843300192907</v>
      </c>
      <c r="N1677" s="46">
        <v>0</v>
      </c>
    </row>
    <row r="1678" spans="13:14" x14ac:dyDescent="0.35">
      <c r="M1678" s="46">
        <v>0.2211023890784983</v>
      </c>
      <c r="N1678" s="46">
        <v>0</v>
      </c>
    </row>
    <row r="1679" spans="13:14" x14ac:dyDescent="0.35">
      <c r="M1679" s="46">
        <v>0.22718192610179552</v>
      </c>
      <c r="N1679" s="46">
        <v>0</v>
      </c>
    </row>
    <row r="1680" spans="13:14" x14ac:dyDescent="0.35">
      <c r="M1680" s="46">
        <v>0.23046097343819555</v>
      </c>
      <c r="N1680" s="46">
        <v>0</v>
      </c>
    </row>
    <row r="1681" spans="13:14" x14ac:dyDescent="0.35">
      <c r="M1681" s="46">
        <v>0.24299376762130881</v>
      </c>
      <c r="N1681" s="46">
        <v>0</v>
      </c>
    </row>
    <row r="1682" spans="13:14" x14ac:dyDescent="0.35">
      <c r="M1682" s="46">
        <v>0.25549888707523372</v>
      </c>
      <c r="N1682" s="46">
        <v>0</v>
      </c>
    </row>
    <row r="1683" spans="13:14" x14ac:dyDescent="0.35">
      <c r="M1683" s="46">
        <v>0.26836912004748481</v>
      </c>
      <c r="N1683" s="46">
        <v>0</v>
      </c>
    </row>
    <row r="1684" spans="13:14" x14ac:dyDescent="0.35">
      <c r="M1684" s="46">
        <v>0.28412627986348127</v>
      </c>
      <c r="N1684" s="46">
        <v>0</v>
      </c>
    </row>
    <row r="1685" spans="13:14" x14ac:dyDescent="0.35">
      <c r="M1685" s="46">
        <v>0.30178179255082355</v>
      </c>
      <c r="N1685" s="46">
        <v>0</v>
      </c>
    </row>
    <row r="1686" spans="13:14" x14ac:dyDescent="0.35">
      <c r="M1686" s="46">
        <v>0.33322844635702625</v>
      </c>
      <c r="N1686" s="46">
        <v>0</v>
      </c>
    </row>
    <row r="1687" spans="13:14" x14ac:dyDescent="0.35">
      <c r="M1687" s="46">
        <v>0.36305579462828308</v>
      </c>
      <c r="N1687" s="46">
        <v>0</v>
      </c>
    </row>
    <row r="1688" spans="13:14" x14ac:dyDescent="0.35">
      <c r="M1688" s="46">
        <v>0.3984125983083544</v>
      </c>
      <c r="N1688" s="46">
        <v>0</v>
      </c>
    </row>
    <row r="1689" spans="13:14" x14ac:dyDescent="0.35">
      <c r="M1689" s="46">
        <v>0.42763889301083247</v>
      </c>
      <c r="N1689" s="46">
        <v>0</v>
      </c>
    </row>
    <row r="1690" spans="13:14" x14ac:dyDescent="0.35">
      <c r="M1690" s="46">
        <v>0.48394146015729339</v>
      </c>
      <c r="N1690" s="46">
        <v>0</v>
      </c>
    </row>
    <row r="1691" spans="13:14" x14ac:dyDescent="0.35">
      <c r="M1691" s="46">
        <v>0.62467228075382109</v>
      </c>
      <c r="N1691" s="46">
        <v>0</v>
      </c>
    </row>
    <row r="1692" spans="13:14" x14ac:dyDescent="0.35">
      <c r="M1692" s="46">
        <v>0.77747484790028198</v>
      </c>
      <c r="N1692" s="46">
        <v>0</v>
      </c>
    </row>
    <row r="1693" spans="13:14" x14ac:dyDescent="0.35">
      <c r="M1693" s="46">
        <v>0.90772406885294554</v>
      </c>
      <c r="N1693" s="46">
        <v>0</v>
      </c>
    </row>
    <row r="1694" spans="13:14" x14ac:dyDescent="0.35">
      <c r="M1694" s="46">
        <v>0.93558532423208185</v>
      </c>
      <c r="N1694" s="46">
        <v>0</v>
      </c>
    </row>
    <row r="1695" spans="13:14" x14ac:dyDescent="0.35">
      <c r="M1695" s="46">
        <v>0.91384330019290705</v>
      </c>
      <c r="N1695" s="46">
        <v>0</v>
      </c>
    </row>
    <row r="1696" spans="13:14" x14ac:dyDescent="0.35">
      <c r="M1696" s="46">
        <v>0.85326413414453184</v>
      </c>
      <c r="N1696" s="46">
        <v>0</v>
      </c>
    </row>
    <row r="1697" spans="13:14" x14ac:dyDescent="0.35">
      <c r="M1697" s="46">
        <v>0.8196596676064698</v>
      </c>
      <c r="N1697" s="46">
        <v>0</v>
      </c>
    </row>
    <row r="1698" spans="13:14" x14ac:dyDescent="0.35">
      <c r="M1698" s="46">
        <v>0.76495043775040805</v>
      </c>
      <c r="N1698" s="46">
        <v>0</v>
      </c>
    </row>
    <row r="1699" spans="13:14" x14ac:dyDescent="0.35">
      <c r="M1699" s="46">
        <v>0.70205883662264434</v>
      </c>
      <c r="N1699" s="46">
        <v>0</v>
      </c>
    </row>
    <row r="1700" spans="13:14" x14ac:dyDescent="0.35">
      <c r="M1700" s="46">
        <v>0.65037995251520997</v>
      </c>
      <c r="N1700" s="46">
        <v>0</v>
      </c>
    </row>
    <row r="1701" spans="13:14" x14ac:dyDescent="0.35">
      <c r="M1701" s="46">
        <v>0.63064965128357331</v>
      </c>
      <c r="N1701" s="46">
        <v>0</v>
      </c>
    </row>
    <row r="1702" spans="13:14" x14ac:dyDescent="0.35">
      <c r="M1702" s="46">
        <v>0.63478105060097934</v>
      </c>
      <c r="N1702" s="46">
        <v>0</v>
      </c>
    </row>
    <row r="1703" spans="13:14" x14ac:dyDescent="0.35">
      <c r="M1703" s="46">
        <v>0.63835962308947913</v>
      </c>
      <c r="N1703" s="46">
        <v>0</v>
      </c>
    </row>
    <row r="1704" spans="13:14" x14ac:dyDescent="0.35">
      <c r="M1704" s="46">
        <v>0.61883573230449618</v>
      </c>
      <c r="N1704" s="46">
        <v>0</v>
      </c>
    </row>
    <row r="1705" spans="13:14" x14ac:dyDescent="0.35">
      <c r="M1705" s="46">
        <v>0.60849554830093489</v>
      </c>
      <c r="N1705" s="46">
        <v>0</v>
      </c>
    </row>
    <row r="1706" spans="13:14" x14ac:dyDescent="0.35">
      <c r="M1706" s="46">
        <v>0.59719691348864823</v>
      </c>
      <c r="N1706" s="46">
        <v>0</v>
      </c>
    </row>
    <row r="1707" spans="13:14" x14ac:dyDescent="0.35">
      <c r="M1707" s="46">
        <v>0.60271234604540735</v>
      </c>
      <c r="N1707" s="46">
        <v>0</v>
      </c>
    </row>
    <row r="1708" spans="13:14" x14ac:dyDescent="0.35">
      <c r="M1708" s="46">
        <v>0.60281636741356281</v>
      </c>
      <c r="N1708" s="46">
        <v>0</v>
      </c>
    </row>
    <row r="1709" spans="13:14" x14ac:dyDescent="0.35">
      <c r="M1709" s="46">
        <v>0.59879767027748931</v>
      </c>
      <c r="N1709" s="46">
        <v>0</v>
      </c>
    </row>
    <row r="1710" spans="13:14" x14ac:dyDescent="0.35">
      <c r="M1710" s="46">
        <v>0.59250660335361327</v>
      </c>
      <c r="N1710" s="46">
        <v>0</v>
      </c>
    </row>
    <row r="1711" spans="13:14" x14ac:dyDescent="0.35">
      <c r="M1711" s="46">
        <v>0.58421242024039177</v>
      </c>
      <c r="N1711" s="46">
        <v>0</v>
      </c>
    </row>
    <row r="1712" spans="13:14" x14ac:dyDescent="0.35">
      <c r="M1712" s="46">
        <v>0.57362635405846563</v>
      </c>
      <c r="N1712" s="46">
        <v>0</v>
      </c>
    </row>
    <row r="1713" spans="13:14" x14ac:dyDescent="0.35">
      <c r="M1713" s="46">
        <v>0.56394850868081314</v>
      </c>
      <c r="N1713" s="46">
        <v>0</v>
      </c>
    </row>
    <row r="1714" spans="13:14" x14ac:dyDescent="0.35">
      <c r="M1714" s="46">
        <v>0.58471434930998667</v>
      </c>
      <c r="N1714" s="46">
        <v>0</v>
      </c>
    </row>
    <row r="1715" spans="13:14" x14ac:dyDescent="0.35">
      <c r="M1715" s="46">
        <v>0.66215232230301224</v>
      </c>
      <c r="N1715" s="46">
        <v>0</v>
      </c>
    </row>
    <row r="1716" spans="13:14" x14ac:dyDescent="0.35">
      <c r="M1716" s="46">
        <v>0.75125263392194686</v>
      </c>
      <c r="N1716" s="46">
        <v>0</v>
      </c>
    </row>
    <row r="1717" spans="13:14" x14ac:dyDescent="0.35">
      <c r="M1717" s="46">
        <v>0.83906091408220795</v>
      </c>
      <c r="N1717" s="46">
        <v>0</v>
      </c>
    </row>
    <row r="1718" spans="13:14" x14ac:dyDescent="0.35">
      <c r="M1718" s="46">
        <v>0.88917962605727852</v>
      </c>
      <c r="N1718" s="46">
        <v>0</v>
      </c>
    </row>
    <row r="1719" spans="13:14" x14ac:dyDescent="0.35">
      <c r="M1719" s="46">
        <v>0.90826190829499931</v>
      </c>
      <c r="N1719" s="46">
        <v>0</v>
      </c>
    </row>
    <row r="1720" spans="13:14" x14ac:dyDescent="0.35">
      <c r="M1720" s="46">
        <v>0.89722963347677698</v>
      </c>
      <c r="N1720" s="46">
        <v>0</v>
      </c>
    </row>
    <row r="1721" spans="13:14" x14ac:dyDescent="0.35">
      <c r="M1721" s="46">
        <v>0.87309971805905928</v>
      </c>
      <c r="N1721" s="46">
        <v>0</v>
      </c>
    </row>
    <row r="1722" spans="13:14" x14ac:dyDescent="0.35">
      <c r="M1722" s="46">
        <v>0.82351669387149429</v>
      </c>
      <c r="N1722" s="46">
        <v>0</v>
      </c>
    </row>
    <row r="1723" spans="13:14" x14ac:dyDescent="0.35">
      <c r="M1723" s="46">
        <v>0.72116048375129838</v>
      </c>
      <c r="N1723" s="46">
        <v>0</v>
      </c>
    </row>
    <row r="1724" spans="13:14" x14ac:dyDescent="0.35">
      <c r="M1724" s="46">
        <v>0.56029240243359546</v>
      </c>
      <c r="N1724" s="46">
        <v>0</v>
      </c>
    </row>
    <row r="1725" spans="13:14" x14ac:dyDescent="0.35">
      <c r="M1725" s="46">
        <v>0.46683231933521296</v>
      </c>
      <c r="N1725" s="46">
        <v>0</v>
      </c>
    </row>
    <row r="1726" spans="13:14" x14ac:dyDescent="0.35">
      <c r="M1726" s="46">
        <v>0.4444859771479448</v>
      </c>
      <c r="N1726" s="46">
        <v>0</v>
      </c>
    </row>
    <row r="1727" spans="13:14" x14ac:dyDescent="0.35">
      <c r="M1727" s="46">
        <v>0.45155052678438934</v>
      </c>
      <c r="N1727" s="46">
        <v>0</v>
      </c>
    </row>
    <row r="1728" spans="13:14" x14ac:dyDescent="0.35">
      <c r="M1728" s="46">
        <v>0.46655112034426477</v>
      </c>
      <c r="N1728" s="46">
        <v>0</v>
      </c>
    </row>
    <row r="1729" spans="13:14" x14ac:dyDescent="0.35">
      <c r="M1729" s="46">
        <v>0.49508146609289211</v>
      </c>
      <c r="N1729" s="46">
        <v>0</v>
      </c>
    </row>
    <row r="1730" spans="13:14" x14ac:dyDescent="0.35">
      <c r="M1730" s="46">
        <v>0.52964215759014688</v>
      </c>
      <c r="N1730" s="46">
        <v>0</v>
      </c>
    </row>
    <row r="1731" spans="13:14" x14ac:dyDescent="0.35">
      <c r="M1731" s="46">
        <v>0.56226272443982783</v>
      </c>
      <c r="N1731" s="46">
        <v>0</v>
      </c>
    </row>
    <row r="1732" spans="13:14" x14ac:dyDescent="0.35">
      <c r="M1732" s="46">
        <v>0.58335546817035167</v>
      </c>
      <c r="N1732" s="46">
        <v>0</v>
      </c>
    </row>
    <row r="1733" spans="13:14" x14ac:dyDescent="0.35">
      <c r="M1733" s="46">
        <v>0.58676405994954739</v>
      </c>
      <c r="N1733" s="46">
        <v>0</v>
      </c>
    </row>
    <row r="1734" spans="13:14" x14ac:dyDescent="0.35">
      <c r="M1734" s="46">
        <v>0.58415209971805904</v>
      </c>
      <c r="N1734" s="46">
        <v>0</v>
      </c>
    </row>
    <row r="1735" spans="13:14" x14ac:dyDescent="0.35">
      <c r="M1735" s="46">
        <v>0.58160335361329574</v>
      </c>
      <c r="N1735" s="46">
        <v>0</v>
      </c>
    </row>
    <row r="1736" spans="13:14" x14ac:dyDescent="0.35">
      <c r="M1736" s="46">
        <v>0.57323445615076418</v>
      </c>
      <c r="N1736" s="46">
        <v>0</v>
      </c>
    </row>
    <row r="1737" spans="13:14" x14ac:dyDescent="0.35">
      <c r="M1737" s="46">
        <v>0.56349606766582583</v>
      </c>
      <c r="N1737" s="46">
        <v>0</v>
      </c>
    </row>
    <row r="1738" spans="13:14" x14ac:dyDescent="0.35">
      <c r="M1738" s="46">
        <v>0.55439263985754561</v>
      </c>
      <c r="N1738" s="46">
        <v>0</v>
      </c>
    </row>
    <row r="1739" spans="13:14" x14ac:dyDescent="0.35">
      <c r="M1739" s="46">
        <v>0.57720032645793151</v>
      </c>
      <c r="N1739" s="46">
        <v>0</v>
      </c>
    </row>
    <row r="1740" spans="13:14" x14ac:dyDescent="0.35">
      <c r="M1740" s="46">
        <v>0.61376131473512385</v>
      </c>
      <c r="N1740" s="46">
        <v>0</v>
      </c>
    </row>
    <row r="1741" spans="13:14" x14ac:dyDescent="0.35">
      <c r="M1741" s="46">
        <v>0.6566016471286541</v>
      </c>
      <c r="N1741" s="46">
        <v>0</v>
      </c>
    </row>
    <row r="1742" spans="13:14" x14ac:dyDescent="0.35">
      <c r="M1742" s="46">
        <v>0.69655245585398429</v>
      </c>
      <c r="N1742" s="46">
        <v>0</v>
      </c>
    </row>
    <row r="1743" spans="13:14" x14ac:dyDescent="0.35">
      <c r="M1743" s="46">
        <v>0.71423705297521878</v>
      </c>
      <c r="N1743" s="46">
        <v>0</v>
      </c>
    </row>
    <row r="1744" spans="13:14" x14ac:dyDescent="0.35">
      <c r="M1744" s="46">
        <v>0.69626821486867485</v>
      </c>
      <c r="N1744" s="46">
        <v>0</v>
      </c>
    </row>
    <row r="1745" spans="13:14" x14ac:dyDescent="0.35">
      <c r="M1745" s="46">
        <v>0.64090339813028641</v>
      </c>
      <c r="N1745" s="46">
        <v>0</v>
      </c>
    </row>
    <row r="1746" spans="13:14" x14ac:dyDescent="0.35">
      <c r="M1746" s="46">
        <v>0.57618652619082944</v>
      </c>
      <c r="N1746" s="46">
        <v>0</v>
      </c>
    </row>
    <row r="1747" spans="13:14" x14ac:dyDescent="0.35">
      <c r="M1747" s="46">
        <v>0.5012775634367117</v>
      </c>
      <c r="N1747" s="46">
        <v>0</v>
      </c>
    </row>
    <row r="1748" spans="13:14" x14ac:dyDescent="0.35">
      <c r="M1748" s="46">
        <v>0.42534144531829654</v>
      </c>
      <c r="N1748" s="46">
        <v>0</v>
      </c>
    </row>
    <row r="1749" spans="13:14" x14ac:dyDescent="0.35">
      <c r="M1749" s="46">
        <v>0.38430353168125836</v>
      </c>
      <c r="N1749" s="46">
        <v>0</v>
      </c>
    </row>
    <row r="1750" spans="13:14" x14ac:dyDescent="0.35">
      <c r="M1750" s="46">
        <v>0.39284433892268883</v>
      </c>
      <c r="N1750" s="46">
        <v>0</v>
      </c>
    </row>
    <row r="1751" spans="13:14" x14ac:dyDescent="0.35">
      <c r="M1751" s="46">
        <v>0.40277303754266208</v>
      </c>
      <c r="N1751" s="46">
        <v>0</v>
      </c>
    </row>
    <row r="1752" spans="13:14" x14ac:dyDescent="0.35">
      <c r="M1752" s="46">
        <v>0.40953271998812879</v>
      </c>
      <c r="N1752" s="46">
        <v>0</v>
      </c>
    </row>
    <row r="1753" spans="13:14" x14ac:dyDescent="0.35">
      <c r="M1753" s="46">
        <v>0.43250363555423649</v>
      </c>
      <c r="N1753" s="46">
        <v>0</v>
      </c>
    </row>
    <row r="1754" spans="13:14" x14ac:dyDescent="0.35">
      <c r="M1754" s="46">
        <v>0.45253776524706929</v>
      </c>
      <c r="N1754" s="46">
        <v>0</v>
      </c>
    </row>
    <row r="1755" spans="13:14" x14ac:dyDescent="0.35">
      <c r="M1755" s="46">
        <v>0.47183439679477668</v>
      </c>
      <c r="N1755" s="46">
        <v>0</v>
      </c>
    </row>
    <row r="1756" spans="13:14" x14ac:dyDescent="0.35">
      <c r="M1756" s="46">
        <v>0.48382512242172426</v>
      </c>
      <c r="N1756" s="46">
        <v>0</v>
      </c>
    </row>
    <row r="1757" spans="13:14" x14ac:dyDescent="0.35">
      <c r="M1757" s="46">
        <v>0.49380442202107139</v>
      </c>
      <c r="N1757" s="46">
        <v>0</v>
      </c>
    </row>
    <row r="1758" spans="13:14" x14ac:dyDescent="0.35">
      <c r="M1758" s="46">
        <v>0.49723727556017217</v>
      </c>
      <c r="N1758" s="46">
        <v>0</v>
      </c>
    </row>
    <row r="1759" spans="13:14" x14ac:dyDescent="0.35">
      <c r="M1759" s="46">
        <v>0.49669988128802489</v>
      </c>
      <c r="N1759" s="46">
        <v>0</v>
      </c>
    </row>
    <row r="1760" spans="13:14" x14ac:dyDescent="0.35">
      <c r="M1760" s="46">
        <v>0.49535635851016468</v>
      </c>
      <c r="N1760" s="46">
        <v>0</v>
      </c>
    </row>
    <row r="1761" spans="13:14" x14ac:dyDescent="0.35">
      <c r="M1761" s="46">
        <v>0.49548174803383294</v>
      </c>
      <c r="N1761" s="46">
        <v>0</v>
      </c>
    </row>
    <row r="1762" spans="13:14" x14ac:dyDescent="0.35">
      <c r="M1762" s="46">
        <v>0.55852574565959345</v>
      </c>
      <c r="N1762" s="46">
        <v>0</v>
      </c>
    </row>
    <row r="1763" spans="13:14" x14ac:dyDescent="0.35">
      <c r="M1763" s="46">
        <v>0.70143389226888253</v>
      </c>
      <c r="N1763" s="46">
        <v>0</v>
      </c>
    </row>
    <row r="1764" spans="13:14" x14ac:dyDescent="0.35">
      <c r="M1764" s="46">
        <v>0.8298325419201662</v>
      </c>
      <c r="N1764" s="46">
        <v>0</v>
      </c>
    </row>
    <row r="1765" spans="13:14" x14ac:dyDescent="0.35">
      <c r="M1765" s="46">
        <v>0.92007130138002668</v>
      </c>
      <c r="N1765" s="46">
        <v>0</v>
      </c>
    </row>
    <row r="1766" spans="13:14" x14ac:dyDescent="0.35">
      <c r="M1766" s="46">
        <v>1</v>
      </c>
      <c r="N1766" s="46">
        <v>2.343023243179455E-2</v>
      </c>
    </row>
    <row r="1767" spans="13:14" x14ac:dyDescent="0.35">
      <c r="M1767" s="46">
        <v>1</v>
      </c>
      <c r="N1767" s="46">
        <v>8.8937516647151452E-2</v>
      </c>
    </row>
    <row r="1768" spans="13:14" x14ac:dyDescent="0.35">
      <c r="M1768" s="46">
        <v>1</v>
      </c>
      <c r="N1768" s="46">
        <v>9.0173259974784661E-2</v>
      </c>
    </row>
    <row r="1769" spans="13:14" x14ac:dyDescent="0.35">
      <c r="M1769" s="46">
        <v>1</v>
      </c>
      <c r="N1769" s="46">
        <v>1.8890170257557508E-2</v>
      </c>
    </row>
    <row r="1770" spans="13:14" x14ac:dyDescent="0.35">
      <c r="M1770" s="46">
        <v>0.91178876687935895</v>
      </c>
      <c r="N1770" s="46">
        <v>0</v>
      </c>
    </row>
    <row r="1771" spans="13:14" x14ac:dyDescent="0.35">
      <c r="M1771" s="46">
        <v>0.7779392343077608</v>
      </c>
      <c r="N1771" s="46">
        <v>0</v>
      </c>
    </row>
    <row r="1772" spans="13:14" x14ac:dyDescent="0.35">
      <c r="M1772" s="46">
        <v>0.62466129989612695</v>
      </c>
      <c r="N1772" s="46">
        <v>0</v>
      </c>
    </row>
    <row r="1773" spans="13:14" x14ac:dyDescent="0.35">
      <c r="M1773" s="46">
        <v>0.52917072265914822</v>
      </c>
      <c r="N1773" s="46">
        <v>0</v>
      </c>
    </row>
    <row r="1774" spans="13:14" x14ac:dyDescent="0.35">
      <c r="M1774" s="46">
        <v>0.52375463718652615</v>
      </c>
      <c r="N1774" s="46">
        <v>0</v>
      </c>
    </row>
    <row r="1775" spans="13:14" x14ac:dyDescent="0.35">
      <c r="M1775" s="46">
        <v>0.52952344561507647</v>
      </c>
      <c r="N1775" s="46">
        <v>0</v>
      </c>
    </row>
    <row r="1776" spans="13:14" x14ac:dyDescent="0.35">
      <c r="M1776" s="46">
        <v>0.52389850126131476</v>
      </c>
      <c r="N1776" s="46">
        <v>0</v>
      </c>
    </row>
    <row r="1777" spans="13:14" x14ac:dyDescent="0.35">
      <c r="M1777" s="46">
        <v>0.52708569520700399</v>
      </c>
      <c r="N1777" s="46">
        <v>0</v>
      </c>
    </row>
    <row r="1778" spans="13:14" x14ac:dyDescent="0.35">
      <c r="M1778" s="46">
        <v>0.52771190087550079</v>
      </c>
      <c r="N1778" s="46">
        <v>0</v>
      </c>
    </row>
    <row r="1779" spans="13:14" x14ac:dyDescent="0.35">
      <c r="M1779" s="46">
        <v>0.53226546965425137</v>
      </c>
      <c r="N1779" s="46">
        <v>0</v>
      </c>
    </row>
    <row r="1780" spans="13:14" x14ac:dyDescent="0.35">
      <c r="M1780" s="46">
        <v>0.53869312954444282</v>
      </c>
      <c r="N1780" s="46">
        <v>0</v>
      </c>
    </row>
    <row r="1781" spans="13:14" x14ac:dyDescent="0.35">
      <c r="M1781" s="46">
        <v>0.54995815402878767</v>
      </c>
      <c r="N1781" s="46">
        <v>0</v>
      </c>
    </row>
    <row r="1782" spans="13:14" x14ac:dyDescent="0.35">
      <c r="M1782" s="46">
        <v>0.55111247959637932</v>
      </c>
      <c r="N1782" s="46">
        <v>0</v>
      </c>
    </row>
    <row r="1783" spans="13:14" x14ac:dyDescent="0.35">
      <c r="M1783" s="46">
        <v>0.54966167087104911</v>
      </c>
      <c r="N1783" s="46">
        <v>0</v>
      </c>
    </row>
    <row r="1784" spans="13:14" x14ac:dyDescent="0.35">
      <c r="M1784" s="46">
        <v>0.55344005045258948</v>
      </c>
      <c r="N1784" s="46">
        <v>0</v>
      </c>
    </row>
    <row r="1785" spans="13:14" x14ac:dyDescent="0.35">
      <c r="M1785" s="46">
        <v>0.55776999554830087</v>
      </c>
      <c r="N1785" s="46">
        <v>0</v>
      </c>
    </row>
    <row r="1786" spans="13:14" x14ac:dyDescent="0.35">
      <c r="M1786" s="46">
        <v>0.60156492061136668</v>
      </c>
      <c r="N1786" s="46">
        <v>0</v>
      </c>
    </row>
    <row r="1787" spans="13:14" x14ac:dyDescent="0.35">
      <c r="M1787" s="46">
        <v>0.71079663154770734</v>
      </c>
      <c r="N1787" s="46">
        <v>0</v>
      </c>
    </row>
    <row r="1788" spans="13:14" x14ac:dyDescent="0.35">
      <c r="M1788" s="46">
        <v>0.84307182074491771</v>
      </c>
      <c r="N1788" s="46">
        <v>0</v>
      </c>
    </row>
    <row r="1789" spans="13:14" x14ac:dyDescent="0.35">
      <c r="M1789" s="46">
        <v>0.9626376316960974</v>
      </c>
      <c r="N1789" s="46">
        <v>0</v>
      </c>
    </row>
    <row r="1790" spans="13:14" x14ac:dyDescent="0.35">
      <c r="M1790" s="46">
        <v>1</v>
      </c>
      <c r="N1790" s="46">
        <v>6.5399930508262177E-2</v>
      </c>
    </row>
    <row r="1791" spans="13:14" x14ac:dyDescent="0.35">
      <c r="M1791" s="46">
        <v>1</v>
      </c>
      <c r="N1791" s="46">
        <v>0.10977625510884995</v>
      </c>
    </row>
    <row r="1792" spans="13:14" x14ac:dyDescent="0.35">
      <c r="M1792" s="46">
        <v>1</v>
      </c>
      <c r="N1792" s="46">
        <v>8.5172068082624591E-2</v>
      </c>
    </row>
    <row r="1793" spans="13:14" x14ac:dyDescent="0.35">
      <c r="M1793" s="46">
        <v>0.99774870158777262</v>
      </c>
      <c r="N1793" s="46">
        <v>0</v>
      </c>
    </row>
    <row r="1794" spans="13:14" x14ac:dyDescent="0.35">
      <c r="M1794" s="46">
        <v>0.91083172577533766</v>
      </c>
      <c r="N1794" s="46">
        <v>0</v>
      </c>
    </row>
    <row r="1795" spans="13:14" x14ac:dyDescent="0.35">
      <c r="M1795" s="46">
        <v>0.79949918385517138</v>
      </c>
      <c r="N1795" s="46">
        <v>0</v>
      </c>
    </row>
    <row r="1796" spans="13:14" x14ac:dyDescent="0.35">
      <c r="M1796" s="46">
        <v>0.68826502448434479</v>
      </c>
      <c r="N1796" s="46">
        <v>0</v>
      </c>
    </row>
    <row r="1797" spans="13:14" x14ac:dyDescent="0.35">
      <c r="M1797" s="46">
        <v>0.61540250779047334</v>
      </c>
      <c r="N1797" s="46">
        <v>0</v>
      </c>
    </row>
    <row r="1798" spans="13:14" x14ac:dyDescent="0.35">
      <c r="M1798" s="46">
        <v>0.60557337883959039</v>
      </c>
      <c r="N1798" s="46">
        <v>0</v>
      </c>
    </row>
    <row r="1799" spans="13:14" x14ac:dyDescent="0.35">
      <c r="M1799" s="46">
        <v>0.60754251372607204</v>
      </c>
      <c r="N1799" s="46">
        <v>0</v>
      </c>
    </row>
    <row r="1800" spans="13:14" x14ac:dyDescent="0.35">
      <c r="M1800" s="46">
        <v>0.61656380768660046</v>
      </c>
      <c r="N1800" s="46">
        <v>0</v>
      </c>
    </row>
    <row r="1801" spans="13:14" x14ac:dyDescent="0.35">
      <c r="M1801" s="46">
        <v>0.62552752633921949</v>
      </c>
      <c r="N1801" s="46">
        <v>0</v>
      </c>
    </row>
    <row r="1802" spans="13:14" x14ac:dyDescent="0.35">
      <c r="M1802" s="46">
        <v>0.62708079833803232</v>
      </c>
      <c r="N1802" s="46">
        <v>0</v>
      </c>
    </row>
    <row r="1803" spans="13:14" x14ac:dyDescent="0.35">
      <c r="M1803" s="46">
        <v>0.62690621753969422</v>
      </c>
      <c r="N1803" s="46">
        <v>0</v>
      </c>
    </row>
    <row r="1804" spans="13:14" x14ac:dyDescent="0.35">
      <c r="M1804" s="46">
        <v>0.62203138447840922</v>
      </c>
      <c r="N1804" s="46">
        <v>0</v>
      </c>
    </row>
    <row r="1805" spans="13:14" x14ac:dyDescent="0.35">
      <c r="M1805" s="46">
        <v>0.6175580946728001</v>
      </c>
      <c r="N1805" s="46">
        <v>0</v>
      </c>
    </row>
    <row r="1806" spans="13:14" x14ac:dyDescent="0.35">
      <c r="M1806" s="46">
        <v>0.60782163525745658</v>
      </c>
      <c r="N1806" s="46">
        <v>0</v>
      </c>
    </row>
    <row r="1807" spans="13:14" x14ac:dyDescent="0.35">
      <c r="M1807" s="46">
        <v>0.59200140970470394</v>
      </c>
      <c r="N1807" s="46">
        <v>0</v>
      </c>
    </row>
    <row r="1808" spans="13:14" x14ac:dyDescent="0.35">
      <c r="M1808" s="46">
        <v>0.57039686897165753</v>
      </c>
      <c r="N1808" s="46">
        <v>0</v>
      </c>
    </row>
    <row r="1809" spans="13:14" x14ac:dyDescent="0.35">
      <c r="M1809" s="46">
        <v>0.56004281050600979</v>
      </c>
      <c r="N1809" s="46">
        <v>0</v>
      </c>
    </row>
    <row r="1810" spans="13:14" x14ac:dyDescent="0.35">
      <c r="M1810" s="46">
        <v>0.58146238314289955</v>
      </c>
      <c r="N1810" s="46">
        <v>0</v>
      </c>
    </row>
    <row r="1811" spans="13:14" x14ac:dyDescent="0.35">
      <c r="M1811" s="46">
        <v>0.65745622495919276</v>
      </c>
      <c r="N1811" s="46">
        <v>0</v>
      </c>
    </row>
    <row r="1812" spans="13:14" x14ac:dyDescent="0.35">
      <c r="M1812" s="46">
        <v>0.742987609437602</v>
      </c>
      <c r="N1812" s="46">
        <v>0</v>
      </c>
    </row>
    <row r="1813" spans="13:14" x14ac:dyDescent="0.35">
      <c r="M1813" s="46">
        <v>0.82797254785576502</v>
      </c>
      <c r="N1813" s="46">
        <v>0</v>
      </c>
    </row>
    <row r="1814" spans="13:14" x14ac:dyDescent="0.35">
      <c r="M1814" s="46">
        <v>0.87005876242765989</v>
      </c>
      <c r="N1814" s="46">
        <v>0</v>
      </c>
    </row>
    <row r="1815" spans="13:14" x14ac:dyDescent="0.35">
      <c r="M1815" s="46">
        <v>0.88664008013058315</v>
      </c>
      <c r="N1815" s="46">
        <v>0</v>
      </c>
    </row>
    <row r="1816" spans="13:14" x14ac:dyDescent="0.35">
      <c r="M1816" s="46">
        <v>0.86517139041400803</v>
      </c>
      <c r="N1816" s="46">
        <v>0</v>
      </c>
    </row>
    <row r="1817" spans="13:14" x14ac:dyDescent="0.35">
      <c r="M1817" s="46">
        <v>0.88480397685116496</v>
      </c>
      <c r="N1817" s="46">
        <v>0</v>
      </c>
    </row>
    <row r="1818" spans="13:14" x14ac:dyDescent="0.35">
      <c r="M1818" s="46">
        <v>0.87584389375278227</v>
      </c>
      <c r="N1818" s="46">
        <v>0</v>
      </c>
    </row>
    <row r="1819" spans="13:14" x14ac:dyDescent="0.35">
      <c r="M1819" s="46">
        <v>0.82545659593411491</v>
      </c>
      <c r="N1819" s="46">
        <v>0</v>
      </c>
    </row>
    <row r="1820" spans="13:14" x14ac:dyDescent="0.35">
      <c r="M1820" s="46">
        <v>0.71050341296928332</v>
      </c>
      <c r="N1820" s="46">
        <v>0</v>
      </c>
    </row>
    <row r="1821" spans="13:14" x14ac:dyDescent="0.35">
      <c r="M1821" s="46">
        <v>0.63292365336103285</v>
      </c>
      <c r="N1821" s="46">
        <v>0</v>
      </c>
    </row>
    <row r="1822" spans="13:14" x14ac:dyDescent="0.35">
      <c r="M1822" s="46">
        <v>0.62400964534797443</v>
      </c>
      <c r="N1822" s="46">
        <v>0</v>
      </c>
    </row>
    <row r="1823" spans="13:14" x14ac:dyDescent="0.35">
      <c r="M1823" s="46">
        <v>0.62526190829499928</v>
      </c>
      <c r="N1823" s="46">
        <v>0</v>
      </c>
    </row>
    <row r="1824" spans="13:14" x14ac:dyDescent="0.35">
      <c r="M1824" s="46">
        <v>0.6100692981154473</v>
      </c>
      <c r="N1824" s="46">
        <v>0</v>
      </c>
    </row>
    <row r="1825" spans="13:14" x14ac:dyDescent="0.35">
      <c r="M1825" s="46">
        <v>0.59028223772073007</v>
      </c>
      <c r="N1825" s="46">
        <v>0</v>
      </c>
    </row>
    <row r="1826" spans="13:14" x14ac:dyDescent="0.35">
      <c r="M1826" s="46">
        <v>0.56952589404956222</v>
      </c>
      <c r="N1826" s="46">
        <v>0</v>
      </c>
    </row>
    <row r="1827" spans="13:14" x14ac:dyDescent="0.35">
      <c r="M1827" s="46">
        <v>0.56338484938418165</v>
      </c>
      <c r="N1827" s="46">
        <v>0</v>
      </c>
    </row>
    <row r="1828" spans="13:14" x14ac:dyDescent="0.35">
      <c r="M1828" s="46">
        <v>0.56538121382994511</v>
      </c>
      <c r="N1828" s="46">
        <v>0</v>
      </c>
    </row>
    <row r="1829" spans="13:14" x14ac:dyDescent="0.35">
      <c r="M1829" s="46">
        <v>0.5750300489686897</v>
      </c>
      <c r="N1829" s="46">
        <v>0</v>
      </c>
    </row>
    <row r="1830" spans="13:14" x14ac:dyDescent="0.35">
      <c r="M1830" s="46">
        <v>0.57339204629767027</v>
      </c>
      <c r="N1830" s="46">
        <v>0</v>
      </c>
    </row>
    <row r="1831" spans="13:14" x14ac:dyDescent="0.35">
      <c r="M1831" s="46">
        <v>0.5724698026413414</v>
      </c>
      <c r="N1831" s="46">
        <v>0</v>
      </c>
    </row>
    <row r="1832" spans="13:14" x14ac:dyDescent="0.35">
      <c r="M1832" s="46">
        <v>0.57847054459118563</v>
      </c>
      <c r="N1832" s="46">
        <v>0</v>
      </c>
    </row>
    <row r="1833" spans="13:14" x14ac:dyDescent="0.35">
      <c r="M1833" s="46">
        <v>0.57920151357768213</v>
      </c>
      <c r="N1833" s="46">
        <v>0</v>
      </c>
    </row>
    <row r="1834" spans="13:14" x14ac:dyDescent="0.35">
      <c r="M1834" s="46">
        <v>0.61338907849829349</v>
      </c>
      <c r="N1834" s="46">
        <v>0</v>
      </c>
    </row>
    <row r="1835" spans="13:14" x14ac:dyDescent="0.35">
      <c r="M1835" s="46">
        <v>0.71572280753821049</v>
      </c>
      <c r="N1835" s="46">
        <v>0</v>
      </c>
    </row>
    <row r="1836" spans="13:14" x14ac:dyDescent="0.35">
      <c r="M1836" s="46">
        <v>0.84750860661819261</v>
      </c>
      <c r="N1836" s="46">
        <v>0</v>
      </c>
    </row>
    <row r="1837" spans="13:14" x14ac:dyDescent="0.35">
      <c r="M1837" s="46">
        <v>0.96233936785873275</v>
      </c>
      <c r="N1837" s="46">
        <v>0</v>
      </c>
    </row>
    <row r="1838" spans="13:14" x14ac:dyDescent="0.35">
      <c r="M1838" s="46">
        <v>0.97507604985902963</v>
      </c>
      <c r="N1838" s="46">
        <v>0</v>
      </c>
    </row>
    <row r="1839" spans="13:14" x14ac:dyDescent="0.35">
      <c r="M1839" s="46">
        <v>0.92031236088440416</v>
      </c>
      <c r="N1839" s="46">
        <v>0</v>
      </c>
    </row>
    <row r="1840" spans="13:14" x14ac:dyDescent="0.35">
      <c r="M1840" s="46">
        <v>0.81606454963644459</v>
      </c>
      <c r="N1840" s="46">
        <v>0</v>
      </c>
    </row>
    <row r="1841" spans="13:14" x14ac:dyDescent="0.35">
      <c r="M1841" s="46">
        <v>0.80993967947766732</v>
      </c>
      <c r="N1841" s="46">
        <v>0</v>
      </c>
    </row>
    <row r="1842" spans="13:14" x14ac:dyDescent="0.35">
      <c r="M1842" s="46">
        <v>0.76359252114557064</v>
      </c>
      <c r="N1842" s="46">
        <v>0</v>
      </c>
    </row>
    <row r="1843" spans="13:14" x14ac:dyDescent="0.35">
      <c r="M1843" s="46">
        <v>0.66521204926546962</v>
      </c>
      <c r="N1843" s="46">
        <v>0</v>
      </c>
    </row>
    <row r="1844" spans="13:14" x14ac:dyDescent="0.35">
      <c r="M1844" s="46">
        <v>0.5226680516397092</v>
      </c>
      <c r="N1844" s="46">
        <v>0</v>
      </c>
    </row>
    <row r="1845" spans="13:14" x14ac:dyDescent="0.35">
      <c r="M1845" s="46">
        <v>0.43017932927734087</v>
      </c>
      <c r="N1845" s="46">
        <v>0</v>
      </c>
    </row>
    <row r="1846" spans="13:14" x14ac:dyDescent="0.35">
      <c r="M1846" s="46">
        <v>0.43701372607211753</v>
      </c>
      <c r="N1846" s="46">
        <v>0</v>
      </c>
    </row>
    <row r="1847" spans="13:14" x14ac:dyDescent="0.35">
      <c r="M1847" s="46">
        <v>0.46981903843300188</v>
      </c>
      <c r="N1847" s="46">
        <v>0</v>
      </c>
    </row>
    <row r="1848" spans="13:14" x14ac:dyDescent="0.35">
      <c r="M1848" s="46">
        <v>0.50649117079685413</v>
      </c>
      <c r="N1848" s="46">
        <v>0</v>
      </c>
    </row>
    <row r="1849" spans="13:14" x14ac:dyDescent="0.35">
      <c r="M1849" s="46">
        <v>0.56196253153286835</v>
      </c>
      <c r="N1849" s="46">
        <v>0</v>
      </c>
    </row>
    <row r="1850" spans="13:14" x14ac:dyDescent="0.35">
      <c r="M1850" s="46">
        <v>0.59251231636741364</v>
      </c>
      <c r="N1850" s="46">
        <v>0</v>
      </c>
    </row>
    <row r="1851" spans="13:14" x14ac:dyDescent="0.35">
      <c r="M1851" s="46">
        <v>0.6196675322748183</v>
      </c>
      <c r="N1851" s="46">
        <v>0</v>
      </c>
    </row>
    <row r="1852" spans="13:14" x14ac:dyDescent="0.35">
      <c r="M1852" s="46">
        <v>0.62751869713607356</v>
      </c>
      <c r="N1852" s="46">
        <v>0</v>
      </c>
    </row>
    <row r="1853" spans="13:14" x14ac:dyDescent="0.35">
      <c r="M1853" s="46">
        <v>0.63254807834990356</v>
      </c>
      <c r="N1853" s="46">
        <v>0</v>
      </c>
    </row>
    <row r="1854" spans="13:14" x14ac:dyDescent="0.35">
      <c r="M1854" s="46">
        <v>0.63205987535242625</v>
      </c>
      <c r="N1854" s="46">
        <v>0</v>
      </c>
    </row>
    <row r="1855" spans="13:14" x14ac:dyDescent="0.35">
      <c r="M1855" s="46">
        <v>0.63031488351387444</v>
      </c>
      <c r="N1855" s="46">
        <v>0</v>
      </c>
    </row>
    <row r="1856" spans="13:14" x14ac:dyDescent="0.35">
      <c r="M1856" s="46">
        <v>0.62785902952960382</v>
      </c>
      <c r="N1856" s="46">
        <v>0</v>
      </c>
    </row>
    <row r="1857" spans="13:14" x14ac:dyDescent="0.35">
      <c r="M1857" s="46">
        <v>0.62656551417124207</v>
      </c>
      <c r="N1857" s="46">
        <v>0</v>
      </c>
    </row>
    <row r="1858" spans="13:14" x14ac:dyDescent="0.35">
      <c r="M1858" s="46">
        <v>0.66206573675619529</v>
      </c>
      <c r="N1858" s="46">
        <v>0</v>
      </c>
    </row>
    <row r="1859" spans="13:14" x14ac:dyDescent="0.35">
      <c r="M1859" s="46">
        <v>0.74254473957560474</v>
      </c>
      <c r="N1859" s="46">
        <v>0</v>
      </c>
    </row>
    <row r="1860" spans="13:14" x14ac:dyDescent="0.35">
      <c r="M1860" s="46">
        <v>0.82762257011426033</v>
      </c>
      <c r="N1860" s="46">
        <v>0</v>
      </c>
    </row>
    <row r="1861" spans="13:14" x14ac:dyDescent="0.35">
      <c r="M1861" s="46">
        <v>0.89808703071672347</v>
      </c>
      <c r="N1861" s="46">
        <v>0</v>
      </c>
    </row>
    <row r="1862" spans="13:14" x14ac:dyDescent="0.35">
      <c r="M1862" s="46">
        <v>0.96306306573675626</v>
      </c>
      <c r="N1862" s="46">
        <v>0</v>
      </c>
    </row>
    <row r="1863" spans="13:14" x14ac:dyDescent="0.35">
      <c r="M1863" s="46">
        <v>0.99059823415937076</v>
      </c>
      <c r="N1863" s="46">
        <v>0</v>
      </c>
    </row>
    <row r="1864" spans="13:14" x14ac:dyDescent="0.35">
      <c r="M1864" s="46">
        <v>0.96421472028490873</v>
      </c>
      <c r="N1864" s="46">
        <v>0</v>
      </c>
    </row>
    <row r="1865" spans="13:14" x14ac:dyDescent="0.35">
      <c r="M1865" s="46">
        <v>0.87666204184597118</v>
      </c>
      <c r="N1865" s="46">
        <v>0</v>
      </c>
    </row>
    <row r="1866" spans="13:14" x14ac:dyDescent="0.35">
      <c r="M1866" s="46">
        <v>0.76751313251224218</v>
      </c>
      <c r="N1866" s="46">
        <v>0</v>
      </c>
    </row>
    <row r="1867" spans="13:14" x14ac:dyDescent="0.35">
      <c r="M1867" s="46">
        <v>0.63602530048968686</v>
      </c>
      <c r="N1867" s="46">
        <v>0</v>
      </c>
    </row>
    <row r="1868" spans="13:14" x14ac:dyDescent="0.35">
      <c r="M1868" s="46">
        <v>0.50380761240540139</v>
      </c>
      <c r="N1868" s="46">
        <v>0</v>
      </c>
    </row>
    <row r="1869" spans="13:14" x14ac:dyDescent="0.35">
      <c r="M1869" s="46">
        <v>0.40365291586288771</v>
      </c>
      <c r="N1869" s="46">
        <v>0</v>
      </c>
    </row>
    <row r="1870" spans="13:14" x14ac:dyDescent="0.35">
      <c r="M1870" s="46">
        <v>0.37123171093634072</v>
      </c>
      <c r="N1870" s="46">
        <v>0</v>
      </c>
    </row>
    <row r="1871" spans="13:14" x14ac:dyDescent="0.35">
      <c r="M1871" s="46">
        <v>0.34965625463718658</v>
      </c>
      <c r="N1871" s="46">
        <v>0</v>
      </c>
    </row>
    <row r="1872" spans="13:14" x14ac:dyDescent="0.35">
      <c r="M1872" s="46">
        <v>0.32110268585843599</v>
      </c>
      <c r="N1872" s="46">
        <v>0</v>
      </c>
    </row>
    <row r="1873" spans="13:14" x14ac:dyDescent="0.35">
      <c r="M1873" s="46">
        <v>0.30100860661819262</v>
      </c>
      <c r="N1873" s="46">
        <v>0</v>
      </c>
    </row>
    <row r="1874" spans="13:14" x14ac:dyDescent="0.35">
      <c r="M1874" s="46">
        <v>0.28320626205668498</v>
      </c>
      <c r="N1874" s="46">
        <v>0</v>
      </c>
    </row>
    <row r="1875" spans="13:14" x14ac:dyDescent="0.35">
      <c r="M1875" s="46">
        <v>0.27442988573972399</v>
      </c>
      <c r="N1875" s="46">
        <v>0</v>
      </c>
    </row>
    <row r="1876" spans="13:14" x14ac:dyDescent="0.35">
      <c r="M1876" s="46">
        <v>0.26740161745066038</v>
      </c>
      <c r="N1876" s="46">
        <v>0</v>
      </c>
    </row>
    <row r="1877" spans="13:14" x14ac:dyDescent="0.35">
      <c r="M1877" s="46">
        <v>0.26238855913340259</v>
      </c>
      <c r="N1877" s="46">
        <v>0</v>
      </c>
    </row>
    <row r="1878" spans="13:14" x14ac:dyDescent="0.35">
      <c r="M1878" s="46">
        <v>0.25962175396943166</v>
      </c>
      <c r="N1878" s="46">
        <v>0</v>
      </c>
    </row>
    <row r="1879" spans="13:14" x14ac:dyDescent="0.35">
      <c r="M1879" s="46">
        <v>0.25475137260721176</v>
      </c>
      <c r="N1879" s="46">
        <v>0</v>
      </c>
    </row>
    <row r="1880" spans="13:14" x14ac:dyDescent="0.35">
      <c r="M1880" s="46">
        <v>0.24907805312360884</v>
      </c>
      <c r="N1880" s="46">
        <v>0</v>
      </c>
    </row>
    <row r="1881" spans="13:14" x14ac:dyDescent="0.35">
      <c r="M1881" s="46">
        <v>0.22954956224959194</v>
      </c>
      <c r="N1881" s="46">
        <v>0</v>
      </c>
    </row>
    <row r="1882" spans="13:14" x14ac:dyDescent="0.35">
      <c r="M1882" s="46">
        <v>0.25921932037394269</v>
      </c>
      <c r="N1882" s="46">
        <v>0</v>
      </c>
    </row>
    <row r="1883" spans="13:14" x14ac:dyDescent="0.35">
      <c r="M1883" s="46">
        <v>0.36546045407330469</v>
      </c>
      <c r="N1883" s="46">
        <v>0</v>
      </c>
    </row>
    <row r="1884" spans="13:14" x14ac:dyDescent="0.35">
      <c r="M1884" s="46">
        <v>0.478256195281199</v>
      </c>
      <c r="N1884" s="46">
        <v>0</v>
      </c>
    </row>
    <row r="1885" spans="13:14" x14ac:dyDescent="0.35">
      <c r="M1885" s="46">
        <v>0.56948872236236836</v>
      </c>
      <c r="N1885" s="46">
        <v>0</v>
      </c>
    </row>
    <row r="1886" spans="13:14" x14ac:dyDescent="0.35">
      <c r="M1886" s="46">
        <v>0.63060943760201804</v>
      </c>
      <c r="N1886" s="46">
        <v>0</v>
      </c>
    </row>
    <row r="1887" spans="13:14" x14ac:dyDescent="0.35">
      <c r="M1887" s="46">
        <v>0.65685301973586585</v>
      </c>
      <c r="N1887" s="46">
        <v>0</v>
      </c>
    </row>
    <row r="1888" spans="13:14" x14ac:dyDescent="0.35">
      <c r="M1888" s="46">
        <v>0.64583246772518188</v>
      </c>
      <c r="N1888" s="46">
        <v>0</v>
      </c>
    </row>
    <row r="1889" spans="13:14" x14ac:dyDescent="0.35">
      <c r="M1889" s="46">
        <v>0.60527259237275555</v>
      </c>
      <c r="N1889" s="46">
        <v>0</v>
      </c>
    </row>
    <row r="1890" spans="13:14" x14ac:dyDescent="0.35">
      <c r="M1890" s="46">
        <v>0.51936296186377806</v>
      </c>
      <c r="N1890" s="46">
        <v>0</v>
      </c>
    </row>
    <row r="1891" spans="13:14" x14ac:dyDescent="0.35">
      <c r="M1891" s="46">
        <v>0.38762375723401099</v>
      </c>
      <c r="N1891" s="46">
        <v>0</v>
      </c>
    </row>
    <row r="1892" spans="13:14" x14ac:dyDescent="0.35">
      <c r="M1892" s="46">
        <v>0.22697915120937823</v>
      </c>
      <c r="N1892" s="46">
        <v>0</v>
      </c>
    </row>
    <row r="1893" spans="13:14" x14ac:dyDescent="0.35">
      <c r="M1893" s="46">
        <v>0.11317205816886779</v>
      </c>
      <c r="N1893" s="46">
        <v>0</v>
      </c>
    </row>
    <row r="1894" spans="13:14" x14ac:dyDescent="0.35">
      <c r="M1894" s="46">
        <v>8.608695652173913E-2</v>
      </c>
      <c r="N1894" s="46">
        <v>0</v>
      </c>
    </row>
    <row r="1895" spans="13:14" x14ac:dyDescent="0.35">
      <c r="M1895" s="46">
        <v>7.3521664935450357E-2</v>
      </c>
      <c r="N1895" s="46">
        <v>0</v>
      </c>
    </row>
    <row r="1896" spans="13:14" x14ac:dyDescent="0.35">
      <c r="M1896" s="46">
        <v>5.8195355393975363E-2</v>
      </c>
      <c r="N1896" s="46">
        <v>0</v>
      </c>
    </row>
    <row r="1897" spans="13:14" x14ac:dyDescent="0.35">
      <c r="M1897" s="46">
        <v>5.0272443982786762E-2</v>
      </c>
      <c r="N1897" s="46">
        <v>0</v>
      </c>
    </row>
    <row r="1898" spans="13:14" x14ac:dyDescent="0.35">
      <c r="M1898" s="46">
        <v>4.5740688529455412E-2</v>
      </c>
      <c r="N1898" s="46">
        <v>0</v>
      </c>
    </row>
    <row r="1899" spans="13:14" x14ac:dyDescent="0.35">
      <c r="M1899" s="46">
        <v>4.3547262205074933E-2</v>
      </c>
      <c r="N1899" s="46">
        <v>0</v>
      </c>
    </row>
    <row r="1900" spans="13:14" x14ac:dyDescent="0.35">
      <c r="M1900" s="46">
        <v>4.4762576049859025E-2</v>
      </c>
      <c r="N1900" s="46">
        <v>0</v>
      </c>
    </row>
    <row r="1901" spans="13:14" x14ac:dyDescent="0.35">
      <c r="M1901" s="46">
        <v>4.7611292476628583E-2</v>
      </c>
      <c r="N1901" s="46">
        <v>0</v>
      </c>
    </row>
    <row r="1902" spans="13:14" x14ac:dyDescent="0.35">
      <c r="M1902" s="46">
        <v>4.9231488351387451E-2</v>
      </c>
      <c r="N1902" s="46">
        <v>0</v>
      </c>
    </row>
    <row r="1903" spans="13:14" x14ac:dyDescent="0.35">
      <c r="M1903" s="46">
        <v>5.0439011722807542E-2</v>
      </c>
      <c r="N1903" s="46">
        <v>0</v>
      </c>
    </row>
    <row r="1904" spans="13:14" x14ac:dyDescent="0.35">
      <c r="M1904" s="46">
        <v>5.1073378839590441E-2</v>
      </c>
      <c r="N1904" s="46">
        <v>0</v>
      </c>
    </row>
    <row r="1905" spans="13:14" x14ac:dyDescent="0.35">
      <c r="M1905" s="46">
        <v>5.2170871049117079E-2</v>
      </c>
      <c r="N1905" s="46">
        <v>0</v>
      </c>
    </row>
    <row r="1906" spans="13:14" x14ac:dyDescent="0.35">
      <c r="M1906" s="46">
        <v>9.2377726665677395E-2</v>
      </c>
      <c r="N1906" s="46">
        <v>0</v>
      </c>
    </row>
    <row r="1907" spans="13:14" x14ac:dyDescent="0.35">
      <c r="M1907" s="46">
        <v>0.19594806351090666</v>
      </c>
      <c r="N1907" s="46">
        <v>0</v>
      </c>
    </row>
    <row r="1908" spans="13:14" x14ac:dyDescent="0.35">
      <c r="M1908" s="46">
        <v>0.32416508384033238</v>
      </c>
      <c r="N1908" s="46">
        <v>0</v>
      </c>
    </row>
    <row r="1909" spans="13:14" x14ac:dyDescent="0.35">
      <c r="M1909" s="46">
        <v>0.44598330612850567</v>
      </c>
      <c r="N1909" s="46">
        <v>0</v>
      </c>
    </row>
    <row r="1910" spans="13:14" x14ac:dyDescent="0.35">
      <c r="M1910" s="46">
        <v>0.55769142305980113</v>
      </c>
      <c r="N1910" s="46">
        <v>0</v>
      </c>
    </row>
    <row r="1911" spans="13:14" x14ac:dyDescent="0.35">
      <c r="M1911" s="46">
        <v>0.62649450957115305</v>
      </c>
      <c r="N1911" s="46">
        <v>0</v>
      </c>
    </row>
    <row r="1912" spans="13:14" x14ac:dyDescent="0.35">
      <c r="M1912" s="46">
        <v>0.64603516842261466</v>
      </c>
      <c r="N1912" s="46">
        <v>0</v>
      </c>
    </row>
    <row r="1913" spans="13:14" x14ac:dyDescent="0.35">
      <c r="M1913" s="46">
        <v>0.57561900875500815</v>
      </c>
      <c r="N1913" s="46">
        <v>0</v>
      </c>
    </row>
    <row r="1914" spans="13:14" x14ac:dyDescent="0.35">
      <c r="M1914" s="46">
        <v>0.46381547707374982</v>
      </c>
      <c r="N1914" s="46">
        <v>0</v>
      </c>
    </row>
    <row r="1915" spans="13:14" x14ac:dyDescent="0.35">
      <c r="M1915" s="46">
        <v>0.32652767472918826</v>
      </c>
      <c r="N1915" s="46">
        <v>0</v>
      </c>
    </row>
    <row r="1916" spans="13:14" x14ac:dyDescent="0.35">
      <c r="M1916" s="46">
        <v>0.19318303902656181</v>
      </c>
      <c r="N1916" s="46">
        <v>0</v>
      </c>
    </row>
    <row r="1917" spans="13:14" x14ac:dyDescent="0.35">
      <c r="M1917" s="46">
        <v>0.10721969134886482</v>
      </c>
      <c r="N1917" s="46">
        <v>0</v>
      </c>
    </row>
    <row r="1918" spans="13:14" x14ac:dyDescent="0.35">
      <c r="M1918" s="46">
        <v>0.10527771182668051</v>
      </c>
      <c r="N1918" s="46">
        <v>0</v>
      </c>
    </row>
    <row r="1919" spans="13:14" x14ac:dyDescent="0.35">
      <c r="M1919" s="46">
        <v>0.11172132363852204</v>
      </c>
      <c r="N1919" s="46">
        <v>0</v>
      </c>
    </row>
    <row r="1920" spans="13:14" x14ac:dyDescent="0.35">
      <c r="M1920" s="46">
        <v>0.11123052381659</v>
      </c>
      <c r="N1920" s="46">
        <v>0</v>
      </c>
    </row>
    <row r="1921" spans="13:14" x14ac:dyDescent="0.35">
      <c r="M1921" s="46">
        <v>0.10746238314289953</v>
      </c>
      <c r="N1921" s="46">
        <v>0</v>
      </c>
    </row>
    <row r="1922" spans="13:14" x14ac:dyDescent="0.35">
      <c r="M1922" s="46">
        <v>0.10368355839145273</v>
      </c>
      <c r="N1922" s="46">
        <v>0</v>
      </c>
    </row>
    <row r="1923" spans="13:14" x14ac:dyDescent="0.35">
      <c r="M1923" s="46">
        <v>9.8546297670277491E-2</v>
      </c>
      <c r="N1923" s="46">
        <v>0</v>
      </c>
    </row>
    <row r="1924" spans="13:14" x14ac:dyDescent="0.35">
      <c r="M1924" s="46">
        <v>9.4800786466834833E-2</v>
      </c>
      <c r="N1924" s="46">
        <v>0</v>
      </c>
    </row>
    <row r="1925" spans="13:14" x14ac:dyDescent="0.35">
      <c r="M1925" s="46">
        <v>8.8752485531978037E-2</v>
      </c>
      <c r="N1925" s="46">
        <v>0</v>
      </c>
    </row>
    <row r="1926" spans="13:14" x14ac:dyDescent="0.35">
      <c r="M1926" s="46">
        <v>8.4392417272592377E-2</v>
      </c>
      <c r="N1926" s="46">
        <v>0</v>
      </c>
    </row>
    <row r="1927" spans="13:14" x14ac:dyDescent="0.35">
      <c r="M1927" s="46">
        <v>8.6463125092743717E-2</v>
      </c>
      <c r="N1927" s="46">
        <v>0</v>
      </c>
    </row>
    <row r="1928" spans="13:14" x14ac:dyDescent="0.35">
      <c r="M1928" s="46">
        <v>8.5924172725923731E-2</v>
      </c>
      <c r="N1928" s="46">
        <v>0</v>
      </c>
    </row>
    <row r="1929" spans="13:14" x14ac:dyDescent="0.35">
      <c r="M1929" s="46">
        <v>8.7420462976702765E-2</v>
      </c>
      <c r="N1929" s="46">
        <v>0</v>
      </c>
    </row>
    <row r="1930" spans="13:14" x14ac:dyDescent="0.35">
      <c r="M1930" s="46">
        <v>0.15875463718652622</v>
      </c>
      <c r="N1930" s="46">
        <v>0</v>
      </c>
    </row>
    <row r="1931" spans="13:14" x14ac:dyDescent="0.35">
      <c r="M1931" s="46">
        <v>0.31039701736162634</v>
      </c>
      <c r="N1931" s="46">
        <v>0</v>
      </c>
    </row>
    <row r="1932" spans="13:14" x14ac:dyDescent="0.35">
      <c r="M1932" s="46">
        <v>0.46427904733640007</v>
      </c>
      <c r="N1932" s="46">
        <v>0</v>
      </c>
    </row>
    <row r="1933" spans="13:14" x14ac:dyDescent="0.35">
      <c r="M1933" s="46">
        <v>0.57887238462679924</v>
      </c>
      <c r="N1933" s="46">
        <v>0</v>
      </c>
    </row>
    <row r="1934" spans="13:14" x14ac:dyDescent="0.35">
      <c r="M1934" s="46">
        <v>0.64408369194242465</v>
      </c>
      <c r="N1934" s="46">
        <v>0</v>
      </c>
    </row>
    <row r="1935" spans="13:14" x14ac:dyDescent="0.35">
      <c r="M1935" s="46">
        <v>0.66156885294554091</v>
      </c>
      <c r="N1935" s="46">
        <v>0</v>
      </c>
    </row>
    <row r="1936" spans="13:14" x14ac:dyDescent="0.35">
      <c r="M1936" s="46">
        <v>0.63616278379581537</v>
      </c>
      <c r="N1936" s="46">
        <v>0</v>
      </c>
    </row>
    <row r="1937" spans="13:14" x14ac:dyDescent="0.35">
      <c r="M1937" s="46">
        <v>0.5754298115447396</v>
      </c>
      <c r="N1937" s="46">
        <v>0</v>
      </c>
    </row>
    <row r="1938" spans="13:14" x14ac:dyDescent="0.35">
      <c r="M1938" s="46">
        <v>0.46910773111737647</v>
      </c>
      <c r="N1938" s="46">
        <v>0</v>
      </c>
    </row>
    <row r="1939" spans="13:14" x14ac:dyDescent="0.35">
      <c r="M1939" s="46">
        <v>0.3358834396794777</v>
      </c>
      <c r="N1939" s="46">
        <v>0</v>
      </c>
    </row>
    <row r="1940" spans="13:14" x14ac:dyDescent="0.35">
      <c r="M1940" s="46">
        <v>0.20782690310135035</v>
      </c>
      <c r="N1940" s="46">
        <v>0</v>
      </c>
    </row>
    <row r="1941" spans="13:14" x14ac:dyDescent="0.35">
      <c r="M1941" s="46">
        <v>0.12368578424098531</v>
      </c>
      <c r="N1941" s="46">
        <v>0</v>
      </c>
    </row>
    <row r="1942" spans="13:14" x14ac:dyDescent="0.35">
      <c r="M1942" s="46">
        <v>0.11870537171687194</v>
      </c>
      <c r="N1942" s="46">
        <v>0</v>
      </c>
    </row>
    <row r="1943" spans="13:14" x14ac:dyDescent="0.35">
      <c r="M1943" s="46">
        <v>0.12429084433892269</v>
      </c>
      <c r="N1943" s="46">
        <v>0</v>
      </c>
    </row>
    <row r="1944" spans="13:14" x14ac:dyDescent="0.35">
      <c r="M1944" s="46">
        <v>0.11995347974476925</v>
      </c>
      <c r="N1944" s="46">
        <v>0</v>
      </c>
    </row>
    <row r="1945" spans="13:14" x14ac:dyDescent="0.35">
      <c r="M1945" s="46">
        <v>0.11474744027303754</v>
      </c>
      <c r="N1945" s="46">
        <v>0</v>
      </c>
    </row>
    <row r="1946" spans="13:14" x14ac:dyDescent="0.35">
      <c r="M1946" s="46">
        <v>0.10448323193352128</v>
      </c>
      <c r="N1946" s="46">
        <v>0</v>
      </c>
    </row>
    <row r="1947" spans="13:14" x14ac:dyDescent="0.35">
      <c r="M1947" s="46">
        <v>9.4172503338774305E-2</v>
      </c>
      <c r="N1947" s="46">
        <v>0</v>
      </c>
    </row>
    <row r="1948" spans="13:14" x14ac:dyDescent="0.35">
      <c r="M1948" s="46">
        <v>8.7521442350497108E-2</v>
      </c>
      <c r="N1948" s="46">
        <v>0</v>
      </c>
    </row>
    <row r="1949" spans="13:14" x14ac:dyDescent="0.35">
      <c r="M1949" s="46">
        <v>8.3963792847603497E-2</v>
      </c>
      <c r="N1949" s="46">
        <v>0</v>
      </c>
    </row>
    <row r="1950" spans="13:14" x14ac:dyDescent="0.35">
      <c r="M1950" s="46">
        <v>7.691541771776228E-2</v>
      </c>
      <c r="N1950" s="46">
        <v>0</v>
      </c>
    </row>
    <row r="1951" spans="13:14" x14ac:dyDescent="0.35">
      <c r="M1951" s="46">
        <v>6.993478260869565E-2</v>
      </c>
      <c r="N1951" s="46">
        <v>0</v>
      </c>
    </row>
    <row r="1952" spans="13:14" x14ac:dyDescent="0.35">
      <c r="M1952" s="46">
        <v>6.2928476035020026E-2</v>
      </c>
      <c r="N1952" s="46">
        <v>0</v>
      </c>
    </row>
    <row r="1953" spans="13:14" x14ac:dyDescent="0.35">
      <c r="M1953" s="46">
        <v>6.0323044962160559E-2</v>
      </c>
      <c r="N1953" s="46">
        <v>0</v>
      </c>
    </row>
    <row r="1954" spans="13:14" x14ac:dyDescent="0.35">
      <c r="M1954" s="46">
        <v>0.15113340258198546</v>
      </c>
      <c r="N1954" s="46">
        <v>0</v>
      </c>
    </row>
    <row r="1955" spans="13:14" x14ac:dyDescent="0.35">
      <c r="M1955" s="46">
        <v>0.32902767472918831</v>
      </c>
      <c r="N1955" s="46">
        <v>0</v>
      </c>
    </row>
    <row r="1956" spans="13:14" x14ac:dyDescent="0.35">
      <c r="M1956" s="46">
        <v>0.48761144086659741</v>
      </c>
      <c r="N1956" s="46">
        <v>0</v>
      </c>
    </row>
    <row r="1957" spans="13:14" x14ac:dyDescent="0.35">
      <c r="M1957" s="46">
        <v>0.59302886184893899</v>
      </c>
      <c r="N1957" s="46">
        <v>0</v>
      </c>
    </row>
    <row r="1958" spans="13:14" x14ac:dyDescent="0.35">
      <c r="M1958" s="46">
        <v>0.66097521887520405</v>
      </c>
      <c r="N1958" s="46">
        <v>0</v>
      </c>
    </row>
    <row r="1959" spans="13:14" x14ac:dyDescent="0.35">
      <c r="M1959" s="46">
        <v>0.68090733046446061</v>
      </c>
      <c r="N1959" s="46">
        <v>0</v>
      </c>
    </row>
    <row r="1960" spans="13:14" x14ac:dyDescent="0.35">
      <c r="M1960" s="46">
        <v>0.65527615373200776</v>
      </c>
      <c r="N1960" s="46">
        <v>0</v>
      </c>
    </row>
    <row r="1961" spans="13:14" x14ac:dyDescent="0.35">
      <c r="M1961" s="46">
        <v>0.54592016619676509</v>
      </c>
      <c r="N1961" s="46">
        <v>0</v>
      </c>
    </row>
    <row r="1962" spans="13:14" x14ac:dyDescent="0.35">
      <c r="M1962" s="46">
        <v>0.39549131918682295</v>
      </c>
      <c r="N1962" s="46">
        <v>0</v>
      </c>
    </row>
    <row r="1963" spans="13:14" x14ac:dyDescent="0.35">
      <c r="M1963" s="46">
        <v>0.2339726220507494</v>
      </c>
      <c r="N1963" s="46">
        <v>0</v>
      </c>
    </row>
    <row r="1964" spans="13:14" x14ac:dyDescent="0.35">
      <c r="M1964" s="46">
        <v>0.12541059504377505</v>
      </c>
      <c r="N1964" s="46">
        <v>0</v>
      </c>
    </row>
    <row r="1965" spans="13:14" x14ac:dyDescent="0.35">
      <c r="M1965" s="46">
        <v>5.2746178958302421E-2</v>
      </c>
      <c r="N1965" s="46">
        <v>0</v>
      </c>
    </row>
    <row r="1966" spans="13:14" x14ac:dyDescent="0.35">
      <c r="M1966" s="46">
        <v>5.038655586882327E-2</v>
      </c>
      <c r="N1966" s="46">
        <v>0</v>
      </c>
    </row>
    <row r="1967" spans="13:14" x14ac:dyDescent="0.35">
      <c r="M1967" s="46">
        <v>5.5997254785576496E-2</v>
      </c>
      <c r="N1967" s="46">
        <v>0</v>
      </c>
    </row>
    <row r="1968" spans="13:14" x14ac:dyDescent="0.35">
      <c r="M1968" s="46">
        <v>5.6536800712271851E-2</v>
      </c>
      <c r="N1968" s="46">
        <v>0</v>
      </c>
    </row>
    <row r="1969" spans="13:14" x14ac:dyDescent="0.35">
      <c r="M1969" s="46">
        <v>5.9173764653509424E-2</v>
      </c>
      <c r="N1969" s="46">
        <v>0</v>
      </c>
    </row>
    <row r="1970" spans="13:14" x14ac:dyDescent="0.35">
      <c r="M1970" s="46">
        <v>6.1135702626502447E-2</v>
      </c>
      <c r="N1970" s="46">
        <v>0</v>
      </c>
    </row>
    <row r="1971" spans="13:14" x14ac:dyDescent="0.35">
      <c r="M1971" s="46">
        <v>6.4441756937231046E-2</v>
      </c>
      <c r="N1971" s="46">
        <v>0</v>
      </c>
    </row>
    <row r="1972" spans="13:14" x14ac:dyDescent="0.35">
      <c r="M1972" s="46">
        <v>6.9312806054310727E-2</v>
      </c>
      <c r="N1972" s="46">
        <v>0</v>
      </c>
    </row>
    <row r="1973" spans="13:14" x14ac:dyDescent="0.35">
      <c r="M1973" s="46">
        <v>7.761336993619232E-2</v>
      </c>
      <c r="N1973" s="46">
        <v>0</v>
      </c>
    </row>
    <row r="1974" spans="13:14" x14ac:dyDescent="0.35">
      <c r="M1974" s="46">
        <v>8.6431740614334465E-2</v>
      </c>
      <c r="N1974" s="46">
        <v>0</v>
      </c>
    </row>
    <row r="1975" spans="13:14" x14ac:dyDescent="0.35">
      <c r="M1975" s="46">
        <v>8.9231488351387445E-2</v>
      </c>
      <c r="N1975" s="46">
        <v>0</v>
      </c>
    </row>
    <row r="1976" spans="13:14" x14ac:dyDescent="0.35">
      <c r="M1976" s="46">
        <v>9.4969209081466083E-2</v>
      </c>
      <c r="N1976" s="46">
        <v>0</v>
      </c>
    </row>
    <row r="1977" spans="13:14" x14ac:dyDescent="0.35">
      <c r="M1977" s="46">
        <v>0.10518274224662413</v>
      </c>
      <c r="N1977" s="46">
        <v>0</v>
      </c>
    </row>
    <row r="1978" spans="13:14" x14ac:dyDescent="0.35">
      <c r="M1978" s="46">
        <v>0.19928646683484197</v>
      </c>
      <c r="N1978" s="46">
        <v>0</v>
      </c>
    </row>
    <row r="1979" spans="13:14" x14ac:dyDescent="0.35">
      <c r="M1979" s="46">
        <v>0.37641897907701438</v>
      </c>
      <c r="N1979" s="46">
        <v>0</v>
      </c>
    </row>
    <row r="1980" spans="13:14" x14ac:dyDescent="0.35">
      <c r="M1980" s="46">
        <v>0.54522525597269622</v>
      </c>
      <c r="N1980" s="46">
        <v>0</v>
      </c>
    </row>
    <row r="1981" spans="13:14" x14ac:dyDescent="0.35">
      <c r="M1981" s="46">
        <v>0.66624922095266359</v>
      </c>
      <c r="N1981" s="46">
        <v>0</v>
      </c>
    </row>
    <row r="1982" spans="13:14" x14ac:dyDescent="0.35">
      <c r="M1982" s="46">
        <v>0.74413889301083258</v>
      </c>
      <c r="N1982" s="46">
        <v>0</v>
      </c>
    </row>
    <row r="1983" spans="13:14" x14ac:dyDescent="0.35">
      <c r="M1983" s="46">
        <v>0.76727511500222589</v>
      </c>
      <c r="N1983" s="46">
        <v>0</v>
      </c>
    </row>
    <row r="1984" spans="13:14" x14ac:dyDescent="0.35">
      <c r="M1984" s="46">
        <v>0.74564371568481969</v>
      </c>
      <c r="N1984" s="46">
        <v>0</v>
      </c>
    </row>
    <row r="1985" spans="13:14" x14ac:dyDescent="0.35">
      <c r="M1985" s="46">
        <v>0.67541170796854133</v>
      </c>
      <c r="N1985" s="46">
        <v>0</v>
      </c>
    </row>
    <row r="1986" spans="13:14" x14ac:dyDescent="0.35">
      <c r="M1986" s="46">
        <v>0.55946817035168417</v>
      </c>
      <c r="N1986" s="46">
        <v>0</v>
      </c>
    </row>
    <row r="1987" spans="13:14" x14ac:dyDescent="0.35">
      <c r="M1987" s="46">
        <v>0.40069683929366373</v>
      </c>
      <c r="N1987" s="46">
        <v>0</v>
      </c>
    </row>
    <row r="1988" spans="13:14" x14ac:dyDescent="0.35">
      <c r="M1988" s="46">
        <v>0.22730679626057279</v>
      </c>
      <c r="N1988" s="46">
        <v>0</v>
      </c>
    </row>
    <row r="1989" spans="13:14" x14ac:dyDescent="0.35">
      <c r="M1989" s="46">
        <v>0.10589353019735866</v>
      </c>
      <c r="N1989" s="46">
        <v>0</v>
      </c>
    </row>
    <row r="1990" spans="13:14" x14ac:dyDescent="0.35">
      <c r="M1990" s="46">
        <v>9.1165603205223322E-2</v>
      </c>
      <c r="N1990" s="46">
        <v>0</v>
      </c>
    </row>
    <row r="1991" spans="13:14" x14ac:dyDescent="0.35">
      <c r="M1991" s="46">
        <v>9.8292179848642219E-2</v>
      </c>
      <c r="N1991" s="46">
        <v>0</v>
      </c>
    </row>
    <row r="1992" spans="13:14" x14ac:dyDescent="0.35">
      <c r="M1992" s="46">
        <v>0.10184322599792255</v>
      </c>
      <c r="N1992" s="46">
        <v>0</v>
      </c>
    </row>
    <row r="1993" spans="13:14" x14ac:dyDescent="0.35">
      <c r="M1993" s="46">
        <v>0.10363577682148688</v>
      </c>
      <c r="N1993" s="46">
        <v>0</v>
      </c>
    </row>
    <row r="1994" spans="13:14" x14ac:dyDescent="0.35">
      <c r="M1994" s="46">
        <v>0.10172340109808577</v>
      </c>
      <c r="N1994" s="46">
        <v>0</v>
      </c>
    </row>
    <row r="1995" spans="13:14" x14ac:dyDescent="0.35">
      <c r="M1995" s="46">
        <v>0.1044657219171984</v>
      </c>
      <c r="N1995" s="46">
        <v>0</v>
      </c>
    </row>
    <row r="1996" spans="13:14" x14ac:dyDescent="0.35">
      <c r="M1996" s="46">
        <v>0.11546505416233863</v>
      </c>
      <c r="N1996" s="46">
        <v>0</v>
      </c>
    </row>
    <row r="1997" spans="13:14" x14ac:dyDescent="0.35">
      <c r="M1997" s="46">
        <v>0.12784055497848346</v>
      </c>
      <c r="N1997" s="46">
        <v>0</v>
      </c>
    </row>
    <row r="1998" spans="13:14" x14ac:dyDescent="0.35">
      <c r="M1998" s="46">
        <v>0.13987898798041251</v>
      </c>
      <c r="N1998" s="46">
        <v>0</v>
      </c>
    </row>
    <row r="1999" spans="13:14" x14ac:dyDescent="0.35">
      <c r="M1999" s="46">
        <v>0.15097811247959639</v>
      </c>
      <c r="N1999" s="46">
        <v>0</v>
      </c>
    </row>
    <row r="2000" spans="13:14" x14ac:dyDescent="0.35">
      <c r="M2000" s="46">
        <v>0.15919602314883513</v>
      </c>
      <c r="N2000" s="46">
        <v>0</v>
      </c>
    </row>
    <row r="2001" spans="13:14" x14ac:dyDescent="0.35">
      <c r="M2001" s="46">
        <v>0.17539182371271703</v>
      </c>
      <c r="N2001" s="46">
        <v>0</v>
      </c>
    </row>
    <row r="2002" spans="13:14" x14ac:dyDescent="0.35">
      <c r="M2002" s="46">
        <v>0.28218303902656178</v>
      </c>
      <c r="N2002" s="46">
        <v>0</v>
      </c>
    </row>
    <row r="2003" spans="13:14" x14ac:dyDescent="0.35">
      <c r="M2003" s="46">
        <v>0.47080293812138302</v>
      </c>
      <c r="N2003" s="46">
        <v>0</v>
      </c>
    </row>
    <row r="2004" spans="13:14" x14ac:dyDescent="0.35">
      <c r="M2004" s="46">
        <v>0.63388195577978923</v>
      </c>
      <c r="N2004" s="46">
        <v>0</v>
      </c>
    </row>
    <row r="2005" spans="13:14" x14ac:dyDescent="0.35">
      <c r="M2005" s="46">
        <v>0.74321865261908304</v>
      </c>
      <c r="N2005" s="46">
        <v>0</v>
      </c>
    </row>
    <row r="2006" spans="13:14" x14ac:dyDescent="0.35">
      <c r="M2006" s="46">
        <v>0.81227281495770887</v>
      </c>
      <c r="N2006" s="46">
        <v>0</v>
      </c>
    </row>
    <row r="2007" spans="13:14" x14ac:dyDescent="0.35">
      <c r="M2007" s="46">
        <v>0.83008762427659888</v>
      </c>
      <c r="N2007" s="46">
        <v>0</v>
      </c>
    </row>
    <row r="2008" spans="13:14" x14ac:dyDescent="0.35">
      <c r="M2008" s="46">
        <v>0.80473475293070185</v>
      </c>
      <c r="N2008" s="46">
        <v>0</v>
      </c>
    </row>
    <row r="2009" spans="13:14" x14ac:dyDescent="0.35">
      <c r="M2009" s="46">
        <v>0.75240799821932036</v>
      </c>
      <c r="N2009" s="46">
        <v>0</v>
      </c>
    </row>
    <row r="2010" spans="13:14" x14ac:dyDescent="0.35">
      <c r="M2010" s="46">
        <v>0.65025419201661971</v>
      </c>
      <c r="N2010" s="46">
        <v>0</v>
      </c>
    </row>
    <row r="2011" spans="13:14" x14ac:dyDescent="0.35">
      <c r="M2011" s="46">
        <v>0.49800051936489098</v>
      </c>
      <c r="N2011" s="46">
        <v>0</v>
      </c>
    </row>
    <row r="2012" spans="13:14" x14ac:dyDescent="0.35">
      <c r="M2012" s="46">
        <v>0.32340955631399315</v>
      </c>
      <c r="N2012" s="46">
        <v>0</v>
      </c>
    </row>
    <row r="2013" spans="13:14" x14ac:dyDescent="0.35">
      <c r="M2013" s="46">
        <v>0.20236489093337293</v>
      </c>
      <c r="N2013" s="46">
        <v>0</v>
      </c>
    </row>
    <row r="2014" spans="13:14" x14ac:dyDescent="0.35">
      <c r="M2014" s="46">
        <v>0.18917435821338477</v>
      </c>
      <c r="N2014" s="46">
        <v>0</v>
      </c>
    </row>
    <row r="2015" spans="13:14" x14ac:dyDescent="0.35">
      <c r="M2015" s="46">
        <v>0.19329255082356434</v>
      </c>
      <c r="N2015" s="46">
        <v>0</v>
      </c>
    </row>
    <row r="2016" spans="13:14" x14ac:dyDescent="0.35">
      <c r="M2016" s="46">
        <v>0.17703464905772368</v>
      </c>
      <c r="N2016" s="46">
        <v>0</v>
      </c>
    </row>
    <row r="2017" spans="13:14" x14ac:dyDescent="0.35">
      <c r="M2017" s="46">
        <v>0.16713266063214127</v>
      </c>
      <c r="N2017" s="46">
        <v>0</v>
      </c>
    </row>
    <row r="2018" spans="13:14" x14ac:dyDescent="0.35">
      <c r="M2018" s="46">
        <v>0.16182178364742544</v>
      </c>
      <c r="N2018" s="46">
        <v>0</v>
      </c>
    </row>
    <row r="2019" spans="13:14" x14ac:dyDescent="0.35">
      <c r="M2019" s="46">
        <v>0.1692752633921947</v>
      </c>
      <c r="N2019" s="46">
        <v>0</v>
      </c>
    </row>
    <row r="2020" spans="13:14" x14ac:dyDescent="0.35">
      <c r="M2020" s="46">
        <v>0.17767502596824455</v>
      </c>
      <c r="N2020" s="46">
        <v>0</v>
      </c>
    </row>
    <row r="2021" spans="13:14" x14ac:dyDescent="0.35">
      <c r="M2021" s="46">
        <v>0.18612130879952515</v>
      </c>
      <c r="N2021" s="46">
        <v>0</v>
      </c>
    </row>
    <row r="2022" spans="13:14" x14ac:dyDescent="0.35">
      <c r="M2022" s="46">
        <v>0.18931473512390562</v>
      </c>
      <c r="N2022" s="46">
        <v>0</v>
      </c>
    </row>
    <row r="2023" spans="13:14" x14ac:dyDescent="0.35">
      <c r="M2023" s="46">
        <v>0.19358621457189495</v>
      </c>
      <c r="N2023" s="46">
        <v>0</v>
      </c>
    </row>
    <row r="2024" spans="13:14" x14ac:dyDescent="0.35">
      <c r="M2024" s="46">
        <v>0.19818763911559578</v>
      </c>
      <c r="N2024" s="46">
        <v>0</v>
      </c>
    </row>
    <row r="2025" spans="13:14" x14ac:dyDescent="0.35">
      <c r="M2025" s="46">
        <v>0.21842573082059652</v>
      </c>
      <c r="N2025" s="46">
        <v>0</v>
      </c>
    </row>
    <row r="2026" spans="13:14" x14ac:dyDescent="0.35">
      <c r="M2026" s="46">
        <v>0.33687208784686157</v>
      </c>
      <c r="N2026" s="46">
        <v>0</v>
      </c>
    </row>
    <row r="2027" spans="13:14" x14ac:dyDescent="0.35">
      <c r="M2027" s="46">
        <v>0.53396386704258791</v>
      </c>
      <c r="N2027" s="46">
        <v>0</v>
      </c>
    </row>
    <row r="2028" spans="13:14" x14ac:dyDescent="0.35">
      <c r="M2028" s="46">
        <v>0.6919465796112183</v>
      </c>
      <c r="N2028" s="46">
        <v>0</v>
      </c>
    </row>
    <row r="2029" spans="13:14" x14ac:dyDescent="0.35">
      <c r="M2029" s="46">
        <v>0.78998872236236839</v>
      </c>
      <c r="N2029" s="46">
        <v>0</v>
      </c>
    </row>
    <row r="2030" spans="13:14" x14ac:dyDescent="0.35">
      <c r="M2030" s="46">
        <v>0.85247596082504828</v>
      </c>
      <c r="N2030" s="46">
        <v>0</v>
      </c>
    </row>
    <row r="2031" spans="13:14" x14ac:dyDescent="0.35">
      <c r="M2031" s="46">
        <v>0.8600821338477519</v>
      </c>
      <c r="N2031" s="46">
        <v>0</v>
      </c>
    </row>
    <row r="2032" spans="13:14" x14ac:dyDescent="0.35">
      <c r="M2032" s="46">
        <v>0.82249747737052969</v>
      </c>
      <c r="N2032" s="46">
        <v>0</v>
      </c>
    </row>
    <row r="2033" spans="13:14" x14ac:dyDescent="0.35">
      <c r="M2033" s="46">
        <v>0.75487090072711083</v>
      </c>
      <c r="N2033" s="46">
        <v>0</v>
      </c>
    </row>
    <row r="2034" spans="13:14" x14ac:dyDescent="0.35">
      <c r="M2034" s="46">
        <v>0.64254399762576053</v>
      </c>
      <c r="N2034" s="46">
        <v>0</v>
      </c>
    </row>
    <row r="2035" spans="13:14" x14ac:dyDescent="0.35">
      <c r="M2035" s="46">
        <v>0.48084545184745514</v>
      </c>
      <c r="N2035" s="46">
        <v>0</v>
      </c>
    </row>
    <row r="2036" spans="13:14" x14ac:dyDescent="0.35">
      <c r="M2036" s="46">
        <v>0.29010090517880993</v>
      </c>
      <c r="N2036" s="46">
        <v>0</v>
      </c>
    </row>
    <row r="2037" spans="13:14" x14ac:dyDescent="0.35">
      <c r="M2037" s="46">
        <v>0.15923326903101351</v>
      </c>
      <c r="N2037" s="46">
        <v>0</v>
      </c>
    </row>
    <row r="2038" spans="13:14" x14ac:dyDescent="0.35">
      <c r="M2038" s="46">
        <v>0.14155119453924914</v>
      </c>
      <c r="N2038" s="46">
        <v>0</v>
      </c>
    </row>
    <row r="2039" spans="13:14" x14ac:dyDescent="0.35">
      <c r="M2039" s="46">
        <v>0.14449020626205669</v>
      </c>
      <c r="N2039" s="46">
        <v>0</v>
      </c>
    </row>
    <row r="2040" spans="13:14" x14ac:dyDescent="0.35">
      <c r="M2040" s="46">
        <v>0.14280471880100906</v>
      </c>
      <c r="N2040" s="46">
        <v>0</v>
      </c>
    </row>
    <row r="2041" spans="13:14" x14ac:dyDescent="0.35">
      <c r="M2041" s="46">
        <v>0.14208280160261166</v>
      </c>
      <c r="N2041" s="46">
        <v>0</v>
      </c>
    </row>
    <row r="2042" spans="13:14" x14ac:dyDescent="0.35">
      <c r="M2042" s="46">
        <v>0.13590911114408666</v>
      </c>
      <c r="N2042" s="46">
        <v>0</v>
      </c>
    </row>
    <row r="2043" spans="13:14" x14ac:dyDescent="0.35">
      <c r="M2043" s="46">
        <v>0.12833706781421578</v>
      </c>
      <c r="N2043" s="46">
        <v>0</v>
      </c>
    </row>
    <row r="2044" spans="13:14" x14ac:dyDescent="0.35">
      <c r="M2044" s="46">
        <v>0.11855586882326755</v>
      </c>
      <c r="N2044" s="46">
        <v>0</v>
      </c>
    </row>
    <row r="2045" spans="13:14" x14ac:dyDescent="0.35">
      <c r="M2045" s="46">
        <v>0.10943144383439679</v>
      </c>
      <c r="N2045" s="46">
        <v>0</v>
      </c>
    </row>
    <row r="2046" spans="13:14" x14ac:dyDescent="0.35">
      <c r="M2046" s="46">
        <v>0.1030362071523965</v>
      </c>
      <c r="N2046" s="46">
        <v>0</v>
      </c>
    </row>
    <row r="2047" spans="13:14" x14ac:dyDescent="0.35">
      <c r="M2047" s="46">
        <v>0.10262487015877728</v>
      </c>
      <c r="N2047" s="46">
        <v>0</v>
      </c>
    </row>
    <row r="2048" spans="13:14" x14ac:dyDescent="0.35">
      <c r="M2048" s="46">
        <v>0.10724061433447098</v>
      </c>
      <c r="N2048" s="46">
        <v>0</v>
      </c>
    </row>
    <row r="2049" spans="13:14" x14ac:dyDescent="0.35">
      <c r="M2049" s="46">
        <v>0.12006158183706782</v>
      </c>
      <c r="N2049" s="46">
        <v>0</v>
      </c>
    </row>
    <row r="2050" spans="13:14" x14ac:dyDescent="0.35">
      <c r="M2050" s="46">
        <v>0.2305327199881288</v>
      </c>
      <c r="N2050" s="46">
        <v>0</v>
      </c>
    </row>
    <row r="2051" spans="13:14" x14ac:dyDescent="0.35">
      <c r="M2051" s="46">
        <v>0.41944450215165457</v>
      </c>
      <c r="N2051" s="46">
        <v>0</v>
      </c>
    </row>
    <row r="2052" spans="13:14" x14ac:dyDescent="0.35">
      <c r="M2052" s="46">
        <v>0.57531792550823568</v>
      </c>
      <c r="N2052" s="46">
        <v>0</v>
      </c>
    </row>
    <row r="2053" spans="13:14" x14ac:dyDescent="0.35">
      <c r="M2053" s="46">
        <v>0.67279544442795669</v>
      </c>
      <c r="N2053" s="46">
        <v>0</v>
      </c>
    </row>
    <row r="2054" spans="13:14" x14ac:dyDescent="0.35">
      <c r="M2054" s="46">
        <v>0.73411507642083396</v>
      </c>
      <c r="N2054" s="46">
        <v>0</v>
      </c>
    </row>
    <row r="2055" spans="13:14" x14ac:dyDescent="0.35">
      <c r="M2055" s="46">
        <v>0.74807041104021366</v>
      </c>
      <c r="N2055" s="46">
        <v>0</v>
      </c>
    </row>
    <row r="2056" spans="13:14" x14ac:dyDescent="0.35">
      <c r="M2056" s="46">
        <v>0.72125456299154178</v>
      </c>
      <c r="N2056" s="46">
        <v>0</v>
      </c>
    </row>
    <row r="2057" spans="13:14" x14ac:dyDescent="0.35">
      <c r="M2057" s="46">
        <v>0.66063006380768663</v>
      </c>
      <c r="N2057" s="46">
        <v>0</v>
      </c>
    </row>
    <row r="2058" spans="13:14" x14ac:dyDescent="0.35">
      <c r="M2058" s="46">
        <v>0.55064705445911855</v>
      </c>
      <c r="N2058" s="46">
        <v>0</v>
      </c>
    </row>
    <row r="2059" spans="13:14" x14ac:dyDescent="0.35">
      <c r="M2059" s="46">
        <v>0.39044628283128063</v>
      </c>
      <c r="N2059" s="46">
        <v>0</v>
      </c>
    </row>
    <row r="2060" spans="13:14" x14ac:dyDescent="0.35">
      <c r="M2060" s="46">
        <v>0.20399747737052976</v>
      </c>
      <c r="N2060" s="46">
        <v>0</v>
      </c>
    </row>
    <row r="2061" spans="13:14" x14ac:dyDescent="0.35">
      <c r="M2061" s="46">
        <v>7.4114853835880692E-2</v>
      </c>
      <c r="N2061" s="46">
        <v>0</v>
      </c>
    </row>
    <row r="2062" spans="13:14" x14ac:dyDescent="0.35">
      <c r="M2062" s="46">
        <v>5.886348122866894E-2</v>
      </c>
      <c r="N2062" s="46">
        <v>0</v>
      </c>
    </row>
    <row r="2063" spans="13:14" x14ac:dyDescent="0.35">
      <c r="M2063" s="46">
        <v>6.2166716129989613E-2</v>
      </c>
      <c r="N2063" s="46">
        <v>0</v>
      </c>
    </row>
    <row r="2064" spans="13:14" x14ac:dyDescent="0.35">
      <c r="M2064" s="46">
        <v>6.5502522629470247E-2</v>
      </c>
      <c r="N2064" s="46">
        <v>0</v>
      </c>
    </row>
    <row r="2065" spans="13:14" x14ac:dyDescent="0.35">
      <c r="M2065" s="46">
        <v>6.5819409407924023E-2</v>
      </c>
      <c r="N2065" s="46">
        <v>0</v>
      </c>
    </row>
    <row r="2066" spans="13:14" x14ac:dyDescent="0.35">
      <c r="M2066" s="46">
        <v>6.3670722659148235E-2</v>
      </c>
      <c r="N2066" s="46">
        <v>0</v>
      </c>
    </row>
    <row r="2067" spans="13:14" x14ac:dyDescent="0.35">
      <c r="M2067" s="46">
        <v>5.7197432853539107E-2</v>
      </c>
      <c r="N2067" s="46">
        <v>0</v>
      </c>
    </row>
    <row r="2068" spans="13:14" x14ac:dyDescent="0.35">
      <c r="M2068" s="46">
        <v>5.54073304644606E-2</v>
      </c>
      <c r="N2068" s="46">
        <v>0</v>
      </c>
    </row>
    <row r="2069" spans="13:14" x14ac:dyDescent="0.35">
      <c r="M2069" s="46">
        <v>5.3154919127466983E-2</v>
      </c>
      <c r="N2069" s="46">
        <v>0</v>
      </c>
    </row>
    <row r="2070" spans="13:14" x14ac:dyDescent="0.35">
      <c r="M2070" s="46">
        <v>4.8368452292625014E-2</v>
      </c>
      <c r="N2070" s="46">
        <v>0</v>
      </c>
    </row>
    <row r="2071" spans="13:14" x14ac:dyDescent="0.35">
      <c r="M2071" s="46">
        <v>4.6967502596824459E-2</v>
      </c>
      <c r="N2071" s="46">
        <v>0</v>
      </c>
    </row>
    <row r="2072" spans="13:14" x14ac:dyDescent="0.35">
      <c r="M2072" s="46">
        <v>4.80845080872533E-2</v>
      </c>
      <c r="N2072" s="46">
        <v>0</v>
      </c>
    </row>
    <row r="2073" spans="13:14" x14ac:dyDescent="0.35">
      <c r="M2073" s="46">
        <v>5.7270885888113965E-2</v>
      </c>
      <c r="N2073" s="46">
        <v>0</v>
      </c>
    </row>
    <row r="2074" spans="13:14" x14ac:dyDescent="0.35">
      <c r="M2074" s="46">
        <v>0.17548968689716576</v>
      </c>
      <c r="N2074" s="46">
        <v>0</v>
      </c>
    </row>
    <row r="2075" spans="13:14" x14ac:dyDescent="0.35">
      <c r="M2075" s="46">
        <v>0.36945466686452</v>
      </c>
      <c r="N2075" s="46">
        <v>0</v>
      </c>
    </row>
    <row r="2076" spans="13:14" x14ac:dyDescent="0.35">
      <c r="M2076" s="46">
        <v>0.52824276598901909</v>
      </c>
      <c r="N2076" s="46">
        <v>0</v>
      </c>
    </row>
    <row r="2077" spans="13:14" x14ac:dyDescent="0.35">
      <c r="M2077" s="46">
        <v>0.6407748182222881</v>
      </c>
      <c r="N2077" s="46">
        <v>0</v>
      </c>
    </row>
    <row r="2078" spans="13:14" x14ac:dyDescent="0.35">
      <c r="M2078" s="46">
        <v>0.72673979818964241</v>
      </c>
      <c r="N2078" s="46">
        <v>0</v>
      </c>
    </row>
    <row r="2079" spans="13:14" x14ac:dyDescent="0.35">
      <c r="M2079" s="46">
        <v>0.74682593856655288</v>
      </c>
      <c r="N2079" s="46">
        <v>0</v>
      </c>
    </row>
    <row r="2080" spans="13:14" x14ac:dyDescent="0.35">
      <c r="M2080" s="46">
        <v>0.71345028936043919</v>
      </c>
      <c r="N2080" s="46">
        <v>0</v>
      </c>
    </row>
    <row r="2081" spans="13:14" x14ac:dyDescent="0.35">
      <c r="M2081" s="46">
        <v>0.65557300786466832</v>
      </c>
      <c r="N2081" s="46">
        <v>0</v>
      </c>
    </row>
    <row r="2082" spans="13:14" x14ac:dyDescent="0.35">
      <c r="M2082" s="46">
        <v>0.561787357174655</v>
      </c>
      <c r="N2082" s="46">
        <v>0</v>
      </c>
    </row>
    <row r="2083" spans="13:14" x14ac:dyDescent="0.35">
      <c r="M2083" s="46">
        <v>0.40585428105060101</v>
      </c>
      <c r="N2083" s="46">
        <v>0</v>
      </c>
    </row>
    <row r="2084" spans="13:14" x14ac:dyDescent="0.35">
      <c r="M2084" s="46">
        <v>0.22053917495177328</v>
      </c>
      <c r="N2084" s="46">
        <v>0</v>
      </c>
    </row>
    <row r="2085" spans="13:14" x14ac:dyDescent="0.35">
      <c r="M2085" s="46">
        <v>9.7838254933966459E-2</v>
      </c>
      <c r="N2085" s="46">
        <v>0</v>
      </c>
    </row>
    <row r="2086" spans="13:14" x14ac:dyDescent="0.35">
      <c r="M2086" s="46">
        <v>8.6946876391155947E-2</v>
      </c>
      <c r="N2086" s="46">
        <v>0</v>
      </c>
    </row>
    <row r="2087" spans="13:14" x14ac:dyDescent="0.35">
      <c r="M2087" s="46">
        <v>9.4841519513280889E-2</v>
      </c>
      <c r="N2087" s="46">
        <v>0</v>
      </c>
    </row>
    <row r="2088" spans="13:14" x14ac:dyDescent="0.35">
      <c r="M2088" s="46">
        <v>9.8644383439679476E-2</v>
      </c>
      <c r="N2088" s="46">
        <v>0</v>
      </c>
    </row>
    <row r="2089" spans="13:14" x14ac:dyDescent="0.35">
      <c r="M2089" s="46">
        <v>9.9354206855616564E-2</v>
      </c>
      <c r="N2089" s="46">
        <v>0</v>
      </c>
    </row>
    <row r="2090" spans="13:14" x14ac:dyDescent="0.35">
      <c r="M2090" s="46">
        <v>9.8806870455557208E-2</v>
      </c>
      <c r="N2090" s="46">
        <v>0</v>
      </c>
    </row>
    <row r="2091" spans="13:14" x14ac:dyDescent="0.35">
      <c r="M2091" s="46">
        <v>9.8178735717465493E-2</v>
      </c>
      <c r="N2091" s="46">
        <v>0</v>
      </c>
    </row>
    <row r="2092" spans="13:14" x14ac:dyDescent="0.35">
      <c r="M2092" s="46">
        <v>9.6009051788099126E-2</v>
      </c>
      <c r="N2092" s="46">
        <v>0</v>
      </c>
    </row>
    <row r="2093" spans="13:14" x14ac:dyDescent="0.35">
      <c r="M2093" s="46">
        <v>9.247581243507938E-2</v>
      </c>
      <c r="N2093" s="46">
        <v>0</v>
      </c>
    </row>
    <row r="2094" spans="13:14" x14ac:dyDescent="0.35">
      <c r="M2094" s="46">
        <v>9.1933298709007266E-2</v>
      </c>
      <c r="N2094" s="46">
        <v>0</v>
      </c>
    </row>
    <row r="2095" spans="13:14" x14ac:dyDescent="0.35">
      <c r="M2095" s="46">
        <v>9.900430330909632E-2</v>
      </c>
      <c r="N2095" s="46">
        <v>0</v>
      </c>
    </row>
    <row r="2096" spans="13:14" x14ac:dyDescent="0.35">
      <c r="M2096" s="46">
        <v>0.1084937676213088</v>
      </c>
      <c r="N2096" s="46">
        <v>0</v>
      </c>
    </row>
    <row r="2097" spans="13:14" x14ac:dyDescent="0.35">
      <c r="M2097" s="46">
        <v>0.12471657515951923</v>
      </c>
      <c r="N2097" s="46">
        <v>0</v>
      </c>
    </row>
    <row r="2098" spans="13:14" x14ac:dyDescent="0.35">
      <c r="M2098" s="46">
        <v>0.24686689419795221</v>
      </c>
      <c r="N2098" s="46">
        <v>0</v>
      </c>
    </row>
    <row r="2099" spans="13:14" x14ac:dyDescent="0.35">
      <c r="M2099" s="46">
        <v>0.44828921204926547</v>
      </c>
      <c r="N2099" s="46">
        <v>0</v>
      </c>
    </row>
    <row r="2100" spans="13:14" x14ac:dyDescent="0.35">
      <c r="M2100" s="46">
        <v>0.62038588811396345</v>
      </c>
      <c r="N2100" s="46">
        <v>0</v>
      </c>
    </row>
    <row r="2101" spans="13:14" x14ac:dyDescent="0.35">
      <c r="M2101" s="46">
        <v>0.73101150022258499</v>
      </c>
      <c r="N2101" s="46">
        <v>0</v>
      </c>
    </row>
    <row r="2102" spans="13:14" x14ac:dyDescent="0.35">
      <c r="M2102" s="46">
        <v>0.80150519364890938</v>
      </c>
      <c r="N2102" s="46">
        <v>0</v>
      </c>
    </row>
    <row r="2103" spans="13:14" x14ac:dyDescent="0.35">
      <c r="M2103" s="46">
        <v>0.81572800118711974</v>
      </c>
      <c r="N2103" s="46">
        <v>0</v>
      </c>
    </row>
    <row r="2104" spans="13:14" x14ac:dyDescent="0.35">
      <c r="M2104" s="46">
        <v>0.78963496067665828</v>
      </c>
      <c r="N2104" s="46">
        <v>0</v>
      </c>
    </row>
    <row r="2105" spans="13:14" x14ac:dyDescent="0.35">
      <c r="M2105" s="46">
        <v>0.73091460157293364</v>
      </c>
      <c r="N2105" s="46">
        <v>0</v>
      </c>
    </row>
    <row r="2106" spans="13:14" x14ac:dyDescent="0.35">
      <c r="M2106" s="46">
        <v>0.62612279269921356</v>
      </c>
      <c r="N2106" s="46">
        <v>0</v>
      </c>
    </row>
    <row r="2107" spans="13:14" x14ac:dyDescent="0.35">
      <c r="M2107" s="46">
        <v>0.47492150170648467</v>
      </c>
      <c r="N2107" s="46">
        <v>0</v>
      </c>
    </row>
    <row r="2108" spans="13:14" x14ac:dyDescent="0.35">
      <c r="M2108" s="46">
        <v>0.29620744917643566</v>
      </c>
      <c r="N2108" s="46">
        <v>0</v>
      </c>
    </row>
    <row r="2109" spans="13:14" x14ac:dyDescent="0.35">
      <c r="M2109" s="46">
        <v>0.17922377207300785</v>
      </c>
      <c r="N2109" s="46">
        <v>0</v>
      </c>
    </row>
    <row r="2110" spans="13:14" x14ac:dyDescent="0.35">
      <c r="M2110" s="46">
        <v>0.18523185932630953</v>
      </c>
      <c r="N2110" s="46">
        <v>0</v>
      </c>
    </row>
    <row r="2111" spans="13:14" x14ac:dyDescent="0.35">
      <c r="M2111" s="46">
        <v>0.23034864223178514</v>
      </c>
      <c r="N2111" s="46">
        <v>0</v>
      </c>
    </row>
    <row r="2112" spans="13:14" x14ac:dyDescent="0.35">
      <c r="M2112" s="46">
        <v>0.25227837958154031</v>
      </c>
      <c r="N2112" s="46">
        <v>0</v>
      </c>
    </row>
    <row r="2113" spans="13:14" x14ac:dyDescent="0.35">
      <c r="M2113" s="46">
        <v>0.28618689716575157</v>
      </c>
      <c r="N2113" s="46">
        <v>0</v>
      </c>
    </row>
    <row r="2114" spans="13:14" x14ac:dyDescent="0.35">
      <c r="M2114" s="46">
        <v>0.31017406143344711</v>
      </c>
      <c r="N2114" s="46">
        <v>0</v>
      </c>
    </row>
    <row r="2115" spans="13:14" x14ac:dyDescent="0.35">
      <c r="M2115" s="46">
        <v>0.34698530939308503</v>
      </c>
      <c r="N2115" s="46">
        <v>0</v>
      </c>
    </row>
    <row r="2116" spans="13:14" x14ac:dyDescent="0.35">
      <c r="M2116" s="46">
        <v>0.3885802789731414</v>
      </c>
      <c r="N2116" s="46">
        <v>0</v>
      </c>
    </row>
    <row r="2117" spans="13:14" x14ac:dyDescent="0.35">
      <c r="M2117" s="46">
        <v>0.42314660928921205</v>
      </c>
      <c r="N2117" s="46">
        <v>0</v>
      </c>
    </row>
    <row r="2118" spans="13:14" x14ac:dyDescent="0.35">
      <c r="M2118" s="46">
        <v>0.45306610773111738</v>
      </c>
      <c r="N2118" s="46">
        <v>0</v>
      </c>
    </row>
    <row r="2119" spans="13:14" x14ac:dyDescent="0.35">
      <c r="M2119" s="46">
        <v>0.48336140376910519</v>
      </c>
      <c r="N2119" s="46">
        <v>0</v>
      </c>
    </row>
    <row r="2120" spans="13:14" x14ac:dyDescent="0.35">
      <c r="M2120" s="46">
        <v>0.50512457337883965</v>
      </c>
      <c r="N2120" s="46">
        <v>0</v>
      </c>
    </row>
    <row r="2121" spans="13:14" x14ac:dyDescent="0.35">
      <c r="M2121" s="46">
        <v>0.51894056981748038</v>
      </c>
      <c r="N2121" s="46">
        <v>0</v>
      </c>
    </row>
    <row r="2122" spans="13:14" x14ac:dyDescent="0.35">
      <c r="M2122" s="46">
        <v>0.59731955779789281</v>
      </c>
      <c r="N2122" s="46">
        <v>0</v>
      </c>
    </row>
    <row r="2123" spans="13:14" x14ac:dyDescent="0.35">
      <c r="M2123" s="46">
        <v>0.69306840777563428</v>
      </c>
      <c r="N2123" s="46">
        <v>0</v>
      </c>
    </row>
    <row r="2124" spans="13:14" x14ac:dyDescent="0.35">
      <c r="M2124" s="46">
        <v>0.75066048375129846</v>
      </c>
      <c r="N2124" s="46">
        <v>0</v>
      </c>
    </row>
    <row r="2125" spans="13:14" x14ac:dyDescent="0.35">
      <c r="M2125" s="46">
        <v>0.78400949695800559</v>
      </c>
      <c r="N2125" s="46">
        <v>0</v>
      </c>
    </row>
    <row r="2126" spans="13:14" x14ac:dyDescent="0.35">
      <c r="M2126" s="46">
        <v>0.86452797150912597</v>
      </c>
      <c r="N2126" s="46">
        <v>0</v>
      </c>
    </row>
    <row r="2127" spans="13:14" x14ac:dyDescent="0.35">
      <c r="M2127" s="46">
        <v>0.88464275115002222</v>
      </c>
      <c r="N2127" s="46">
        <v>0</v>
      </c>
    </row>
    <row r="2128" spans="13:14" x14ac:dyDescent="0.35">
      <c r="M2128" s="46">
        <v>0.84954889449473214</v>
      </c>
      <c r="N2128" s="46">
        <v>0</v>
      </c>
    </row>
    <row r="2129" spans="13:14" x14ac:dyDescent="0.35">
      <c r="M2129" s="46">
        <v>0.74727889894643129</v>
      </c>
      <c r="N2129" s="46">
        <v>0</v>
      </c>
    </row>
    <row r="2130" spans="13:14" x14ac:dyDescent="0.35">
      <c r="M2130" s="46">
        <v>0.64880946728001188</v>
      </c>
      <c r="N2130" s="46">
        <v>0</v>
      </c>
    </row>
    <row r="2131" spans="13:14" x14ac:dyDescent="0.35">
      <c r="M2131" s="46">
        <v>0.55382890636592974</v>
      </c>
      <c r="N2131" s="46">
        <v>0</v>
      </c>
    </row>
    <row r="2132" spans="13:14" x14ac:dyDescent="0.35">
      <c r="M2132" s="46">
        <v>0.50645533461937975</v>
      </c>
      <c r="N2132" s="46">
        <v>0</v>
      </c>
    </row>
    <row r="2133" spans="13:14" x14ac:dyDescent="0.35">
      <c r="M2133" s="46">
        <v>0.49017725181777716</v>
      </c>
      <c r="N2133" s="46">
        <v>0</v>
      </c>
    </row>
    <row r="2134" spans="13:14" x14ac:dyDescent="0.35">
      <c r="M2134" s="46">
        <v>0.54287164267695498</v>
      </c>
      <c r="N2134" s="46">
        <v>0</v>
      </c>
    </row>
    <row r="2135" spans="13:14" x14ac:dyDescent="0.35">
      <c r="M2135" s="46">
        <v>0.58559778898946435</v>
      </c>
      <c r="N2135" s="46">
        <v>0</v>
      </c>
    </row>
    <row r="2136" spans="13:14" x14ac:dyDescent="0.35">
      <c r="M2136" s="46">
        <v>0.59740977889894642</v>
      </c>
      <c r="N2136" s="46">
        <v>0</v>
      </c>
    </row>
    <row r="2137" spans="13:14" x14ac:dyDescent="0.35">
      <c r="M2137" s="46">
        <v>0.59935732304496214</v>
      </c>
      <c r="N2137" s="46">
        <v>0</v>
      </c>
    </row>
    <row r="2138" spans="13:14" x14ac:dyDescent="0.35">
      <c r="M2138" s="46">
        <v>0.59063681555126879</v>
      </c>
      <c r="N2138" s="46">
        <v>0</v>
      </c>
    </row>
    <row r="2139" spans="13:14" x14ac:dyDescent="0.35">
      <c r="M2139" s="46">
        <v>0.58801535836177476</v>
      </c>
      <c r="N2139" s="46">
        <v>0</v>
      </c>
    </row>
    <row r="2140" spans="13:14" x14ac:dyDescent="0.35">
      <c r="M2140" s="46">
        <v>0.58716219023594007</v>
      </c>
      <c r="N2140" s="46">
        <v>0</v>
      </c>
    </row>
    <row r="2141" spans="13:14" x14ac:dyDescent="0.35">
      <c r="M2141" s="46">
        <v>0.57396357026265021</v>
      </c>
      <c r="N2141" s="46">
        <v>0</v>
      </c>
    </row>
    <row r="2142" spans="13:14" x14ac:dyDescent="0.35">
      <c r="M2142" s="46">
        <v>0.55220425879210566</v>
      </c>
      <c r="N2142" s="46">
        <v>0</v>
      </c>
    </row>
    <row r="2143" spans="13:14" x14ac:dyDescent="0.35">
      <c r="M2143" s="46">
        <v>0.52049666122570115</v>
      </c>
      <c r="N2143" s="46">
        <v>0</v>
      </c>
    </row>
    <row r="2144" spans="13:14" x14ac:dyDescent="0.35">
      <c r="M2144" s="46">
        <v>0.48905883662264432</v>
      </c>
      <c r="N2144" s="46">
        <v>0</v>
      </c>
    </row>
    <row r="2145" spans="13:14" x14ac:dyDescent="0.35">
      <c r="M2145" s="46">
        <v>0.48049829351535833</v>
      </c>
      <c r="N2145" s="46">
        <v>0</v>
      </c>
    </row>
    <row r="2146" spans="13:14" x14ac:dyDescent="0.35">
      <c r="M2146" s="46">
        <v>0.57010765692239207</v>
      </c>
      <c r="N2146" s="46">
        <v>0</v>
      </c>
    </row>
    <row r="2147" spans="13:14" x14ac:dyDescent="0.35">
      <c r="M2147" s="46">
        <v>0.74156224959192762</v>
      </c>
      <c r="N2147" s="46">
        <v>0</v>
      </c>
    </row>
    <row r="2148" spans="13:14" x14ac:dyDescent="0.35">
      <c r="M2148" s="46">
        <v>0.91551676806647864</v>
      </c>
      <c r="N2148" s="46">
        <v>0</v>
      </c>
    </row>
    <row r="2149" spans="13:14" x14ac:dyDescent="0.35">
      <c r="M2149" s="46">
        <v>1</v>
      </c>
      <c r="N2149" s="46">
        <v>8.9687706607332787E-2</v>
      </c>
    </row>
    <row r="2150" spans="13:14" x14ac:dyDescent="0.35">
      <c r="M2150" s="46">
        <v>1</v>
      </c>
      <c r="N2150" s="46">
        <v>0.19857081164391935</v>
      </c>
    </row>
    <row r="2151" spans="13:14" x14ac:dyDescent="0.35">
      <c r="M2151" s="46">
        <v>1</v>
      </c>
      <c r="N2151" s="46">
        <v>0.21880554886844025</v>
      </c>
    </row>
    <row r="2152" spans="13:14" x14ac:dyDescent="0.35">
      <c r="M2152" s="46">
        <v>1</v>
      </c>
      <c r="N2152" s="46">
        <v>0.16753039238461767</v>
      </c>
    </row>
    <row r="2153" spans="13:14" x14ac:dyDescent="0.35">
      <c r="M2153" s="46">
        <v>1</v>
      </c>
      <c r="N2153" s="46">
        <v>5.3005670698375848E-2</v>
      </c>
    </row>
    <row r="2154" spans="13:14" x14ac:dyDescent="0.35">
      <c r="M2154" s="46">
        <v>0.92814089627541174</v>
      </c>
      <c r="N2154" s="46">
        <v>0</v>
      </c>
    </row>
    <row r="2155" spans="13:14" x14ac:dyDescent="0.35">
      <c r="M2155" s="46">
        <v>0.81258094672800119</v>
      </c>
      <c r="N2155" s="46">
        <v>0</v>
      </c>
    </row>
    <row r="2156" spans="13:14" x14ac:dyDescent="0.35">
      <c r="M2156" s="46">
        <v>0.72718155512687344</v>
      </c>
      <c r="N2156" s="46">
        <v>0</v>
      </c>
    </row>
    <row r="2157" spans="13:14" x14ac:dyDescent="0.35">
      <c r="M2157" s="46">
        <v>0.65310691497254791</v>
      </c>
      <c r="N2157" s="46">
        <v>0</v>
      </c>
    </row>
    <row r="2158" spans="13:14" x14ac:dyDescent="0.35">
      <c r="M2158" s="46">
        <v>0.64187386852648753</v>
      </c>
      <c r="N2158" s="46">
        <v>0</v>
      </c>
    </row>
    <row r="2159" spans="13:14" x14ac:dyDescent="0.35">
      <c r="M2159" s="46">
        <v>0.64105876242765991</v>
      </c>
      <c r="N2159" s="46">
        <v>0</v>
      </c>
    </row>
    <row r="2160" spans="13:14" x14ac:dyDescent="0.35">
      <c r="M2160" s="46">
        <v>0.64149169016174501</v>
      </c>
      <c r="N2160" s="46">
        <v>0</v>
      </c>
    </row>
    <row r="2161" spans="13:14" x14ac:dyDescent="0.35">
      <c r="M2161" s="46">
        <v>0.64693737943315033</v>
      </c>
      <c r="N2161" s="46">
        <v>0</v>
      </c>
    </row>
    <row r="2162" spans="13:14" x14ac:dyDescent="0.35">
      <c r="M2162" s="46">
        <v>0.66941749517732596</v>
      </c>
      <c r="N2162" s="46">
        <v>0</v>
      </c>
    </row>
    <row r="2163" spans="13:14" x14ac:dyDescent="0.35">
      <c r="M2163" s="46">
        <v>0.67135413266063215</v>
      </c>
      <c r="N2163" s="46">
        <v>0</v>
      </c>
    </row>
    <row r="2164" spans="13:14" x14ac:dyDescent="0.35">
      <c r="M2164" s="46">
        <v>0.66724528861848931</v>
      </c>
      <c r="N2164" s="46">
        <v>0</v>
      </c>
    </row>
    <row r="2165" spans="13:14" x14ac:dyDescent="0.35">
      <c r="M2165" s="46">
        <v>0.65383699361923142</v>
      </c>
      <c r="N2165" s="46">
        <v>0</v>
      </c>
    </row>
    <row r="2166" spans="13:14" x14ac:dyDescent="0.35">
      <c r="M2166" s="46">
        <v>0.63725797596082501</v>
      </c>
      <c r="N2166" s="46">
        <v>0</v>
      </c>
    </row>
    <row r="2167" spans="13:14" x14ac:dyDescent="0.35">
      <c r="M2167" s="46">
        <v>0.6116423801751002</v>
      </c>
      <c r="N2167" s="46">
        <v>0</v>
      </c>
    </row>
    <row r="2168" spans="13:14" x14ac:dyDescent="0.35">
      <c r="M2168" s="46">
        <v>0.57216278379581542</v>
      </c>
      <c r="N2168" s="46">
        <v>0</v>
      </c>
    </row>
    <row r="2169" spans="13:14" x14ac:dyDescent="0.35">
      <c r="M2169" s="46">
        <v>0.53494947321561059</v>
      </c>
      <c r="N2169" s="46">
        <v>0</v>
      </c>
    </row>
    <row r="2170" spans="13:14" x14ac:dyDescent="0.35">
      <c r="M2170" s="46">
        <v>0.55540859177919566</v>
      </c>
      <c r="N2170" s="46">
        <v>0</v>
      </c>
    </row>
    <row r="2171" spans="13:14" x14ac:dyDescent="0.35">
      <c r="M2171" s="46">
        <v>0.63275033387742996</v>
      </c>
      <c r="N2171" s="46">
        <v>0</v>
      </c>
    </row>
    <row r="2172" spans="13:14" x14ac:dyDescent="0.35">
      <c r="M2172" s="46">
        <v>0.72375441460157297</v>
      </c>
      <c r="N2172" s="46">
        <v>0</v>
      </c>
    </row>
    <row r="2173" spans="13:14" x14ac:dyDescent="0.35">
      <c r="M2173" s="46">
        <v>0.80402975218875206</v>
      </c>
      <c r="N2173" s="46">
        <v>0</v>
      </c>
    </row>
    <row r="2174" spans="13:14" x14ac:dyDescent="0.35">
      <c r="M2174" s="46">
        <v>0.86123007864668344</v>
      </c>
      <c r="N2174" s="46">
        <v>0</v>
      </c>
    </row>
    <row r="2175" spans="13:14" x14ac:dyDescent="0.35">
      <c r="M2175" s="46">
        <v>0.86990948211900876</v>
      </c>
      <c r="N2175" s="46">
        <v>0</v>
      </c>
    </row>
    <row r="2176" spans="13:14" x14ac:dyDescent="0.35">
      <c r="M2176" s="46">
        <v>0.84369587475886632</v>
      </c>
      <c r="N2176" s="46">
        <v>0</v>
      </c>
    </row>
    <row r="2177" spans="13:14" x14ac:dyDescent="0.35">
      <c r="M2177" s="46">
        <v>0.80601098085769396</v>
      </c>
      <c r="N2177" s="46">
        <v>0</v>
      </c>
    </row>
    <row r="2178" spans="13:14" x14ac:dyDescent="0.35">
      <c r="M2178" s="46">
        <v>0.71703190384330029</v>
      </c>
      <c r="N2178" s="46">
        <v>0</v>
      </c>
    </row>
    <row r="2179" spans="13:14" x14ac:dyDescent="0.35">
      <c r="M2179" s="46">
        <v>0.58296928327645048</v>
      </c>
      <c r="N2179" s="46">
        <v>0</v>
      </c>
    </row>
    <row r="2180" spans="13:14" x14ac:dyDescent="0.35">
      <c r="M2180" s="46">
        <v>0.40264386407478853</v>
      </c>
      <c r="N2180" s="46">
        <v>0</v>
      </c>
    </row>
    <row r="2181" spans="13:14" x14ac:dyDescent="0.35">
      <c r="M2181" s="46">
        <v>0.26133691942424692</v>
      </c>
      <c r="N2181" s="46">
        <v>0</v>
      </c>
    </row>
    <row r="2182" spans="13:14" x14ac:dyDescent="0.35">
      <c r="M2182" s="46">
        <v>0.20843292773408517</v>
      </c>
      <c r="N2182" s="46">
        <v>0</v>
      </c>
    </row>
    <row r="2183" spans="13:14" x14ac:dyDescent="0.35">
      <c r="M2183" s="46">
        <v>0.19519698768363258</v>
      </c>
      <c r="N2183" s="46">
        <v>0</v>
      </c>
    </row>
    <row r="2184" spans="13:14" x14ac:dyDescent="0.35">
      <c r="M2184" s="46">
        <v>0.21746609289212049</v>
      </c>
      <c r="N2184" s="46">
        <v>0</v>
      </c>
    </row>
    <row r="2185" spans="13:14" x14ac:dyDescent="0.35">
      <c r="M2185" s="46">
        <v>0.28215766434189049</v>
      </c>
      <c r="N2185" s="46">
        <v>0</v>
      </c>
    </row>
    <row r="2186" spans="13:14" x14ac:dyDescent="0.35">
      <c r="M2186" s="46">
        <v>0.34799807093040513</v>
      </c>
      <c r="N2186" s="46">
        <v>0</v>
      </c>
    </row>
    <row r="2187" spans="13:14" x14ac:dyDescent="0.35">
      <c r="M2187" s="46">
        <v>0.394075604689123</v>
      </c>
      <c r="N2187" s="46">
        <v>0</v>
      </c>
    </row>
    <row r="2188" spans="13:14" x14ac:dyDescent="0.35">
      <c r="M2188" s="46">
        <v>0.42693589553346195</v>
      </c>
      <c r="N2188" s="46">
        <v>0</v>
      </c>
    </row>
    <row r="2189" spans="13:14" x14ac:dyDescent="0.35">
      <c r="M2189" s="46">
        <v>0.4528536132957412</v>
      </c>
      <c r="N2189" s="46">
        <v>0</v>
      </c>
    </row>
    <row r="2190" spans="13:14" x14ac:dyDescent="0.35">
      <c r="M2190" s="46">
        <v>0.46853383291289513</v>
      </c>
      <c r="N2190" s="46">
        <v>0</v>
      </c>
    </row>
    <row r="2191" spans="13:14" x14ac:dyDescent="0.35">
      <c r="M2191" s="46">
        <v>0.48238262353464906</v>
      </c>
      <c r="N2191" s="46">
        <v>0</v>
      </c>
    </row>
    <row r="2192" spans="13:14" x14ac:dyDescent="0.35">
      <c r="M2192" s="46">
        <v>0.48823861106989164</v>
      </c>
      <c r="N2192" s="46">
        <v>0</v>
      </c>
    </row>
    <row r="2193" spans="13:14" x14ac:dyDescent="0.35">
      <c r="M2193" s="46">
        <v>0.5028250482267399</v>
      </c>
      <c r="N2193" s="46">
        <v>0</v>
      </c>
    </row>
    <row r="2194" spans="13:14" x14ac:dyDescent="0.35">
      <c r="M2194" s="46">
        <v>0.58426250185487461</v>
      </c>
      <c r="N2194" s="46">
        <v>0</v>
      </c>
    </row>
    <row r="2195" spans="13:14" x14ac:dyDescent="0.35">
      <c r="M2195" s="46">
        <v>0.70580649948063512</v>
      </c>
      <c r="N2195" s="46">
        <v>0</v>
      </c>
    </row>
    <row r="2196" spans="13:14" x14ac:dyDescent="0.35">
      <c r="M2196" s="46">
        <v>0.80805282682890633</v>
      </c>
      <c r="N2196" s="46">
        <v>0</v>
      </c>
    </row>
    <row r="2197" spans="13:14" x14ac:dyDescent="0.35">
      <c r="M2197" s="46">
        <v>0.88053783944205366</v>
      </c>
      <c r="N2197" s="46">
        <v>0</v>
      </c>
    </row>
    <row r="2198" spans="13:14" x14ac:dyDescent="0.35">
      <c r="M2198" s="46">
        <v>0.92996164119305524</v>
      </c>
      <c r="N2198" s="46">
        <v>0</v>
      </c>
    </row>
    <row r="2199" spans="13:14" x14ac:dyDescent="0.35">
      <c r="M2199" s="46">
        <v>0.94736214571894939</v>
      </c>
      <c r="N2199" s="46">
        <v>0</v>
      </c>
    </row>
    <row r="2200" spans="13:14" x14ac:dyDescent="0.35">
      <c r="M2200" s="46">
        <v>0.93193567294850876</v>
      </c>
      <c r="N2200" s="46">
        <v>0</v>
      </c>
    </row>
    <row r="2201" spans="13:14" x14ac:dyDescent="0.35">
      <c r="M2201" s="46">
        <v>0.92420945244101504</v>
      </c>
      <c r="N2201" s="46">
        <v>0</v>
      </c>
    </row>
    <row r="2202" spans="13:14" x14ac:dyDescent="0.35">
      <c r="M2202" s="46">
        <v>0.87219498441905319</v>
      </c>
      <c r="N2202" s="46">
        <v>0</v>
      </c>
    </row>
    <row r="2203" spans="13:14" x14ac:dyDescent="0.35">
      <c r="M2203" s="46">
        <v>0.77139390117228068</v>
      </c>
      <c r="N2203" s="46">
        <v>0</v>
      </c>
    </row>
    <row r="2204" spans="13:14" x14ac:dyDescent="0.35">
      <c r="M2204" s="46">
        <v>0.6203912301528417</v>
      </c>
      <c r="N2204" s="46">
        <v>0</v>
      </c>
    </row>
    <row r="2205" spans="13:14" x14ac:dyDescent="0.35">
      <c r="M2205" s="46">
        <v>0.5170745659593412</v>
      </c>
      <c r="N2205" s="46">
        <v>0</v>
      </c>
    </row>
    <row r="2206" spans="13:14" x14ac:dyDescent="0.35">
      <c r="M2206" s="46">
        <v>0.49789338180738985</v>
      </c>
      <c r="N2206" s="46">
        <v>0</v>
      </c>
    </row>
    <row r="2207" spans="13:14" x14ac:dyDescent="0.35">
      <c r="M2207" s="46">
        <v>0.49929663154770743</v>
      </c>
      <c r="N2207" s="46">
        <v>0</v>
      </c>
    </row>
    <row r="2208" spans="13:14" x14ac:dyDescent="0.35">
      <c r="M2208" s="46">
        <v>0.50018415195132804</v>
      </c>
      <c r="N2208" s="46">
        <v>0</v>
      </c>
    </row>
    <row r="2209" spans="13:14" x14ac:dyDescent="0.35">
      <c r="M2209" s="46">
        <v>0.50586785873274975</v>
      </c>
      <c r="N2209" s="46">
        <v>0</v>
      </c>
    </row>
    <row r="2210" spans="13:14" x14ac:dyDescent="0.35">
      <c r="M2210" s="46">
        <v>0.51546253153286836</v>
      </c>
      <c r="N2210" s="46">
        <v>0</v>
      </c>
    </row>
    <row r="2211" spans="13:14" x14ac:dyDescent="0.35">
      <c r="M2211" s="46">
        <v>0.51606165603205223</v>
      </c>
      <c r="N2211" s="46">
        <v>0</v>
      </c>
    </row>
    <row r="2212" spans="13:14" x14ac:dyDescent="0.35">
      <c r="M2212" s="46">
        <v>0.51292261463125099</v>
      </c>
      <c r="N2212" s="46">
        <v>0</v>
      </c>
    </row>
    <row r="2213" spans="13:14" x14ac:dyDescent="0.35">
      <c r="M2213" s="46">
        <v>0.50443085027452139</v>
      </c>
      <c r="N2213" s="46">
        <v>0</v>
      </c>
    </row>
    <row r="2214" spans="13:14" x14ac:dyDescent="0.35">
      <c r="M2214" s="46">
        <v>0.498098976109215</v>
      </c>
      <c r="N2214" s="46">
        <v>0</v>
      </c>
    </row>
    <row r="2215" spans="13:14" x14ac:dyDescent="0.35">
      <c r="M2215" s="46">
        <v>0.49041808873720133</v>
      </c>
      <c r="N2215" s="46">
        <v>0</v>
      </c>
    </row>
    <row r="2216" spans="13:14" x14ac:dyDescent="0.35">
      <c r="M2216" s="46">
        <v>0.48716463867042586</v>
      </c>
      <c r="N2216" s="46">
        <v>0</v>
      </c>
    </row>
    <row r="2217" spans="13:14" x14ac:dyDescent="0.35">
      <c r="M2217" s="46">
        <v>0.49226910520848788</v>
      </c>
      <c r="N2217" s="46">
        <v>0</v>
      </c>
    </row>
    <row r="2218" spans="13:14" x14ac:dyDescent="0.35">
      <c r="M2218" s="46">
        <v>0.5628175545333135</v>
      </c>
      <c r="N2218" s="46">
        <v>0</v>
      </c>
    </row>
    <row r="2219" spans="13:14" x14ac:dyDescent="0.35">
      <c r="M2219" s="46">
        <v>0.68286370381362227</v>
      </c>
      <c r="N2219" s="46">
        <v>0</v>
      </c>
    </row>
    <row r="2220" spans="13:14" x14ac:dyDescent="0.35">
      <c r="M2220" s="46">
        <v>0.78733491615966766</v>
      </c>
      <c r="N2220" s="46">
        <v>0</v>
      </c>
    </row>
    <row r="2221" spans="13:14" x14ac:dyDescent="0.35">
      <c r="M2221" s="46">
        <v>0.85616701290992725</v>
      </c>
      <c r="N2221" s="46">
        <v>0</v>
      </c>
    </row>
    <row r="2222" spans="13:14" x14ac:dyDescent="0.35">
      <c r="M2222" s="46">
        <v>0.92257708858881149</v>
      </c>
      <c r="N2222" s="46">
        <v>0</v>
      </c>
    </row>
    <row r="2223" spans="13:14" x14ac:dyDescent="0.35">
      <c r="M2223" s="46">
        <v>0.9497269624573379</v>
      </c>
      <c r="N2223" s="46">
        <v>0</v>
      </c>
    </row>
    <row r="2224" spans="13:14" x14ac:dyDescent="0.35">
      <c r="M2224" s="46">
        <v>0.9406209378246031</v>
      </c>
      <c r="N2224" s="46">
        <v>0</v>
      </c>
    </row>
    <row r="2225" spans="13:14" x14ac:dyDescent="0.35">
      <c r="M2225" s="46">
        <v>0.87983068704555578</v>
      </c>
      <c r="N2225" s="46">
        <v>0</v>
      </c>
    </row>
    <row r="2226" spans="13:14" x14ac:dyDescent="0.35">
      <c r="M2226" s="46">
        <v>0.78111262798634806</v>
      </c>
      <c r="N2226" s="46">
        <v>0</v>
      </c>
    </row>
    <row r="2227" spans="13:14" x14ac:dyDescent="0.35">
      <c r="M2227" s="46">
        <v>0.65416508384033234</v>
      </c>
      <c r="N2227" s="46">
        <v>0</v>
      </c>
    </row>
    <row r="2228" spans="13:14" x14ac:dyDescent="0.35">
      <c r="M2228" s="46">
        <v>0.5106173022703665</v>
      </c>
      <c r="N2228" s="46">
        <v>0</v>
      </c>
    </row>
    <row r="2229" spans="13:14" x14ac:dyDescent="0.35">
      <c r="M2229" s="46">
        <v>0.41418088737201364</v>
      </c>
      <c r="N2229" s="46">
        <v>0</v>
      </c>
    </row>
    <row r="2230" spans="13:14" x14ac:dyDescent="0.35">
      <c r="M2230" s="46">
        <v>0.39731777711826682</v>
      </c>
      <c r="N2230" s="46">
        <v>0</v>
      </c>
    </row>
    <row r="2231" spans="13:14" x14ac:dyDescent="0.35">
      <c r="M2231" s="46">
        <v>0.40008465647722219</v>
      </c>
      <c r="N2231" s="46">
        <v>0</v>
      </c>
    </row>
    <row r="2232" spans="13:14" x14ac:dyDescent="0.35">
      <c r="M2232" s="46">
        <v>0.39733001929069595</v>
      </c>
      <c r="N2232" s="46">
        <v>0</v>
      </c>
    </row>
    <row r="2233" spans="13:14" x14ac:dyDescent="0.35">
      <c r="M2233" s="46">
        <v>0.40685635851016466</v>
      </c>
      <c r="N2233" s="46">
        <v>0</v>
      </c>
    </row>
    <row r="2234" spans="13:14" x14ac:dyDescent="0.35">
      <c r="M2234" s="46">
        <v>0.41042105653657812</v>
      </c>
      <c r="N2234" s="46">
        <v>0</v>
      </c>
    </row>
    <row r="2235" spans="13:14" x14ac:dyDescent="0.35">
      <c r="M2235" s="46">
        <v>0.40922340109808575</v>
      </c>
      <c r="N2235" s="46">
        <v>0</v>
      </c>
    </row>
    <row r="2236" spans="13:14" x14ac:dyDescent="0.35">
      <c r="M2236" s="46">
        <v>0.40924988870752338</v>
      </c>
      <c r="N2236" s="46">
        <v>0</v>
      </c>
    </row>
    <row r="2237" spans="13:14" x14ac:dyDescent="0.35">
      <c r="M2237" s="46">
        <v>0.41066842261463121</v>
      </c>
      <c r="N2237" s="46">
        <v>0</v>
      </c>
    </row>
    <row r="2238" spans="13:14" x14ac:dyDescent="0.35">
      <c r="M2238" s="46">
        <v>0.4090595043775041</v>
      </c>
      <c r="N2238" s="46">
        <v>0</v>
      </c>
    </row>
    <row r="2239" spans="13:14" x14ac:dyDescent="0.35">
      <c r="M2239" s="46">
        <v>0.39941734678735713</v>
      </c>
      <c r="N2239" s="46">
        <v>0</v>
      </c>
    </row>
    <row r="2240" spans="13:14" x14ac:dyDescent="0.35">
      <c r="M2240" s="46">
        <v>0.38702819409407924</v>
      </c>
      <c r="N2240" s="46">
        <v>0</v>
      </c>
    </row>
    <row r="2241" spans="13:14" x14ac:dyDescent="0.35">
      <c r="M2241" s="46">
        <v>0.38730152841667903</v>
      </c>
      <c r="N2241" s="46">
        <v>0</v>
      </c>
    </row>
    <row r="2242" spans="13:14" x14ac:dyDescent="0.35">
      <c r="M2242" s="46">
        <v>0.44633513874462089</v>
      </c>
      <c r="N2242" s="46">
        <v>0</v>
      </c>
    </row>
    <row r="2243" spans="13:14" x14ac:dyDescent="0.35">
      <c r="M2243" s="46">
        <v>0.54595110550526782</v>
      </c>
      <c r="N2243" s="46">
        <v>0</v>
      </c>
    </row>
    <row r="2244" spans="13:14" x14ac:dyDescent="0.35">
      <c r="M2244" s="46">
        <v>0.64506759163080574</v>
      </c>
      <c r="N2244" s="46">
        <v>0</v>
      </c>
    </row>
    <row r="2245" spans="13:14" x14ac:dyDescent="0.35">
      <c r="M2245" s="46">
        <v>0.72471145570559425</v>
      </c>
      <c r="N2245" s="46">
        <v>0</v>
      </c>
    </row>
    <row r="2246" spans="13:14" x14ac:dyDescent="0.35">
      <c r="M2246" s="46">
        <v>0.78077882475144678</v>
      </c>
      <c r="N2246" s="46">
        <v>0</v>
      </c>
    </row>
    <row r="2247" spans="13:14" x14ac:dyDescent="0.35">
      <c r="M2247" s="46">
        <v>0.79180323490132076</v>
      </c>
      <c r="N2247" s="46">
        <v>0</v>
      </c>
    </row>
    <row r="2248" spans="13:14" x14ac:dyDescent="0.35">
      <c r="M2248" s="46">
        <v>0.76060876984715842</v>
      </c>
      <c r="N2248" s="46">
        <v>0</v>
      </c>
    </row>
    <row r="2249" spans="13:14" x14ac:dyDescent="0.35">
      <c r="M2249" s="46">
        <v>0.65239493990206254</v>
      </c>
      <c r="N2249" s="46">
        <v>0</v>
      </c>
    </row>
    <row r="2250" spans="13:14" x14ac:dyDescent="0.35">
      <c r="M2250" s="46">
        <v>0.51612027006974326</v>
      </c>
      <c r="N2250" s="46">
        <v>0</v>
      </c>
    </row>
    <row r="2251" spans="13:14" x14ac:dyDescent="0.35">
      <c r="M2251" s="46">
        <v>0.3724142305980116</v>
      </c>
      <c r="N2251" s="46">
        <v>0</v>
      </c>
    </row>
    <row r="2252" spans="13:14" x14ac:dyDescent="0.35">
      <c r="M2252" s="46">
        <v>0.26917613889301084</v>
      </c>
      <c r="N2252" s="46">
        <v>0</v>
      </c>
    </row>
    <row r="2253" spans="13:14" x14ac:dyDescent="0.35">
      <c r="M2253" s="46">
        <v>0.18343441163377358</v>
      </c>
      <c r="N2253" s="46">
        <v>0</v>
      </c>
    </row>
    <row r="2254" spans="13:14" x14ac:dyDescent="0.35">
      <c r="M2254" s="46">
        <v>0.15628156996587028</v>
      </c>
      <c r="N2254" s="46">
        <v>0</v>
      </c>
    </row>
    <row r="2255" spans="13:14" x14ac:dyDescent="0.35">
      <c r="M2255" s="46">
        <v>0.14934055497848345</v>
      </c>
      <c r="N2255" s="46">
        <v>0</v>
      </c>
    </row>
    <row r="2256" spans="13:14" x14ac:dyDescent="0.35">
      <c r="M2256" s="46">
        <v>0.14750645496364445</v>
      </c>
      <c r="N2256" s="46">
        <v>0</v>
      </c>
    </row>
    <row r="2257" spans="13:14" x14ac:dyDescent="0.35">
      <c r="M2257" s="46">
        <v>0.16252129396052828</v>
      </c>
      <c r="N2257" s="46">
        <v>0</v>
      </c>
    </row>
    <row r="2258" spans="13:14" x14ac:dyDescent="0.35">
      <c r="M2258" s="46">
        <v>0.17293174061433447</v>
      </c>
      <c r="N2258" s="46">
        <v>0</v>
      </c>
    </row>
    <row r="2259" spans="13:14" x14ac:dyDescent="0.35">
      <c r="M2259" s="46">
        <v>0.1750743433743879</v>
      </c>
      <c r="N2259" s="46">
        <v>0</v>
      </c>
    </row>
    <row r="2260" spans="13:14" x14ac:dyDescent="0.35">
      <c r="M2260" s="46">
        <v>0.17535346490577239</v>
      </c>
      <c r="N2260" s="46">
        <v>0</v>
      </c>
    </row>
    <row r="2261" spans="13:14" x14ac:dyDescent="0.35">
      <c r="M2261" s="46">
        <v>0.17756521739130435</v>
      </c>
      <c r="N2261" s="46">
        <v>0</v>
      </c>
    </row>
    <row r="2262" spans="13:14" x14ac:dyDescent="0.35">
      <c r="M2262" s="46">
        <v>0.18030041549191275</v>
      </c>
      <c r="N2262" s="46">
        <v>0</v>
      </c>
    </row>
    <row r="2263" spans="13:14" x14ac:dyDescent="0.35">
      <c r="M2263" s="46">
        <v>0.17803902656180443</v>
      </c>
      <c r="N2263" s="46">
        <v>0</v>
      </c>
    </row>
    <row r="2264" spans="13:14" x14ac:dyDescent="0.35">
      <c r="M2264" s="46">
        <v>0.16949948063510908</v>
      </c>
      <c r="N2264" s="46">
        <v>0</v>
      </c>
    </row>
    <row r="2265" spans="13:14" x14ac:dyDescent="0.35">
      <c r="M2265" s="46">
        <v>0.15507590146906067</v>
      </c>
      <c r="N2265" s="46">
        <v>0</v>
      </c>
    </row>
    <row r="2266" spans="13:14" x14ac:dyDescent="0.35">
      <c r="M2266" s="46">
        <v>0.1812908443389227</v>
      </c>
      <c r="N2266" s="46">
        <v>0</v>
      </c>
    </row>
    <row r="2267" spans="13:14" x14ac:dyDescent="0.35">
      <c r="M2267" s="46">
        <v>0.25719802641341444</v>
      </c>
      <c r="N2267" s="46">
        <v>0</v>
      </c>
    </row>
    <row r="2268" spans="13:14" x14ac:dyDescent="0.35">
      <c r="M2268" s="46">
        <v>0.35179885739723993</v>
      </c>
      <c r="N2268" s="46">
        <v>0</v>
      </c>
    </row>
    <row r="2269" spans="13:14" x14ac:dyDescent="0.35">
      <c r="M2269" s="46">
        <v>0.44190629173467871</v>
      </c>
      <c r="N2269" s="46">
        <v>0</v>
      </c>
    </row>
    <row r="2270" spans="13:14" x14ac:dyDescent="0.35">
      <c r="M2270" s="46">
        <v>0.48063822525597272</v>
      </c>
      <c r="N2270" s="46">
        <v>0</v>
      </c>
    </row>
    <row r="2271" spans="13:14" x14ac:dyDescent="0.35">
      <c r="M2271" s="46">
        <v>0.48995177326012762</v>
      </c>
      <c r="N2271" s="46">
        <v>0</v>
      </c>
    </row>
    <row r="2272" spans="13:14" x14ac:dyDescent="0.35">
      <c r="M2272" s="46">
        <v>0.47615187713310581</v>
      </c>
      <c r="N2272" s="46">
        <v>0</v>
      </c>
    </row>
    <row r="2273" spans="13:14" x14ac:dyDescent="0.35">
      <c r="M2273" s="46">
        <v>0.45778431518029378</v>
      </c>
      <c r="N2273" s="46">
        <v>0</v>
      </c>
    </row>
    <row r="2274" spans="13:14" x14ac:dyDescent="0.35">
      <c r="M2274" s="46">
        <v>0.40857130138002673</v>
      </c>
      <c r="N2274" s="46">
        <v>0</v>
      </c>
    </row>
    <row r="2275" spans="13:14" x14ac:dyDescent="0.35">
      <c r="M2275" s="46">
        <v>0.32690762724439826</v>
      </c>
      <c r="N2275" s="46">
        <v>0</v>
      </c>
    </row>
    <row r="2276" spans="13:14" x14ac:dyDescent="0.35">
      <c r="M2276" s="46">
        <v>0.21309585991986943</v>
      </c>
      <c r="N2276" s="46">
        <v>0</v>
      </c>
    </row>
    <row r="2277" spans="13:14" x14ac:dyDescent="0.35">
      <c r="M2277" s="46">
        <v>0.11455386555868824</v>
      </c>
      <c r="N2277" s="46">
        <v>0</v>
      </c>
    </row>
    <row r="2278" spans="13:14" x14ac:dyDescent="0.35">
      <c r="M2278" s="46">
        <v>8.5228075382104168E-2</v>
      </c>
      <c r="N2278" s="46">
        <v>0</v>
      </c>
    </row>
    <row r="2279" spans="13:14" x14ac:dyDescent="0.35">
      <c r="M2279" s="46">
        <v>7.6275337587179109E-2</v>
      </c>
      <c r="N2279" s="46">
        <v>0</v>
      </c>
    </row>
    <row r="2280" spans="13:14" x14ac:dyDescent="0.35">
      <c r="M2280" s="46">
        <v>6.5997551565514165E-2</v>
      </c>
      <c r="N2280" s="46">
        <v>0</v>
      </c>
    </row>
    <row r="2281" spans="13:14" x14ac:dyDescent="0.35">
      <c r="M2281" s="46">
        <v>6.1873942721472029E-2</v>
      </c>
      <c r="N2281" s="46">
        <v>0</v>
      </c>
    </row>
    <row r="2282" spans="13:14" x14ac:dyDescent="0.35">
      <c r="M2282" s="46">
        <v>5.9374239501409701E-2</v>
      </c>
      <c r="N2282" s="46">
        <v>0</v>
      </c>
    </row>
    <row r="2283" spans="13:14" x14ac:dyDescent="0.35">
      <c r="M2283" s="46">
        <v>5.6552678438937527E-2</v>
      </c>
      <c r="N2283" s="46">
        <v>0</v>
      </c>
    </row>
    <row r="2284" spans="13:14" x14ac:dyDescent="0.35">
      <c r="M2284" s="46">
        <v>5.4170129099272893E-2</v>
      </c>
      <c r="N2284" s="46">
        <v>0</v>
      </c>
    </row>
    <row r="2285" spans="13:14" x14ac:dyDescent="0.35">
      <c r="M2285" s="46">
        <v>5.3921353316515798E-2</v>
      </c>
      <c r="N2285" s="46">
        <v>0</v>
      </c>
    </row>
    <row r="2286" spans="13:14" x14ac:dyDescent="0.35">
      <c r="M2286" s="46">
        <v>5.1481599643864076E-2</v>
      </c>
      <c r="N2286" s="46">
        <v>0</v>
      </c>
    </row>
    <row r="2287" spans="13:14" x14ac:dyDescent="0.35">
      <c r="M2287" s="46">
        <v>4.9162412820893307E-2</v>
      </c>
      <c r="N2287" s="46">
        <v>0</v>
      </c>
    </row>
    <row r="2288" spans="13:14" x14ac:dyDescent="0.35">
      <c r="M2288" s="46">
        <v>4.595577978928625E-2</v>
      </c>
      <c r="N2288" s="46">
        <v>0</v>
      </c>
    </row>
    <row r="2289" spans="13:14" x14ac:dyDescent="0.35">
      <c r="M2289" s="46">
        <v>5.6820002967799384E-2</v>
      </c>
      <c r="N2289" s="46">
        <v>0</v>
      </c>
    </row>
    <row r="2290" spans="13:14" x14ac:dyDescent="0.35">
      <c r="M2290" s="46">
        <v>0.15537839442053716</v>
      </c>
      <c r="N2290" s="46">
        <v>0</v>
      </c>
    </row>
    <row r="2291" spans="13:14" x14ac:dyDescent="0.35">
      <c r="M2291" s="46">
        <v>0.30360951179700252</v>
      </c>
      <c r="N2291" s="46">
        <v>0</v>
      </c>
    </row>
    <row r="2292" spans="13:14" x14ac:dyDescent="0.35">
      <c r="M2292" s="46">
        <v>0.43132349013206706</v>
      </c>
      <c r="N2292" s="46">
        <v>0</v>
      </c>
    </row>
    <row r="2293" spans="13:14" x14ac:dyDescent="0.35">
      <c r="M2293" s="46">
        <v>0.51721360736014244</v>
      </c>
      <c r="N2293" s="46">
        <v>0</v>
      </c>
    </row>
    <row r="2294" spans="13:14" x14ac:dyDescent="0.35">
      <c r="M2294" s="46">
        <v>0.59098471583320966</v>
      </c>
      <c r="N2294" s="46">
        <v>0</v>
      </c>
    </row>
    <row r="2295" spans="13:14" x14ac:dyDescent="0.35">
      <c r="M2295" s="46">
        <v>0.62903502003264578</v>
      </c>
      <c r="N2295" s="46">
        <v>0</v>
      </c>
    </row>
    <row r="2296" spans="13:14" x14ac:dyDescent="0.35">
      <c r="M2296" s="46">
        <v>0.63065180293812129</v>
      </c>
      <c r="N2296" s="46">
        <v>0</v>
      </c>
    </row>
    <row r="2297" spans="13:14" x14ac:dyDescent="0.35">
      <c r="M2297" s="46">
        <v>0.58193493099866456</v>
      </c>
      <c r="N2297" s="46">
        <v>0</v>
      </c>
    </row>
    <row r="2298" spans="13:14" x14ac:dyDescent="0.35">
      <c r="M2298" s="46">
        <v>0.49506581095117974</v>
      </c>
      <c r="N2298" s="46">
        <v>0</v>
      </c>
    </row>
    <row r="2299" spans="13:14" x14ac:dyDescent="0.35">
      <c r="M2299" s="46">
        <v>0.36715261908294999</v>
      </c>
      <c r="N2299" s="46">
        <v>0</v>
      </c>
    </row>
    <row r="2300" spans="13:14" x14ac:dyDescent="0.35">
      <c r="M2300" s="46">
        <v>0.20717673245288618</v>
      </c>
      <c r="N2300" s="46">
        <v>0</v>
      </c>
    </row>
    <row r="2301" spans="13:14" x14ac:dyDescent="0.35">
      <c r="M2301" s="46">
        <v>8.5382400949695805E-2</v>
      </c>
      <c r="N2301" s="46">
        <v>0</v>
      </c>
    </row>
    <row r="2302" spans="13:14" x14ac:dyDescent="0.35">
      <c r="M2302" s="46">
        <v>4.6763763169609736E-2</v>
      </c>
      <c r="N2302" s="46">
        <v>0</v>
      </c>
    </row>
    <row r="2303" spans="13:14" x14ac:dyDescent="0.35">
      <c r="M2303" s="46">
        <v>3.4359029529603798E-2</v>
      </c>
      <c r="N2303" s="46">
        <v>0</v>
      </c>
    </row>
    <row r="2304" spans="13:14" x14ac:dyDescent="0.35">
      <c r="M2304" s="46">
        <v>2.2106469802641342E-2</v>
      </c>
      <c r="N2304" s="46">
        <v>0</v>
      </c>
    </row>
    <row r="2305" spans="13:14" x14ac:dyDescent="0.35">
      <c r="M2305" s="46">
        <v>1.5839813028639266E-2</v>
      </c>
      <c r="N2305" s="46">
        <v>0</v>
      </c>
    </row>
    <row r="2306" spans="13:14" x14ac:dyDescent="0.35">
      <c r="M2306" s="46">
        <v>1.1600311618934558E-2</v>
      </c>
      <c r="N2306" s="46">
        <v>0</v>
      </c>
    </row>
    <row r="2307" spans="13:14" x14ac:dyDescent="0.35">
      <c r="M2307" s="46">
        <v>8.7541178216352569E-3</v>
      </c>
      <c r="N2307" s="46">
        <v>0</v>
      </c>
    </row>
    <row r="2308" spans="13:14" x14ac:dyDescent="0.35">
      <c r="M2308" s="46">
        <v>7.7156848197061879E-3</v>
      </c>
      <c r="N2308" s="46">
        <v>0</v>
      </c>
    </row>
    <row r="2309" spans="13:14" x14ac:dyDescent="0.35">
      <c r="M2309" s="46">
        <v>8.2713310580204771E-3</v>
      </c>
      <c r="N2309" s="46">
        <v>0</v>
      </c>
    </row>
    <row r="2310" spans="13:14" x14ac:dyDescent="0.35">
      <c r="M2310" s="46">
        <v>1.178446357026265E-2</v>
      </c>
      <c r="N2310" s="46">
        <v>0</v>
      </c>
    </row>
    <row r="2311" spans="13:14" x14ac:dyDescent="0.35">
      <c r="M2311" s="46">
        <v>1.9881807389820448E-2</v>
      </c>
      <c r="N2311" s="46">
        <v>0</v>
      </c>
    </row>
    <row r="2312" spans="13:14" x14ac:dyDescent="0.35">
      <c r="M2312" s="46">
        <v>2.9997996735420685E-2</v>
      </c>
      <c r="N2312" s="46">
        <v>0</v>
      </c>
    </row>
    <row r="2313" spans="13:14" x14ac:dyDescent="0.35">
      <c r="M2313" s="46">
        <v>6.19824899836771E-2</v>
      </c>
      <c r="N2313" s="46">
        <v>0</v>
      </c>
    </row>
    <row r="2314" spans="13:14" x14ac:dyDescent="0.35">
      <c r="M2314" s="46">
        <v>0.19190139486570709</v>
      </c>
      <c r="N2314" s="46">
        <v>0</v>
      </c>
    </row>
    <row r="2315" spans="13:14" x14ac:dyDescent="0.35">
      <c r="M2315" s="46">
        <v>0.37731851906811098</v>
      </c>
      <c r="N2315" s="46">
        <v>0</v>
      </c>
    </row>
    <row r="2316" spans="13:14" x14ac:dyDescent="0.35">
      <c r="M2316" s="46">
        <v>0.55272073007864664</v>
      </c>
      <c r="N2316" s="46">
        <v>0</v>
      </c>
    </row>
    <row r="2317" spans="13:14" x14ac:dyDescent="0.35">
      <c r="M2317" s="46">
        <v>0.70692083395162497</v>
      </c>
      <c r="N2317" s="46">
        <v>0</v>
      </c>
    </row>
    <row r="2318" spans="13:14" x14ac:dyDescent="0.35">
      <c r="M2318" s="46">
        <v>0.85501914230598008</v>
      </c>
      <c r="N2318" s="46">
        <v>0</v>
      </c>
    </row>
    <row r="2319" spans="13:14" x14ac:dyDescent="0.35">
      <c r="M2319" s="46">
        <v>0.95862516693871502</v>
      </c>
      <c r="N2319" s="46">
        <v>0</v>
      </c>
    </row>
    <row r="2320" spans="13:14" x14ac:dyDescent="0.35">
      <c r="M2320" s="46">
        <v>0.99416849680961572</v>
      </c>
      <c r="N2320" s="46">
        <v>0</v>
      </c>
    </row>
    <row r="2321" spans="13:14" x14ac:dyDescent="0.35">
      <c r="M2321" s="46">
        <v>0.98582170945244108</v>
      </c>
      <c r="N2321" s="46">
        <v>0</v>
      </c>
    </row>
    <row r="2322" spans="13:14" x14ac:dyDescent="0.35">
      <c r="M2322" s="46">
        <v>0.92668697136073608</v>
      </c>
      <c r="N2322" s="46">
        <v>0</v>
      </c>
    </row>
    <row r="2323" spans="13:14" x14ac:dyDescent="0.35">
      <c r="M2323" s="46">
        <v>0.82468430034129692</v>
      </c>
      <c r="N2323" s="46">
        <v>0</v>
      </c>
    </row>
    <row r="2324" spans="13:14" x14ac:dyDescent="0.35">
      <c r="M2324" s="46">
        <v>0.7130534945837661</v>
      </c>
      <c r="N2324" s="46">
        <v>0</v>
      </c>
    </row>
    <row r="2325" spans="13:14" x14ac:dyDescent="0.35">
      <c r="M2325" s="46">
        <v>0.61538878171835576</v>
      </c>
      <c r="N2325" s="46">
        <v>0</v>
      </c>
    </row>
    <row r="2326" spans="13:14" x14ac:dyDescent="0.35">
      <c r="M2326" s="46">
        <v>0.55581718355839149</v>
      </c>
      <c r="N2326" s="46">
        <v>0</v>
      </c>
    </row>
    <row r="2327" spans="13:14" x14ac:dyDescent="0.35">
      <c r="M2327" s="46">
        <v>0.51010120195874764</v>
      </c>
      <c r="N2327" s="46">
        <v>0</v>
      </c>
    </row>
    <row r="2328" spans="13:14" x14ac:dyDescent="0.35">
      <c r="M2328" s="46">
        <v>0.45325827274076275</v>
      </c>
      <c r="N2328" s="46">
        <v>0</v>
      </c>
    </row>
    <row r="2329" spans="13:14" x14ac:dyDescent="0.35">
      <c r="M2329" s="46">
        <v>0.39029499925805011</v>
      </c>
      <c r="N2329" s="46">
        <v>0</v>
      </c>
    </row>
    <row r="2330" spans="13:14" x14ac:dyDescent="0.35">
      <c r="M2330" s="46">
        <v>0.34135687787505564</v>
      </c>
      <c r="N2330" s="46">
        <v>0</v>
      </c>
    </row>
    <row r="2331" spans="13:14" x14ac:dyDescent="0.35">
      <c r="M2331" s="46">
        <v>0.33365929663154775</v>
      </c>
      <c r="N2331" s="46">
        <v>0</v>
      </c>
    </row>
    <row r="2332" spans="13:14" x14ac:dyDescent="0.35">
      <c r="M2332" s="46">
        <v>0.35578906365929663</v>
      </c>
      <c r="N2332" s="46">
        <v>0</v>
      </c>
    </row>
    <row r="2333" spans="13:14" x14ac:dyDescent="0.35">
      <c r="M2333" s="46">
        <v>0.38026279863481227</v>
      </c>
      <c r="N2333" s="46">
        <v>0</v>
      </c>
    </row>
    <row r="2334" spans="13:14" x14ac:dyDescent="0.35">
      <c r="M2334" s="46">
        <v>0.38285301973586583</v>
      </c>
      <c r="N2334" s="46">
        <v>0</v>
      </c>
    </row>
    <row r="2335" spans="13:14" x14ac:dyDescent="0.35">
      <c r="M2335" s="46">
        <v>0.3656387446208636</v>
      </c>
      <c r="N2335" s="46">
        <v>0</v>
      </c>
    </row>
    <row r="2336" spans="13:14" x14ac:dyDescent="0.35">
      <c r="M2336" s="46">
        <v>0.34179744769253601</v>
      </c>
      <c r="N2336" s="46">
        <v>0</v>
      </c>
    </row>
    <row r="2337" spans="13:14" x14ac:dyDescent="0.35">
      <c r="M2337" s="46">
        <v>0.331294257308206</v>
      </c>
      <c r="N2337" s="46">
        <v>0</v>
      </c>
    </row>
    <row r="2338" spans="13:14" x14ac:dyDescent="0.35">
      <c r="M2338" s="46">
        <v>0.39593136963941239</v>
      </c>
      <c r="N2338" s="46">
        <v>0</v>
      </c>
    </row>
    <row r="2339" spans="13:14" x14ac:dyDescent="0.35">
      <c r="M2339" s="46">
        <v>0.50804681703516841</v>
      </c>
      <c r="N2339" s="46">
        <v>0</v>
      </c>
    </row>
    <row r="2340" spans="13:14" x14ac:dyDescent="0.35">
      <c r="M2340" s="46">
        <v>0.62277459563733484</v>
      </c>
      <c r="N2340" s="46">
        <v>0</v>
      </c>
    </row>
    <row r="2341" spans="13:14" x14ac:dyDescent="0.35">
      <c r="M2341" s="46">
        <v>0.73473527229559288</v>
      </c>
      <c r="N2341" s="46">
        <v>0</v>
      </c>
    </row>
    <row r="2342" spans="13:14" x14ac:dyDescent="0.35">
      <c r="M2342" s="46">
        <v>0.83447521887520404</v>
      </c>
      <c r="N2342" s="46">
        <v>0</v>
      </c>
    </row>
    <row r="2343" spans="13:14" x14ac:dyDescent="0.35">
      <c r="M2343" s="46">
        <v>0.89599547410595048</v>
      </c>
      <c r="N2343" s="46">
        <v>0</v>
      </c>
    </row>
    <row r="2344" spans="13:14" x14ac:dyDescent="0.35">
      <c r="M2344" s="46">
        <v>0.89972896572191718</v>
      </c>
      <c r="N2344" s="46">
        <v>0</v>
      </c>
    </row>
    <row r="2345" spans="13:14" x14ac:dyDescent="0.35">
      <c r="M2345" s="46">
        <v>0.92168541326606324</v>
      </c>
      <c r="N2345" s="46">
        <v>0</v>
      </c>
    </row>
    <row r="2346" spans="13:14" x14ac:dyDescent="0.35">
      <c r="M2346" s="46">
        <v>0.90323905623979817</v>
      </c>
      <c r="N2346" s="46">
        <v>0</v>
      </c>
    </row>
    <row r="2347" spans="13:14" x14ac:dyDescent="0.35">
      <c r="M2347" s="46">
        <v>0.83433031607063357</v>
      </c>
      <c r="N2347" s="46">
        <v>0</v>
      </c>
    </row>
    <row r="2348" spans="13:14" x14ac:dyDescent="0.35">
      <c r="M2348" s="46">
        <v>0.70841845971212347</v>
      </c>
      <c r="N2348" s="46">
        <v>0</v>
      </c>
    </row>
    <row r="2349" spans="13:14" x14ac:dyDescent="0.35">
      <c r="M2349" s="46">
        <v>0.60602107137557504</v>
      </c>
      <c r="N2349" s="46">
        <v>0</v>
      </c>
    </row>
    <row r="2350" spans="13:14" x14ac:dyDescent="0.35">
      <c r="M2350" s="46">
        <v>0.571254414601573</v>
      </c>
      <c r="N2350" s="46">
        <v>0</v>
      </c>
    </row>
    <row r="2351" spans="13:14" x14ac:dyDescent="0.35">
      <c r="M2351" s="46">
        <v>0.56956135925211449</v>
      </c>
      <c r="N2351" s="46">
        <v>0</v>
      </c>
    </row>
    <row r="2352" spans="13:14" x14ac:dyDescent="0.35">
      <c r="M2352" s="46">
        <v>0.58779032497403183</v>
      </c>
      <c r="N2352" s="46">
        <v>0</v>
      </c>
    </row>
    <row r="2353" spans="13:14" x14ac:dyDescent="0.35">
      <c r="M2353" s="46">
        <v>0.62009593411485386</v>
      </c>
      <c r="N2353" s="46">
        <v>0</v>
      </c>
    </row>
    <row r="2354" spans="13:14" x14ac:dyDescent="0.35">
      <c r="M2354" s="46">
        <v>0.64120485235198099</v>
      </c>
      <c r="N2354" s="46">
        <v>0</v>
      </c>
    </row>
    <row r="2355" spans="13:14" x14ac:dyDescent="0.35">
      <c r="M2355" s="46">
        <v>0.6494956224959193</v>
      </c>
      <c r="N2355" s="46">
        <v>0</v>
      </c>
    </row>
    <row r="2356" spans="13:14" x14ac:dyDescent="0.35">
      <c r="M2356" s="46">
        <v>0.65119913933818063</v>
      </c>
      <c r="N2356" s="46">
        <v>0</v>
      </c>
    </row>
    <row r="2357" spans="13:14" x14ac:dyDescent="0.35">
      <c r="M2357" s="46">
        <v>0.64910335361329574</v>
      </c>
      <c r="N2357" s="46">
        <v>0</v>
      </c>
    </row>
    <row r="2358" spans="13:14" x14ac:dyDescent="0.35">
      <c r="M2358" s="46">
        <v>0.64184982935153589</v>
      </c>
      <c r="N2358" s="46">
        <v>0</v>
      </c>
    </row>
    <row r="2359" spans="13:14" x14ac:dyDescent="0.35">
      <c r="M2359" s="46">
        <v>0.63699413859623089</v>
      </c>
      <c r="N2359" s="46">
        <v>0</v>
      </c>
    </row>
    <row r="2360" spans="13:14" x14ac:dyDescent="0.35">
      <c r="M2360" s="46">
        <v>0.62602218430034129</v>
      </c>
      <c r="N2360" s="46">
        <v>0</v>
      </c>
    </row>
    <row r="2361" spans="13:14" x14ac:dyDescent="0.35">
      <c r="M2361" s="46">
        <v>0.6274933966463867</v>
      </c>
      <c r="N2361" s="46">
        <v>0</v>
      </c>
    </row>
    <row r="2362" spans="13:14" x14ac:dyDescent="0.35">
      <c r="M2362" s="46">
        <v>0.69317702923282387</v>
      </c>
      <c r="N2362" s="46">
        <v>0</v>
      </c>
    </row>
    <row r="2363" spans="13:14" x14ac:dyDescent="0.35">
      <c r="M2363" s="46">
        <v>0.80388581391897906</v>
      </c>
      <c r="N2363" s="46">
        <v>0</v>
      </c>
    </row>
    <row r="2364" spans="13:14" x14ac:dyDescent="0.35">
      <c r="M2364" s="46">
        <v>0.91120633625166936</v>
      </c>
      <c r="N2364" s="46">
        <v>0</v>
      </c>
    </row>
    <row r="2365" spans="13:14" x14ac:dyDescent="0.35">
      <c r="M2365" s="46">
        <v>1</v>
      </c>
      <c r="N2365" s="46">
        <v>1.3844154765075056E-2</v>
      </c>
    </row>
    <row r="2366" spans="13:14" x14ac:dyDescent="0.35">
      <c r="M2366" s="46">
        <v>1</v>
      </c>
      <c r="N2366" s="46">
        <v>4.9881863204636112E-2</v>
      </c>
    </row>
    <row r="2367" spans="13:14" x14ac:dyDescent="0.35">
      <c r="M2367" s="46">
        <v>1</v>
      </c>
      <c r="N2367" s="46">
        <v>2.4184139714837037E-3</v>
      </c>
    </row>
    <row r="2368" spans="13:14" x14ac:dyDescent="0.35">
      <c r="M2368" s="46">
        <v>0.94415848048671913</v>
      </c>
      <c r="N2368" s="46">
        <v>0</v>
      </c>
    </row>
    <row r="2369" spans="13:14" x14ac:dyDescent="0.35">
      <c r="M2369" s="46">
        <v>0.91780835435524555</v>
      </c>
      <c r="N2369" s="46">
        <v>0</v>
      </c>
    </row>
    <row r="2370" spans="13:14" x14ac:dyDescent="0.35">
      <c r="M2370" s="46">
        <v>0.84804429440569817</v>
      </c>
      <c r="N2370" s="46">
        <v>0</v>
      </c>
    </row>
    <row r="2371" spans="13:14" x14ac:dyDescent="0.35">
      <c r="M2371" s="46">
        <v>0.7303536874907256</v>
      </c>
      <c r="N2371" s="46">
        <v>0</v>
      </c>
    </row>
    <row r="2372" spans="13:14" x14ac:dyDescent="0.35">
      <c r="M2372" s="46">
        <v>0.56381332541920171</v>
      </c>
      <c r="N2372" s="46">
        <v>0</v>
      </c>
    </row>
    <row r="2373" spans="13:14" x14ac:dyDescent="0.35">
      <c r="M2373" s="46">
        <v>0.40610928921204925</v>
      </c>
      <c r="N2373" s="46">
        <v>0</v>
      </c>
    </row>
    <row r="2374" spans="13:14" x14ac:dyDescent="0.35">
      <c r="M2374" s="46">
        <v>0.33640532719988125</v>
      </c>
      <c r="N2374" s="46">
        <v>0</v>
      </c>
    </row>
    <row r="2375" spans="13:14" x14ac:dyDescent="0.35">
      <c r="M2375" s="46">
        <v>0.33543708265321265</v>
      </c>
      <c r="N2375" s="46">
        <v>0</v>
      </c>
    </row>
    <row r="2376" spans="13:14" x14ac:dyDescent="0.35">
      <c r="M2376" s="46">
        <v>0.38286756195281196</v>
      </c>
      <c r="N2376" s="46">
        <v>0</v>
      </c>
    </row>
    <row r="2377" spans="13:14" x14ac:dyDescent="0.35">
      <c r="M2377" s="46">
        <v>0.50196601869713608</v>
      </c>
      <c r="N2377" s="46">
        <v>0</v>
      </c>
    </row>
    <row r="2378" spans="13:14" x14ac:dyDescent="0.35">
      <c r="M2378" s="46">
        <v>0.58704273631102544</v>
      </c>
      <c r="N2378" s="46">
        <v>0</v>
      </c>
    </row>
    <row r="2379" spans="13:14" x14ac:dyDescent="0.35">
      <c r="M2379" s="46">
        <v>0.6316607063362516</v>
      </c>
      <c r="N2379" s="46">
        <v>0</v>
      </c>
    </row>
    <row r="2380" spans="13:14" x14ac:dyDescent="0.35">
      <c r="M2380" s="46">
        <v>0.64533810654399759</v>
      </c>
      <c r="N2380" s="46">
        <v>0</v>
      </c>
    </row>
    <row r="2381" spans="13:14" x14ac:dyDescent="0.35">
      <c r="M2381" s="46">
        <v>0.65231963199287724</v>
      </c>
      <c r="N2381" s="46">
        <v>0</v>
      </c>
    </row>
    <row r="2382" spans="13:14" x14ac:dyDescent="0.35">
      <c r="M2382" s="46">
        <v>0.65598078349903544</v>
      </c>
      <c r="N2382" s="46">
        <v>0</v>
      </c>
    </row>
    <row r="2383" spans="13:14" x14ac:dyDescent="0.35">
      <c r="M2383" s="46">
        <v>0.65795036355542358</v>
      </c>
      <c r="N2383" s="46">
        <v>0</v>
      </c>
    </row>
    <row r="2384" spans="13:14" x14ac:dyDescent="0.35">
      <c r="M2384" s="46">
        <v>0.65751461641193054</v>
      </c>
      <c r="N2384" s="46">
        <v>0</v>
      </c>
    </row>
    <row r="2385" spans="13:14" x14ac:dyDescent="0.35">
      <c r="M2385" s="46">
        <v>0.67163458970173606</v>
      </c>
      <c r="N2385" s="46">
        <v>0</v>
      </c>
    </row>
    <row r="2386" spans="13:14" x14ac:dyDescent="0.35">
      <c r="M2386" s="46">
        <v>0.73553657812731854</v>
      </c>
      <c r="N2386" s="46">
        <v>0</v>
      </c>
    </row>
    <row r="2387" spans="13:14" x14ac:dyDescent="0.35">
      <c r="M2387" s="46">
        <v>0.80795674432408371</v>
      </c>
      <c r="N2387" s="46">
        <v>0</v>
      </c>
    </row>
    <row r="2388" spans="13:14" x14ac:dyDescent="0.35">
      <c r="M2388" s="46">
        <v>0.86534070336845226</v>
      </c>
      <c r="N2388" s="46">
        <v>0</v>
      </c>
    </row>
    <row r="2389" spans="13:14" x14ac:dyDescent="0.35">
      <c r="M2389" s="46">
        <v>0.89782846119602322</v>
      </c>
      <c r="N2389" s="46">
        <v>0</v>
      </c>
    </row>
    <row r="2390" spans="13:14" x14ac:dyDescent="0.35">
      <c r="M2390" s="46">
        <v>0.92284448731265767</v>
      </c>
      <c r="N2390" s="46">
        <v>0</v>
      </c>
    </row>
    <row r="2391" spans="13:14" x14ac:dyDescent="0.35">
      <c r="M2391" s="46">
        <v>0.93094034723252705</v>
      </c>
      <c r="N2391" s="46">
        <v>0</v>
      </c>
    </row>
    <row r="2392" spans="13:14" x14ac:dyDescent="0.35">
      <c r="M2392" s="46">
        <v>0.91897544146015719</v>
      </c>
      <c r="N2392" s="46">
        <v>0</v>
      </c>
    </row>
    <row r="2393" spans="13:14" x14ac:dyDescent="0.35">
      <c r="M2393" s="46">
        <v>0.95204748479002821</v>
      </c>
      <c r="N2393" s="46">
        <v>0</v>
      </c>
    </row>
    <row r="2394" spans="13:14" x14ac:dyDescent="0.35">
      <c r="M2394" s="46">
        <v>0.95894086659741795</v>
      </c>
      <c r="N2394" s="46">
        <v>0</v>
      </c>
    </row>
    <row r="2395" spans="13:14" x14ac:dyDescent="0.35">
      <c r="M2395" s="46">
        <v>0.90986407478854425</v>
      </c>
      <c r="N2395" s="46">
        <v>0</v>
      </c>
    </row>
    <row r="2396" spans="13:14" x14ac:dyDescent="0.35">
      <c r="M2396" s="46">
        <v>0.77669394568927141</v>
      </c>
      <c r="N2396" s="46">
        <v>0</v>
      </c>
    </row>
    <row r="2397" spans="13:14" x14ac:dyDescent="0.35">
      <c r="M2397" s="46">
        <v>0.67414349309986643</v>
      </c>
      <c r="N2397" s="46">
        <v>0</v>
      </c>
    </row>
    <row r="2398" spans="13:14" x14ac:dyDescent="0.35">
      <c r="M2398" s="46">
        <v>0.64941348864816739</v>
      </c>
      <c r="N2398" s="46">
        <v>0</v>
      </c>
    </row>
    <row r="2399" spans="13:14" x14ac:dyDescent="0.35">
      <c r="M2399" s="46">
        <v>0.64308747588663007</v>
      </c>
      <c r="N2399" s="46">
        <v>0</v>
      </c>
    </row>
    <row r="2400" spans="13:14" x14ac:dyDescent="0.35">
      <c r="M2400" s="46">
        <v>0.63125983083543558</v>
      </c>
      <c r="N2400" s="46">
        <v>0</v>
      </c>
    </row>
    <row r="2401" spans="13:14" x14ac:dyDescent="0.35">
      <c r="M2401" s="46">
        <v>0.62888752040362073</v>
      </c>
      <c r="N2401" s="46">
        <v>0</v>
      </c>
    </row>
    <row r="2402" spans="13:14" x14ac:dyDescent="0.35">
      <c r="M2402" s="46">
        <v>0.63073022703665227</v>
      </c>
      <c r="N2402" s="46">
        <v>0</v>
      </c>
    </row>
    <row r="2403" spans="13:14" x14ac:dyDescent="0.35">
      <c r="M2403" s="46">
        <v>0.62807041104021366</v>
      </c>
      <c r="N2403" s="46">
        <v>0</v>
      </c>
    </row>
    <row r="2404" spans="13:14" x14ac:dyDescent="0.35">
      <c r="M2404" s="46">
        <v>0.61974291437898799</v>
      </c>
      <c r="N2404" s="46">
        <v>0</v>
      </c>
    </row>
    <row r="2405" spans="13:14" x14ac:dyDescent="0.35">
      <c r="M2405" s="46">
        <v>0.60215781273185931</v>
      </c>
      <c r="N2405" s="46">
        <v>0</v>
      </c>
    </row>
    <row r="2406" spans="13:14" x14ac:dyDescent="0.35">
      <c r="M2406" s="46">
        <v>0.58159274373052383</v>
      </c>
      <c r="N2406" s="46">
        <v>0</v>
      </c>
    </row>
    <row r="2407" spans="13:14" x14ac:dyDescent="0.35">
      <c r="M2407" s="46">
        <v>0.56570403620715237</v>
      </c>
      <c r="N2407" s="46">
        <v>0</v>
      </c>
    </row>
    <row r="2408" spans="13:14" x14ac:dyDescent="0.35">
      <c r="M2408" s="46">
        <v>0.54704459118563586</v>
      </c>
      <c r="N2408" s="46">
        <v>0</v>
      </c>
    </row>
    <row r="2409" spans="13:14" x14ac:dyDescent="0.35">
      <c r="M2409" s="46">
        <v>0.54256069149725472</v>
      </c>
      <c r="N2409" s="46">
        <v>0</v>
      </c>
    </row>
    <row r="2410" spans="13:14" x14ac:dyDescent="0.35">
      <c r="M2410" s="46">
        <v>0.61926747291883066</v>
      </c>
      <c r="N2410" s="46">
        <v>0</v>
      </c>
    </row>
    <row r="2411" spans="13:14" x14ac:dyDescent="0.35">
      <c r="M2411" s="46">
        <v>0.71281658999851616</v>
      </c>
      <c r="N2411" s="46">
        <v>0</v>
      </c>
    </row>
    <row r="2412" spans="13:14" x14ac:dyDescent="0.35">
      <c r="M2412" s="46">
        <v>0.78375456299154178</v>
      </c>
      <c r="N2412" s="46">
        <v>0</v>
      </c>
    </row>
    <row r="2413" spans="13:14" x14ac:dyDescent="0.35">
      <c r="M2413" s="46">
        <v>0.81508443389226892</v>
      </c>
      <c r="N2413" s="46">
        <v>0</v>
      </c>
    </row>
    <row r="2414" spans="13:14" x14ac:dyDescent="0.35">
      <c r="M2414" s="46">
        <v>0.86909222436563294</v>
      </c>
      <c r="N2414" s="46">
        <v>0</v>
      </c>
    </row>
    <row r="2415" spans="13:14" x14ac:dyDescent="0.35">
      <c r="M2415" s="46">
        <v>0.89288803976851161</v>
      </c>
      <c r="N2415" s="46">
        <v>0</v>
      </c>
    </row>
    <row r="2416" spans="13:14" x14ac:dyDescent="0.35">
      <c r="M2416" s="46">
        <v>0.87404043626650829</v>
      </c>
      <c r="N2416" s="46">
        <v>0</v>
      </c>
    </row>
    <row r="2417" spans="13:14" x14ac:dyDescent="0.35">
      <c r="M2417" s="46">
        <v>0.82137720730078656</v>
      </c>
      <c r="N2417" s="46">
        <v>0</v>
      </c>
    </row>
    <row r="2418" spans="13:14" x14ac:dyDescent="0.35">
      <c r="M2418" s="46">
        <v>0.74692795667012901</v>
      </c>
      <c r="N2418" s="46">
        <v>0</v>
      </c>
    </row>
    <row r="2419" spans="13:14" x14ac:dyDescent="0.35">
      <c r="M2419" s="46">
        <v>0.64131814809318888</v>
      </c>
      <c r="N2419" s="46">
        <v>0</v>
      </c>
    </row>
    <row r="2420" spans="13:14" x14ac:dyDescent="0.35">
      <c r="M2420" s="46">
        <v>0.54195318296483153</v>
      </c>
      <c r="N2420" s="46">
        <v>0</v>
      </c>
    </row>
    <row r="2421" spans="13:14" x14ac:dyDescent="0.35">
      <c r="M2421" s="46">
        <v>0.46378824751446801</v>
      </c>
      <c r="N2421" s="46">
        <v>0</v>
      </c>
    </row>
    <row r="2422" spans="13:14" x14ac:dyDescent="0.35">
      <c r="M2422" s="46">
        <v>0.45427504080724146</v>
      </c>
      <c r="N2422" s="46">
        <v>0</v>
      </c>
    </row>
    <row r="2423" spans="13:14" x14ac:dyDescent="0.35">
      <c r="M2423" s="46">
        <v>0.47606677548597714</v>
      </c>
      <c r="N2423" s="46">
        <v>0</v>
      </c>
    </row>
    <row r="2424" spans="13:14" x14ac:dyDescent="0.35">
      <c r="M2424" s="46">
        <v>0.49758732749666124</v>
      </c>
      <c r="N2424" s="46">
        <v>0</v>
      </c>
    </row>
    <row r="2425" spans="13:14" x14ac:dyDescent="0.35">
      <c r="M2425" s="46">
        <v>0.54252188752040365</v>
      </c>
      <c r="N2425" s="46">
        <v>0</v>
      </c>
    </row>
    <row r="2426" spans="13:14" x14ac:dyDescent="0.35">
      <c r="M2426" s="46">
        <v>0.5814608992432112</v>
      </c>
      <c r="N2426" s="46">
        <v>0</v>
      </c>
    </row>
    <row r="2427" spans="13:14" x14ac:dyDescent="0.35">
      <c r="M2427" s="46">
        <v>0.60427734085175844</v>
      </c>
      <c r="N2427" s="46">
        <v>0</v>
      </c>
    </row>
    <row r="2428" spans="13:14" x14ac:dyDescent="0.35">
      <c r="M2428" s="46">
        <v>0.62195132809022113</v>
      </c>
      <c r="N2428" s="46">
        <v>0</v>
      </c>
    </row>
    <row r="2429" spans="13:14" x14ac:dyDescent="0.35">
      <c r="M2429" s="46">
        <v>0.62915558688232676</v>
      </c>
      <c r="N2429" s="46">
        <v>0</v>
      </c>
    </row>
    <row r="2430" spans="13:14" x14ac:dyDescent="0.35">
      <c r="M2430" s="46">
        <v>0.63420856210120191</v>
      </c>
      <c r="N2430" s="46">
        <v>0</v>
      </c>
    </row>
    <row r="2431" spans="13:14" x14ac:dyDescent="0.35">
      <c r="M2431" s="46">
        <v>0.64117487757827563</v>
      </c>
      <c r="N2431" s="46">
        <v>0</v>
      </c>
    </row>
    <row r="2432" spans="13:14" x14ac:dyDescent="0.35">
      <c r="M2432" s="46">
        <v>0.648204852351981</v>
      </c>
      <c r="N2432" s="46">
        <v>0</v>
      </c>
    </row>
    <row r="2433" spans="13:14" x14ac:dyDescent="0.35">
      <c r="M2433" s="46">
        <v>0.6677336400059356</v>
      </c>
      <c r="N2433" s="46">
        <v>0</v>
      </c>
    </row>
    <row r="2434" spans="13:14" x14ac:dyDescent="0.35">
      <c r="M2434" s="46">
        <v>0.74436741356284319</v>
      </c>
      <c r="N2434" s="46">
        <v>0</v>
      </c>
    </row>
    <row r="2435" spans="13:14" x14ac:dyDescent="0.35">
      <c r="M2435" s="46">
        <v>0.83717851313251224</v>
      </c>
      <c r="N2435" s="46">
        <v>0</v>
      </c>
    </row>
    <row r="2436" spans="13:14" x14ac:dyDescent="0.35">
      <c r="M2436" s="46">
        <v>0.91372280753821045</v>
      </c>
      <c r="N2436" s="46">
        <v>0</v>
      </c>
    </row>
    <row r="2437" spans="13:14" x14ac:dyDescent="0.35">
      <c r="M2437" s="46">
        <v>0.95963622199139342</v>
      </c>
      <c r="N2437" s="46">
        <v>0</v>
      </c>
    </row>
    <row r="2438" spans="13:14" x14ac:dyDescent="0.35">
      <c r="M2438" s="46">
        <v>0.96116189345600245</v>
      </c>
      <c r="N2438" s="46">
        <v>0</v>
      </c>
    </row>
    <row r="2439" spans="13:14" x14ac:dyDescent="0.35">
      <c r="M2439" s="46">
        <v>0.93928735717465506</v>
      </c>
      <c r="N2439" s="46">
        <v>0</v>
      </c>
    </row>
    <row r="2440" spans="13:14" x14ac:dyDescent="0.35">
      <c r="M2440" s="46">
        <v>0.89722162041845976</v>
      </c>
      <c r="N2440" s="46">
        <v>0</v>
      </c>
    </row>
    <row r="2441" spans="13:14" x14ac:dyDescent="0.35">
      <c r="M2441" s="46">
        <v>0.92945370232972246</v>
      </c>
      <c r="N2441" s="46">
        <v>0</v>
      </c>
    </row>
    <row r="2442" spans="13:14" x14ac:dyDescent="0.35">
      <c r="M2442" s="46">
        <v>0.9368077607953702</v>
      </c>
      <c r="N2442" s="46">
        <v>0</v>
      </c>
    </row>
    <row r="2443" spans="13:14" x14ac:dyDescent="0.35">
      <c r="M2443" s="46">
        <v>0.88964334470989759</v>
      </c>
      <c r="N2443" s="46">
        <v>0</v>
      </c>
    </row>
    <row r="2444" spans="13:14" x14ac:dyDescent="0.35">
      <c r="M2444" s="46">
        <v>0.75971457189493996</v>
      </c>
      <c r="N2444" s="46">
        <v>0</v>
      </c>
    </row>
    <row r="2445" spans="13:14" x14ac:dyDescent="0.35">
      <c r="M2445" s="46">
        <v>0.65935917791957266</v>
      </c>
      <c r="N2445" s="46">
        <v>0</v>
      </c>
    </row>
    <row r="2446" spans="13:14" x14ac:dyDescent="0.35">
      <c r="M2446" s="46">
        <v>0.63279989612702181</v>
      </c>
      <c r="N2446" s="46">
        <v>0</v>
      </c>
    </row>
    <row r="2447" spans="13:14" x14ac:dyDescent="0.35">
      <c r="M2447" s="46">
        <v>0.62894717317109372</v>
      </c>
      <c r="N2447" s="46">
        <v>0</v>
      </c>
    </row>
    <row r="2448" spans="13:14" x14ac:dyDescent="0.35">
      <c r="M2448" s="46">
        <v>0.61392625018548741</v>
      </c>
      <c r="N2448" s="46">
        <v>0</v>
      </c>
    </row>
    <row r="2449" spans="13:14" x14ac:dyDescent="0.35">
      <c r="M2449" s="46">
        <v>0.60538017510016329</v>
      </c>
      <c r="N2449" s="46">
        <v>0</v>
      </c>
    </row>
    <row r="2450" spans="13:14" x14ac:dyDescent="0.35">
      <c r="M2450" s="46">
        <v>0.60163740911114405</v>
      </c>
      <c r="N2450" s="46">
        <v>0</v>
      </c>
    </row>
    <row r="2451" spans="13:14" x14ac:dyDescent="0.35">
      <c r="M2451" s="46">
        <v>0.60285546817035174</v>
      </c>
      <c r="N2451" s="46">
        <v>0</v>
      </c>
    </row>
    <row r="2452" spans="13:14" x14ac:dyDescent="0.35">
      <c r="M2452" s="46">
        <v>0.59644880546075085</v>
      </c>
      <c r="N2452" s="46">
        <v>0</v>
      </c>
    </row>
    <row r="2453" spans="13:14" x14ac:dyDescent="0.35">
      <c r="M2453" s="46">
        <v>0.58580679626057275</v>
      </c>
      <c r="N2453" s="46">
        <v>0</v>
      </c>
    </row>
    <row r="2454" spans="13:14" x14ac:dyDescent="0.35">
      <c r="M2454" s="46">
        <v>0.56859170500074196</v>
      </c>
      <c r="N2454" s="46">
        <v>0</v>
      </c>
    </row>
    <row r="2455" spans="13:14" x14ac:dyDescent="0.35">
      <c r="M2455" s="46">
        <v>0.53187134589701734</v>
      </c>
      <c r="N2455" s="46">
        <v>0</v>
      </c>
    </row>
    <row r="2456" spans="13:14" x14ac:dyDescent="0.35">
      <c r="M2456" s="46">
        <v>0.49151602611663453</v>
      </c>
      <c r="N2456" s="46">
        <v>0</v>
      </c>
    </row>
    <row r="2457" spans="13:14" x14ac:dyDescent="0.35">
      <c r="M2457" s="46">
        <v>0.47881874165306426</v>
      </c>
      <c r="N2457" s="46">
        <v>0</v>
      </c>
    </row>
    <row r="2458" spans="13:14" x14ac:dyDescent="0.35">
      <c r="M2458" s="46">
        <v>0.55091786615224814</v>
      </c>
      <c r="N2458" s="46">
        <v>0</v>
      </c>
    </row>
    <row r="2459" spans="13:14" x14ac:dyDescent="0.35">
      <c r="M2459" s="46">
        <v>0.66254488796557354</v>
      </c>
      <c r="N2459" s="46">
        <v>0</v>
      </c>
    </row>
    <row r="2460" spans="13:14" x14ac:dyDescent="0.35">
      <c r="M2460" s="46">
        <v>0.7681818519068111</v>
      </c>
      <c r="N2460" s="46">
        <v>0</v>
      </c>
    </row>
    <row r="2461" spans="13:14" x14ac:dyDescent="0.35">
      <c r="M2461" s="46">
        <v>0.84566256121086214</v>
      </c>
      <c r="N2461" s="46">
        <v>0</v>
      </c>
    </row>
    <row r="2462" spans="13:14" x14ac:dyDescent="0.35">
      <c r="M2462" s="46">
        <v>0.88924239501409708</v>
      </c>
      <c r="N2462" s="46">
        <v>0</v>
      </c>
    </row>
    <row r="2463" spans="13:14" x14ac:dyDescent="0.35">
      <c r="M2463" s="46">
        <v>0.88559370826532124</v>
      </c>
      <c r="N2463" s="46">
        <v>0</v>
      </c>
    </row>
    <row r="2464" spans="13:14" x14ac:dyDescent="0.35">
      <c r="M2464" s="46">
        <v>0.85800964534797453</v>
      </c>
      <c r="N2464" s="46">
        <v>0</v>
      </c>
    </row>
    <row r="2465" spans="13:14" x14ac:dyDescent="0.35">
      <c r="M2465" s="46">
        <v>0.82484352277786022</v>
      </c>
      <c r="N2465" s="46">
        <v>0</v>
      </c>
    </row>
    <row r="2466" spans="13:14" x14ac:dyDescent="0.35">
      <c r="M2466" s="46">
        <v>0.77292966315477074</v>
      </c>
      <c r="N2466" s="46">
        <v>0</v>
      </c>
    </row>
    <row r="2467" spans="13:14" x14ac:dyDescent="0.35">
      <c r="M2467" s="46">
        <v>0.68124810802789726</v>
      </c>
      <c r="N2467" s="46">
        <v>0</v>
      </c>
    </row>
    <row r="2468" spans="13:14" x14ac:dyDescent="0.35">
      <c r="M2468" s="46">
        <v>0.56475597269624578</v>
      </c>
      <c r="N2468" s="46">
        <v>0</v>
      </c>
    </row>
    <row r="2469" spans="13:14" x14ac:dyDescent="0.35">
      <c r="M2469" s="46">
        <v>0.43535339071078799</v>
      </c>
      <c r="N2469" s="46">
        <v>0</v>
      </c>
    </row>
    <row r="2470" spans="13:14" x14ac:dyDescent="0.35">
      <c r="M2470" s="46">
        <v>0.36930887372013654</v>
      </c>
      <c r="N2470" s="46">
        <v>0</v>
      </c>
    </row>
    <row r="2471" spans="13:14" x14ac:dyDescent="0.35">
      <c r="M2471" s="46">
        <v>0.33870544591185636</v>
      </c>
      <c r="N2471" s="46">
        <v>0</v>
      </c>
    </row>
    <row r="2472" spans="13:14" x14ac:dyDescent="0.35">
      <c r="M2472" s="46">
        <v>0.31236667161299897</v>
      </c>
      <c r="N2472" s="46">
        <v>0</v>
      </c>
    </row>
    <row r="2473" spans="13:14" x14ac:dyDescent="0.35">
      <c r="M2473" s="46">
        <v>0.31026784389375278</v>
      </c>
      <c r="N2473" s="46">
        <v>0</v>
      </c>
    </row>
    <row r="2474" spans="13:14" x14ac:dyDescent="0.35">
      <c r="M2474" s="46">
        <v>0.31848412227333434</v>
      </c>
      <c r="N2474" s="46">
        <v>0</v>
      </c>
    </row>
    <row r="2475" spans="13:14" x14ac:dyDescent="0.35">
      <c r="M2475" s="46">
        <v>0.33112182816441604</v>
      </c>
      <c r="N2475" s="46">
        <v>0</v>
      </c>
    </row>
    <row r="2476" spans="13:14" x14ac:dyDescent="0.35">
      <c r="M2476" s="46">
        <v>0.34262909927288915</v>
      </c>
      <c r="N2476" s="46">
        <v>0</v>
      </c>
    </row>
    <row r="2477" spans="13:14" x14ac:dyDescent="0.35">
      <c r="M2477" s="46">
        <v>0.35159675025968246</v>
      </c>
      <c r="N2477" s="46">
        <v>0</v>
      </c>
    </row>
    <row r="2478" spans="13:14" x14ac:dyDescent="0.35">
      <c r="M2478" s="46">
        <v>0.34960736014245436</v>
      </c>
      <c r="N2478" s="46">
        <v>0</v>
      </c>
    </row>
    <row r="2479" spans="13:14" x14ac:dyDescent="0.35">
      <c r="M2479" s="46">
        <v>0.33727029232823863</v>
      </c>
      <c r="N2479" s="46">
        <v>0</v>
      </c>
    </row>
    <row r="2480" spans="13:14" x14ac:dyDescent="0.35">
      <c r="M2480" s="46">
        <v>0.30951773260127619</v>
      </c>
      <c r="N2480" s="46">
        <v>0</v>
      </c>
    </row>
    <row r="2481" spans="13:14" x14ac:dyDescent="0.35">
      <c r="M2481" s="46">
        <v>0.29328438937527823</v>
      </c>
      <c r="N2481" s="46">
        <v>0</v>
      </c>
    </row>
    <row r="2482" spans="13:14" x14ac:dyDescent="0.35">
      <c r="M2482" s="46">
        <v>0.3503500519364891</v>
      </c>
      <c r="N2482" s="46">
        <v>0</v>
      </c>
    </row>
    <row r="2483" spans="13:14" x14ac:dyDescent="0.35">
      <c r="M2483" s="46">
        <v>0.44767383884849382</v>
      </c>
      <c r="N2483" s="46">
        <v>0</v>
      </c>
    </row>
    <row r="2484" spans="13:14" x14ac:dyDescent="0.35">
      <c r="M2484" s="46">
        <v>0.54446223475293065</v>
      </c>
      <c r="N2484" s="46">
        <v>0</v>
      </c>
    </row>
    <row r="2485" spans="13:14" x14ac:dyDescent="0.35">
      <c r="M2485" s="46">
        <v>0.62205349458376613</v>
      </c>
      <c r="N2485" s="46">
        <v>0</v>
      </c>
    </row>
    <row r="2486" spans="13:14" x14ac:dyDescent="0.35">
      <c r="M2486" s="46">
        <v>0.6714862739278824</v>
      </c>
      <c r="N2486" s="46">
        <v>0</v>
      </c>
    </row>
    <row r="2487" spans="13:14" x14ac:dyDescent="0.35">
      <c r="M2487" s="46">
        <v>0.68362308947915118</v>
      </c>
      <c r="N2487" s="46">
        <v>0</v>
      </c>
    </row>
    <row r="2488" spans="13:14" x14ac:dyDescent="0.35">
      <c r="M2488" s="46">
        <v>0.67201387446208638</v>
      </c>
      <c r="N2488" s="46">
        <v>0</v>
      </c>
    </row>
    <row r="2489" spans="13:14" x14ac:dyDescent="0.35">
      <c r="M2489" s="46">
        <v>0.64423126576643419</v>
      </c>
      <c r="N2489" s="46">
        <v>0</v>
      </c>
    </row>
    <row r="2490" spans="13:14" x14ac:dyDescent="0.35">
      <c r="M2490" s="46">
        <v>0.58607790473364008</v>
      </c>
      <c r="N2490" s="46">
        <v>0</v>
      </c>
    </row>
    <row r="2491" spans="13:14" x14ac:dyDescent="0.35">
      <c r="M2491" s="46">
        <v>0.49798605134292923</v>
      </c>
      <c r="N2491" s="46">
        <v>0</v>
      </c>
    </row>
    <row r="2492" spans="13:14" x14ac:dyDescent="0.35">
      <c r="M2492" s="46">
        <v>0.38300712271850423</v>
      </c>
      <c r="N2492" s="46">
        <v>0</v>
      </c>
    </row>
    <row r="2493" spans="13:14" x14ac:dyDescent="0.35">
      <c r="M2493" s="46">
        <v>0.2742544146015729</v>
      </c>
      <c r="N2493" s="46">
        <v>0</v>
      </c>
    </row>
    <row r="2494" spans="13:14" x14ac:dyDescent="0.35">
      <c r="M2494" s="46">
        <v>0.22042706633031608</v>
      </c>
      <c r="N2494" s="46">
        <v>0</v>
      </c>
    </row>
    <row r="2495" spans="13:14" x14ac:dyDescent="0.35">
      <c r="M2495" s="46">
        <v>0.18379729930256714</v>
      </c>
      <c r="N2495" s="46">
        <v>0</v>
      </c>
    </row>
    <row r="2496" spans="13:14" x14ac:dyDescent="0.35">
      <c r="M2496" s="46">
        <v>0.16300341296928328</v>
      </c>
      <c r="N2496" s="46">
        <v>0</v>
      </c>
    </row>
    <row r="2497" spans="13:14" x14ac:dyDescent="0.35">
      <c r="M2497" s="46">
        <v>0.17027912153138447</v>
      </c>
      <c r="N2497" s="46">
        <v>0</v>
      </c>
    </row>
    <row r="2498" spans="13:14" x14ac:dyDescent="0.35">
      <c r="M2498" s="46">
        <v>0.17100029677993769</v>
      </c>
      <c r="N2498" s="46">
        <v>0</v>
      </c>
    </row>
    <row r="2499" spans="13:14" x14ac:dyDescent="0.35">
      <c r="M2499" s="46">
        <v>0.16116552901023889</v>
      </c>
      <c r="N2499" s="46">
        <v>0</v>
      </c>
    </row>
    <row r="2500" spans="13:14" x14ac:dyDescent="0.35">
      <c r="M2500" s="46">
        <v>0.16383558391452738</v>
      </c>
      <c r="N2500" s="46">
        <v>0</v>
      </c>
    </row>
    <row r="2501" spans="13:14" x14ac:dyDescent="0.35">
      <c r="M2501" s="46">
        <v>0.17312397981896421</v>
      </c>
      <c r="N2501" s="46">
        <v>0</v>
      </c>
    </row>
    <row r="2502" spans="13:14" x14ac:dyDescent="0.35">
      <c r="M2502" s="46">
        <v>0.17667443240836919</v>
      </c>
      <c r="N2502" s="46">
        <v>0</v>
      </c>
    </row>
    <row r="2503" spans="13:14" x14ac:dyDescent="0.35">
      <c r="M2503" s="46">
        <v>0.17771063956076572</v>
      </c>
      <c r="N2503" s="46">
        <v>0</v>
      </c>
    </row>
    <row r="2504" spans="13:14" x14ac:dyDescent="0.35">
      <c r="M2504" s="46">
        <v>0.17677778602166494</v>
      </c>
      <c r="N2504" s="46">
        <v>0</v>
      </c>
    </row>
    <row r="2505" spans="13:14" x14ac:dyDescent="0.35">
      <c r="M2505" s="46">
        <v>0.18462546371865263</v>
      </c>
      <c r="N2505" s="46">
        <v>0</v>
      </c>
    </row>
    <row r="2506" spans="13:14" x14ac:dyDescent="0.35">
      <c r="M2506" s="46">
        <v>0.24906655290102389</v>
      </c>
      <c r="N2506" s="46">
        <v>0</v>
      </c>
    </row>
    <row r="2507" spans="13:14" x14ac:dyDescent="0.35">
      <c r="M2507" s="46">
        <v>0.33191356284315182</v>
      </c>
      <c r="N2507" s="46">
        <v>0</v>
      </c>
    </row>
    <row r="2508" spans="13:14" x14ac:dyDescent="0.35">
      <c r="M2508" s="46">
        <v>0.40188262353464904</v>
      </c>
      <c r="N2508" s="46">
        <v>0</v>
      </c>
    </row>
    <row r="2509" spans="13:14" x14ac:dyDescent="0.35">
      <c r="M2509" s="46">
        <v>0.45129433150319037</v>
      </c>
      <c r="N2509" s="46">
        <v>0</v>
      </c>
    </row>
    <row r="2510" spans="13:14" x14ac:dyDescent="0.35">
      <c r="M2510" s="46">
        <v>0.52608517584211312</v>
      </c>
      <c r="N2510" s="46">
        <v>0</v>
      </c>
    </row>
    <row r="2511" spans="13:14" x14ac:dyDescent="0.35">
      <c r="M2511" s="46">
        <v>0.58155876242765991</v>
      </c>
      <c r="N2511" s="46">
        <v>0</v>
      </c>
    </row>
    <row r="2512" spans="13:14" x14ac:dyDescent="0.35">
      <c r="M2512" s="46">
        <v>0.61434730672206561</v>
      </c>
      <c r="N2512" s="46">
        <v>0</v>
      </c>
    </row>
    <row r="2513" spans="13:14" x14ac:dyDescent="0.35">
      <c r="M2513" s="46">
        <v>0.60925233714200921</v>
      </c>
      <c r="N2513" s="46">
        <v>0</v>
      </c>
    </row>
    <row r="2514" spans="13:14" x14ac:dyDescent="0.35">
      <c r="M2514" s="46">
        <v>0.56393225997922536</v>
      </c>
      <c r="N2514" s="46">
        <v>0</v>
      </c>
    </row>
    <row r="2515" spans="13:14" x14ac:dyDescent="0.35">
      <c r="M2515" s="46">
        <v>0.46679358955334621</v>
      </c>
      <c r="N2515" s="46">
        <v>0</v>
      </c>
    </row>
    <row r="2516" spans="13:14" x14ac:dyDescent="0.35">
      <c r="M2516" s="46">
        <v>0.32300741949844186</v>
      </c>
      <c r="N2516" s="46">
        <v>0</v>
      </c>
    </row>
    <row r="2517" spans="13:14" x14ac:dyDescent="0.35">
      <c r="M2517" s="46">
        <v>0.2071877875055646</v>
      </c>
      <c r="N2517" s="46">
        <v>0</v>
      </c>
    </row>
    <row r="2518" spans="13:14" x14ac:dyDescent="0.35">
      <c r="M2518" s="46">
        <v>0.15755542365336103</v>
      </c>
      <c r="N2518" s="46">
        <v>0</v>
      </c>
    </row>
    <row r="2519" spans="13:14" x14ac:dyDescent="0.35">
      <c r="M2519" s="46">
        <v>0.12669453924914675</v>
      </c>
      <c r="N2519" s="46">
        <v>0</v>
      </c>
    </row>
    <row r="2520" spans="13:14" x14ac:dyDescent="0.35">
      <c r="M2520" s="46">
        <v>8.7146015729336709E-2</v>
      </c>
      <c r="N2520" s="46">
        <v>0</v>
      </c>
    </row>
    <row r="2521" spans="13:14" x14ac:dyDescent="0.35">
      <c r="M2521" s="46">
        <v>6.6566923875945982E-2</v>
      </c>
      <c r="N2521" s="46">
        <v>0</v>
      </c>
    </row>
    <row r="2522" spans="13:14" x14ac:dyDescent="0.35">
      <c r="M2522" s="46">
        <v>5.2808502745214425E-2</v>
      </c>
      <c r="N2522" s="46">
        <v>0</v>
      </c>
    </row>
    <row r="2523" spans="13:14" x14ac:dyDescent="0.35">
      <c r="M2523" s="46">
        <v>4.6759608250482268E-2</v>
      </c>
      <c r="N2523" s="46">
        <v>0</v>
      </c>
    </row>
    <row r="2524" spans="13:14" x14ac:dyDescent="0.35">
      <c r="M2524" s="46">
        <v>4.7543923430776083E-2</v>
      </c>
      <c r="N2524" s="46">
        <v>0</v>
      </c>
    </row>
    <row r="2525" spans="13:14" x14ac:dyDescent="0.35">
      <c r="M2525" s="46">
        <v>4.8532794183113223E-2</v>
      </c>
      <c r="N2525" s="46">
        <v>0</v>
      </c>
    </row>
    <row r="2526" spans="13:14" x14ac:dyDescent="0.35">
      <c r="M2526" s="46">
        <v>4.9990280457041104E-2</v>
      </c>
      <c r="N2526" s="46">
        <v>0</v>
      </c>
    </row>
    <row r="2527" spans="13:14" x14ac:dyDescent="0.35">
      <c r="M2527" s="46">
        <v>5.0541771776227928E-2</v>
      </c>
      <c r="N2527" s="46">
        <v>0</v>
      </c>
    </row>
    <row r="2528" spans="13:14" x14ac:dyDescent="0.35">
      <c r="M2528" s="46">
        <v>5.2019513280902215E-2</v>
      </c>
      <c r="N2528" s="46">
        <v>0</v>
      </c>
    </row>
    <row r="2529" spans="13:14" x14ac:dyDescent="0.35">
      <c r="M2529" s="46">
        <v>7.795422169461344E-2</v>
      </c>
      <c r="N2529" s="46">
        <v>0</v>
      </c>
    </row>
    <row r="2530" spans="13:14" x14ac:dyDescent="0.35">
      <c r="M2530" s="46">
        <v>0.15439427214720283</v>
      </c>
      <c r="N2530" s="46">
        <v>0</v>
      </c>
    </row>
    <row r="2531" spans="13:14" x14ac:dyDescent="0.35">
      <c r="M2531" s="46">
        <v>0.24451906811099572</v>
      </c>
      <c r="N2531" s="46">
        <v>0</v>
      </c>
    </row>
    <row r="2532" spans="13:14" x14ac:dyDescent="0.35">
      <c r="M2532" s="46">
        <v>0.31929329277340857</v>
      </c>
      <c r="N2532" s="46">
        <v>0</v>
      </c>
    </row>
    <row r="2533" spans="13:14" x14ac:dyDescent="0.35">
      <c r="M2533" s="46">
        <v>0.37720707820151361</v>
      </c>
      <c r="N2533" s="46">
        <v>0</v>
      </c>
    </row>
    <row r="2534" spans="13:14" x14ac:dyDescent="0.35">
      <c r="M2534" s="46">
        <v>0.45823809170500074</v>
      </c>
      <c r="N2534" s="46">
        <v>0</v>
      </c>
    </row>
    <row r="2535" spans="13:14" x14ac:dyDescent="0.35">
      <c r="M2535" s="46">
        <v>0.51115410298263841</v>
      </c>
      <c r="N2535" s="46">
        <v>0</v>
      </c>
    </row>
    <row r="2536" spans="13:14" x14ac:dyDescent="0.35">
      <c r="M2536" s="46">
        <v>0.53037379433150322</v>
      </c>
      <c r="N2536" s="46">
        <v>0</v>
      </c>
    </row>
    <row r="2537" spans="13:14" x14ac:dyDescent="0.35">
      <c r="M2537" s="46">
        <v>0.53212205074936936</v>
      </c>
      <c r="N2537" s="46">
        <v>0</v>
      </c>
    </row>
    <row r="2538" spans="13:14" x14ac:dyDescent="0.35">
      <c r="M2538" s="46">
        <v>0.50891942424692094</v>
      </c>
      <c r="N2538" s="46">
        <v>0</v>
      </c>
    </row>
    <row r="2539" spans="13:14" x14ac:dyDescent="0.35">
      <c r="M2539" s="46">
        <v>0.46558094672800121</v>
      </c>
      <c r="N2539" s="46">
        <v>0</v>
      </c>
    </row>
    <row r="2540" spans="13:14" x14ac:dyDescent="0.35">
      <c r="M2540" s="46">
        <v>0.43159215017064845</v>
      </c>
      <c r="N2540" s="46">
        <v>0</v>
      </c>
    </row>
    <row r="2541" spans="13:14" x14ac:dyDescent="0.35">
      <c r="M2541" s="46">
        <v>0.38384263243804717</v>
      </c>
      <c r="N2541" s="46">
        <v>0</v>
      </c>
    </row>
    <row r="2542" spans="13:14" x14ac:dyDescent="0.35">
      <c r="M2542" s="46">
        <v>0.34279381213829946</v>
      </c>
      <c r="N2542" s="46">
        <v>0</v>
      </c>
    </row>
    <row r="2543" spans="13:14" x14ac:dyDescent="0.35">
      <c r="M2543" s="46">
        <v>0.32617027748924171</v>
      </c>
      <c r="N2543" s="46">
        <v>0</v>
      </c>
    </row>
    <row r="2544" spans="13:14" x14ac:dyDescent="0.35">
      <c r="M2544" s="46">
        <v>0.31445399910966021</v>
      </c>
      <c r="N2544" s="46">
        <v>0</v>
      </c>
    </row>
    <row r="2545" spans="13:14" x14ac:dyDescent="0.35">
      <c r="M2545" s="46">
        <v>0.33179841222733347</v>
      </c>
      <c r="N2545" s="46">
        <v>0</v>
      </c>
    </row>
    <row r="2546" spans="13:14" x14ac:dyDescent="0.35">
      <c r="M2546" s="46">
        <v>0.35395748627392787</v>
      </c>
      <c r="N2546" s="46">
        <v>0</v>
      </c>
    </row>
    <row r="2547" spans="13:14" x14ac:dyDescent="0.35">
      <c r="M2547" s="46">
        <v>0.3780580946728001</v>
      </c>
      <c r="N2547" s="46">
        <v>0</v>
      </c>
    </row>
    <row r="2548" spans="13:14" x14ac:dyDescent="0.35">
      <c r="M2548" s="46">
        <v>0.40059853093930847</v>
      </c>
      <c r="N2548" s="46">
        <v>0</v>
      </c>
    </row>
    <row r="2549" spans="13:14" x14ac:dyDescent="0.35">
      <c r="M2549" s="46">
        <v>0.412259385665529</v>
      </c>
      <c r="N2549" s="46">
        <v>0</v>
      </c>
    </row>
    <row r="2550" spans="13:14" x14ac:dyDescent="0.35">
      <c r="M2550" s="46">
        <v>0.39710409556313991</v>
      </c>
      <c r="N2550" s="46">
        <v>0</v>
      </c>
    </row>
    <row r="2551" spans="13:14" x14ac:dyDescent="0.35">
      <c r="M2551" s="46">
        <v>0.36156143344709896</v>
      </c>
      <c r="N2551" s="46">
        <v>0</v>
      </c>
    </row>
    <row r="2552" spans="13:14" x14ac:dyDescent="0.35">
      <c r="M2552" s="46">
        <v>0.33777014393826982</v>
      </c>
      <c r="N2552" s="46">
        <v>0</v>
      </c>
    </row>
    <row r="2553" spans="13:14" x14ac:dyDescent="0.35">
      <c r="M2553" s="46">
        <v>0.35733187416530643</v>
      </c>
      <c r="N2553" s="46">
        <v>0</v>
      </c>
    </row>
    <row r="2554" spans="13:14" x14ac:dyDescent="0.35">
      <c r="M2554" s="46">
        <v>0.43329470247811247</v>
      </c>
      <c r="N2554" s="46">
        <v>0</v>
      </c>
    </row>
    <row r="2555" spans="13:14" x14ac:dyDescent="0.35">
      <c r="M2555" s="46">
        <v>0.52970462976702781</v>
      </c>
      <c r="N2555" s="46">
        <v>0</v>
      </c>
    </row>
    <row r="2556" spans="13:14" x14ac:dyDescent="0.35">
      <c r="M2556" s="46">
        <v>0.60062583469357467</v>
      </c>
      <c r="N2556" s="46">
        <v>0</v>
      </c>
    </row>
    <row r="2557" spans="13:14" x14ac:dyDescent="0.35">
      <c r="M2557" s="46">
        <v>0.66278965721917193</v>
      </c>
      <c r="N2557" s="46">
        <v>0</v>
      </c>
    </row>
    <row r="2558" spans="13:14" x14ac:dyDescent="0.35">
      <c r="M2558" s="46">
        <v>0.72367235494880555</v>
      </c>
      <c r="N2558" s="46">
        <v>0</v>
      </c>
    </row>
    <row r="2559" spans="13:14" x14ac:dyDescent="0.35">
      <c r="M2559" s="46">
        <v>0.76592209526636001</v>
      </c>
      <c r="N2559" s="46">
        <v>0</v>
      </c>
    </row>
    <row r="2560" spans="13:14" x14ac:dyDescent="0.35">
      <c r="M2560" s="46">
        <v>0.78348352871345894</v>
      </c>
      <c r="N2560" s="46">
        <v>0</v>
      </c>
    </row>
    <row r="2561" spans="13:14" x14ac:dyDescent="0.35">
      <c r="M2561" s="46">
        <v>0.77793292773408518</v>
      </c>
      <c r="N2561" s="46">
        <v>0</v>
      </c>
    </row>
    <row r="2562" spans="13:14" x14ac:dyDescent="0.35">
      <c r="M2562" s="46">
        <v>0.75232230301231628</v>
      </c>
      <c r="N2562" s="46">
        <v>0</v>
      </c>
    </row>
    <row r="2563" spans="13:14" x14ac:dyDescent="0.35">
      <c r="M2563" s="46">
        <v>0.70819342632438054</v>
      </c>
      <c r="N2563" s="46">
        <v>0</v>
      </c>
    </row>
    <row r="2564" spans="13:14" x14ac:dyDescent="0.35">
      <c r="M2564" s="46">
        <v>0.64040421427511507</v>
      </c>
      <c r="N2564" s="46">
        <v>0</v>
      </c>
    </row>
    <row r="2565" spans="13:14" x14ac:dyDescent="0.35">
      <c r="M2565" s="46">
        <v>0.58238781718355837</v>
      </c>
      <c r="N2565" s="46">
        <v>0</v>
      </c>
    </row>
    <row r="2566" spans="13:14" x14ac:dyDescent="0.35">
      <c r="M2566" s="46">
        <v>0.54894880546075087</v>
      </c>
      <c r="N2566" s="46">
        <v>0</v>
      </c>
    </row>
    <row r="2567" spans="13:14" x14ac:dyDescent="0.35">
      <c r="M2567" s="46">
        <v>0.51798018993916017</v>
      </c>
      <c r="N2567" s="46">
        <v>0</v>
      </c>
    </row>
    <row r="2568" spans="13:14" x14ac:dyDescent="0.35">
      <c r="M2568" s="46">
        <v>0.4942624276598902</v>
      </c>
      <c r="N2568" s="46">
        <v>0</v>
      </c>
    </row>
    <row r="2569" spans="13:14" x14ac:dyDescent="0.35">
      <c r="M2569" s="46">
        <v>0.50179581540287876</v>
      </c>
      <c r="N2569" s="46">
        <v>0</v>
      </c>
    </row>
    <row r="2570" spans="13:14" x14ac:dyDescent="0.35">
      <c r="M2570" s="46">
        <v>0.49597558985012613</v>
      </c>
      <c r="N2570" s="46">
        <v>0</v>
      </c>
    </row>
    <row r="2571" spans="13:14" x14ac:dyDescent="0.35">
      <c r="M2571" s="46">
        <v>0.47635064549636441</v>
      </c>
      <c r="N2571" s="46">
        <v>0</v>
      </c>
    </row>
    <row r="2572" spans="13:14" x14ac:dyDescent="0.35">
      <c r="M2572" s="46">
        <v>0.45372933669683924</v>
      </c>
      <c r="N2572" s="46">
        <v>0</v>
      </c>
    </row>
    <row r="2573" spans="13:14" x14ac:dyDescent="0.35">
      <c r="M2573" s="46">
        <v>0.41723890784982937</v>
      </c>
      <c r="N2573" s="46">
        <v>0</v>
      </c>
    </row>
    <row r="2574" spans="13:14" x14ac:dyDescent="0.35">
      <c r="M2574" s="46">
        <v>0.37388774298857397</v>
      </c>
      <c r="N2574" s="46">
        <v>0</v>
      </c>
    </row>
    <row r="2575" spans="13:14" x14ac:dyDescent="0.35">
      <c r="M2575" s="46">
        <v>0.34995726368897462</v>
      </c>
      <c r="N2575" s="46">
        <v>0</v>
      </c>
    </row>
    <row r="2576" spans="13:14" x14ac:dyDescent="0.35">
      <c r="M2576" s="46">
        <v>0.34965054162338627</v>
      </c>
      <c r="N2576" s="46">
        <v>0</v>
      </c>
    </row>
    <row r="2577" spans="13:14" x14ac:dyDescent="0.35">
      <c r="M2577" s="46">
        <v>0.38175500816144825</v>
      </c>
      <c r="N2577" s="46">
        <v>0</v>
      </c>
    </row>
    <row r="2578" spans="13:14" x14ac:dyDescent="0.35">
      <c r="M2578" s="46">
        <v>0.4747800118711975</v>
      </c>
      <c r="N2578" s="46">
        <v>0</v>
      </c>
    </row>
    <row r="2579" spans="13:14" x14ac:dyDescent="0.35">
      <c r="M2579" s="46">
        <v>0.58855668496809621</v>
      </c>
      <c r="N2579" s="46">
        <v>0</v>
      </c>
    </row>
    <row r="2580" spans="13:14" x14ac:dyDescent="0.35">
      <c r="M2580" s="46">
        <v>0.68503642973734979</v>
      </c>
      <c r="N2580" s="46">
        <v>0</v>
      </c>
    </row>
    <row r="2581" spans="13:14" x14ac:dyDescent="0.35">
      <c r="M2581" s="46">
        <v>0.76085813918979073</v>
      </c>
      <c r="N2581" s="46">
        <v>0</v>
      </c>
    </row>
    <row r="2582" spans="13:14" x14ac:dyDescent="0.35">
      <c r="M2582" s="46">
        <v>0.87945793144383444</v>
      </c>
      <c r="N2582" s="46">
        <v>0</v>
      </c>
    </row>
    <row r="2583" spans="13:14" x14ac:dyDescent="0.35">
      <c r="M2583" s="46">
        <v>0.97744620863629617</v>
      </c>
      <c r="N2583" s="46">
        <v>0</v>
      </c>
    </row>
    <row r="2584" spans="13:14" x14ac:dyDescent="0.35">
      <c r="M2584" s="46">
        <v>1</v>
      </c>
      <c r="N2584" s="46">
        <v>6.2705400628779676E-2</v>
      </c>
    </row>
    <row r="2585" spans="13:14" x14ac:dyDescent="0.35">
      <c r="M2585" s="46">
        <v>1</v>
      </c>
      <c r="N2585" s="46">
        <v>9.2371432917150945E-3</v>
      </c>
    </row>
    <row r="2586" spans="13:14" x14ac:dyDescent="0.35">
      <c r="M2586" s="46">
        <v>0.93585153583617742</v>
      </c>
      <c r="N2586" s="46">
        <v>0</v>
      </c>
    </row>
    <row r="2587" spans="13:14" x14ac:dyDescent="0.35">
      <c r="M2587" s="46">
        <v>0.84766886778453776</v>
      </c>
      <c r="N2587" s="46">
        <v>0</v>
      </c>
    </row>
    <row r="2588" spans="13:14" x14ac:dyDescent="0.35">
      <c r="M2588" s="46">
        <v>0.74409905030419943</v>
      </c>
      <c r="N2588" s="46">
        <v>0</v>
      </c>
    </row>
    <row r="2589" spans="13:14" x14ac:dyDescent="0.35">
      <c r="M2589" s="46">
        <v>0.6556952811989909</v>
      </c>
      <c r="N2589" s="46">
        <v>0</v>
      </c>
    </row>
    <row r="2590" spans="13:14" x14ac:dyDescent="0.35">
      <c r="M2590" s="46">
        <v>0.62978246030568341</v>
      </c>
      <c r="N2590" s="46">
        <v>0</v>
      </c>
    </row>
    <row r="2591" spans="13:14" x14ac:dyDescent="0.35">
      <c r="M2591" s="46">
        <v>0.6272780086066182</v>
      </c>
      <c r="N2591" s="46">
        <v>0</v>
      </c>
    </row>
    <row r="2592" spans="13:14" x14ac:dyDescent="0.35">
      <c r="M2592" s="46">
        <v>0.62307938863332835</v>
      </c>
      <c r="N2592" s="46">
        <v>0</v>
      </c>
    </row>
    <row r="2593" spans="13:14" x14ac:dyDescent="0.35">
      <c r="M2593" s="46">
        <v>0.62372763021219768</v>
      </c>
      <c r="N2593" s="46">
        <v>0</v>
      </c>
    </row>
    <row r="2594" spans="13:14" x14ac:dyDescent="0.35">
      <c r="M2594" s="46">
        <v>0.62406328832170943</v>
      </c>
      <c r="N2594" s="46">
        <v>0</v>
      </c>
    </row>
    <row r="2595" spans="13:14" x14ac:dyDescent="0.35">
      <c r="M2595" s="46">
        <v>0.62729025077904732</v>
      </c>
      <c r="N2595" s="46">
        <v>0</v>
      </c>
    </row>
    <row r="2596" spans="13:14" x14ac:dyDescent="0.35">
      <c r="M2596" s="46">
        <v>0.6360753821041697</v>
      </c>
      <c r="N2596" s="46">
        <v>0</v>
      </c>
    </row>
    <row r="2597" spans="13:14" x14ac:dyDescent="0.35">
      <c r="M2597" s="46">
        <v>0.64557204332987095</v>
      </c>
      <c r="N2597" s="46">
        <v>0</v>
      </c>
    </row>
    <row r="2598" spans="13:14" x14ac:dyDescent="0.35">
      <c r="M2598" s="46">
        <v>0.65302121976554384</v>
      </c>
      <c r="N2598" s="46">
        <v>0</v>
      </c>
    </row>
    <row r="2599" spans="13:14" x14ac:dyDescent="0.35">
      <c r="M2599" s="46">
        <v>0.65688700103872977</v>
      </c>
      <c r="N2599" s="46">
        <v>0</v>
      </c>
    </row>
    <row r="2600" spans="13:14" x14ac:dyDescent="0.35">
      <c r="M2600" s="46">
        <v>0.65506046891230163</v>
      </c>
      <c r="N2600" s="46">
        <v>0</v>
      </c>
    </row>
    <row r="2601" spans="13:14" x14ac:dyDescent="0.35">
      <c r="M2601" s="46">
        <v>0.68216901617450654</v>
      </c>
      <c r="N2601" s="46">
        <v>0</v>
      </c>
    </row>
    <row r="2602" spans="13:14" x14ac:dyDescent="0.35">
      <c r="M2602" s="46">
        <v>0.78864586733936792</v>
      </c>
      <c r="N2602" s="46">
        <v>0</v>
      </c>
    </row>
    <row r="2603" spans="13:14" x14ac:dyDescent="0.35">
      <c r="M2603" s="46">
        <v>0.93656885294554093</v>
      </c>
      <c r="N2603" s="46">
        <v>0</v>
      </c>
    </row>
    <row r="2604" spans="13:14" x14ac:dyDescent="0.35">
      <c r="M2604" s="46">
        <v>1</v>
      </c>
      <c r="N2604" s="46">
        <v>0.14629359345136189</v>
      </c>
    </row>
    <row r="2605" spans="13:14" x14ac:dyDescent="0.35">
      <c r="M2605" s="46">
        <v>1</v>
      </c>
      <c r="N2605" s="46">
        <v>0.32320877731039566</v>
      </c>
    </row>
    <row r="2606" spans="13:14" x14ac:dyDescent="0.35">
      <c r="M2606" s="46">
        <v>1</v>
      </c>
      <c r="N2606" s="46">
        <v>0.39177613855005944</v>
      </c>
    </row>
    <row r="2607" spans="13:14" x14ac:dyDescent="0.35">
      <c r="M2607" s="46">
        <v>1</v>
      </c>
      <c r="N2607" s="46">
        <v>0.40901471990691313</v>
      </c>
    </row>
    <row r="2608" spans="13:14" x14ac:dyDescent="0.35">
      <c r="M2608" s="46">
        <v>1</v>
      </c>
      <c r="N2608" s="46">
        <v>0.36235287149337719</v>
      </c>
    </row>
    <row r="2609" spans="13:14" x14ac:dyDescent="0.35">
      <c r="M2609" s="46">
        <v>1</v>
      </c>
      <c r="N2609" s="46">
        <v>0.27194649132903925</v>
      </c>
    </row>
    <row r="2610" spans="13:14" x14ac:dyDescent="0.35">
      <c r="M2610" s="46">
        <v>1</v>
      </c>
      <c r="N2610" s="46">
        <v>0.11718129073519831</v>
      </c>
    </row>
    <row r="2611" spans="13:14" x14ac:dyDescent="0.35">
      <c r="M2611" s="46">
        <v>0.9349908740169165</v>
      </c>
      <c r="N2611" s="46">
        <v>0</v>
      </c>
    </row>
    <row r="2612" spans="13:14" x14ac:dyDescent="0.35">
      <c r="M2612" s="46">
        <v>0.80306551417124206</v>
      </c>
      <c r="N2612" s="46">
        <v>0</v>
      </c>
    </row>
    <row r="2613" spans="13:14" x14ac:dyDescent="0.35">
      <c r="M2613" s="46">
        <v>0.69841037245882176</v>
      </c>
      <c r="N2613" s="46">
        <v>0</v>
      </c>
    </row>
    <row r="2614" spans="13:14" x14ac:dyDescent="0.35">
      <c r="M2614" s="46">
        <v>0.67217198397388334</v>
      </c>
      <c r="N2614" s="46">
        <v>0</v>
      </c>
    </row>
    <row r="2615" spans="13:14" x14ac:dyDescent="0.35">
      <c r="M2615" s="46">
        <v>0.67194376020181035</v>
      </c>
      <c r="N2615" s="46">
        <v>0</v>
      </c>
    </row>
    <row r="2616" spans="13:14" x14ac:dyDescent="0.35">
      <c r="M2616" s="46">
        <v>0.67044331503190391</v>
      </c>
      <c r="N2616" s="46">
        <v>0</v>
      </c>
    </row>
    <row r="2617" spans="13:14" x14ac:dyDescent="0.35">
      <c r="M2617" s="46">
        <v>0.67041230152841658</v>
      </c>
      <c r="N2617" s="46">
        <v>0</v>
      </c>
    </row>
    <row r="2618" spans="13:14" x14ac:dyDescent="0.35">
      <c r="M2618" s="46">
        <v>0.66902470692981153</v>
      </c>
      <c r="N2618" s="46">
        <v>0</v>
      </c>
    </row>
    <row r="2619" spans="13:14" x14ac:dyDescent="0.35">
      <c r="M2619" s="46">
        <v>0.66702337142009194</v>
      </c>
      <c r="N2619" s="46">
        <v>0</v>
      </c>
    </row>
    <row r="2620" spans="13:14" x14ac:dyDescent="0.35">
      <c r="M2620" s="46">
        <v>0.66691972102685859</v>
      </c>
      <c r="N2620" s="46">
        <v>0</v>
      </c>
    </row>
    <row r="2621" spans="13:14" x14ac:dyDescent="0.35">
      <c r="M2621" s="46">
        <v>0.66392869861997328</v>
      </c>
      <c r="N2621" s="46">
        <v>0</v>
      </c>
    </row>
    <row r="2622" spans="13:14" x14ac:dyDescent="0.35">
      <c r="M2622" s="46">
        <v>0.66425055646238318</v>
      </c>
      <c r="N2622" s="46">
        <v>0</v>
      </c>
    </row>
    <row r="2623" spans="13:14" x14ac:dyDescent="0.35">
      <c r="M2623" s="46">
        <v>0.65982252559726962</v>
      </c>
      <c r="N2623" s="46">
        <v>0</v>
      </c>
    </row>
    <row r="2624" spans="13:14" x14ac:dyDescent="0.35">
      <c r="M2624" s="46">
        <v>0.65597685116486126</v>
      </c>
      <c r="N2624" s="46">
        <v>0</v>
      </c>
    </row>
    <row r="2625" spans="13:14" x14ac:dyDescent="0.35">
      <c r="M2625" s="46">
        <v>0.69126131473512387</v>
      </c>
      <c r="N2625" s="46">
        <v>0</v>
      </c>
    </row>
    <row r="2626" spans="13:14" x14ac:dyDescent="0.35">
      <c r="M2626" s="46">
        <v>0.82833231933521301</v>
      </c>
      <c r="N2626" s="46">
        <v>0</v>
      </c>
    </row>
    <row r="2627" spans="13:14" x14ac:dyDescent="0.35">
      <c r="M2627" s="46">
        <v>0.99679841222733345</v>
      </c>
      <c r="N2627" s="46">
        <v>0</v>
      </c>
    </row>
    <row r="2628" spans="13:14" x14ac:dyDescent="0.35">
      <c r="M2628" s="46">
        <v>1</v>
      </c>
      <c r="N2628" s="46">
        <v>0.18850470488338672</v>
      </c>
    </row>
    <row r="2629" spans="13:14" x14ac:dyDescent="0.35">
      <c r="M2629" s="46">
        <v>1</v>
      </c>
      <c r="N2629" s="46">
        <v>0.29077853722764035</v>
      </c>
    </row>
    <row r="2630" spans="13:14" x14ac:dyDescent="0.35">
      <c r="M2630" s="46">
        <v>1</v>
      </c>
      <c r="N2630" s="46">
        <v>0.34770851612390968</v>
      </c>
    </row>
    <row r="2631" spans="13:14" x14ac:dyDescent="0.35">
      <c r="M2631" s="46">
        <v>1</v>
      </c>
      <c r="N2631" s="46">
        <v>0.35465133272086485</v>
      </c>
    </row>
    <row r="2632" spans="13:14" x14ac:dyDescent="0.35">
      <c r="M2632" s="46">
        <v>1</v>
      </c>
      <c r="N2632" s="46">
        <v>0.31793112144188462</v>
      </c>
    </row>
    <row r="2633" spans="13:14" x14ac:dyDescent="0.35">
      <c r="M2633" s="46">
        <v>1</v>
      </c>
      <c r="N2633" s="46">
        <v>0.24788215976089728</v>
      </c>
    </row>
    <row r="2634" spans="13:14" x14ac:dyDescent="0.35">
      <c r="M2634" s="46">
        <v>1</v>
      </c>
      <c r="N2634" s="46">
        <v>0.11586581351810524</v>
      </c>
    </row>
    <row r="2635" spans="13:14" x14ac:dyDescent="0.35">
      <c r="M2635" s="46">
        <v>0.9451015729336697</v>
      </c>
      <c r="N2635" s="46">
        <v>0</v>
      </c>
    </row>
    <row r="2636" spans="13:14" x14ac:dyDescent="0.35">
      <c r="M2636" s="46">
        <v>0.78013154770737492</v>
      </c>
      <c r="N2636" s="46">
        <v>0</v>
      </c>
    </row>
    <row r="2637" spans="13:14" x14ac:dyDescent="0.35">
      <c r="M2637" s="46">
        <v>0.65601031310283431</v>
      </c>
      <c r="N2637" s="46">
        <v>0</v>
      </c>
    </row>
    <row r="2638" spans="13:14" x14ac:dyDescent="0.35">
      <c r="M2638" s="46">
        <v>0.61823163674135628</v>
      </c>
      <c r="N2638" s="46">
        <v>0</v>
      </c>
    </row>
    <row r="2639" spans="13:14" x14ac:dyDescent="0.35">
      <c r="M2639" s="46">
        <v>0.61973994657961118</v>
      </c>
      <c r="N2639" s="46">
        <v>0</v>
      </c>
    </row>
    <row r="2640" spans="13:14" x14ac:dyDescent="0.35">
      <c r="M2640" s="46">
        <v>0.61906833358064994</v>
      </c>
      <c r="N2640" s="46">
        <v>0</v>
      </c>
    </row>
    <row r="2641" spans="13:14" x14ac:dyDescent="0.35">
      <c r="M2641" s="46">
        <v>0.61691348864816742</v>
      </c>
      <c r="N2641" s="46">
        <v>0</v>
      </c>
    </row>
    <row r="2642" spans="13:14" x14ac:dyDescent="0.35">
      <c r="M2642" s="46">
        <v>0.61434381955779793</v>
      </c>
      <c r="N2642" s="46">
        <v>0</v>
      </c>
    </row>
    <row r="2643" spans="13:14" x14ac:dyDescent="0.35">
      <c r="M2643" s="46">
        <v>0.60268600682593865</v>
      </c>
      <c r="N2643" s="46">
        <v>0</v>
      </c>
    </row>
    <row r="2644" spans="13:14" x14ac:dyDescent="0.35">
      <c r="M2644" s="46">
        <v>0.5915537913637039</v>
      </c>
      <c r="N2644" s="46">
        <v>0</v>
      </c>
    </row>
    <row r="2645" spans="13:14" x14ac:dyDescent="0.35">
      <c r="M2645" s="46">
        <v>0.57714876094376022</v>
      </c>
      <c r="N2645" s="46">
        <v>0</v>
      </c>
    </row>
    <row r="2646" spans="13:14" x14ac:dyDescent="0.35">
      <c r="M2646" s="46">
        <v>0.56735071969134887</v>
      </c>
      <c r="N2646" s="46">
        <v>0</v>
      </c>
    </row>
    <row r="2647" spans="13:14" x14ac:dyDescent="0.35">
      <c r="M2647" s="46">
        <v>0.56386481673838851</v>
      </c>
      <c r="N2647" s="46">
        <v>0</v>
      </c>
    </row>
    <row r="2648" spans="13:14" x14ac:dyDescent="0.35">
      <c r="M2648" s="46">
        <v>0.56528735717465506</v>
      </c>
      <c r="N2648" s="46">
        <v>0</v>
      </c>
    </row>
    <row r="2649" spans="13:14" x14ac:dyDescent="0.35">
      <c r="M2649" s="46">
        <v>0.61521694613444133</v>
      </c>
      <c r="N2649" s="46">
        <v>0</v>
      </c>
    </row>
    <row r="2650" spans="13:14" x14ac:dyDescent="0.35">
      <c r="M2650" s="46">
        <v>0.76739991096601867</v>
      </c>
      <c r="N2650" s="46">
        <v>0</v>
      </c>
    </row>
    <row r="2651" spans="13:14" x14ac:dyDescent="0.35">
      <c r="M2651" s="46">
        <v>0.94890198842558238</v>
      </c>
      <c r="N2651" s="46">
        <v>0</v>
      </c>
    </row>
    <row r="2652" spans="13:14" x14ac:dyDescent="0.35">
      <c r="M2652" s="46">
        <v>1</v>
      </c>
      <c r="N2652" s="46">
        <v>0.11774406903185132</v>
      </c>
    </row>
    <row r="2653" spans="13:14" x14ac:dyDescent="0.35">
      <c r="M2653" s="46">
        <v>1</v>
      </c>
      <c r="N2653" s="46">
        <v>0.22828655613911505</v>
      </c>
    </row>
    <row r="2654" spans="13:14" x14ac:dyDescent="0.35">
      <c r="M2654" s="46">
        <v>1</v>
      </c>
      <c r="N2654" s="46">
        <v>0.25309201472329002</v>
      </c>
    </row>
    <row r="2655" spans="13:14" x14ac:dyDescent="0.35">
      <c r="M2655" s="46">
        <v>1</v>
      </c>
      <c r="N2655" s="46">
        <v>0.21790550730455055</v>
      </c>
    </row>
    <row r="2656" spans="13:14" x14ac:dyDescent="0.35">
      <c r="M2656" s="46">
        <v>1</v>
      </c>
      <c r="N2656" s="46">
        <v>0.12885077996750427</v>
      </c>
    </row>
    <row r="2657" spans="13:14" x14ac:dyDescent="0.35">
      <c r="M2657" s="46">
        <v>1</v>
      </c>
      <c r="N2657" s="46">
        <v>4.1947966680132093E-2</v>
      </c>
    </row>
    <row r="2658" spans="13:14" x14ac:dyDescent="0.35">
      <c r="M2658" s="46">
        <v>0.93443396646386701</v>
      </c>
      <c r="N2658" s="46">
        <v>0</v>
      </c>
    </row>
    <row r="2659" spans="13:14" x14ac:dyDescent="0.35">
      <c r="M2659" s="46">
        <v>0.82794606024632744</v>
      </c>
      <c r="N2659" s="46">
        <v>0</v>
      </c>
    </row>
    <row r="2660" spans="13:14" x14ac:dyDescent="0.35">
      <c r="M2660" s="46">
        <v>0.75108673393678593</v>
      </c>
      <c r="N2660" s="46">
        <v>0</v>
      </c>
    </row>
    <row r="2661" spans="13:14" x14ac:dyDescent="0.35">
      <c r="M2661" s="46">
        <v>0.67228268289063653</v>
      </c>
      <c r="N2661" s="46">
        <v>0</v>
      </c>
    </row>
    <row r="2662" spans="13:14" x14ac:dyDescent="0.35">
      <c r="M2662" s="46">
        <v>0.64469817480338332</v>
      </c>
      <c r="N2662" s="46">
        <v>0</v>
      </c>
    </row>
    <row r="2663" spans="13:14" x14ac:dyDescent="0.35">
      <c r="M2663" s="46">
        <v>0.64555957857248858</v>
      </c>
      <c r="N2663" s="46">
        <v>0</v>
      </c>
    </row>
    <row r="2664" spans="13:14" x14ac:dyDescent="0.35">
      <c r="M2664" s="46">
        <v>0.6456164861255379</v>
      </c>
      <c r="N2664" s="46">
        <v>0</v>
      </c>
    </row>
    <row r="2665" spans="13:14" x14ac:dyDescent="0.35">
      <c r="M2665" s="46">
        <v>0.64491838551713898</v>
      </c>
      <c r="N2665" s="46">
        <v>0</v>
      </c>
    </row>
    <row r="2666" spans="13:14" x14ac:dyDescent="0.35">
      <c r="M2666" s="46">
        <v>0.63998864816738388</v>
      </c>
      <c r="N2666" s="46">
        <v>0</v>
      </c>
    </row>
    <row r="2667" spans="13:14" x14ac:dyDescent="0.35">
      <c r="M2667" s="46">
        <v>0.63204763317999701</v>
      </c>
      <c r="N2667" s="46">
        <v>0</v>
      </c>
    </row>
    <row r="2668" spans="13:14" x14ac:dyDescent="0.35">
      <c r="M2668" s="46">
        <v>0.62605980115744175</v>
      </c>
      <c r="N2668" s="46">
        <v>0</v>
      </c>
    </row>
    <row r="2669" spans="13:14" x14ac:dyDescent="0.35">
      <c r="M2669" s="46">
        <v>0.61947944798931587</v>
      </c>
      <c r="N2669" s="46">
        <v>0</v>
      </c>
    </row>
    <row r="2670" spans="13:14" x14ac:dyDescent="0.35">
      <c r="M2670" s="46">
        <v>0.61788529455408814</v>
      </c>
      <c r="N2670" s="46">
        <v>0</v>
      </c>
    </row>
    <row r="2671" spans="13:14" x14ac:dyDescent="0.35">
      <c r="M2671" s="46">
        <v>0.61927793441163381</v>
      </c>
      <c r="N2671" s="46">
        <v>0</v>
      </c>
    </row>
    <row r="2672" spans="13:14" x14ac:dyDescent="0.35">
      <c r="M2672" s="46">
        <v>0.62128416679032494</v>
      </c>
      <c r="N2672" s="46">
        <v>0</v>
      </c>
    </row>
    <row r="2673" spans="13:14" x14ac:dyDescent="0.35">
      <c r="M2673" s="46">
        <v>0.6470370974922095</v>
      </c>
      <c r="N2673" s="46">
        <v>0</v>
      </c>
    </row>
    <row r="2674" spans="13:14" x14ac:dyDescent="0.35">
      <c r="M2674" s="46">
        <v>0.75806217539694321</v>
      </c>
      <c r="N2674" s="46">
        <v>0</v>
      </c>
    </row>
    <row r="2675" spans="13:14" x14ac:dyDescent="0.35">
      <c r="M2675" s="46">
        <v>0.88654844932482557</v>
      </c>
      <c r="N2675" s="46">
        <v>0</v>
      </c>
    </row>
    <row r="2676" spans="13:14" x14ac:dyDescent="0.35">
      <c r="M2676" s="46">
        <v>0.97723430776079545</v>
      </c>
      <c r="N2676" s="46">
        <v>0</v>
      </c>
    </row>
    <row r="2677" spans="13:14" x14ac:dyDescent="0.35">
      <c r="M2677" s="46">
        <v>1</v>
      </c>
      <c r="N2677" s="46">
        <v>3.7498401130018552E-2</v>
      </c>
    </row>
    <row r="2678" spans="13:14" x14ac:dyDescent="0.35">
      <c r="M2678" s="46">
        <v>1</v>
      </c>
      <c r="N2678" s="46">
        <v>5.135444919886574E-2</v>
      </c>
    </row>
    <row r="2679" spans="13:14" x14ac:dyDescent="0.35">
      <c r="M2679" s="46">
        <v>0.99822718504229113</v>
      </c>
      <c r="N2679" s="46">
        <v>0</v>
      </c>
    </row>
    <row r="2680" spans="13:14" x14ac:dyDescent="0.35">
      <c r="M2680" s="46">
        <v>0.94116219023594005</v>
      </c>
      <c r="N2680" s="46">
        <v>0</v>
      </c>
    </row>
    <row r="2681" spans="13:14" x14ac:dyDescent="0.35">
      <c r="M2681" s="46">
        <v>0.89002144235049718</v>
      </c>
      <c r="N2681" s="46">
        <v>0</v>
      </c>
    </row>
    <row r="2682" spans="13:14" x14ac:dyDescent="0.35">
      <c r="M2682" s="46">
        <v>0.82477518919721027</v>
      </c>
      <c r="N2682" s="46">
        <v>0</v>
      </c>
    </row>
    <row r="2683" spans="13:14" x14ac:dyDescent="0.35">
      <c r="M2683" s="46">
        <v>0.75134433892268893</v>
      </c>
      <c r="N2683" s="46">
        <v>0</v>
      </c>
    </row>
    <row r="2684" spans="13:14" x14ac:dyDescent="0.35">
      <c r="M2684" s="46">
        <v>0.70440028194094073</v>
      </c>
      <c r="N2684" s="46">
        <v>0</v>
      </c>
    </row>
    <row r="2685" spans="13:14" x14ac:dyDescent="0.35">
      <c r="M2685" s="46">
        <v>0.65821405253004894</v>
      </c>
      <c r="N2685" s="46">
        <v>0</v>
      </c>
    </row>
    <row r="2686" spans="13:14" x14ac:dyDescent="0.35">
      <c r="M2686" s="46">
        <v>0.64226925359845666</v>
      </c>
      <c r="N2686" s="46">
        <v>0</v>
      </c>
    </row>
    <row r="2687" spans="13:14" x14ac:dyDescent="0.35">
      <c r="M2687" s="46">
        <v>0.64337987832022558</v>
      </c>
      <c r="N2687" s="46">
        <v>0</v>
      </c>
    </row>
    <row r="2688" spans="13:14" x14ac:dyDescent="0.35">
      <c r="M2688" s="46">
        <v>0.64064653509422764</v>
      </c>
      <c r="N2688" s="46">
        <v>0</v>
      </c>
    </row>
    <row r="2689" spans="13:14" x14ac:dyDescent="0.35">
      <c r="M2689" s="46">
        <v>0.64303361032794193</v>
      </c>
      <c r="N2689" s="46">
        <v>0</v>
      </c>
    </row>
    <row r="2690" spans="13:14" x14ac:dyDescent="0.35">
      <c r="M2690" s="46">
        <v>0.63419891675322748</v>
      </c>
      <c r="N2690" s="46">
        <v>0</v>
      </c>
    </row>
    <row r="2691" spans="13:14" x14ac:dyDescent="0.35">
      <c r="M2691" s="46">
        <v>0.61474721768808427</v>
      </c>
      <c r="N2691" s="46">
        <v>0</v>
      </c>
    </row>
    <row r="2692" spans="13:14" x14ac:dyDescent="0.35">
      <c r="M2692" s="46">
        <v>0.59868467131621905</v>
      </c>
      <c r="N2692" s="46">
        <v>0</v>
      </c>
    </row>
    <row r="2693" spans="13:14" x14ac:dyDescent="0.35">
      <c r="M2693" s="46">
        <v>0.58603116189345605</v>
      </c>
      <c r="N2693" s="46">
        <v>0</v>
      </c>
    </row>
    <row r="2694" spans="13:14" x14ac:dyDescent="0.35">
      <c r="M2694" s="46">
        <v>0.56566879358955335</v>
      </c>
      <c r="N2694" s="46">
        <v>0</v>
      </c>
    </row>
    <row r="2695" spans="13:14" x14ac:dyDescent="0.35">
      <c r="M2695" s="46">
        <v>0.55267977444724736</v>
      </c>
      <c r="N2695" s="46">
        <v>0</v>
      </c>
    </row>
    <row r="2696" spans="13:14" x14ac:dyDescent="0.35">
      <c r="M2696" s="46">
        <v>0.53340651431963193</v>
      </c>
      <c r="N2696" s="46">
        <v>0</v>
      </c>
    </row>
    <row r="2697" spans="13:14" x14ac:dyDescent="0.35">
      <c r="M2697" s="46">
        <v>0.5279686155215908</v>
      </c>
      <c r="N2697" s="46">
        <v>0</v>
      </c>
    </row>
    <row r="2698" spans="13:14" x14ac:dyDescent="0.35">
      <c r="M2698" s="46">
        <v>0.56810476331799975</v>
      </c>
      <c r="N2698" s="46">
        <v>0</v>
      </c>
    </row>
    <row r="2699" spans="13:14" x14ac:dyDescent="0.35">
      <c r="M2699" s="46">
        <v>0.64108710491170795</v>
      </c>
      <c r="N2699" s="46">
        <v>0</v>
      </c>
    </row>
    <row r="2700" spans="13:14" x14ac:dyDescent="0.35">
      <c r="M2700" s="46">
        <v>0.7143800267101944</v>
      </c>
      <c r="N2700" s="46">
        <v>0</v>
      </c>
    </row>
    <row r="2701" spans="13:14" x14ac:dyDescent="0.35">
      <c r="M2701" s="46">
        <v>0.75856811099569665</v>
      </c>
      <c r="N2701" s="46">
        <v>0</v>
      </c>
    </row>
    <row r="2702" spans="13:14" x14ac:dyDescent="0.35">
      <c r="M2702" s="46">
        <v>0.81497284463570263</v>
      </c>
      <c r="N2702" s="46">
        <v>0</v>
      </c>
    </row>
    <row r="2703" spans="13:14" x14ac:dyDescent="0.35">
      <c r="M2703" s="46">
        <v>0.84908376613740899</v>
      </c>
      <c r="N2703" s="46">
        <v>0</v>
      </c>
    </row>
    <row r="2704" spans="13:14" x14ac:dyDescent="0.35">
      <c r="M2704" s="46">
        <v>0.86124232081911267</v>
      </c>
      <c r="N2704" s="46">
        <v>0</v>
      </c>
    </row>
    <row r="2705" spans="13:14" x14ac:dyDescent="0.35">
      <c r="M2705" s="46">
        <v>0.83736303605876239</v>
      </c>
      <c r="N2705" s="46">
        <v>0</v>
      </c>
    </row>
    <row r="2706" spans="13:14" x14ac:dyDescent="0.35">
      <c r="M2706" s="46">
        <v>0.75941549191274671</v>
      </c>
      <c r="N2706" s="46">
        <v>0</v>
      </c>
    </row>
    <row r="2707" spans="13:14" x14ac:dyDescent="0.35">
      <c r="M2707" s="46">
        <v>0.62968674877578268</v>
      </c>
      <c r="N2707" s="46">
        <v>0</v>
      </c>
    </row>
    <row r="2708" spans="13:14" x14ac:dyDescent="0.35">
      <c r="M2708" s="46">
        <v>0.45394680219617156</v>
      </c>
      <c r="N2708" s="46">
        <v>0</v>
      </c>
    </row>
    <row r="2709" spans="13:14" x14ac:dyDescent="0.35">
      <c r="M2709" s="46">
        <v>0.34622681406736905</v>
      </c>
      <c r="N2709" s="46">
        <v>0</v>
      </c>
    </row>
    <row r="2710" spans="13:14" x14ac:dyDescent="0.35">
      <c r="M2710" s="46">
        <v>0.33824462086362961</v>
      </c>
      <c r="N2710" s="46">
        <v>0</v>
      </c>
    </row>
    <row r="2711" spans="13:14" x14ac:dyDescent="0.35">
      <c r="M2711" s="46">
        <v>0.35932467725181777</v>
      </c>
      <c r="N2711" s="46">
        <v>0</v>
      </c>
    </row>
    <row r="2712" spans="13:14" x14ac:dyDescent="0.35">
      <c r="M2712" s="46">
        <v>0.35704755898501261</v>
      </c>
      <c r="N2712" s="46">
        <v>0</v>
      </c>
    </row>
    <row r="2713" spans="13:14" x14ac:dyDescent="0.35">
      <c r="M2713" s="46">
        <v>0.34489850126131477</v>
      </c>
      <c r="N2713" s="46">
        <v>0</v>
      </c>
    </row>
    <row r="2714" spans="13:14" x14ac:dyDescent="0.35">
      <c r="M2714" s="46">
        <v>0.31561047633179995</v>
      </c>
      <c r="N2714" s="46">
        <v>0</v>
      </c>
    </row>
    <row r="2715" spans="13:14" x14ac:dyDescent="0.35">
      <c r="M2715" s="46">
        <v>0.26919261017955187</v>
      </c>
      <c r="N2715" s="46">
        <v>0</v>
      </c>
    </row>
    <row r="2716" spans="13:14" x14ac:dyDescent="0.35">
      <c r="M2716" s="46">
        <v>0.22809088885591333</v>
      </c>
      <c r="N2716" s="46">
        <v>0</v>
      </c>
    </row>
    <row r="2717" spans="13:14" x14ac:dyDescent="0.35">
      <c r="M2717" s="46">
        <v>0.19024031755453333</v>
      </c>
      <c r="N2717" s="46">
        <v>0</v>
      </c>
    </row>
    <row r="2718" spans="13:14" x14ac:dyDescent="0.35">
      <c r="M2718" s="46">
        <v>0.16479930256714645</v>
      </c>
      <c r="N2718" s="46">
        <v>0</v>
      </c>
    </row>
    <row r="2719" spans="13:14" x14ac:dyDescent="0.35">
      <c r="M2719" s="46">
        <v>0.15260736014245438</v>
      </c>
      <c r="N2719" s="46">
        <v>0</v>
      </c>
    </row>
    <row r="2720" spans="13:14" x14ac:dyDescent="0.35">
      <c r="M2720" s="46">
        <v>0.15273668200029678</v>
      </c>
      <c r="N2720" s="46">
        <v>0</v>
      </c>
    </row>
    <row r="2721" spans="13:14" x14ac:dyDescent="0.35">
      <c r="M2721" s="46">
        <v>0.19918622941089184</v>
      </c>
      <c r="N2721" s="46">
        <v>0</v>
      </c>
    </row>
    <row r="2722" spans="13:14" x14ac:dyDescent="0.35">
      <c r="M2722" s="46">
        <v>0.3207331206410447</v>
      </c>
      <c r="N2722" s="46">
        <v>0</v>
      </c>
    </row>
    <row r="2723" spans="13:14" x14ac:dyDescent="0.35">
      <c r="M2723" s="46">
        <v>0.46636822970767178</v>
      </c>
      <c r="N2723" s="46">
        <v>0</v>
      </c>
    </row>
    <row r="2724" spans="13:14" x14ac:dyDescent="0.35">
      <c r="M2724" s="46">
        <v>0.57443760201810357</v>
      </c>
      <c r="N2724" s="46">
        <v>0</v>
      </c>
    </row>
    <row r="2725" spans="13:14" x14ac:dyDescent="0.35">
      <c r="M2725" s="46">
        <v>0.63548864816738393</v>
      </c>
      <c r="N2725" s="46">
        <v>0</v>
      </c>
    </row>
    <row r="2726" spans="13:14" x14ac:dyDescent="0.35">
      <c r="M2726" s="46">
        <v>0.69781176732452888</v>
      </c>
      <c r="N2726" s="46">
        <v>0</v>
      </c>
    </row>
    <row r="2727" spans="13:14" x14ac:dyDescent="0.35">
      <c r="M2727" s="46">
        <v>0.73439597863184447</v>
      </c>
      <c r="N2727" s="46">
        <v>0</v>
      </c>
    </row>
    <row r="2728" spans="13:14" x14ac:dyDescent="0.35">
      <c r="M2728" s="46">
        <v>0.74051498738685262</v>
      </c>
      <c r="N2728" s="46">
        <v>0</v>
      </c>
    </row>
    <row r="2729" spans="13:14" x14ac:dyDescent="0.35">
      <c r="M2729" s="46">
        <v>0.7026302863926398</v>
      </c>
      <c r="N2729" s="46">
        <v>0</v>
      </c>
    </row>
    <row r="2730" spans="13:14" x14ac:dyDescent="0.35">
      <c r="M2730" s="46">
        <v>0.62513733491615975</v>
      </c>
      <c r="N2730" s="46">
        <v>0</v>
      </c>
    </row>
    <row r="2731" spans="13:14" x14ac:dyDescent="0.35">
      <c r="M2731" s="46">
        <v>0.51277288915269326</v>
      </c>
      <c r="N2731" s="46">
        <v>0</v>
      </c>
    </row>
    <row r="2732" spans="13:14" x14ac:dyDescent="0.35">
      <c r="M2732" s="46">
        <v>0.3774350793886333</v>
      </c>
      <c r="N2732" s="46">
        <v>0</v>
      </c>
    </row>
    <row r="2733" spans="13:14" x14ac:dyDescent="0.35">
      <c r="M2733" s="46">
        <v>0.2703278676361478</v>
      </c>
      <c r="N2733" s="46">
        <v>0</v>
      </c>
    </row>
    <row r="2734" spans="13:14" x14ac:dyDescent="0.35">
      <c r="M2734" s="46">
        <v>0.24975382104169758</v>
      </c>
      <c r="N2734" s="46">
        <v>0</v>
      </c>
    </row>
    <row r="2735" spans="13:14" x14ac:dyDescent="0.35">
      <c r="M2735" s="46">
        <v>0.25981332541920166</v>
      </c>
      <c r="N2735" s="46">
        <v>0</v>
      </c>
    </row>
    <row r="2736" spans="13:14" x14ac:dyDescent="0.35">
      <c r="M2736" s="46">
        <v>0.26512360884404212</v>
      </c>
      <c r="N2736" s="46">
        <v>0</v>
      </c>
    </row>
    <row r="2737" spans="13:14" x14ac:dyDescent="0.35">
      <c r="M2737" s="46">
        <v>0.28154644606024631</v>
      </c>
      <c r="N2737" s="46">
        <v>0</v>
      </c>
    </row>
    <row r="2738" spans="13:14" x14ac:dyDescent="0.35">
      <c r="M2738" s="46">
        <v>0.28755245585398426</v>
      </c>
      <c r="N2738" s="46">
        <v>0</v>
      </c>
    </row>
    <row r="2739" spans="13:14" x14ac:dyDescent="0.35">
      <c r="M2739" s="46">
        <v>0.27495934114853837</v>
      </c>
      <c r="N2739" s="46">
        <v>0</v>
      </c>
    </row>
    <row r="2740" spans="13:14" x14ac:dyDescent="0.35">
      <c r="M2740" s="46">
        <v>0.26307412078943465</v>
      </c>
      <c r="N2740" s="46">
        <v>0</v>
      </c>
    </row>
    <row r="2741" spans="13:14" x14ac:dyDescent="0.35">
      <c r="M2741" s="46">
        <v>0.25328594746995103</v>
      </c>
      <c r="N2741" s="46">
        <v>0</v>
      </c>
    </row>
    <row r="2742" spans="13:14" x14ac:dyDescent="0.35">
      <c r="M2742" s="46">
        <v>0.24731651580353167</v>
      </c>
      <c r="N2742" s="46">
        <v>0</v>
      </c>
    </row>
    <row r="2743" spans="13:14" x14ac:dyDescent="0.35">
      <c r="M2743" s="46">
        <v>0.24746186377800861</v>
      </c>
      <c r="N2743" s="46">
        <v>0</v>
      </c>
    </row>
    <row r="2744" spans="13:14" x14ac:dyDescent="0.35">
      <c r="M2744" s="46">
        <v>0.25537201365187712</v>
      </c>
      <c r="N2744" s="46">
        <v>0</v>
      </c>
    </row>
    <row r="2745" spans="13:14" x14ac:dyDescent="0.35">
      <c r="M2745" s="46">
        <v>0.3054116337735569</v>
      </c>
      <c r="N2745" s="46">
        <v>0</v>
      </c>
    </row>
    <row r="2746" spans="13:14" x14ac:dyDescent="0.35">
      <c r="M2746" s="46">
        <v>0.43251995845080871</v>
      </c>
      <c r="N2746" s="46">
        <v>0</v>
      </c>
    </row>
    <row r="2747" spans="13:14" x14ac:dyDescent="0.35">
      <c r="M2747" s="46">
        <v>0.57498783202255521</v>
      </c>
      <c r="N2747" s="46">
        <v>0</v>
      </c>
    </row>
    <row r="2748" spans="13:14" x14ac:dyDescent="0.35">
      <c r="M2748" s="46">
        <v>0.68482638373645943</v>
      </c>
      <c r="N2748" s="46">
        <v>0</v>
      </c>
    </row>
    <row r="2749" spans="13:14" x14ac:dyDescent="0.35">
      <c r="M2749" s="46">
        <v>0.75503509422763015</v>
      </c>
      <c r="N2749" s="46">
        <v>0</v>
      </c>
    </row>
    <row r="2750" spans="13:14" x14ac:dyDescent="0.35">
      <c r="M2750" s="46">
        <v>0.81580701884552609</v>
      </c>
      <c r="N2750" s="46">
        <v>0</v>
      </c>
    </row>
    <row r="2751" spans="13:14" x14ac:dyDescent="0.35">
      <c r="M2751" s="46">
        <v>0.84266070633625167</v>
      </c>
      <c r="N2751" s="46">
        <v>0</v>
      </c>
    </row>
    <row r="2752" spans="13:14" x14ac:dyDescent="0.35">
      <c r="M2752" s="46">
        <v>0.85861937972993019</v>
      </c>
      <c r="N2752" s="46">
        <v>0</v>
      </c>
    </row>
    <row r="2753" spans="13:14" x14ac:dyDescent="0.35">
      <c r="M2753" s="46">
        <v>0.87652797150912587</v>
      </c>
      <c r="N2753" s="46">
        <v>0</v>
      </c>
    </row>
    <row r="2754" spans="13:14" x14ac:dyDescent="0.35">
      <c r="M2754" s="46">
        <v>0.86398256417866148</v>
      </c>
      <c r="N2754" s="46">
        <v>0</v>
      </c>
    </row>
    <row r="2755" spans="13:14" x14ac:dyDescent="0.35">
      <c r="M2755" s="46">
        <v>0.82240362071523965</v>
      </c>
      <c r="N2755" s="46">
        <v>0</v>
      </c>
    </row>
    <row r="2756" spans="13:14" x14ac:dyDescent="0.35">
      <c r="M2756" s="46">
        <v>0.74347981896423798</v>
      </c>
      <c r="N2756" s="46">
        <v>0</v>
      </c>
    </row>
    <row r="2757" spans="13:14" x14ac:dyDescent="0.35">
      <c r="M2757" s="46">
        <v>0.66664616411930555</v>
      </c>
      <c r="N2757" s="46">
        <v>0</v>
      </c>
    </row>
    <row r="2758" spans="13:14" x14ac:dyDescent="0.35">
      <c r="M2758" s="46">
        <v>0.63637624276598903</v>
      </c>
      <c r="N2758" s="46">
        <v>0</v>
      </c>
    </row>
    <row r="2759" spans="13:14" x14ac:dyDescent="0.35">
      <c r="M2759" s="46">
        <v>0.63178268289063655</v>
      </c>
      <c r="N2759" s="46">
        <v>0</v>
      </c>
    </row>
    <row r="2760" spans="13:14" x14ac:dyDescent="0.35">
      <c r="M2760" s="46">
        <v>0.62003472325270803</v>
      </c>
      <c r="N2760" s="46">
        <v>0</v>
      </c>
    </row>
    <row r="2761" spans="13:14" x14ac:dyDescent="0.35">
      <c r="M2761" s="46">
        <v>0.60817376465350947</v>
      </c>
      <c r="N2761" s="46">
        <v>0</v>
      </c>
    </row>
    <row r="2762" spans="13:14" x14ac:dyDescent="0.35">
      <c r="M2762" s="46">
        <v>0.59504941385962307</v>
      </c>
      <c r="N2762" s="46">
        <v>0</v>
      </c>
    </row>
    <row r="2763" spans="13:14" x14ac:dyDescent="0.35">
      <c r="M2763" s="46">
        <v>0.57985049710639558</v>
      </c>
      <c r="N2763" s="46">
        <v>0</v>
      </c>
    </row>
    <row r="2764" spans="13:14" x14ac:dyDescent="0.35">
      <c r="M2764" s="46">
        <v>0.56711299896127021</v>
      </c>
      <c r="N2764" s="46">
        <v>0</v>
      </c>
    </row>
    <row r="2765" spans="13:14" x14ac:dyDescent="0.35">
      <c r="M2765" s="46">
        <v>0.55643493099866448</v>
      </c>
      <c r="N2765" s="46">
        <v>0</v>
      </c>
    </row>
    <row r="2766" spans="13:14" x14ac:dyDescent="0.35">
      <c r="M2766" s="46">
        <v>0.54316486125537911</v>
      </c>
      <c r="N2766" s="46">
        <v>0</v>
      </c>
    </row>
    <row r="2767" spans="13:14" x14ac:dyDescent="0.35">
      <c r="M2767" s="46">
        <v>0.5227450660335361</v>
      </c>
      <c r="N2767" s="46">
        <v>0</v>
      </c>
    </row>
    <row r="2768" spans="13:14" x14ac:dyDescent="0.35">
      <c r="M2768" s="46">
        <v>0.50222933669683922</v>
      </c>
      <c r="N2768" s="46">
        <v>0</v>
      </c>
    </row>
    <row r="2769" spans="13:14" x14ac:dyDescent="0.35">
      <c r="M2769" s="46">
        <v>0.52268979077014399</v>
      </c>
      <c r="N2769" s="46">
        <v>0</v>
      </c>
    </row>
    <row r="2770" spans="13:14" x14ac:dyDescent="0.35">
      <c r="M2770" s="46">
        <v>0.63617599050304197</v>
      </c>
      <c r="N2770" s="46">
        <v>0</v>
      </c>
    </row>
    <row r="2771" spans="13:14" x14ac:dyDescent="0.35">
      <c r="M2771" s="46">
        <v>0.7885122421724291</v>
      </c>
      <c r="N2771" s="46">
        <v>0</v>
      </c>
    </row>
    <row r="2772" spans="13:14" x14ac:dyDescent="0.35">
      <c r="M2772" s="46">
        <v>0.90319594895385069</v>
      </c>
      <c r="N2772" s="46">
        <v>0</v>
      </c>
    </row>
    <row r="2773" spans="13:14" x14ac:dyDescent="0.35">
      <c r="M2773" s="46">
        <v>0.98455972696245742</v>
      </c>
      <c r="N2773" s="46">
        <v>0</v>
      </c>
    </row>
    <row r="2774" spans="13:14" x14ac:dyDescent="0.35">
      <c r="M2774" s="46">
        <v>1</v>
      </c>
      <c r="N2774" s="46">
        <v>4.8993249244253426E-2</v>
      </c>
    </row>
    <row r="2775" spans="13:14" x14ac:dyDescent="0.35">
      <c r="M2775" s="46">
        <v>1</v>
      </c>
      <c r="N2775" s="46">
        <v>6.875163700498238E-2</v>
      </c>
    </row>
    <row r="2776" spans="13:14" x14ac:dyDescent="0.35">
      <c r="M2776" s="46">
        <v>1</v>
      </c>
      <c r="N2776" s="46">
        <v>5.0799424641540268E-2</v>
      </c>
    </row>
    <row r="2777" spans="13:14" x14ac:dyDescent="0.35">
      <c r="M2777" s="46">
        <v>0.99522755601721324</v>
      </c>
      <c r="N2777" s="46">
        <v>0</v>
      </c>
    </row>
    <row r="2778" spans="13:14" x14ac:dyDescent="0.35">
      <c r="M2778" s="46">
        <v>0.92454229114111885</v>
      </c>
      <c r="N2778" s="46">
        <v>0</v>
      </c>
    </row>
    <row r="2779" spans="13:14" x14ac:dyDescent="0.35">
      <c r="M2779" s="46">
        <v>0.81947848345451846</v>
      </c>
      <c r="N2779" s="46">
        <v>0</v>
      </c>
    </row>
    <row r="2780" spans="13:14" x14ac:dyDescent="0.35">
      <c r="M2780" s="46">
        <v>0.70391742098234156</v>
      </c>
      <c r="N2780" s="46">
        <v>0</v>
      </c>
    </row>
    <row r="2781" spans="13:14" x14ac:dyDescent="0.35">
      <c r="M2781" s="46">
        <v>0.60618622941089184</v>
      </c>
      <c r="N2781" s="46">
        <v>0</v>
      </c>
    </row>
    <row r="2782" spans="13:14" x14ac:dyDescent="0.35">
      <c r="M2782" s="46">
        <v>0.57386377800860666</v>
      </c>
      <c r="N2782" s="46">
        <v>0</v>
      </c>
    </row>
    <row r="2783" spans="13:14" x14ac:dyDescent="0.35">
      <c r="M2783" s="46">
        <v>0.56819327793441166</v>
      </c>
      <c r="N2783" s="46">
        <v>0</v>
      </c>
    </row>
    <row r="2784" spans="13:14" x14ac:dyDescent="0.35">
      <c r="M2784" s="46">
        <v>0.55180776079537031</v>
      </c>
      <c r="N2784" s="46">
        <v>0</v>
      </c>
    </row>
    <row r="2785" spans="13:14" x14ac:dyDescent="0.35">
      <c r="M2785" s="46">
        <v>0.54010817628728303</v>
      </c>
      <c r="N2785" s="46">
        <v>0</v>
      </c>
    </row>
    <row r="2786" spans="13:14" x14ac:dyDescent="0.35">
      <c r="M2786" s="46">
        <v>0.53174120789434631</v>
      </c>
      <c r="N2786" s="46">
        <v>0</v>
      </c>
    </row>
    <row r="2787" spans="13:14" x14ac:dyDescent="0.35">
      <c r="M2787" s="46">
        <v>0.50993938269772965</v>
      </c>
      <c r="N2787" s="46">
        <v>0</v>
      </c>
    </row>
    <row r="2788" spans="13:14" x14ac:dyDescent="0.35">
      <c r="M2788" s="46">
        <v>0.49134849384181634</v>
      </c>
      <c r="N2788" s="46">
        <v>0</v>
      </c>
    </row>
    <row r="2789" spans="13:14" x14ac:dyDescent="0.35">
      <c r="M2789" s="46">
        <v>0.46997150912598307</v>
      </c>
      <c r="N2789" s="46">
        <v>0</v>
      </c>
    </row>
    <row r="2790" spans="13:14" x14ac:dyDescent="0.35">
      <c r="M2790" s="46">
        <v>0.45070722659148238</v>
      </c>
      <c r="N2790" s="46">
        <v>0</v>
      </c>
    </row>
    <row r="2791" spans="13:14" x14ac:dyDescent="0.35">
      <c r="M2791" s="46">
        <v>0.43058576940198845</v>
      </c>
      <c r="N2791" s="46">
        <v>0</v>
      </c>
    </row>
    <row r="2792" spans="13:14" x14ac:dyDescent="0.35">
      <c r="M2792" s="46">
        <v>0.40772184300341296</v>
      </c>
      <c r="N2792" s="46">
        <v>0</v>
      </c>
    </row>
    <row r="2793" spans="13:14" x14ac:dyDescent="0.35">
      <c r="M2793" s="46">
        <v>0.43242350497106391</v>
      </c>
      <c r="N2793" s="46">
        <v>0</v>
      </c>
    </row>
    <row r="2794" spans="13:14" x14ac:dyDescent="0.35">
      <c r="M2794" s="46">
        <v>0.54388195577978926</v>
      </c>
      <c r="N2794" s="46">
        <v>0</v>
      </c>
    </row>
    <row r="2795" spans="13:14" x14ac:dyDescent="0.35">
      <c r="M2795" s="46">
        <v>0.68073527229559283</v>
      </c>
      <c r="N2795" s="46">
        <v>0</v>
      </c>
    </row>
    <row r="2796" spans="13:14" x14ac:dyDescent="0.35">
      <c r="M2796" s="46">
        <v>0.78458970173616271</v>
      </c>
      <c r="N2796" s="46">
        <v>0</v>
      </c>
    </row>
    <row r="2797" spans="13:14" x14ac:dyDescent="0.35">
      <c r="M2797" s="46">
        <v>0.84058198545778307</v>
      </c>
      <c r="N2797" s="46">
        <v>0</v>
      </c>
    </row>
    <row r="2798" spans="13:14" x14ac:dyDescent="0.35">
      <c r="M2798" s="46">
        <v>0.87003976851164866</v>
      </c>
      <c r="N2798" s="46">
        <v>0</v>
      </c>
    </row>
    <row r="2799" spans="13:14" x14ac:dyDescent="0.35">
      <c r="M2799" s="46">
        <v>0.86862813473809175</v>
      </c>
      <c r="N2799" s="46">
        <v>0</v>
      </c>
    </row>
    <row r="2800" spans="13:14" x14ac:dyDescent="0.35">
      <c r="M2800" s="46">
        <v>0.84399235791660476</v>
      </c>
      <c r="N2800" s="46">
        <v>0</v>
      </c>
    </row>
    <row r="2801" spans="13:14" x14ac:dyDescent="0.35">
      <c r="M2801" s="46">
        <v>0.8554494732156106</v>
      </c>
      <c r="N2801" s="46">
        <v>0</v>
      </c>
    </row>
    <row r="2802" spans="13:14" x14ac:dyDescent="0.35">
      <c r="M2802" s="46">
        <v>0.82761574417569372</v>
      </c>
      <c r="N2802" s="46">
        <v>0</v>
      </c>
    </row>
    <row r="2803" spans="13:14" x14ac:dyDescent="0.35">
      <c r="M2803" s="46">
        <v>0.74156944650541623</v>
      </c>
      <c r="N2803" s="46">
        <v>0</v>
      </c>
    </row>
    <row r="2804" spans="13:14" x14ac:dyDescent="0.35">
      <c r="M2804" s="46">
        <v>0.60368511648612555</v>
      </c>
      <c r="N2804" s="46">
        <v>0</v>
      </c>
    </row>
    <row r="2805" spans="13:14" x14ac:dyDescent="0.35">
      <c r="M2805" s="46">
        <v>0.49959979225404361</v>
      </c>
      <c r="N2805" s="46">
        <v>0</v>
      </c>
    </row>
    <row r="2806" spans="13:14" x14ac:dyDescent="0.35">
      <c r="M2806" s="46">
        <v>0.47119127466983235</v>
      </c>
      <c r="N2806" s="46">
        <v>0</v>
      </c>
    </row>
    <row r="2807" spans="13:14" x14ac:dyDescent="0.35">
      <c r="M2807" s="46">
        <v>0.46556959489538507</v>
      </c>
      <c r="N2807" s="46">
        <v>0</v>
      </c>
    </row>
    <row r="2808" spans="13:14" x14ac:dyDescent="0.35">
      <c r="M2808" s="46">
        <v>0.44470692981154475</v>
      </c>
      <c r="N2808" s="46">
        <v>0</v>
      </c>
    </row>
    <row r="2809" spans="13:14" x14ac:dyDescent="0.35">
      <c r="M2809" s="46">
        <v>0.43110988277192458</v>
      </c>
      <c r="N2809" s="46">
        <v>0</v>
      </c>
    </row>
    <row r="2810" spans="13:14" x14ac:dyDescent="0.35">
      <c r="M2810" s="46">
        <v>0.41252240688529457</v>
      </c>
      <c r="N2810" s="46">
        <v>0</v>
      </c>
    </row>
    <row r="2811" spans="13:14" x14ac:dyDescent="0.35">
      <c r="M2811" s="46">
        <v>0.39565899985161002</v>
      </c>
      <c r="N2811" s="46">
        <v>0</v>
      </c>
    </row>
    <row r="2812" spans="13:14" x14ac:dyDescent="0.35">
      <c r="M2812" s="46">
        <v>0.38313177029232826</v>
      </c>
      <c r="N2812" s="46">
        <v>0</v>
      </c>
    </row>
    <row r="2813" spans="13:14" x14ac:dyDescent="0.35">
      <c r="M2813" s="46">
        <v>0.36699844190532716</v>
      </c>
      <c r="N2813" s="46">
        <v>0</v>
      </c>
    </row>
    <row r="2814" spans="13:14" x14ac:dyDescent="0.35">
      <c r="M2814" s="46">
        <v>0.35438306870455555</v>
      </c>
      <c r="N2814" s="46">
        <v>0</v>
      </c>
    </row>
    <row r="2815" spans="13:14" x14ac:dyDescent="0.35">
      <c r="M2815" s="46">
        <v>0.3449769253598457</v>
      </c>
      <c r="N2815" s="46">
        <v>0</v>
      </c>
    </row>
    <row r="2816" spans="13:14" x14ac:dyDescent="0.35">
      <c r="M2816" s="46">
        <v>0.33189761092150172</v>
      </c>
      <c r="N2816" s="46">
        <v>0</v>
      </c>
    </row>
    <row r="2817" spans="13:14" x14ac:dyDescent="0.35">
      <c r="M2817" s="46">
        <v>0.37679425730820598</v>
      </c>
      <c r="N2817" s="46">
        <v>0</v>
      </c>
    </row>
    <row r="2818" spans="13:14" x14ac:dyDescent="0.35">
      <c r="M2818" s="46">
        <v>0.5071358510164713</v>
      </c>
      <c r="N2818" s="46">
        <v>0</v>
      </c>
    </row>
    <row r="2819" spans="13:14" x14ac:dyDescent="0.35">
      <c r="M2819" s="46">
        <v>0.65618771331058023</v>
      </c>
      <c r="N2819" s="46">
        <v>0</v>
      </c>
    </row>
    <row r="2820" spans="13:14" x14ac:dyDescent="0.35">
      <c r="M2820" s="46">
        <v>0.76853479744769249</v>
      </c>
      <c r="N2820" s="46">
        <v>0</v>
      </c>
    </row>
    <row r="2821" spans="13:14" x14ac:dyDescent="0.35">
      <c r="M2821" s="46">
        <v>0.82832890636592971</v>
      </c>
      <c r="N2821" s="46">
        <v>0</v>
      </c>
    </row>
    <row r="2822" spans="13:14" x14ac:dyDescent="0.35">
      <c r="M2822" s="46">
        <v>0.84952915862887668</v>
      </c>
      <c r="N2822" s="46">
        <v>0</v>
      </c>
    </row>
    <row r="2823" spans="13:14" x14ac:dyDescent="0.35">
      <c r="M2823" s="46">
        <v>0.843459266953554</v>
      </c>
      <c r="N2823" s="46">
        <v>0</v>
      </c>
    </row>
    <row r="2824" spans="13:14" x14ac:dyDescent="0.35">
      <c r="M2824" s="46">
        <v>0.82409556313993171</v>
      </c>
      <c r="N2824" s="46">
        <v>0</v>
      </c>
    </row>
    <row r="2825" spans="13:14" x14ac:dyDescent="0.35">
      <c r="M2825" s="46">
        <v>0.83456002374239502</v>
      </c>
      <c r="N2825" s="46">
        <v>0</v>
      </c>
    </row>
    <row r="2826" spans="13:14" x14ac:dyDescent="0.35">
      <c r="M2826" s="46">
        <v>0.81283513874462088</v>
      </c>
      <c r="N2826" s="46">
        <v>0</v>
      </c>
    </row>
    <row r="2827" spans="13:14" x14ac:dyDescent="0.35">
      <c r="M2827" s="46">
        <v>0.73841697581243504</v>
      </c>
      <c r="N2827" s="46">
        <v>0</v>
      </c>
    </row>
    <row r="2828" spans="13:14" x14ac:dyDescent="0.35">
      <c r="M2828" s="46">
        <v>0.62647588663006382</v>
      </c>
      <c r="N2828" s="46">
        <v>0</v>
      </c>
    </row>
    <row r="2829" spans="13:14" x14ac:dyDescent="0.35">
      <c r="M2829" s="46">
        <v>0.53318801009051786</v>
      </c>
      <c r="N2829" s="46">
        <v>0</v>
      </c>
    </row>
    <row r="2830" spans="13:14" x14ac:dyDescent="0.35">
      <c r="M2830" s="46">
        <v>0.50903650393233413</v>
      </c>
      <c r="N2830" s="46">
        <v>0</v>
      </c>
    </row>
    <row r="2831" spans="13:14" x14ac:dyDescent="0.35">
      <c r="M2831" s="46">
        <v>0.51280271553642975</v>
      </c>
      <c r="N2831" s="46">
        <v>0</v>
      </c>
    </row>
    <row r="2832" spans="13:14" x14ac:dyDescent="0.35">
      <c r="M2832" s="46">
        <v>0.50065684819706191</v>
      </c>
      <c r="N2832" s="46">
        <v>0</v>
      </c>
    </row>
    <row r="2833" spans="13:14" x14ac:dyDescent="0.35">
      <c r="M2833" s="46">
        <v>0.48750830983825494</v>
      </c>
      <c r="N2833" s="46">
        <v>0</v>
      </c>
    </row>
    <row r="2834" spans="13:14" x14ac:dyDescent="0.35">
      <c r="M2834" s="46">
        <v>0.47597195429588957</v>
      </c>
      <c r="N2834" s="46">
        <v>0</v>
      </c>
    </row>
    <row r="2835" spans="13:14" x14ac:dyDescent="0.35">
      <c r="M2835" s="46">
        <v>0.46596119602314884</v>
      </c>
      <c r="N2835" s="46">
        <v>0</v>
      </c>
    </row>
    <row r="2836" spans="13:14" x14ac:dyDescent="0.35">
      <c r="M2836" s="46">
        <v>0.46114920611366667</v>
      </c>
      <c r="N2836" s="46">
        <v>0</v>
      </c>
    </row>
    <row r="2837" spans="13:14" x14ac:dyDescent="0.35">
      <c r="M2837" s="46">
        <v>0.46001313251224218</v>
      </c>
      <c r="N2837" s="46">
        <v>0</v>
      </c>
    </row>
    <row r="2838" spans="13:14" x14ac:dyDescent="0.35">
      <c r="M2838" s="46">
        <v>0.46622414304792997</v>
      </c>
      <c r="N2838" s="46">
        <v>0</v>
      </c>
    </row>
    <row r="2839" spans="13:14" x14ac:dyDescent="0.35">
      <c r="M2839" s="46">
        <v>0.46844012464757384</v>
      </c>
      <c r="N2839" s="46">
        <v>0</v>
      </c>
    </row>
    <row r="2840" spans="13:14" x14ac:dyDescent="0.35">
      <c r="M2840" s="46">
        <v>0.46333239353019734</v>
      </c>
      <c r="N2840" s="46">
        <v>0</v>
      </c>
    </row>
    <row r="2841" spans="13:14" x14ac:dyDescent="0.35">
      <c r="M2841" s="46">
        <v>0.49483966463867041</v>
      </c>
      <c r="N2841" s="46">
        <v>0</v>
      </c>
    </row>
    <row r="2842" spans="13:14" x14ac:dyDescent="0.35">
      <c r="M2842" s="46">
        <v>0.58908087253301677</v>
      </c>
      <c r="N2842" s="46">
        <v>0</v>
      </c>
    </row>
    <row r="2843" spans="13:14" x14ac:dyDescent="0.35">
      <c r="M2843" s="46">
        <v>0.7008036058762428</v>
      </c>
      <c r="N2843" s="46">
        <v>0</v>
      </c>
    </row>
    <row r="2844" spans="13:14" x14ac:dyDescent="0.35">
      <c r="M2844" s="46">
        <v>0.78379655735272302</v>
      </c>
      <c r="N2844" s="46">
        <v>0</v>
      </c>
    </row>
    <row r="2845" spans="13:14" x14ac:dyDescent="0.35">
      <c r="M2845" s="46">
        <v>0.81976101795518619</v>
      </c>
      <c r="N2845" s="46">
        <v>0</v>
      </c>
    </row>
    <row r="2846" spans="13:14" x14ac:dyDescent="0.35">
      <c r="M2846" s="46">
        <v>0.87061715388039773</v>
      </c>
      <c r="N2846" s="46">
        <v>0</v>
      </c>
    </row>
    <row r="2847" spans="13:14" x14ac:dyDescent="0.35">
      <c r="M2847" s="46">
        <v>0.90174143047929967</v>
      </c>
      <c r="N2847" s="46">
        <v>0</v>
      </c>
    </row>
    <row r="2848" spans="13:14" x14ac:dyDescent="0.35">
      <c r="M2848" s="46">
        <v>0.91965269327793442</v>
      </c>
      <c r="N2848" s="46">
        <v>0</v>
      </c>
    </row>
    <row r="2849" spans="13:14" x14ac:dyDescent="0.35">
      <c r="M2849" s="46">
        <v>0.89788262353464909</v>
      </c>
      <c r="N2849" s="46">
        <v>0</v>
      </c>
    </row>
    <row r="2850" spans="13:14" x14ac:dyDescent="0.35">
      <c r="M2850" s="46">
        <v>0.85770589108176287</v>
      </c>
      <c r="N2850" s="46">
        <v>0</v>
      </c>
    </row>
    <row r="2851" spans="13:14" x14ac:dyDescent="0.35">
      <c r="M2851" s="46">
        <v>0.76683528713458982</v>
      </c>
      <c r="N2851" s="46">
        <v>0</v>
      </c>
    </row>
    <row r="2852" spans="13:14" x14ac:dyDescent="0.35">
      <c r="M2852" s="46">
        <v>0.68036511351832607</v>
      </c>
      <c r="N2852" s="46">
        <v>0</v>
      </c>
    </row>
    <row r="2853" spans="13:14" x14ac:dyDescent="0.35">
      <c r="M2853" s="46">
        <v>0.59129366374833059</v>
      </c>
      <c r="N2853" s="46">
        <v>0</v>
      </c>
    </row>
    <row r="2854" spans="13:14" x14ac:dyDescent="0.35">
      <c r="M2854" s="46">
        <v>0.54484181629321859</v>
      </c>
      <c r="N2854" s="46">
        <v>0</v>
      </c>
    </row>
    <row r="2855" spans="13:14" x14ac:dyDescent="0.35">
      <c r="M2855" s="46">
        <v>0.50897328980560919</v>
      </c>
      <c r="N2855" s="46">
        <v>0</v>
      </c>
    </row>
    <row r="2856" spans="13:14" x14ac:dyDescent="0.35">
      <c r="M2856" s="46">
        <v>0.42788173319483602</v>
      </c>
      <c r="N2856" s="46">
        <v>0</v>
      </c>
    </row>
    <row r="2857" spans="13:14" x14ac:dyDescent="0.35">
      <c r="M2857" s="46">
        <v>0.3583260127615373</v>
      </c>
      <c r="N2857" s="46">
        <v>0</v>
      </c>
    </row>
    <row r="2858" spans="13:14" x14ac:dyDescent="0.35">
      <c r="M2858" s="46">
        <v>0.31480464460602464</v>
      </c>
      <c r="N2858" s="46">
        <v>0</v>
      </c>
    </row>
    <row r="2859" spans="13:14" x14ac:dyDescent="0.35">
      <c r="M2859" s="46">
        <v>0.29662902507790473</v>
      </c>
      <c r="N2859" s="46">
        <v>0</v>
      </c>
    </row>
    <row r="2860" spans="13:14" x14ac:dyDescent="0.35">
      <c r="M2860" s="46">
        <v>0.29822844635702628</v>
      </c>
      <c r="N2860" s="46">
        <v>0</v>
      </c>
    </row>
    <row r="2861" spans="13:14" x14ac:dyDescent="0.35">
      <c r="M2861" s="46">
        <v>0.29613815106098829</v>
      </c>
      <c r="N2861" s="46">
        <v>0</v>
      </c>
    </row>
    <row r="2862" spans="13:14" x14ac:dyDescent="0.35">
      <c r="M2862" s="46">
        <v>0.27943611811841518</v>
      </c>
      <c r="N2862" s="46">
        <v>0</v>
      </c>
    </row>
    <row r="2863" spans="13:14" x14ac:dyDescent="0.35">
      <c r="M2863" s="46">
        <v>0.25171442350497109</v>
      </c>
      <c r="N2863" s="46">
        <v>0</v>
      </c>
    </row>
    <row r="2864" spans="13:14" x14ac:dyDescent="0.35">
      <c r="M2864" s="46">
        <v>0.22715054162338624</v>
      </c>
      <c r="N2864" s="46">
        <v>0</v>
      </c>
    </row>
    <row r="2865" spans="13:14" x14ac:dyDescent="0.35">
      <c r="M2865" s="46">
        <v>0.26152018103576197</v>
      </c>
      <c r="N2865" s="46">
        <v>0</v>
      </c>
    </row>
    <row r="2866" spans="13:14" x14ac:dyDescent="0.35">
      <c r="M2866" s="46">
        <v>0.36492016619676509</v>
      </c>
      <c r="N2866" s="46">
        <v>0</v>
      </c>
    </row>
    <row r="2867" spans="13:14" x14ac:dyDescent="0.35">
      <c r="M2867" s="46">
        <v>0.47863585101647127</v>
      </c>
      <c r="N2867" s="46">
        <v>0</v>
      </c>
    </row>
    <row r="2868" spans="13:14" x14ac:dyDescent="0.35">
      <c r="M2868" s="46">
        <v>0.54439315922243658</v>
      </c>
      <c r="N2868" s="46">
        <v>0</v>
      </c>
    </row>
    <row r="2869" spans="13:14" x14ac:dyDescent="0.35">
      <c r="M2869" s="46">
        <v>0.5648852945540882</v>
      </c>
      <c r="N2869" s="46">
        <v>0</v>
      </c>
    </row>
    <row r="2870" spans="13:14" x14ac:dyDescent="0.35">
      <c r="M2870" s="46">
        <v>0.53249228372162039</v>
      </c>
      <c r="N2870" s="46">
        <v>0</v>
      </c>
    </row>
    <row r="2871" spans="13:14" x14ac:dyDescent="0.35">
      <c r="M2871" s="46">
        <v>0.47643136963941235</v>
      </c>
      <c r="N2871" s="46">
        <v>0</v>
      </c>
    </row>
    <row r="2872" spans="13:14" x14ac:dyDescent="0.35">
      <c r="M2872" s="46">
        <v>0.40791289508829204</v>
      </c>
      <c r="N2872" s="46">
        <v>0</v>
      </c>
    </row>
    <row r="2873" spans="13:14" x14ac:dyDescent="0.35">
      <c r="M2873" s="46">
        <v>0.41423104318148096</v>
      </c>
      <c r="N2873" s="46">
        <v>0</v>
      </c>
    </row>
    <row r="2874" spans="13:14" x14ac:dyDescent="0.35">
      <c r="M2874" s="46">
        <v>0.40082356432705152</v>
      </c>
      <c r="N2874" s="46">
        <v>0</v>
      </c>
    </row>
    <row r="2875" spans="13:14" x14ac:dyDescent="0.35">
      <c r="M2875" s="46">
        <v>0.35218170351684225</v>
      </c>
      <c r="N2875" s="46">
        <v>0</v>
      </c>
    </row>
    <row r="2876" spans="13:14" x14ac:dyDescent="0.35">
      <c r="M2876" s="46">
        <v>0.24001587772666569</v>
      </c>
      <c r="N2876" s="46">
        <v>0</v>
      </c>
    </row>
    <row r="2877" spans="13:14" x14ac:dyDescent="0.35">
      <c r="M2877" s="46">
        <v>0.13392981154473957</v>
      </c>
      <c r="N2877" s="46">
        <v>0</v>
      </c>
    </row>
    <row r="2878" spans="13:14" x14ac:dyDescent="0.35">
      <c r="M2878" s="46">
        <v>9.1749666122570114E-2</v>
      </c>
      <c r="N2878" s="46">
        <v>0</v>
      </c>
    </row>
    <row r="2879" spans="13:14" x14ac:dyDescent="0.35">
      <c r="M2879" s="46">
        <v>8.8173764653509415E-2</v>
      </c>
      <c r="N2879" s="46">
        <v>0</v>
      </c>
    </row>
    <row r="2880" spans="13:14" x14ac:dyDescent="0.35">
      <c r="M2880" s="46">
        <v>6.8729781866745804E-2</v>
      </c>
      <c r="N2880" s="46">
        <v>0</v>
      </c>
    </row>
    <row r="2881" spans="13:14" x14ac:dyDescent="0.35">
      <c r="M2881" s="46">
        <v>5.20471138151061E-2</v>
      </c>
      <c r="N2881" s="46">
        <v>0</v>
      </c>
    </row>
    <row r="2882" spans="13:14" x14ac:dyDescent="0.35">
      <c r="M2882" s="46">
        <v>4.565677400207746E-2</v>
      </c>
      <c r="N2882" s="46">
        <v>0</v>
      </c>
    </row>
    <row r="2883" spans="13:14" x14ac:dyDescent="0.35">
      <c r="M2883" s="46">
        <v>3.322265914824158E-2</v>
      </c>
      <c r="N2883" s="46">
        <v>0</v>
      </c>
    </row>
    <row r="2884" spans="13:14" x14ac:dyDescent="0.35">
      <c r="M2884" s="46">
        <v>2.2893530197358659E-2</v>
      </c>
      <c r="N2884" s="46">
        <v>0</v>
      </c>
    </row>
    <row r="2885" spans="13:14" x14ac:dyDescent="0.35">
      <c r="M2885" s="46">
        <v>1.5704481377058911E-2</v>
      </c>
      <c r="N2885" s="46">
        <v>0</v>
      </c>
    </row>
    <row r="2886" spans="13:14" x14ac:dyDescent="0.35">
      <c r="M2886" s="46">
        <v>1.2727333432259978E-2</v>
      </c>
      <c r="N2886" s="46">
        <v>0</v>
      </c>
    </row>
    <row r="2887" spans="13:14" x14ac:dyDescent="0.35">
      <c r="M2887" s="46">
        <v>1.1560988277192461E-2</v>
      </c>
      <c r="N2887" s="46">
        <v>0</v>
      </c>
    </row>
    <row r="2888" spans="13:14" x14ac:dyDescent="0.35">
      <c r="M2888" s="46">
        <v>1.3127244398278677E-2</v>
      </c>
      <c r="N2888" s="46">
        <v>0</v>
      </c>
    </row>
    <row r="2889" spans="13:14" x14ac:dyDescent="0.35">
      <c r="M2889" s="46">
        <v>6.5679626057278534E-2</v>
      </c>
      <c r="N2889" s="46">
        <v>0</v>
      </c>
    </row>
    <row r="2890" spans="13:14" x14ac:dyDescent="0.35">
      <c r="M2890" s="46">
        <v>0.20288722362368306</v>
      </c>
      <c r="N2890" s="46">
        <v>0</v>
      </c>
    </row>
    <row r="2891" spans="13:14" x14ac:dyDescent="0.35">
      <c r="M2891" s="46">
        <v>0.35169053271998812</v>
      </c>
      <c r="N2891" s="46">
        <v>0</v>
      </c>
    </row>
    <row r="2892" spans="13:14" x14ac:dyDescent="0.35">
      <c r="M2892" s="46">
        <v>0.46476324380471878</v>
      </c>
      <c r="N2892" s="46">
        <v>0</v>
      </c>
    </row>
    <row r="2893" spans="13:14" x14ac:dyDescent="0.35">
      <c r="M2893" s="46">
        <v>0.52758287579759611</v>
      </c>
      <c r="N2893" s="46">
        <v>0</v>
      </c>
    </row>
    <row r="2894" spans="13:14" x14ac:dyDescent="0.35">
      <c r="M2894" s="46">
        <v>0.54341378542810503</v>
      </c>
      <c r="N2894" s="46">
        <v>0</v>
      </c>
    </row>
    <row r="2895" spans="13:14" x14ac:dyDescent="0.35">
      <c r="M2895" s="46">
        <v>0.52490406588514615</v>
      </c>
      <c r="N2895" s="46">
        <v>0</v>
      </c>
    </row>
    <row r="2896" spans="13:14" x14ac:dyDescent="0.35">
      <c r="M2896" s="46">
        <v>0.47887787505564622</v>
      </c>
      <c r="N2896" s="46">
        <v>0</v>
      </c>
    </row>
    <row r="2897" spans="13:14" x14ac:dyDescent="0.35">
      <c r="M2897" s="46">
        <v>0.451090295296038</v>
      </c>
      <c r="N2897" s="46">
        <v>0</v>
      </c>
    </row>
    <row r="2898" spans="13:14" x14ac:dyDescent="0.35">
      <c r="M2898" s="46">
        <v>0.39202774892417275</v>
      </c>
      <c r="N2898" s="46">
        <v>0</v>
      </c>
    </row>
    <row r="2899" spans="13:14" x14ac:dyDescent="0.35">
      <c r="M2899" s="46">
        <v>0.30756907553049417</v>
      </c>
      <c r="N2899" s="46">
        <v>0</v>
      </c>
    </row>
    <row r="2900" spans="13:14" x14ac:dyDescent="0.35">
      <c r="M2900" s="46">
        <v>0.18506670129099273</v>
      </c>
      <c r="N2900" s="46">
        <v>0</v>
      </c>
    </row>
    <row r="2901" spans="13:14" x14ac:dyDescent="0.35">
      <c r="M2901" s="46">
        <v>8.4109363407033677E-2</v>
      </c>
      <c r="N2901" s="46">
        <v>0</v>
      </c>
    </row>
    <row r="2902" spans="13:14" x14ac:dyDescent="0.35">
      <c r="M2902" s="46">
        <v>5.1553346193797298E-2</v>
      </c>
      <c r="N2902" s="46">
        <v>0</v>
      </c>
    </row>
    <row r="2903" spans="13:14" x14ac:dyDescent="0.35">
      <c r="M2903" s="46">
        <v>5.1868007122718503E-2</v>
      </c>
      <c r="N2903" s="46">
        <v>0</v>
      </c>
    </row>
    <row r="2904" spans="13:14" x14ac:dyDescent="0.35">
      <c r="M2904" s="46">
        <v>4.3236978780234463E-2</v>
      </c>
      <c r="N2904" s="46">
        <v>0</v>
      </c>
    </row>
    <row r="2905" spans="13:14" x14ac:dyDescent="0.35">
      <c r="M2905" s="46">
        <v>4.2001409704703965E-2</v>
      </c>
      <c r="N2905" s="46">
        <v>0</v>
      </c>
    </row>
    <row r="2906" spans="13:14" x14ac:dyDescent="0.35">
      <c r="M2906" s="46">
        <v>4.1255601721323636E-2</v>
      </c>
      <c r="N2906" s="46">
        <v>0</v>
      </c>
    </row>
    <row r="2907" spans="13:14" x14ac:dyDescent="0.35">
      <c r="M2907" s="46">
        <v>3.684478409259534E-2</v>
      </c>
      <c r="N2907" s="46">
        <v>0</v>
      </c>
    </row>
    <row r="2908" spans="13:14" x14ac:dyDescent="0.35">
      <c r="M2908" s="46">
        <v>2.7638670425879211E-2</v>
      </c>
      <c r="N2908" s="46">
        <v>0</v>
      </c>
    </row>
    <row r="2909" spans="13:14" x14ac:dyDescent="0.35">
      <c r="M2909" s="46">
        <v>2.0197729633476779E-2</v>
      </c>
      <c r="N2909" s="46">
        <v>0</v>
      </c>
    </row>
    <row r="2910" spans="13:14" x14ac:dyDescent="0.35">
      <c r="M2910" s="46">
        <v>1.457137557501113E-2</v>
      </c>
      <c r="N2910" s="46">
        <v>0</v>
      </c>
    </row>
    <row r="2911" spans="13:14" x14ac:dyDescent="0.35">
      <c r="M2911" s="46">
        <v>1.3866968392936637E-2</v>
      </c>
      <c r="N2911" s="46">
        <v>0</v>
      </c>
    </row>
    <row r="2912" spans="13:14" x14ac:dyDescent="0.35">
      <c r="M2912" s="46">
        <v>1.8250853242320821E-2</v>
      </c>
      <c r="N2912" s="46">
        <v>0</v>
      </c>
    </row>
    <row r="2913" spans="13:14" x14ac:dyDescent="0.35">
      <c r="M2913" s="46">
        <v>7.5058762427659895E-2</v>
      </c>
      <c r="N2913" s="46">
        <v>0</v>
      </c>
    </row>
    <row r="2914" spans="13:14" x14ac:dyDescent="0.35">
      <c r="M2914" s="46">
        <v>0.2132398723846268</v>
      </c>
      <c r="N2914" s="46">
        <v>0</v>
      </c>
    </row>
    <row r="2915" spans="13:14" x14ac:dyDescent="0.35">
      <c r="M2915" s="46">
        <v>0.37215573527229556</v>
      </c>
      <c r="N2915" s="46">
        <v>0</v>
      </c>
    </row>
    <row r="2916" spans="13:14" x14ac:dyDescent="0.35">
      <c r="M2916" s="46">
        <v>0.50206254637186531</v>
      </c>
      <c r="N2916" s="46">
        <v>0</v>
      </c>
    </row>
    <row r="2917" spans="13:14" x14ac:dyDescent="0.35">
      <c r="M2917" s="46">
        <v>0.5818205965276747</v>
      </c>
      <c r="N2917" s="46">
        <v>0</v>
      </c>
    </row>
    <row r="2918" spans="13:14" x14ac:dyDescent="0.35">
      <c r="M2918" s="46">
        <v>0.63084968096156702</v>
      </c>
      <c r="N2918" s="46">
        <v>0</v>
      </c>
    </row>
    <row r="2919" spans="13:14" x14ac:dyDescent="0.35">
      <c r="M2919" s="46">
        <v>0.6445547558985012</v>
      </c>
      <c r="N2919" s="46">
        <v>0</v>
      </c>
    </row>
    <row r="2920" spans="13:14" x14ac:dyDescent="0.35">
      <c r="M2920" s="46">
        <v>0.63001572933669692</v>
      </c>
      <c r="N2920" s="46">
        <v>0</v>
      </c>
    </row>
    <row r="2921" spans="13:14" x14ac:dyDescent="0.35">
      <c r="M2921" s="46">
        <v>0.55967213236385227</v>
      </c>
      <c r="N2921" s="46">
        <v>0</v>
      </c>
    </row>
    <row r="2922" spans="13:14" x14ac:dyDescent="0.35">
      <c r="M2922" s="46">
        <v>0.47579039916901622</v>
      </c>
      <c r="N2922" s="46">
        <v>0</v>
      </c>
    </row>
    <row r="2923" spans="13:14" x14ac:dyDescent="0.35">
      <c r="M2923" s="46">
        <v>0.39108525003709749</v>
      </c>
      <c r="N2923" s="46">
        <v>0</v>
      </c>
    </row>
    <row r="2924" spans="13:14" x14ac:dyDescent="0.35">
      <c r="M2924" s="46">
        <v>0.33173905623979821</v>
      </c>
      <c r="N2924" s="46">
        <v>0</v>
      </c>
    </row>
    <row r="2925" spans="13:14" x14ac:dyDescent="0.35">
      <c r="M2925" s="46">
        <v>0.25138603650393232</v>
      </c>
      <c r="N2925" s="46">
        <v>0</v>
      </c>
    </row>
    <row r="2926" spans="13:14" x14ac:dyDescent="0.35">
      <c r="M2926" s="46">
        <v>0.21189620121679772</v>
      </c>
      <c r="N2926" s="46">
        <v>0</v>
      </c>
    </row>
    <row r="2927" spans="13:14" x14ac:dyDescent="0.35">
      <c r="M2927" s="46">
        <v>0.18474016916456446</v>
      </c>
      <c r="N2927" s="46">
        <v>0</v>
      </c>
    </row>
    <row r="2928" spans="13:14" x14ac:dyDescent="0.35">
      <c r="M2928" s="46">
        <v>0.13291489835287135</v>
      </c>
      <c r="N2928" s="46">
        <v>0</v>
      </c>
    </row>
    <row r="2929" spans="13:14" x14ac:dyDescent="0.35">
      <c r="M2929" s="46">
        <v>0.10414475441460157</v>
      </c>
      <c r="N2929" s="46">
        <v>0</v>
      </c>
    </row>
    <row r="2930" spans="13:14" x14ac:dyDescent="0.35">
      <c r="M2930" s="46">
        <v>8.2936860068259399E-2</v>
      </c>
      <c r="N2930" s="46">
        <v>0</v>
      </c>
    </row>
    <row r="2931" spans="13:14" x14ac:dyDescent="0.35">
      <c r="M2931" s="46">
        <v>7.6676287282979663E-2</v>
      </c>
      <c r="N2931" s="46">
        <v>0</v>
      </c>
    </row>
    <row r="2932" spans="13:14" x14ac:dyDescent="0.35">
      <c r="M2932" s="46">
        <v>8.9367339367858734E-2</v>
      </c>
      <c r="N2932" s="46">
        <v>0</v>
      </c>
    </row>
    <row r="2933" spans="13:14" x14ac:dyDescent="0.35">
      <c r="M2933" s="46">
        <v>0.12262605727852796</v>
      </c>
      <c r="N2933" s="46">
        <v>0</v>
      </c>
    </row>
    <row r="2934" spans="13:14" x14ac:dyDescent="0.35">
      <c r="M2934" s="46">
        <v>0.15848241578869268</v>
      </c>
      <c r="N2934" s="46">
        <v>0</v>
      </c>
    </row>
    <row r="2935" spans="13:14" x14ac:dyDescent="0.35">
      <c r="M2935" s="46">
        <v>0.18791126279863482</v>
      </c>
      <c r="N2935" s="46">
        <v>0</v>
      </c>
    </row>
    <row r="2936" spans="13:14" x14ac:dyDescent="0.35">
      <c r="M2936" s="46">
        <v>0.21091400801305832</v>
      </c>
      <c r="N2936" s="46">
        <v>0</v>
      </c>
    </row>
    <row r="2937" spans="13:14" x14ac:dyDescent="0.35">
      <c r="M2937" s="46">
        <v>0.2583571746549933</v>
      </c>
      <c r="N2937" s="46">
        <v>0</v>
      </c>
    </row>
    <row r="2938" spans="13:14" x14ac:dyDescent="0.35">
      <c r="M2938" s="46">
        <v>0.34715840629173467</v>
      </c>
      <c r="N2938" s="46">
        <v>0</v>
      </c>
    </row>
    <row r="2939" spans="13:14" x14ac:dyDescent="0.35">
      <c r="M2939" s="46">
        <v>0.4640860661819261</v>
      </c>
      <c r="N2939" s="46">
        <v>0</v>
      </c>
    </row>
    <row r="2940" spans="13:14" x14ac:dyDescent="0.35">
      <c r="M2940" s="46">
        <v>0.56000986793292773</v>
      </c>
      <c r="N2940" s="46">
        <v>0</v>
      </c>
    </row>
    <row r="2941" spans="13:14" x14ac:dyDescent="0.35">
      <c r="M2941" s="46">
        <v>0.63152218430034135</v>
      </c>
      <c r="N2941" s="46">
        <v>0</v>
      </c>
    </row>
    <row r="2942" spans="13:14" x14ac:dyDescent="0.35">
      <c r="M2942" s="46">
        <v>0.68112932185784247</v>
      </c>
      <c r="N2942" s="46">
        <v>0</v>
      </c>
    </row>
    <row r="2943" spans="13:14" x14ac:dyDescent="0.35">
      <c r="M2943" s="46">
        <v>0.70340332393530192</v>
      </c>
      <c r="N2943" s="46">
        <v>0</v>
      </c>
    </row>
    <row r="2944" spans="13:14" x14ac:dyDescent="0.35">
      <c r="M2944" s="46">
        <v>0.72040666270960085</v>
      </c>
      <c r="N2944" s="46">
        <v>0</v>
      </c>
    </row>
    <row r="2945" spans="13:14" x14ac:dyDescent="0.35">
      <c r="M2945" s="46">
        <v>0.7380114260276005</v>
      </c>
      <c r="N2945" s="46">
        <v>0</v>
      </c>
    </row>
    <row r="2946" spans="13:14" x14ac:dyDescent="0.35">
      <c r="M2946" s="46">
        <v>0.74870084582282237</v>
      </c>
      <c r="N2946" s="46">
        <v>0</v>
      </c>
    </row>
    <row r="2947" spans="13:14" x14ac:dyDescent="0.35">
      <c r="M2947" s="46">
        <v>0.7270216649354504</v>
      </c>
      <c r="N2947" s="46">
        <v>0</v>
      </c>
    </row>
    <row r="2948" spans="13:14" x14ac:dyDescent="0.35">
      <c r="M2948" s="46">
        <v>0.64942676955037837</v>
      </c>
      <c r="N2948" s="46">
        <v>0</v>
      </c>
    </row>
    <row r="2949" spans="13:14" x14ac:dyDescent="0.35">
      <c r="M2949" s="46">
        <v>0.5709338180738982</v>
      </c>
      <c r="N2949" s="46">
        <v>0</v>
      </c>
    </row>
    <row r="2950" spans="13:14" x14ac:dyDescent="0.35">
      <c r="M2950" s="46">
        <v>0.55116040955631396</v>
      </c>
      <c r="N2950" s="46">
        <v>0</v>
      </c>
    </row>
    <row r="2951" spans="13:14" x14ac:dyDescent="0.35">
      <c r="M2951" s="46">
        <v>0.53916760646980266</v>
      </c>
      <c r="N2951" s="46">
        <v>0</v>
      </c>
    </row>
    <row r="2952" spans="13:14" x14ac:dyDescent="0.35">
      <c r="M2952" s="46">
        <v>0.48680642528565066</v>
      </c>
      <c r="N2952" s="46">
        <v>0</v>
      </c>
    </row>
    <row r="2953" spans="13:14" x14ac:dyDescent="0.35">
      <c r="M2953" s="46">
        <v>0.45509430182519667</v>
      </c>
      <c r="N2953" s="46">
        <v>0</v>
      </c>
    </row>
    <row r="2954" spans="13:14" x14ac:dyDescent="0.35">
      <c r="M2954" s="46">
        <v>0.41938774298857395</v>
      </c>
      <c r="N2954" s="46">
        <v>0</v>
      </c>
    </row>
    <row r="2955" spans="13:14" x14ac:dyDescent="0.35">
      <c r="M2955" s="46">
        <v>0.39160817628728301</v>
      </c>
      <c r="N2955" s="46">
        <v>0</v>
      </c>
    </row>
    <row r="2956" spans="13:14" x14ac:dyDescent="0.35">
      <c r="M2956" s="46">
        <v>0.36134233565810947</v>
      </c>
      <c r="N2956" s="46">
        <v>0</v>
      </c>
    </row>
    <row r="2957" spans="13:14" x14ac:dyDescent="0.35">
      <c r="M2957" s="46">
        <v>0.33772184300341296</v>
      </c>
      <c r="N2957" s="46">
        <v>0</v>
      </c>
    </row>
    <row r="2958" spans="13:14" x14ac:dyDescent="0.35">
      <c r="M2958" s="46">
        <v>0.32229485086808135</v>
      </c>
      <c r="N2958" s="46">
        <v>0</v>
      </c>
    </row>
    <row r="2959" spans="13:14" x14ac:dyDescent="0.35">
      <c r="M2959" s="46">
        <v>0.30430531236088437</v>
      </c>
      <c r="N2959" s="46">
        <v>0</v>
      </c>
    </row>
    <row r="2960" spans="13:14" x14ac:dyDescent="0.35">
      <c r="M2960" s="46">
        <v>0.29257990799821931</v>
      </c>
      <c r="N2960" s="46">
        <v>0</v>
      </c>
    </row>
    <row r="2961" spans="13:14" x14ac:dyDescent="0.35">
      <c r="M2961" s="46">
        <v>0.32985747143493105</v>
      </c>
      <c r="N2961" s="46">
        <v>0</v>
      </c>
    </row>
    <row r="2962" spans="13:14" x14ac:dyDescent="0.35">
      <c r="M2962" s="46">
        <v>0.44359333729039918</v>
      </c>
      <c r="N2962" s="46">
        <v>0</v>
      </c>
    </row>
    <row r="2963" spans="13:14" x14ac:dyDescent="0.35">
      <c r="M2963" s="46">
        <v>0.58050482267398718</v>
      </c>
      <c r="N2963" s="46">
        <v>0</v>
      </c>
    </row>
    <row r="2964" spans="13:14" x14ac:dyDescent="0.35">
      <c r="M2964" s="46">
        <v>0.68474350793886329</v>
      </c>
      <c r="N2964" s="46">
        <v>0</v>
      </c>
    </row>
    <row r="2965" spans="13:14" x14ac:dyDescent="0.35">
      <c r="M2965" s="46">
        <v>0.75203895236681995</v>
      </c>
      <c r="N2965" s="46">
        <v>0</v>
      </c>
    </row>
    <row r="2966" spans="13:14" x14ac:dyDescent="0.35">
      <c r="M2966" s="46">
        <v>0.79687780086066173</v>
      </c>
      <c r="N2966" s="46">
        <v>0</v>
      </c>
    </row>
    <row r="2967" spans="13:14" x14ac:dyDescent="0.35">
      <c r="M2967" s="46">
        <v>0.80777244398278669</v>
      </c>
      <c r="N2967" s="46">
        <v>0</v>
      </c>
    </row>
    <row r="2968" spans="13:14" x14ac:dyDescent="0.35">
      <c r="M2968" s="46">
        <v>0.80760409556313995</v>
      </c>
      <c r="N2968" s="46">
        <v>0</v>
      </c>
    </row>
    <row r="2969" spans="13:14" x14ac:dyDescent="0.35">
      <c r="M2969" s="46">
        <v>0.80551380026710195</v>
      </c>
      <c r="N2969" s="46">
        <v>0</v>
      </c>
    </row>
    <row r="2970" spans="13:14" x14ac:dyDescent="0.35">
      <c r="M2970" s="46">
        <v>0.77490503041994363</v>
      </c>
      <c r="N2970" s="46">
        <v>0</v>
      </c>
    </row>
    <row r="2971" spans="13:14" x14ac:dyDescent="0.35">
      <c r="M2971" s="46">
        <v>0.70430123163674141</v>
      </c>
      <c r="N2971" s="46">
        <v>0</v>
      </c>
    </row>
    <row r="2972" spans="13:14" x14ac:dyDescent="0.35">
      <c r="M2972" s="46">
        <v>0.58976806647870605</v>
      </c>
      <c r="N2972" s="46">
        <v>0</v>
      </c>
    </row>
    <row r="2973" spans="13:14" x14ac:dyDescent="0.35">
      <c r="M2973" s="46">
        <v>0.4860576495028936</v>
      </c>
      <c r="N2973" s="46">
        <v>0</v>
      </c>
    </row>
    <row r="2974" spans="13:14" x14ac:dyDescent="0.35">
      <c r="M2974" s="46">
        <v>0.45577786021664934</v>
      </c>
      <c r="N2974" s="46">
        <v>0</v>
      </c>
    </row>
    <row r="2975" spans="13:14" x14ac:dyDescent="0.35">
      <c r="M2975" s="46">
        <v>0.42543159222436561</v>
      </c>
      <c r="N2975" s="46">
        <v>0</v>
      </c>
    </row>
    <row r="2976" spans="13:14" x14ac:dyDescent="0.35">
      <c r="M2976" s="46">
        <v>0.35233617747440277</v>
      </c>
      <c r="N2976" s="46">
        <v>0</v>
      </c>
    </row>
    <row r="2977" spans="13:14" x14ac:dyDescent="0.35">
      <c r="M2977" s="46">
        <v>0.3000563881881585</v>
      </c>
      <c r="N2977" s="46">
        <v>0</v>
      </c>
    </row>
    <row r="2978" spans="13:14" x14ac:dyDescent="0.35">
      <c r="M2978" s="46">
        <v>0.23019899094821189</v>
      </c>
      <c r="N2978" s="46">
        <v>0</v>
      </c>
    </row>
    <row r="2979" spans="13:14" x14ac:dyDescent="0.35">
      <c r="M2979" s="46">
        <v>0.17542424692090813</v>
      </c>
      <c r="N2979" s="46">
        <v>0</v>
      </c>
    </row>
    <row r="2980" spans="13:14" x14ac:dyDescent="0.35">
      <c r="M2980" s="46">
        <v>0.12990606914972547</v>
      </c>
      <c r="N2980" s="46">
        <v>0</v>
      </c>
    </row>
    <row r="2981" spans="13:14" x14ac:dyDescent="0.35">
      <c r="M2981" s="46">
        <v>9.4766656774002089E-2</v>
      </c>
      <c r="N2981" s="46">
        <v>0</v>
      </c>
    </row>
    <row r="2982" spans="13:14" x14ac:dyDescent="0.35">
      <c r="M2982" s="46">
        <v>7.2323267547113823E-2</v>
      </c>
      <c r="N2982" s="46">
        <v>0</v>
      </c>
    </row>
    <row r="2983" spans="13:14" x14ac:dyDescent="0.35">
      <c r="M2983" s="46">
        <v>5.7064772221397837E-2</v>
      </c>
      <c r="N2983" s="46">
        <v>0</v>
      </c>
    </row>
    <row r="2984" spans="13:14" x14ac:dyDescent="0.35">
      <c r="M2984" s="46">
        <v>5.3554681703516835E-2</v>
      </c>
      <c r="N2984" s="46">
        <v>0</v>
      </c>
    </row>
    <row r="2985" spans="13:14" x14ac:dyDescent="0.35">
      <c r="M2985" s="46">
        <v>0.10830998664490279</v>
      </c>
      <c r="N2985" s="46">
        <v>0</v>
      </c>
    </row>
    <row r="2986" spans="13:14" x14ac:dyDescent="0.35">
      <c r="M2986" s="46">
        <v>0.24470514913191868</v>
      </c>
      <c r="N2986" s="46">
        <v>0</v>
      </c>
    </row>
    <row r="2987" spans="13:14" x14ac:dyDescent="0.35">
      <c r="M2987" s="46">
        <v>0.3957886926843745</v>
      </c>
      <c r="N2987" s="46">
        <v>0</v>
      </c>
    </row>
    <row r="2988" spans="13:14" x14ac:dyDescent="0.35">
      <c r="M2988" s="46">
        <v>0.51158747588663012</v>
      </c>
      <c r="N2988" s="46">
        <v>0</v>
      </c>
    </row>
    <row r="2989" spans="13:14" x14ac:dyDescent="0.35">
      <c r="M2989" s="46">
        <v>0.5797746698323194</v>
      </c>
      <c r="N2989" s="46">
        <v>0</v>
      </c>
    </row>
    <row r="2990" spans="13:14" x14ac:dyDescent="0.35">
      <c r="M2990" s="46">
        <v>0.6135989019142305</v>
      </c>
      <c r="N2990" s="46">
        <v>0</v>
      </c>
    </row>
    <row r="2991" spans="13:14" x14ac:dyDescent="0.35">
      <c r="M2991" s="46">
        <v>0.61544353761685711</v>
      </c>
      <c r="N2991" s="46">
        <v>0</v>
      </c>
    </row>
    <row r="2992" spans="13:14" x14ac:dyDescent="0.35">
      <c r="M2992" s="46">
        <v>0.59504600089033977</v>
      </c>
      <c r="N2992" s="46">
        <v>0</v>
      </c>
    </row>
    <row r="2993" spans="13:14" x14ac:dyDescent="0.35">
      <c r="M2993" s="46">
        <v>0.52131777711826677</v>
      </c>
      <c r="N2993" s="46">
        <v>0</v>
      </c>
    </row>
    <row r="2994" spans="13:14" x14ac:dyDescent="0.35">
      <c r="M2994" s="46">
        <v>0.43514378987980418</v>
      </c>
      <c r="N2994" s="46">
        <v>0</v>
      </c>
    </row>
    <row r="2995" spans="13:14" x14ac:dyDescent="0.35">
      <c r="M2995" s="46">
        <v>0.34426969876836327</v>
      </c>
      <c r="N2995" s="46">
        <v>0</v>
      </c>
    </row>
    <row r="2996" spans="13:14" x14ac:dyDescent="0.35">
      <c r="M2996" s="46">
        <v>0.30432319335212937</v>
      </c>
      <c r="N2996" s="46">
        <v>0</v>
      </c>
    </row>
    <row r="2997" spans="13:14" x14ac:dyDescent="0.35">
      <c r="M2997" s="46">
        <v>0.26424914675767919</v>
      </c>
      <c r="N2997" s="46">
        <v>0</v>
      </c>
    </row>
    <row r="2998" spans="13:14" x14ac:dyDescent="0.35">
      <c r="M2998" s="46">
        <v>0.26648011574417568</v>
      </c>
      <c r="N2998" s="46">
        <v>0</v>
      </c>
    </row>
    <row r="2999" spans="13:14" x14ac:dyDescent="0.35">
      <c r="M2999" s="46">
        <v>0.30576784389375278</v>
      </c>
      <c r="N2999" s="46">
        <v>0</v>
      </c>
    </row>
    <row r="3000" spans="13:14" x14ac:dyDescent="0.35">
      <c r="M3000" s="46">
        <v>0.3341865261908295</v>
      </c>
      <c r="N3000" s="46">
        <v>0</v>
      </c>
    </row>
    <row r="3001" spans="13:14" x14ac:dyDescent="0.35">
      <c r="M3001" s="46">
        <v>0.37013599940644015</v>
      </c>
      <c r="N3001" s="46">
        <v>0</v>
      </c>
    </row>
    <row r="3002" spans="13:14" x14ac:dyDescent="0.35">
      <c r="M3002" s="46">
        <v>0.39828787653954589</v>
      </c>
      <c r="N3002" s="46">
        <v>0</v>
      </c>
    </row>
    <row r="3003" spans="13:14" x14ac:dyDescent="0.35">
      <c r="M3003" s="46">
        <v>0.4164680219617154</v>
      </c>
      <c r="N3003" s="46">
        <v>0</v>
      </c>
    </row>
    <row r="3004" spans="13:14" x14ac:dyDescent="0.35">
      <c r="M3004" s="46">
        <v>0.42618459712123458</v>
      </c>
      <c r="N3004" s="46">
        <v>0</v>
      </c>
    </row>
    <row r="3005" spans="13:14" x14ac:dyDescent="0.35">
      <c r="M3005" s="46">
        <v>0.43560966018697134</v>
      </c>
      <c r="N3005" s="46">
        <v>0</v>
      </c>
    </row>
    <row r="3006" spans="13:14" x14ac:dyDescent="0.35">
      <c r="M3006" s="46">
        <v>0.44244205371716877</v>
      </c>
      <c r="N3006" s="46">
        <v>0</v>
      </c>
    </row>
    <row r="3007" spans="13:14" x14ac:dyDescent="0.35">
      <c r="M3007" s="46">
        <v>0.44417932927734088</v>
      </c>
      <c r="N3007" s="46">
        <v>0</v>
      </c>
    </row>
    <row r="3008" spans="13:14" x14ac:dyDescent="0.35">
      <c r="M3008" s="46">
        <v>0.44369216500964531</v>
      </c>
      <c r="N3008" s="46">
        <v>0</v>
      </c>
    </row>
    <row r="3009" spans="13:14" x14ac:dyDescent="0.35">
      <c r="M3009" s="46">
        <v>0.47193515358361776</v>
      </c>
      <c r="N3009" s="46">
        <v>0</v>
      </c>
    </row>
    <row r="3010" spans="13:14" x14ac:dyDescent="0.35">
      <c r="M3010" s="46">
        <v>0.54298582875797596</v>
      </c>
      <c r="N3010" s="46">
        <v>0</v>
      </c>
    </row>
    <row r="3011" spans="13:14" x14ac:dyDescent="0.35">
      <c r="M3011" s="46">
        <v>0.60694576346638962</v>
      </c>
      <c r="N3011" s="46">
        <v>0</v>
      </c>
    </row>
    <row r="3012" spans="13:14" x14ac:dyDescent="0.35">
      <c r="M3012" s="46">
        <v>0.63872006232378686</v>
      </c>
      <c r="N3012" s="46">
        <v>0</v>
      </c>
    </row>
    <row r="3013" spans="13:14" x14ac:dyDescent="0.35">
      <c r="M3013" s="46">
        <v>0.64006974328535393</v>
      </c>
      <c r="N3013" s="46">
        <v>0</v>
      </c>
    </row>
    <row r="3014" spans="13:14" x14ac:dyDescent="0.35">
      <c r="M3014" s="46">
        <v>0.62346646386704263</v>
      </c>
      <c r="N3014" s="46">
        <v>0</v>
      </c>
    </row>
    <row r="3015" spans="13:14" x14ac:dyDescent="0.35">
      <c r="M3015" s="46">
        <v>0.58362116040955636</v>
      </c>
      <c r="N3015" s="46">
        <v>0</v>
      </c>
    </row>
    <row r="3016" spans="13:14" x14ac:dyDescent="0.35">
      <c r="M3016" s="46">
        <v>0.5389643864074789</v>
      </c>
      <c r="N3016" s="46">
        <v>0</v>
      </c>
    </row>
    <row r="3017" spans="13:14" x14ac:dyDescent="0.35">
      <c r="M3017" s="46">
        <v>0.49648545778305386</v>
      </c>
      <c r="N3017" s="46">
        <v>0</v>
      </c>
    </row>
    <row r="3018" spans="13:14" x14ac:dyDescent="0.35">
      <c r="M3018" s="46">
        <v>0.44511403769105212</v>
      </c>
      <c r="N3018" s="46">
        <v>0</v>
      </c>
    </row>
    <row r="3019" spans="13:14" x14ac:dyDescent="0.35">
      <c r="M3019" s="46">
        <v>0.3864396052826829</v>
      </c>
      <c r="N3019" s="46">
        <v>0</v>
      </c>
    </row>
    <row r="3020" spans="13:14" x14ac:dyDescent="0.35">
      <c r="M3020" s="46">
        <v>0.32913800267101945</v>
      </c>
      <c r="N3020" s="46">
        <v>0</v>
      </c>
    </row>
    <row r="3021" spans="13:14" x14ac:dyDescent="0.35">
      <c r="M3021" s="46">
        <v>0.25674306276895681</v>
      </c>
      <c r="N3021" s="46">
        <v>0</v>
      </c>
    </row>
    <row r="3022" spans="13:14" x14ac:dyDescent="0.35">
      <c r="M3022" s="46">
        <v>0.21074699510313102</v>
      </c>
      <c r="N3022" s="46">
        <v>0</v>
      </c>
    </row>
    <row r="3023" spans="13:14" x14ac:dyDescent="0.35">
      <c r="M3023" s="46">
        <v>0.19192365336103279</v>
      </c>
      <c r="N3023" s="46">
        <v>0</v>
      </c>
    </row>
    <row r="3024" spans="13:14" x14ac:dyDescent="0.35">
      <c r="M3024" s="46">
        <v>0.15811010535687786</v>
      </c>
      <c r="N3024" s="46">
        <v>0</v>
      </c>
    </row>
    <row r="3025" spans="13:14" x14ac:dyDescent="0.35">
      <c r="M3025" s="46">
        <v>0.14235465202552308</v>
      </c>
      <c r="N3025" s="46">
        <v>0</v>
      </c>
    </row>
    <row r="3026" spans="13:14" x14ac:dyDescent="0.35">
      <c r="M3026" s="46">
        <v>0.12872666567740021</v>
      </c>
      <c r="N3026" s="46">
        <v>0</v>
      </c>
    </row>
    <row r="3027" spans="13:14" x14ac:dyDescent="0.35">
      <c r="M3027" s="46">
        <v>0.11188878171835584</v>
      </c>
      <c r="N3027" s="46">
        <v>0</v>
      </c>
    </row>
    <row r="3028" spans="13:14" x14ac:dyDescent="0.35">
      <c r="M3028" s="46">
        <v>0.10005594301825198</v>
      </c>
      <c r="N3028" s="46">
        <v>0</v>
      </c>
    </row>
    <row r="3029" spans="13:14" x14ac:dyDescent="0.35">
      <c r="M3029" s="46">
        <v>8.8419498441905331E-2</v>
      </c>
      <c r="N3029" s="46">
        <v>0</v>
      </c>
    </row>
    <row r="3030" spans="13:14" x14ac:dyDescent="0.35">
      <c r="M3030" s="46">
        <v>7.208109511797002E-2</v>
      </c>
      <c r="N3030" s="46">
        <v>0</v>
      </c>
    </row>
    <row r="3031" spans="13:14" x14ac:dyDescent="0.35">
      <c r="M3031" s="46">
        <v>5.7430553494583765E-2</v>
      </c>
      <c r="N3031" s="46">
        <v>0</v>
      </c>
    </row>
    <row r="3032" spans="13:14" x14ac:dyDescent="0.35">
      <c r="M3032" s="46">
        <v>5.6817554533313552E-2</v>
      </c>
      <c r="N3032" s="46">
        <v>0</v>
      </c>
    </row>
    <row r="3033" spans="13:14" x14ac:dyDescent="0.35">
      <c r="M3033" s="46">
        <v>9.2180961566998065E-2</v>
      </c>
      <c r="N3033" s="46">
        <v>0</v>
      </c>
    </row>
    <row r="3034" spans="13:14" x14ac:dyDescent="0.35">
      <c r="M3034" s="46">
        <v>0.17056009793737945</v>
      </c>
      <c r="N3034" s="46">
        <v>0</v>
      </c>
    </row>
    <row r="3035" spans="13:14" x14ac:dyDescent="0.35">
      <c r="M3035" s="46">
        <v>0.27817406143344708</v>
      </c>
      <c r="N3035" s="46">
        <v>0</v>
      </c>
    </row>
    <row r="3036" spans="13:14" x14ac:dyDescent="0.35">
      <c r="M3036" s="46">
        <v>0.38677103427808279</v>
      </c>
      <c r="N3036" s="46">
        <v>0</v>
      </c>
    </row>
    <row r="3037" spans="13:14" x14ac:dyDescent="0.35">
      <c r="M3037" s="46">
        <v>0.49529091853390711</v>
      </c>
      <c r="N3037" s="46">
        <v>0</v>
      </c>
    </row>
    <row r="3038" spans="13:14" x14ac:dyDescent="0.35">
      <c r="M3038" s="46">
        <v>0.57791994361181187</v>
      </c>
      <c r="N3038" s="46">
        <v>0</v>
      </c>
    </row>
    <row r="3039" spans="13:14" x14ac:dyDescent="0.35">
      <c r="M3039" s="46">
        <v>0.66681006083988714</v>
      </c>
      <c r="N3039" s="46">
        <v>0</v>
      </c>
    </row>
    <row r="3040" spans="13:14" x14ac:dyDescent="0.35">
      <c r="M3040" s="46">
        <v>0.76914972547855764</v>
      </c>
      <c r="N3040" s="46">
        <v>0</v>
      </c>
    </row>
    <row r="3041" spans="13:14" x14ac:dyDescent="0.35">
      <c r="M3041" s="46">
        <v>0.80788247514468015</v>
      </c>
      <c r="N3041" s="46">
        <v>0</v>
      </c>
    </row>
    <row r="3042" spans="13:14" x14ac:dyDescent="0.35">
      <c r="M3042" s="46">
        <v>0.78260676658257899</v>
      </c>
      <c r="N3042" s="46">
        <v>0</v>
      </c>
    </row>
    <row r="3043" spans="13:14" x14ac:dyDescent="0.35">
      <c r="M3043" s="46">
        <v>0.72346230894791519</v>
      </c>
      <c r="N3043" s="46">
        <v>0</v>
      </c>
    </row>
    <row r="3044" spans="13:14" x14ac:dyDescent="0.35">
      <c r="M3044" s="46">
        <v>0.66551520997180591</v>
      </c>
      <c r="N3044" s="46">
        <v>0</v>
      </c>
    </row>
    <row r="3045" spans="13:14" x14ac:dyDescent="0.35">
      <c r="M3045" s="46">
        <v>0.60539842706633029</v>
      </c>
      <c r="N3045" s="46">
        <v>0</v>
      </c>
    </row>
    <row r="3046" spans="13:14" x14ac:dyDescent="0.35">
      <c r="M3046" s="46">
        <v>0.57881837067814224</v>
      </c>
      <c r="N3046" s="46">
        <v>0</v>
      </c>
    </row>
    <row r="3047" spans="13:14" x14ac:dyDescent="0.35">
      <c r="M3047" s="46">
        <v>0.5839202403917495</v>
      </c>
      <c r="N3047" s="46">
        <v>0</v>
      </c>
    </row>
    <row r="3048" spans="13:14" x14ac:dyDescent="0.35">
      <c r="M3048" s="46">
        <v>0.58347299302567146</v>
      </c>
      <c r="N3048" s="46">
        <v>0</v>
      </c>
    </row>
    <row r="3049" spans="13:14" x14ac:dyDescent="0.35">
      <c r="M3049" s="46">
        <v>0.59542958895978626</v>
      </c>
      <c r="N3049" s="46">
        <v>0</v>
      </c>
    </row>
    <row r="3050" spans="13:14" x14ac:dyDescent="0.35">
      <c r="M3050" s="46">
        <v>0.60983536132957417</v>
      </c>
      <c r="N3050" s="46">
        <v>0</v>
      </c>
    </row>
    <row r="3051" spans="13:14" x14ac:dyDescent="0.35">
      <c r="M3051" s="46">
        <v>0.61964059949547412</v>
      </c>
      <c r="N3051" s="46">
        <v>0</v>
      </c>
    </row>
    <row r="3052" spans="13:14" x14ac:dyDescent="0.35">
      <c r="M3052" s="46">
        <v>0.6276824454666865</v>
      </c>
      <c r="N3052" s="46">
        <v>0</v>
      </c>
    </row>
    <row r="3053" spans="13:14" x14ac:dyDescent="0.35">
      <c r="M3053" s="46">
        <v>0.63032987090072701</v>
      </c>
      <c r="N3053" s="46">
        <v>0</v>
      </c>
    </row>
    <row r="3054" spans="13:14" x14ac:dyDescent="0.35">
      <c r="M3054" s="46">
        <v>0.630760795370233</v>
      </c>
      <c r="N3054" s="46">
        <v>0</v>
      </c>
    </row>
    <row r="3055" spans="13:14" x14ac:dyDescent="0.35">
      <c r="M3055" s="46">
        <v>0.62954080724143047</v>
      </c>
      <c r="N3055" s="46">
        <v>0</v>
      </c>
    </row>
    <row r="3056" spans="13:14" x14ac:dyDescent="0.35">
      <c r="M3056" s="46">
        <v>0.62554570411040211</v>
      </c>
      <c r="N3056" s="46">
        <v>0</v>
      </c>
    </row>
    <row r="3057" spans="13:14" x14ac:dyDescent="0.35">
      <c r="M3057" s="46">
        <v>0.64278498293515363</v>
      </c>
      <c r="N3057" s="46">
        <v>0</v>
      </c>
    </row>
    <row r="3058" spans="13:14" x14ac:dyDescent="0.35">
      <c r="M3058" s="46">
        <v>0.68477637631696087</v>
      </c>
      <c r="N3058" s="46">
        <v>0</v>
      </c>
    </row>
    <row r="3059" spans="13:14" x14ac:dyDescent="0.35">
      <c r="M3059" s="46">
        <v>0.71988893010832467</v>
      </c>
      <c r="N3059" s="46">
        <v>0</v>
      </c>
    </row>
    <row r="3060" spans="13:14" x14ac:dyDescent="0.35">
      <c r="M3060" s="46">
        <v>0.71715833209675028</v>
      </c>
      <c r="N3060" s="46">
        <v>0</v>
      </c>
    </row>
    <row r="3061" spans="13:14" x14ac:dyDescent="0.35">
      <c r="M3061" s="46">
        <v>0.6792113073156254</v>
      </c>
      <c r="N3061" s="46">
        <v>0</v>
      </c>
    </row>
    <row r="3062" spans="13:14" x14ac:dyDescent="0.35">
      <c r="M3062" s="46">
        <v>0.62012405401394866</v>
      </c>
      <c r="N3062" s="46">
        <v>0</v>
      </c>
    </row>
    <row r="3063" spans="13:14" x14ac:dyDescent="0.35">
      <c r="M3063" s="46">
        <v>0.57260750853242326</v>
      </c>
      <c r="N3063" s="46">
        <v>0</v>
      </c>
    </row>
    <row r="3064" spans="13:14" x14ac:dyDescent="0.35">
      <c r="M3064" s="46">
        <v>0.52452136815551265</v>
      </c>
      <c r="N3064" s="46">
        <v>0</v>
      </c>
    </row>
    <row r="3065" spans="13:14" x14ac:dyDescent="0.35">
      <c r="M3065" s="46">
        <v>0.48394286986199736</v>
      </c>
      <c r="N3065" s="46">
        <v>0</v>
      </c>
    </row>
    <row r="3066" spans="13:14" x14ac:dyDescent="0.35">
      <c r="M3066" s="46">
        <v>0.43145429588959783</v>
      </c>
      <c r="N3066" s="46">
        <v>0</v>
      </c>
    </row>
    <row r="3067" spans="13:14" x14ac:dyDescent="0.35">
      <c r="M3067" s="46">
        <v>0.36196906069149726</v>
      </c>
      <c r="N3067" s="46">
        <v>0</v>
      </c>
    </row>
    <row r="3068" spans="13:14" x14ac:dyDescent="0.35">
      <c r="M3068" s="46">
        <v>0.26890198842558244</v>
      </c>
      <c r="N3068" s="46">
        <v>0</v>
      </c>
    </row>
    <row r="3069" spans="13:14" x14ac:dyDescent="0.35">
      <c r="M3069" s="46">
        <v>0.18505030419943613</v>
      </c>
      <c r="N3069" s="46">
        <v>0</v>
      </c>
    </row>
    <row r="3070" spans="13:14" x14ac:dyDescent="0.35">
      <c r="M3070" s="46">
        <v>0.1344945837661374</v>
      </c>
      <c r="N3070" s="46">
        <v>0</v>
      </c>
    </row>
    <row r="3071" spans="13:14" x14ac:dyDescent="0.35">
      <c r="M3071" s="46">
        <v>0.11354140080130583</v>
      </c>
      <c r="N3071" s="46">
        <v>0</v>
      </c>
    </row>
    <row r="3072" spans="13:14" x14ac:dyDescent="0.35">
      <c r="M3072" s="46">
        <v>0.10998004154919126</v>
      </c>
      <c r="N3072" s="46">
        <v>0</v>
      </c>
    </row>
    <row r="3073" spans="13:14" x14ac:dyDescent="0.35">
      <c r="M3073" s="46">
        <v>0.12748976109215018</v>
      </c>
      <c r="N3073" s="46">
        <v>0</v>
      </c>
    </row>
    <row r="3074" spans="13:14" x14ac:dyDescent="0.35">
      <c r="M3074" s="46">
        <v>0.13775278231191571</v>
      </c>
      <c r="N3074" s="46">
        <v>0</v>
      </c>
    </row>
    <row r="3075" spans="13:14" x14ac:dyDescent="0.35">
      <c r="M3075" s="46">
        <v>0.14183150319038434</v>
      </c>
      <c r="N3075" s="46">
        <v>0</v>
      </c>
    </row>
    <row r="3076" spans="13:14" x14ac:dyDescent="0.35">
      <c r="M3076" s="46">
        <v>0.15496713162190234</v>
      </c>
      <c r="N3076" s="46">
        <v>0</v>
      </c>
    </row>
    <row r="3077" spans="13:14" x14ac:dyDescent="0.35">
      <c r="M3077" s="46">
        <v>0.18253286837809762</v>
      </c>
      <c r="N3077" s="46">
        <v>0</v>
      </c>
    </row>
    <row r="3078" spans="13:14" x14ac:dyDescent="0.35">
      <c r="M3078" s="46">
        <v>0.19644954741059503</v>
      </c>
      <c r="N3078" s="46">
        <v>0</v>
      </c>
    </row>
    <row r="3079" spans="13:14" x14ac:dyDescent="0.35">
      <c r="M3079" s="46">
        <v>0.19893752782311916</v>
      </c>
      <c r="N3079" s="46">
        <v>0</v>
      </c>
    </row>
    <row r="3080" spans="13:14" x14ac:dyDescent="0.35">
      <c r="M3080" s="46">
        <v>0.1988617747440273</v>
      </c>
      <c r="N3080" s="46">
        <v>0</v>
      </c>
    </row>
    <row r="3081" spans="13:14" x14ac:dyDescent="0.35">
      <c r="M3081" s="46">
        <v>0.22990154325567591</v>
      </c>
      <c r="N3081" s="46">
        <v>0</v>
      </c>
    </row>
    <row r="3082" spans="13:14" x14ac:dyDescent="0.35">
      <c r="M3082" s="46">
        <v>0.29547558985012612</v>
      </c>
      <c r="N3082" s="46">
        <v>0</v>
      </c>
    </row>
    <row r="3083" spans="13:14" x14ac:dyDescent="0.35">
      <c r="M3083" s="46">
        <v>0.42540933372903994</v>
      </c>
      <c r="N3083" s="46">
        <v>0</v>
      </c>
    </row>
    <row r="3084" spans="13:14" x14ac:dyDescent="0.35">
      <c r="M3084" s="46">
        <v>0.57367591630805759</v>
      </c>
      <c r="N3084" s="46">
        <v>0</v>
      </c>
    </row>
    <row r="3085" spans="13:14" x14ac:dyDescent="0.35">
      <c r="M3085" s="46">
        <v>0.71631540287876538</v>
      </c>
      <c r="N3085" s="46">
        <v>0</v>
      </c>
    </row>
    <row r="3086" spans="13:14" x14ac:dyDescent="0.35">
      <c r="M3086" s="46">
        <v>0.77005149131918693</v>
      </c>
      <c r="N3086" s="46">
        <v>0</v>
      </c>
    </row>
    <row r="3087" spans="13:14" x14ac:dyDescent="0.35">
      <c r="M3087" s="46">
        <v>0.81484307760795371</v>
      </c>
      <c r="N3087" s="46">
        <v>0</v>
      </c>
    </row>
    <row r="3088" spans="13:14" x14ac:dyDescent="0.35">
      <c r="M3088" s="46">
        <v>0.85440339813028632</v>
      </c>
      <c r="N3088" s="46">
        <v>0</v>
      </c>
    </row>
    <row r="3089" spans="13:14" x14ac:dyDescent="0.35">
      <c r="M3089" s="46">
        <v>0.86612947024781117</v>
      </c>
      <c r="N3089" s="46">
        <v>0</v>
      </c>
    </row>
    <row r="3090" spans="13:14" x14ac:dyDescent="0.35">
      <c r="M3090" s="46">
        <v>0.8227682890636594</v>
      </c>
      <c r="N3090" s="46">
        <v>0</v>
      </c>
    </row>
    <row r="3091" spans="13:14" x14ac:dyDescent="0.35">
      <c r="M3091" s="46">
        <v>0.73071917198397385</v>
      </c>
      <c r="N3091" s="46">
        <v>0</v>
      </c>
    </row>
    <row r="3092" spans="13:14" x14ac:dyDescent="0.35">
      <c r="M3092" s="46">
        <v>0.63253190384330016</v>
      </c>
      <c r="N3092" s="46">
        <v>0</v>
      </c>
    </row>
    <row r="3093" spans="13:14" x14ac:dyDescent="0.35">
      <c r="M3093" s="46">
        <v>0.5349073304644606</v>
      </c>
      <c r="N3093" s="46">
        <v>0</v>
      </c>
    </row>
    <row r="3094" spans="13:14" x14ac:dyDescent="0.35">
      <c r="M3094" s="46">
        <v>0.48930063807686597</v>
      </c>
      <c r="N3094" s="46">
        <v>0</v>
      </c>
    </row>
    <row r="3095" spans="13:14" x14ac:dyDescent="0.35">
      <c r="M3095" s="46">
        <v>0.4626967650986793</v>
      </c>
      <c r="N3095" s="46">
        <v>0</v>
      </c>
    </row>
    <row r="3096" spans="13:14" x14ac:dyDescent="0.35">
      <c r="M3096" s="46">
        <v>0.40991564030271554</v>
      </c>
      <c r="N3096" s="46">
        <v>0</v>
      </c>
    </row>
    <row r="3097" spans="13:14" x14ac:dyDescent="0.35">
      <c r="M3097" s="46">
        <v>0.37697588663006382</v>
      </c>
      <c r="N3097" s="46">
        <v>0</v>
      </c>
    </row>
    <row r="3098" spans="13:14" x14ac:dyDescent="0.35">
      <c r="M3098" s="46">
        <v>0.33863533165158038</v>
      </c>
      <c r="N3098" s="46">
        <v>0</v>
      </c>
    </row>
    <row r="3099" spans="13:14" x14ac:dyDescent="0.35">
      <c r="M3099" s="46">
        <v>0.32314505119453923</v>
      </c>
      <c r="N3099" s="46">
        <v>0</v>
      </c>
    </row>
    <row r="3100" spans="13:14" x14ac:dyDescent="0.35">
      <c r="M3100" s="46">
        <v>0.32738173319483604</v>
      </c>
      <c r="N3100" s="46">
        <v>0</v>
      </c>
    </row>
    <row r="3101" spans="13:14" x14ac:dyDescent="0.35">
      <c r="M3101" s="46">
        <v>0.3397225107582727</v>
      </c>
      <c r="N3101" s="46">
        <v>0</v>
      </c>
    </row>
    <row r="3102" spans="13:14" x14ac:dyDescent="0.35">
      <c r="M3102" s="46">
        <v>0.35217643567294848</v>
      </c>
      <c r="N3102" s="46">
        <v>0</v>
      </c>
    </row>
    <row r="3103" spans="13:14" x14ac:dyDescent="0.35">
      <c r="M3103" s="46">
        <v>0.35703227481822231</v>
      </c>
      <c r="N3103" s="46">
        <v>0</v>
      </c>
    </row>
    <row r="3104" spans="13:14" x14ac:dyDescent="0.35">
      <c r="M3104" s="46">
        <v>0.36749213533165159</v>
      </c>
      <c r="N3104" s="46">
        <v>0</v>
      </c>
    </row>
    <row r="3105" spans="13:14" x14ac:dyDescent="0.35">
      <c r="M3105" s="46">
        <v>0.42205497848345452</v>
      </c>
      <c r="N3105" s="46">
        <v>0</v>
      </c>
    </row>
    <row r="3106" spans="13:14" x14ac:dyDescent="0.35">
      <c r="M3106" s="46">
        <v>0.53821019439085915</v>
      </c>
      <c r="N3106" s="46">
        <v>0</v>
      </c>
    </row>
    <row r="3107" spans="13:14" x14ac:dyDescent="0.35">
      <c r="M3107" s="46">
        <v>0.64719572636889755</v>
      </c>
      <c r="N3107" s="46">
        <v>0</v>
      </c>
    </row>
    <row r="3108" spans="13:14" x14ac:dyDescent="0.35">
      <c r="M3108" s="46">
        <v>0.70479900578720889</v>
      </c>
      <c r="N3108" s="46">
        <v>0</v>
      </c>
    </row>
    <row r="3109" spans="13:14" x14ac:dyDescent="0.35">
      <c r="M3109" s="46">
        <v>0.72725040807241426</v>
      </c>
      <c r="N3109" s="46">
        <v>0</v>
      </c>
    </row>
    <row r="3110" spans="13:14" x14ac:dyDescent="0.35">
      <c r="M3110" s="46">
        <v>0.75570344264727696</v>
      </c>
      <c r="N3110" s="46">
        <v>0</v>
      </c>
    </row>
    <row r="3111" spans="13:14" x14ac:dyDescent="0.35">
      <c r="M3111" s="46">
        <v>0.77512167977444724</v>
      </c>
      <c r="N3111" s="46">
        <v>0</v>
      </c>
    </row>
    <row r="3112" spans="13:14" x14ac:dyDescent="0.35">
      <c r="M3112" s="46">
        <v>0.77915402878765394</v>
      </c>
      <c r="N3112" s="46">
        <v>0</v>
      </c>
    </row>
    <row r="3113" spans="13:14" x14ac:dyDescent="0.35">
      <c r="M3113" s="46">
        <v>0.74499896127021814</v>
      </c>
      <c r="N3113" s="46">
        <v>0</v>
      </c>
    </row>
    <row r="3114" spans="13:14" x14ac:dyDescent="0.35">
      <c r="M3114" s="46">
        <v>0.68808406291734669</v>
      </c>
      <c r="N3114" s="46">
        <v>0</v>
      </c>
    </row>
    <row r="3115" spans="13:14" x14ac:dyDescent="0.35">
      <c r="M3115" s="46">
        <v>0.61048434485828762</v>
      </c>
      <c r="N3115" s="46">
        <v>0</v>
      </c>
    </row>
    <row r="3116" spans="13:14" x14ac:dyDescent="0.35">
      <c r="M3116" s="46">
        <v>0.49769468763911562</v>
      </c>
      <c r="N3116" s="46">
        <v>0</v>
      </c>
    </row>
    <row r="3117" spans="13:14" x14ac:dyDescent="0.35">
      <c r="M3117" s="46">
        <v>0.36943374387891381</v>
      </c>
      <c r="N3117" s="46">
        <v>0</v>
      </c>
    </row>
    <row r="3118" spans="13:14" x14ac:dyDescent="0.35">
      <c r="M3118" s="46">
        <v>0.29761856358510164</v>
      </c>
      <c r="N3118" s="46">
        <v>0</v>
      </c>
    </row>
    <row r="3119" spans="13:14" x14ac:dyDescent="0.35">
      <c r="M3119" s="46">
        <v>0.24397603502003265</v>
      </c>
      <c r="N3119" s="46">
        <v>0</v>
      </c>
    </row>
    <row r="3120" spans="13:14" x14ac:dyDescent="0.35">
      <c r="M3120" s="46">
        <v>0.20587193945689272</v>
      </c>
      <c r="N3120" s="46">
        <v>0</v>
      </c>
    </row>
    <row r="3121" spans="13:14" x14ac:dyDescent="0.35">
      <c r="M3121" s="46">
        <v>0.19295993470841372</v>
      </c>
      <c r="N3121" s="46">
        <v>0</v>
      </c>
    </row>
    <row r="3122" spans="13:14" x14ac:dyDescent="0.35">
      <c r="M3122" s="46">
        <v>0.18316834841964683</v>
      </c>
      <c r="N3122" s="46">
        <v>0</v>
      </c>
    </row>
    <row r="3123" spans="13:14" x14ac:dyDescent="0.35">
      <c r="M3123" s="46">
        <v>0.18300304199436118</v>
      </c>
      <c r="N3123" s="46">
        <v>0</v>
      </c>
    </row>
    <row r="3124" spans="13:14" x14ac:dyDescent="0.35">
      <c r="M3124" s="46">
        <v>0.18430293812138299</v>
      </c>
      <c r="N3124" s="46">
        <v>0</v>
      </c>
    </row>
    <row r="3125" spans="13:14" x14ac:dyDescent="0.35">
      <c r="M3125" s="46">
        <v>0.18386904585250036</v>
      </c>
      <c r="N3125" s="46">
        <v>0</v>
      </c>
    </row>
    <row r="3126" spans="13:14" x14ac:dyDescent="0.35">
      <c r="M3126" s="46">
        <v>0.17543381807389818</v>
      </c>
      <c r="N3126" s="46">
        <v>0</v>
      </c>
    </row>
    <row r="3127" spans="13:14" x14ac:dyDescent="0.35">
      <c r="M3127" s="46">
        <v>0.16623853687490725</v>
      </c>
      <c r="N3127" s="46">
        <v>0</v>
      </c>
    </row>
    <row r="3128" spans="13:14" x14ac:dyDescent="0.35">
      <c r="M3128" s="46">
        <v>0.15935183261611516</v>
      </c>
      <c r="N3128" s="46">
        <v>0</v>
      </c>
    </row>
    <row r="3129" spans="13:14" x14ac:dyDescent="0.35">
      <c r="M3129" s="46">
        <v>0.21650200326457933</v>
      </c>
      <c r="N3129" s="46">
        <v>0</v>
      </c>
    </row>
    <row r="3130" spans="13:14" x14ac:dyDescent="0.35">
      <c r="M3130" s="46">
        <v>0.35417910669238761</v>
      </c>
      <c r="N3130" s="46">
        <v>0</v>
      </c>
    </row>
    <row r="3131" spans="13:14" x14ac:dyDescent="0.35">
      <c r="M3131" s="46">
        <v>0.50149658703071676</v>
      </c>
      <c r="N3131" s="46">
        <v>0</v>
      </c>
    </row>
    <row r="3132" spans="13:14" x14ac:dyDescent="0.35">
      <c r="M3132" s="46">
        <v>0.62367020329425726</v>
      </c>
      <c r="N3132" s="46">
        <v>0</v>
      </c>
    </row>
    <row r="3133" spans="13:14" x14ac:dyDescent="0.35">
      <c r="M3133" s="46">
        <v>0.7084361923133996</v>
      </c>
      <c r="N3133" s="46">
        <v>0</v>
      </c>
    </row>
    <row r="3134" spans="13:14" x14ac:dyDescent="0.35">
      <c r="M3134" s="46">
        <v>0.77657961121828167</v>
      </c>
      <c r="N3134" s="46">
        <v>0</v>
      </c>
    </row>
    <row r="3135" spans="13:14" x14ac:dyDescent="0.35">
      <c r="M3135" s="46">
        <v>0.82930227036652315</v>
      </c>
      <c r="N3135" s="46">
        <v>0</v>
      </c>
    </row>
    <row r="3136" spans="13:14" x14ac:dyDescent="0.35">
      <c r="M3136" s="46">
        <v>0.83532104169758126</v>
      </c>
      <c r="N3136" s="46">
        <v>0</v>
      </c>
    </row>
    <row r="3137" spans="13:14" x14ac:dyDescent="0.35">
      <c r="M3137" s="46">
        <v>0.80933387742988572</v>
      </c>
      <c r="N3137" s="46">
        <v>0</v>
      </c>
    </row>
    <row r="3138" spans="13:14" x14ac:dyDescent="0.35">
      <c r="M3138" s="46">
        <v>0.75188410743433742</v>
      </c>
      <c r="N3138" s="46">
        <v>0</v>
      </c>
    </row>
    <row r="3139" spans="13:14" x14ac:dyDescent="0.35">
      <c r="M3139" s="46">
        <v>0.66934322599792251</v>
      </c>
      <c r="N3139" s="46">
        <v>0</v>
      </c>
    </row>
    <row r="3140" spans="13:14" x14ac:dyDescent="0.35">
      <c r="M3140" s="46">
        <v>0.58606113666716131</v>
      </c>
      <c r="N3140" s="46">
        <v>0</v>
      </c>
    </row>
    <row r="3141" spans="13:14" x14ac:dyDescent="0.35">
      <c r="M3141" s="46">
        <v>0.5018884849384182</v>
      </c>
      <c r="N3141" s="46">
        <v>0</v>
      </c>
    </row>
    <row r="3142" spans="13:14" x14ac:dyDescent="0.35">
      <c r="M3142" s="46">
        <v>0.45982274818222291</v>
      </c>
      <c r="N3142" s="46">
        <v>0</v>
      </c>
    </row>
    <row r="3143" spans="13:14" x14ac:dyDescent="0.35">
      <c r="M3143" s="46">
        <v>0.45588136221991393</v>
      </c>
      <c r="N3143" s="46">
        <v>0</v>
      </c>
    </row>
    <row r="3144" spans="13:14" x14ac:dyDescent="0.35">
      <c r="M3144" s="46">
        <v>0.45300593559875352</v>
      </c>
      <c r="N3144" s="46">
        <v>0</v>
      </c>
    </row>
    <row r="3145" spans="13:14" x14ac:dyDescent="0.35">
      <c r="M3145" s="46">
        <v>0.4670786466834842</v>
      </c>
      <c r="N3145" s="46">
        <v>0</v>
      </c>
    </row>
    <row r="3146" spans="13:14" x14ac:dyDescent="0.35">
      <c r="M3146" s="46">
        <v>0.47375478557649503</v>
      </c>
      <c r="N3146" s="46">
        <v>0</v>
      </c>
    </row>
    <row r="3147" spans="13:14" x14ac:dyDescent="0.35">
      <c r="M3147" s="46">
        <v>0.4731968392936638</v>
      </c>
      <c r="N3147" s="46">
        <v>0</v>
      </c>
    </row>
    <row r="3148" spans="13:14" x14ac:dyDescent="0.35">
      <c r="M3148" s="46">
        <v>0.45855891081762873</v>
      </c>
      <c r="N3148" s="46">
        <v>0</v>
      </c>
    </row>
    <row r="3149" spans="13:14" x14ac:dyDescent="0.35">
      <c r="M3149" s="46">
        <v>0.42715039323341741</v>
      </c>
      <c r="N3149" s="46">
        <v>0</v>
      </c>
    </row>
    <row r="3150" spans="13:14" x14ac:dyDescent="0.35">
      <c r="M3150" s="46">
        <v>0.38104140080130589</v>
      </c>
      <c r="N3150" s="46">
        <v>0</v>
      </c>
    </row>
    <row r="3151" spans="13:14" x14ac:dyDescent="0.35">
      <c r="M3151" s="46">
        <v>0.33551335509719543</v>
      </c>
      <c r="N3151" s="46">
        <v>0</v>
      </c>
    </row>
    <row r="3152" spans="13:14" x14ac:dyDescent="0.35">
      <c r="M3152" s="46">
        <v>0.31137327496661227</v>
      </c>
      <c r="N3152" s="46">
        <v>0</v>
      </c>
    </row>
    <row r="3153" spans="13:14" x14ac:dyDescent="0.35">
      <c r="M3153" s="46">
        <v>0.30089597863184447</v>
      </c>
      <c r="N3153" s="46">
        <v>0</v>
      </c>
    </row>
    <row r="3154" spans="13:14" x14ac:dyDescent="0.35">
      <c r="M3154" s="46">
        <v>0.30598456744324087</v>
      </c>
      <c r="N3154" s="46">
        <v>0</v>
      </c>
    </row>
    <row r="3155" spans="13:14" x14ac:dyDescent="0.35">
      <c r="M3155" s="46">
        <v>0.34337030716723549</v>
      </c>
      <c r="N3155" s="46">
        <v>0</v>
      </c>
    </row>
    <row r="3156" spans="13:14" x14ac:dyDescent="0.35">
      <c r="M3156" s="46">
        <v>0.38970025226294702</v>
      </c>
      <c r="N3156" s="46">
        <v>0</v>
      </c>
    </row>
    <row r="3157" spans="13:14" x14ac:dyDescent="0.35">
      <c r="M3157" s="46">
        <v>0.4378520552010684</v>
      </c>
      <c r="N3157" s="46">
        <v>0</v>
      </c>
    </row>
    <row r="3158" spans="13:14" x14ac:dyDescent="0.35">
      <c r="M3158" s="46">
        <v>0.46431243507938863</v>
      </c>
      <c r="N3158" s="46">
        <v>0</v>
      </c>
    </row>
    <row r="3159" spans="13:14" x14ac:dyDescent="0.35">
      <c r="M3159" s="46">
        <v>0.47498679329277343</v>
      </c>
      <c r="N3159" s="46">
        <v>0</v>
      </c>
    </row>
    <row r="3160" spans="13:14" x14ac:dyDescent="0.35">
      <c r="M3160" s="46">
        <v>0.47096683484196467</v>
      </c>
      <c r="N3160" s="46">
        <v>0</v>
      </c>
    </row>
    <row r="3161" spans="13:14" x14ac:dyDescent="0.35">
      <c r="M3161" s="46">
        <v>0.45323801751001636</v>
      </c>
      <c r="N3161" s="46">
        <v>0</v>
      </c>
    </row>
    <row r="3162" spans="13:14" x14ac:dyDescent="0.35">
      <c r="M3162" s="46">
        <v>0.40476057278527972</v>
      </c>
      <c r="N3162" s="46">
        <v>0</v>
      </c>
    </row>
    <row r="3163" spans="13:14" x14ac:dyDescent="0.35">
      <c r="M3163" s="46">
        <v>0.32417584211307315</v>
      </c>
      <c r="N3163" s="46">
        <v>0</v>
      </c>
    </row>
    <row r="3164" spans="13:14" x14ac:dyDescent="0.35">
      <c r="M3164" s="46">
        <v>0.21074729188306873</v>
      </c>
      <c r="N3164" s="46">
        <v>0</v>
      </c>
    </row>
    <row r="3165" spans="13:14" x14ac:dyDescent="0.35">
      <c r="M3165" s="46">
        <v>0.10735621012019586</v>
      </c>
      <c r="N3165" s="46">
        <v>0</v>
      </c>
    </row>
    <row r="3166" spans="13:14" x14ac:dyDescent="0.35">
      <c r="M3166" s="46">
        <v>6.358064994806352E-2</v>
      </c>
      <c r="N3166" s="46">
        <v>0</v>
      </c>
    </row>
    <row r="3167" spans="13:14" x14ac:dyDescent="0.35">
      <c r="M3167" s="46">
        <v>5.3158925656625611E-2</v>
      </c>
      <c r="N3167" s="46">
        <v>0</v>
      </c>
    </row>
    <row r="3168" spans="13:14" x14ac:dyDescent="0.35">
      <c r="M3168" s="46">
        <v>4.0967576791808867E-2</v>
      </c>
      <c r="N3168" s="46">
        <v>0</v>
      </c>
    </row>
    <row r="3169" spans="13:14" x14ac:dyDescent="0.35">
      <c r="M3169" s="46">
        <v>3.3524335954889448E-2</v>
      </c>
      <c r="N3169" s="46">
        <v>0</v>
      </c>
    </row>
    <row r="3170" spans="13:14" x14ac:dyDescent="0.35">
      <c r="M3170" s="46">
        <v>2.7849161596676063E-2</v>
      </c>
      <c r="N3170" s="46">
        <v>0</v>
      </c>
    </row>
    <row r="3171" spans="13:14" x14ac:dyDescent="0.35">
      <c r="M3171" s="46">
        <v>2.2572191719839738E-2</v>
      </c>
      <c r="N3171" s="46">
        <v>0</v>
      </c>
    </row>
    <row r="3172" spans="13:14" x14ac:dyDescent="0.35">
      <c r="M3172" s="46">
        <v>1.9356581095117967E-2</v>
      </c>
      <c r="N3172" s="46">
        <v>0</v>
      </c>
    </row>
    <row r="3173" spans="13:14" x14ac:dyDescent="0.35">
      <c r="M3173" s="46">
        <v>1.6773334322599791E-2</v>
      </c>
      <c r="N3173" s="46">
        <v>0</v>
      </c>
    </row>
    <row r="3174" spans="13:14" x14ac:dyDescent="0.35">
      <c r="M3174" s="46">
        <v>1.5704110402136814E-2</v>
      </c>
      <c r="N3174" s="46">
        <v>0</v>
      </c>
    </row>
    <row r="3175" spans="13:14" x14ac:dyDescent="0.35">
      <c r="M3175" s="46">
        <v>1.4952663599940645E-2</v>
      </c>
      <c r="N3175" s="46">
        <v>0</v>
      </c>
    </row>
    <row r="3176" spans="13:14" x14ac:dyDescent="0.35">
      <c r="M3176" s="46">
        <v>2.0573156254637189E-2</v>
      </c>
      <c r="N3176" s="46">
        <v>0</v>
      </c>
    </row>
    <row r="3177" spans="13:14" x14ac:dyDescent="0.35">
      <c r="M3177" s="46">
        <v>8.2764727704407182E-2</v>
      </c>
      <c r="N3177" s="46">
        <v>0</v>
      </c>
    </row>
    <row r="3178" spans="13:14" x14ac:dyDescent="0.35">
      <c r="M3178" s="46">
        <v>0.20689753672651728</v>
      </c>
      <c r="N3178" s="46">
        <v>0</v>
      </c>
    </row>
    <row r="3179" spans="13:14" x14ac:dyDescent="0.35">
      <c r="M3179" s="46">
        <v>0.3521121086214572</v>
      </c>
      <c r="N3179" s="46">
        <v>0</v>
      </c>
    </row>
    <row r="3180" spans="13:14" x14ac:dyDescent="0.35">
      <c r="M3180" s="46">
        <v>0.47266078053123606</v>
      </c>
      <c r="N3180" s="46">
        <v>0</v>
      </c>
    </row>
    <row r="3181" spans="13:14" x14ac:dyDescent="0.35">
      <c r="M3181" s="46">
        <v>0.54948901914230597</v>
      </c>
      <c r="N3181" s="46">
        <v>0</v>
      </c>
    </row>
    <row r="3182" spans="13:14" x14ac:dyDescent="0.35">
      <c r="M3182" s="46">
        <v>0.59681191571449776</v>
      </c>
      <c r="N3182" s="46">
        <v>0</v>
      </c>
    </row>
    <row r="3183" spans="13:14" x14ac:dyDescent="0.35">
      <c r="M3183" s="46">
        <v>0.61478847009942128</v>
      </c>
      <c r="N3183" s="46">
        <v>0</v>
      </c>
    </row>
    <row r="3184" spans="13:14" x14ac:dyDescent="0.35">
      <c r="M3184" s="46">
        <v>0.60570054904288462</v>
      </c>
      <c r="N3184" s="46">
        <v>0</v>
      </c>
    </row>
    <row r="3185" spans="13:14" x14ac:dyDescent="0.35">
      <c r="M3185" s="46">
        <v>0.5532935153583618</v>
      </c>
      <c r="N3185" s="46">
        <v>0</v>
      </c>
    </row>
    <row r="3186" spans="13:14" x14ac:dyDescent="0.35">
      <c r="M3186" s="46">
        <v>0.46553761685710043</v>
      </c>
      <c r="N3186" s="46">
        <v>0</v>
      </c>
    </row>
    <row r="3187" spans="13:14" x14ac:dyDescent="0.35">
      <c r="M3187" s="46">
        <v>0.34886459415343524</v>
      </c>
      <c r="N3187" s="46">
        <v>0</v>
      </c>
    </row>
    <row r="3188" spans="13:14" x14ac:dyDescent="0.35">
      <c r="M3188" s="46">
        <v>0.22375938566552903</v>
      </c>
      <c r="N3188" s="46">
        <v>0</v>
      </c>
    </row>
    <row r="3189" spans="13:14" x14ac:dyDescent="0.35">
      <c r="M3189" s="46">
        <v>0.11527659890191423</v>
      </c>
      <c r="N3189" s="46">
        <v>0</v>
      </c>
    </row>
    <row r="3190" spans="13:14" x14ac:dyDescent="0.35">
      <c r="M3190" s="46">
        <v>7.3070411040213681E-2</v>
      </c>
      <c r="N3190" s="46">
        <v>0</v>
      </c>
    </row>
    <row r="3191" spans="13:14" x14ac:dyDescent="0.35">
      <c r="M3191" s="46">
        <v>6.5336993619231343E-2</v>
      </c>
      <c r="N3191" s="46">
        <v>0</v>
      </c>
    </row>
    <row r="3192" spans="13:14" x14ac:dyDescent="0.35">
      <c r="M3192" s="46">
        <v>5.7290250779047334E-2</v>
      </c>
      <c r="N3192" s="46">
        <v>0</v>
      </c>
    </row>
    <row r="3193" spans="13:14" x14ac:dyDescent="0.35">
      <c r="M3193" s="46">
        <v>5.5606173022703667E-2</v>
      </c>
      <c r="N3193" s="46">
        <v>0</v>
      </c>
    </row>
    <row r="3194" spans="13:14" x14ac:dyDescent="0.35">
      <c r="M3194" s="46">
        <v>5.5537468467131625E-2</v>
      </c>
      <c r="N3194" s="46">
        <v>0</v>
      </c>
    </row>
    <row r="3195" spans="13:14" x14ac:dyDescent="0.35">
      <c r="M3195" s="46">
        <v>5.7227704407182077E-2</v>
      </c>
      <c r="N3195" s="46">
        <v>0</v>
      </c>
    </row>
    <row r="3196" spans="13:14" x14ac:dyDescent="0.35">
      <c r="M3196" s="46">
        <v>5.7470989761092155E-2</v>
      </c>
      <c r="N3196" s="46">
        <v>0</v>
      </c>
    </row>
    <row r="3197" spans="13:14" x14ac:dyDescent="0.35">
      <c r="M3197" s="46">
        <v>5.8914082208042735E-2</v>
      </c>
      <c r="N3197" s="46">
        <v>0</v>
      </c>
    </row>
    <row r="3198" spans="13:14" x14ac:dyDescent="0.35">
      <c r="M3198" s="46">
        <v>5.990384330019291E-2</v>
      </c>
      <c r="N3198" s="46">
        <v>0</v>
      </c>
    </row>
    <row r="3199" spans="13:14" x14ac:dyDescent="0.35">
      <c r="M3199" s="46">
        <v>6.1222955928179258E-2</v>
      </c>
      <c r="N3199" s="46">
        <v>0</v>
      </c>
    </row>
    <row r="3200" spans="13:14" x14ac:dyDescent="0.35">
      <c r="M3200" s="46">
        <v>6.9477815699658704E-2</v>
      </c>
      <c r="N3200" s="46">
        <v>0</v>
      </c>
    </row>
    <row r="3201" spans="13:14" x14ac:dyDescent="0.35">
      <c r="M3201" s="46">
        <v>0.13751075827274076</v>
      </c>
      <c r="N3201" s="46">
        <v>0</v>
      </c>
    </row>
    <row r="3202" spans="13:14" x14ac:dyDescent="0.35">
      <c r="M3202" s="46">
        <v>0.27655104614928033</v>
      </c>
      <c r="N3202" s="46">
        <v>0</v>
      </c>
    </row>
    <row r="3203" spans="13:14" x14ac:dyDescent="0.35">
      <c r="M3203" s="46">
        <v>0.43064297373497551</v>
      </c>
      <c r="N3203" s="46">
        <v>0</v>
      </c>
    </row>
    <row r="3204" spans="13:14" x14ac:dyDescent="0.35">
      <c r="M3204" s="46">
        <v>0.55310839887223628</v>
      </c>
      <c r="N3204" s="46">
        <v>0</v>
      </c>
    </row>
    <row r="3205" spans="13:14" x14ac:dyDescent="0.35">
      <c r="M3205" s="46">
        <v>0.62956855616560325</v>
      </c>
      <c r="N3205" s="46">
        <v>0</v>
      </c>
    </row>
    <row r="3206" spans="13:14" x14ac:dyDescent="0.35">
      <c r="M3206" s="46">
        <v>0.68279737349755154</v>
      </c>
      <c r="N3206" s="46">
        <v>0</v>
      </c>
    </row>
    <row r="3207" spans="13:14" x14ac:dyDescent="0.35">
      <c r="M3207" s="46">
        <v>0.70224825641786615</v>
      </c>
      <c r="N3207" s="46">
        <v>0</v>
      </c>
    </row>
    <row r="3208" spans="13:14" x14ac:dyDescent="0.35">
      <c r="M3208" s="46">
        <v>0.69266701290992727</v>
      </c>
      <c r="N3208" s="46">
        <v>0</v>
      </c>
    </row>
    <row r="3209" spans="13:14" x14ac:dyDescent="0.35">
      <c r="M3209" s="46">
        <v>0.64434263243804724</v>
      </c>
      <c r="N3209" s="46">
        <v>0</v>
      </c>
    </row>
    <row r="3210" spans="13:14" x14ac:dyDescent="0.35">
      <c r="M3210" s="46">
        <v>0.55189293663748329</v>
      </c>
      <c r="N3210" s="46">
        <v>0</v>
      </c>
    </row>
    <row r="3211" spans="13:14" x14ac:dyDescent="0.35">
      <c r="M3211" s="46">
        <v>0.4215544591185636</v>
      </c>
      <c r="N3211" s="46">
        <v>0</v>
      </c>
    </row>
    <row r="3212" spans="13:14" x14ac:dyDescent="0.35">
      <c r="M3212" s="46">
        <v>0.26595674432408367</v>
      </c>
      <c r="N3212" s="46">
        <v>0</v>
      </c>
    </row>
    <row r="3213" spans="13:14" x14ac:dyDescent="0.35">
      <c r="M3213" s="46">
        <v>0.14237943315031903</v>
      </c>
      <c r="N3213" s="46">
        <v>0</v>
      </c>
    </row>
    <row r="3214" spans="13:14" x14ac:dyDescent="0.35">
      <c r="M3214" s="46">
        <v>9.5019735865855465E-2</v>
      </c>
      <c r="N3214" s="46">
        <v>0</v>
      </c>
    </row>
    <row r="3215" spans="13:14" x14ac:dyDescent="0.35">
      <c r="M3215" s="46">
        <v>8.0793366968392941E-2</v>
      </c>
      <c r="N3215" s="46">
        <v>0</v>
      </c>
    </row>
    <row r="3216" spans="13:14" x14ac:dyDescent="0.35">
      <c r="M3216" s="46">
        <v>6.9017955186229413E-2</v>
      </c>
      <c r="N3216" s="46">
        <v>0</v>
      </c>
    </row>
    <row r="3217" spans="13:14" x14ac:dyDescent="0.35">
      <c r="M3217" s="46">
        <v>5.884181629321858E-2</v>
      </c>
      <c r="N3217" s="46">
        <v>0</v>
      </c>
    </row>
    <row r="3218" spans="13:14" x14ac:dyDescent="0.35">
      <c r="M3218" s="46">
        <v>5.0409556313993173E-2</v>
      </c>
      <c r="N3218" s="46">
        <v>0</v>
      </c>
    </row>
    <row r="3219" spans="13:14" x14ac:dyDescent="0.35">
      <c r="M3219" s="46">
        <v>4.6361032794183119E-2</v>
      </c>
      <c r="N3219" s="46">
        <v>0</v>
      </c>
    </row>
    <row r="3220" spans="13:14" x14ac:dyDescent="0.35">
      <c r="M3220" s="46">
        <v>4.6192090814660927E-2</v>
      </c>
      <c r="N3220" s="46">
        <v>0</v>
      </c>
    </row>
    <row r="3221" spans="13:14" x14ac:dyDescent="0.35">
      <c r="M3221" s="46">
        <v>5.0580501558094675E-2</v>
      </c>
      <c r="N3221" s="46">
        <v>0</v>
      </c>
    </row>
    <row r="3222" spans="13:14" x14ac:dyDescent="0.35">
      <c r="M3222" s="46">
        <v>6.2577607953702333E-2</v>
      </c>
      <c r="N3222" s="46">
        <v>0</v>
      </c>
    </row>
    <row r="3223" spans="13:14" x14ac:dyDescent="0.35">
      <c r="M3223" s="46">
        <v>8.1847826086956524E-2</v>
      </c>
      <c r="N3223" s="46">
        <v>0</v>
      </c>
    </row>
    <row r="3224" spans="13:14" x14ac:dyDescent="0.35">
      <c r="M3224" s="46">
        <v>0.11037602018103576</v>
      </c>
      <c r="N3224" s="46">
        <v>0</v>
      </c>
    </row>
    <row r="3225" spans="13:14" x14ac:dyDescent="0.35">
      <c r="M3225" s="46">
        <v>0.19796119602314885</v>
      </c>
      <c r="N3225" s="46">
        <v>0</v>
      </c>
    </row>
    <row r="3226" spans="13:14" x14ac:dyDescent="0.35">
      <c r="M3226" s="46">
        <v>0.36184367116782906</v>
      </c>
      <c r="N3226" s="46">
        <v>0</v>
      </c>
    </row>
    <row r="3227" spans="13:14" x14ac:dyDescent="0.35">
      <c r="M3227" s="46">
        <v>0.54254681703516838</v>
      </c>
      <c r="N3227" s="46">
        <v>0</v>
      </c>
    </row>
    <row r="3228" spans="13:14" x14ac:dyDescent="0.35">
      <c r="M3228" s="46">
        <v>0.68290903694910221</v>
      </c>
      <c r="N3228" s="46">
        <v>0</v>
      </c>
    </row>
    <row r="3229" spans="13:14" x14ac:dyDescent="0.35">
      <c r="M3229" s="46">
        <v>0.76295704110402141</v>
      </c>
      <c r="N3229" s="46">
        <v>0</v>
      </c>
    </row>
    <row r="3230" spans="13:14" x14ac:dyDescent="0.35">
      <c r="M3230" s="46">
        <v>0.81139857545629923</v>
      </c>
      <c r="N3230" s="46">
        <v>0</v>
      </c>
    </row>
    <row r="3231" spans="13:14" x14ac:dyDescent="0.35">
      <c r="M3231" s="46">
        <v>0.81478802492951474</v>
      </c>
      <c r="N3231" s="46">
        <v>0</v>
      </c>
    </row>
    <row r="3232" spans="13:14" x14ac:dyDescent="0.35">
      <c r="M3232" s="46">
        <v>0.7858494583766138</v>
      </c>
      <c r="N3232" s="46">
        <v>0</v>
      </c>
    </row>
    <row r="3233" spans="13:14" x14ac:dyDescent="0.35">
      <c r="M3233" s="46">
        <v>0.71452826828906368</v>
      </c>
      <c r="N3233" s="46">
        <v>0</v>
      </c>
    </row>
    <row r="3234" spans="13:14" x14ac:dyDescent="0.35">
      <c r="M3234" s="46">
        <v>0.60419498441905328</v>
      </c>
      <c r="N3234" s="46">
        <v>0</v>
      </c>
    </row>
    <row r="3235" spans="13:14" x14ac:dyDescent="0.35">
      <c r="M3235" s="46">
        <v>0.46585828757975961</v>
      </c>
      <c r="N3235" s="46">
        <v>0</v>
      </c>
    </row>
    <row r="3236" spans="13:14" x14ac:dyDescent="0.35">
      <c r="M3236" s="46">
        <v>0.31019535539397536</v>
      </c>
      <c r="N3236" s="46">
        <v>0</v>
      </c>
    </row>
    <row r="3237" spans="13:14" x14ac:dyDescent="0.35">
      <c r="M3237" s="46">
        <v>0.17859363407033685</v>
      </c>
      <c r="N3237" s="46">
        <v>0</v>
      </c>
    </row>
    <row r="3238" spans="13:14" x14ac:dyDescent="0.35">
      <c r="M3238" s="46">
        <v>0.12952233269031013</v>
      </c>
      <c r="N3238" s="46">
        <v>0</v>
      </c>
    </row>
    <row r="3239" spans="13:14" x14ac:dyDescent="0.35">
      <c r="M3239" s="46">
        <v>0.13218674877578276</v>
      </c>
      <c r="N3239" s="46">
        <v>0</v>
      </c>
    </row>
    <row r="3240" spans="13:14" x14ac:dyDescent="0.35">
      <c r="M3240" s="46">
        <v>0.14434092595340553</v>
      </c>
      <c r="N3240" s="46">
        <v>0</v>
      </c>
    </row>
    <row r="3241" spans="13:14" x14ac:dyDescent="0.35">
      <c r="M3241" s="46">
        <v>0.18075938566552902</v>
      </c>
      <c r="N3241" s="46">
        <v>0</v>
      </c>
    </row>
    <row r="3242" spans="13:14" x14ac:dyDescent="0.35">
      <c r="M3242" s="46">
        <v>0.22152908443389224</v>
      </c>
      <c r="N3242" s="46">
        <v>0</v>
      </c>
    </row>
    <row r="3243" spans="13:14" x14ac:dyDescent="0.35">
      <c r="M3243" s="46">
        <v>0.24714920611366673</v>
      </c>
      <c r="N3243" s="46">
        <v>0</v>
      </c>
    </row>
    <row r="3244" spans="13:14" x14ac:dyDescent="0.35">
      <c r="M3244" s="46">
        <v>0.26123964979967351</v>
      </c>
      <c r="N3244" s="46">
        <v>0</v>
      </c>
    </row>
    <row r="3245" spans="13:14" x14ac:dyDescent="0.35">
      <c r="M3245" s="46">
        <v>0.2724843448582876</v>
      </c>
      <c r="N3245" s="46">
        <v>0</v>
      </c>
    </row>
    <row r="3246" spans="13:14" x14ac:dyDescent="0.35">
      <c r="M3246" s="46">
        <v>0.28684819706187858</v>
      </c>
      <c r="N3246" s="46">
        <v>0</v>
      </c>
    </row>
    <row r="3247" spans="13:14" x14ac:dyDescent="0.35">
      <c r="M3247" s="46">
        <v>0.31005675916308056</v>
      </c>
      <c r="N3247" s="46">
        <v>0</v>
      </c>
    </row>
    <row r="3248" spans="13:14" x14ac:dyDescent="0.35">
      <c r="M3248" s="46">
        <v>0.36070678142157586</v>
      </c>
      <c r="N3248" s="46">
        <v>0</v>
      </c>
    </row>
    <row r="3249" spans="13:14" x14ac:dyDescent="0.35">
      <c r="M3249" s="46">
        <v>0.4910527526339219</v>
      </c>
      <c r="N3249" s="46">
        <v>0</v>
      </c>
    </row>
    <row r="3250" spans="13:14" x14ac:dyDescent="0.35">
      <c r="M3250" s="46">
        <v>0.68331748033832918</v>
      </c>
      <c r="N3250" s="46">
        <v>0</v>
      </c>
    </row>
    <row r="3251" spans="13:14" x14ac:dyDescent="0.35">
      <c r="M3251" s="46">
        <v>0.86062806054310725</v>
      </c>
      <c r="N3251" s="46">
        <v>0</v>
      </c>
    </row>
    <row r="3252" spans="13:14" x14ac:dyDescent="0.35">
      <c r="M3252" s="46">
        <v>0.97619498441905339</v>
      </c>
      <c r="N3252" s="46">
        <v>0</v>
      </c>
    </row>
    <row r="3253" spans="13:14" x14ac:dyDescent="0.35">
      <c r="M3253" s="46">
        <v>1</v>
      </c>
      <c r="N3253" s="46">
        <v>4.8499576261103607E-2</v>
      </c>
    </row>
    <row r="3254" spans="13:14" x14ac:dyDescent="0.35">
      <c r="M3254" s="46">
        <v>1</v>
      </c>
      <c r="N3254" s="46">
        <v>0.10243829049814678</v>
      </c>
    </row>
    <row r="3255" spans="13:14" x14ac:dyDescent="0.35">
      <c r="M3255" s="46">
        <v>1</v>
      </c>
      <c r="N3255" s="46">
        <v>0.10596600307308693</v>
      </c>
    </row>
    <row r="3256" spans="13:14" x14ac:dyDescent="0.35">
      <c r="M3256" s="46">
        <v>1</v>
      </c>
      <c r="N3256" s="46">
        <v>5.2953850712434226E-2</v>
      </c>
    </row>
    <row r="3257" spans="13:14" x14ac:dyDescent="0.35">
      <c r="M3257" s="46">
        <v>0.96980271553642972</v>
      </c>
      <c r="N3257" s="46">
        <v>0</v>
      </c>
    </row>
    <row r="3258" spans="13:14" x14ac:dyDescent="0.35">
      <c r="M3258" s="46">
        <v>0.86434381955779793</v>
      </c>
      <c r="N3258" s="46">
        <v>0</v>
      </c>
    </row>
    <row r="3259" spans="13:14" x14ac:dyDescent="0.35">
      <c r="M3259" s="46">
        <v>0.73731896423801746</v>
      </c>
      <c r="N3259" s="46">
        <v>0</v>
      </c>
    </row>
    <row r="3260" spans="13:14" x14ac:dyDescent="0.35">
      <c r="M3260" s="46">
        <v>0.56459563733491613</v>
      </c>
      <c r="N3260" s="46">
        <v>0</v>
      </c>
    </row>
    <row r="3261" spans="13:14" x14ac:dyDescent="0.35">
      <c r="M3261" s="46">
        <v>0.40266018697136075</v>
      </c>
      <c r="N3261" s="46">
        <v>0</v>
      </c>
    </row>
    <row r="3262" spans="13:14" x14ac:dyDescent="0.35">
      <c r="M3262" s="46">
        <v>0.33291222733343223</v>
      </c>
      <c r="N3262" s="46">
        <v>0</v>
      </c>
    </row>
    <row r="3263" spans="13:14" x14ac:dyDescent="0.35">
      <c r="M3263" s="46">
        <v>0.30697447692535984</v>
      </c>
      <c r="N3263" s="46">
        <v>0</v>
      </c>
    </row>
    <row r="3264" spans="13:14" x14ac:dyDescent="0.35">
      <c r="M3264" s="46">
        <v>0.2899735123905624</v>
      </c>
      <c r="N3264" s="46">
        <v>0</v>
      </c>
    </row>
    <row r="3265" spans="13:14" x14ac:dyDescent="0.35">
      <c r="M3265" s="46">
        <v>0.31099940644012464</v>
      </c>
      <c r="N3265" s="46">
        <v>0</v>
      </c>
    </row>
    <row r="3266" spans="13:14" x14ac:dyDescent="0.35">
      <c r="M3266" s="46">
        <v>0.34471561062472178</v>
      </c>
      <c r="N3266" s="46">
        <v>0</v>
      </c>
    </row>
    <row r="3267" spans="13:14" x14ac:dyDescent="0.35">
      <c r="M3267" s="46">
        <v>0.39129069594895383</v>
      </c>
      <c r="N3267" s="46">
        <v>0</v>
      </c>
    </row>
    <row r="3268" spans="13:14" x14ac:dyDescent="0.35">
      <c r="M3268" s="46">
        <v>0.43674536281347381</v>
      </c>
      <c r="N3268" s="46">
        <v>0</v>
      </c>
    </row>
    <row r="3269" spans="13:14" x14ac:dyDescent="0.35">
      <c r="M3269" s="46">
        <v>0.474822599792254</v>
      </c>
      <c r="N3269" s="46">
        <v>0</v>
      </c>
    </row>
    <row r="3270" spans="13:14" x14ac:dyDescent="0.35">
      <c r="M3270" s="46">
        <v>0.49326569223920458</v>
      </c>
      <c r="N3270" s="46">
        <v>0</v>
      </c>
    </row>
    <row r="3271" spans="13:14" x14ac:dyDescent="0.35">
      <c r="M3271" s="46">
        <v>0.49127704407182071</v>
      </c>
      <c r="N3271" s="46">
        <v>0</v>
      </c>
    </row>
    <row r="3272" spans="13:14" x14ac:dyDescent="0.35">
      <c r="M3272" s="46">
        <v>0.47583202255527529</v>
      </c>
      <c r="N3272" s="46">
        <v>0</v>
      </c>
    </row>
    <row r="3273" spans="13:14" x14ac:dyDescent="0.35">
      <c r="M3273" s="46">
        <v>0.5217182816441609</v>
      </c>
      <c r="N3273" s="46">
        <v>0</v>
      </c>
    </row>
    <row r="3274" spans="13:14" x14ac:dyDescent="0.35">
      <c r="M3274" s="46">
        <v>0.62724232081911258</v>
      </c>
      <c r="N3274" s="46">
        <v>0</v>
      </c>
    </row>
    <row r="3275" spans="13:14" x14ac:dyDescent="0.35">
      <c r="M3275" s="46">
        <v>0.78177014393826982</v>
      </c>
      <c r="N3275" s="46">
        <v>0</v>
      </c>
    </row>
    <row r="3276" spans="13:14" x14ac:dyDescent="0.35">
      <c r="M3276" s="46">
        <v>0.91789249146757679</v>
      </c>
      <c r="N3276" s="46">
        <v>0</v>
      </c>
    </row>
    <row r="3277" spans="13:14" x14ac:dyDescent="0.35">
      <c r="M3277" s="46">
        <v>1</v>
      </c>
      <c r="N3277" s="46">
        <v>2.8919444620189701E-2</v>
      </c>
    </row>
    <row r="3278" spans="13:14" x14ac:dyDescent="0.35">
      <c r="M3278" s="46">
        <v>1</v>
      </c>
      <c r="N3278" s="46">
        <v>0.11693487238029759</v>
      </c>
    </row>
    <row r="3279" spans="13:14" x14ac:dyDescent="0.35">
      <c r="M3279" s="46">
        <v>1</v>
      </c>
      <c r="N3279" s="46">
        <v>0.13785799358751782</v>
      </c>
    </row>
    <row r="3280" spans="13:14" x14ac:dyDescent="0.35">
      <c r="M3280" s="46">
        <v>1</v>
      </c>
      <c r="N3280" s="46">
        <v>9.6655107404855112E-2</v>
      </c>
    </row>
    <row r="3281" spans="13:14" x14ac:dyDescent="0.35">
      <c r="M3281" s="46">
        <v>0.9762012909927289</v>
      </c>
      <c r="N3281" s="46">
        <v>0</v>
      </c>
    </row>
    <row r="3282" spans="13:14" x14ac:dyDescent="0.35">
      <c r="M3282" s="46">
        <v>0.85090733046446065</v>
      </c>
      <c r="N3282" s="46">
        <v>0</v>
      </c>
    </row>
    <row r="3283" spans="13:14" x14ac:dyDescent="0.35">
      <c r="M3283" s="46">
        <v>0.68736014245437005</v>
      </c>
      <c r="N3283" s="46">
        <v>0</v>
      </c>
    </row>
    <row r="3284" spans="13:14" x14ac:dyDescent="0.35">
      <c r="M3284" s="46">
        <v>0.51422043329870892</v>
      </c>
      <c r="N3284" s="46">
        <v>0</v>
      </c>
    </row>
    <row r="3285" spans="13:14" x14ac:dyDescent="0.35">
      <c r="M3285" s="46">
        <v>0.35567547113815107</v>
      </c>
      <c r="N3285" s="46">
        <v>0</v>
      </c>
    </row>
    <row r="3286" spans="13:14" x14ac:dyDescent="0.35">
      <c r="M3286" s="46">
        <v>0.25922354948805459</v>
      </c>
      <c r="N3286" s="46">
        <v>0</v>
      </c>
    </row>
    <row r="3287" spans="13:14" x14ac:dyDescent="0.35">
      <c r="M3287" s="46">
        <v>0.21666693871494289</v>
      </c>
      <c r="N3287" s="46">
        <v>0</v>
      </c>
    </row>
    <row r="3288" spans="13:14" x14ac:dyDescent="0.35">
      <c r="M3288" s="46">
        <v>0.18348820299747737</v>
      </c>
      <c r="N3288" s="46">
        <v>0</v>
      </c>
    </row>
    <row r="3289" spans="13:14" x14ac:dyDescent="0.35">
      <c r="M3289" s="46">
        <v>0.17523764653509424</v>
      </c>
      <c r="N3289" s="46">
        <v>0</v>
      </c>
    </row>
    <row r="3290" spans="13:14" x14ac:dyDescent="0.35">
      <c r="M3290" s="46">
        <v>0.17035331651580352</v>
      </c>
      <c r="N3290" s="46">
        <v>0</v>
      </c>
    </row>
    <row r="3291" spans="13:14" x14ac:dyDescent="0.35">
      <c r="M3291" s="46">
        <v>0.16976279863481231</v>
      </c>
      <c r="N3291" s="46">
        <v>0</v>
      </c>
    </row>
    <row r="3292" spans="13:14" x14ac:dyDescent="0.35">
      <c r="M3292" s="46">
        <v>0.17479581540287878</v>
      </c>
      <c r="N3292" s="46">
        <v>0</v>
      </c>
    </row>
    <row r="3293" spans="13:14" x14ac:dyDescent="0.35">
      <c r="M3293" s="46">
        <v>0.17893708265321265</v>
      </c>
      <c r="N3293" s="46">
        <v>0</v>
      </c>
    </row>
    <row r="3294" spans="13:14" x14ac:dyDescent="0.35">
      <c r="M3294" s="46">
        <v>0.18451157441756938</v>
      </c>
      <c r="N3294" s="46">
        <v>0</v>
      </c>
    </row>
    <row r="3295" spans="13:14" x14ac:dyDescent="0.35">
      <c r="M3295" s="46">
        <v>0.18655549784834546</v>
      </c>
      <c r="N3295" s="46">
        <v>0</v>
      </c>
    </row>
    <row r="3296" spans="13:14" x14ac:dyDescent="0.35">
      <c r="M3296" s="46">
        <v>0.1996872681406737</v>
      </c>
      <c r="N3296" s="46">
        <v>0</v>
      </c>
    </row>
    <row r="3297" spans="13:14" x14ac:dyDescent="0.35">
      <c r="M3297" s="46">
        <v>0.26930397685116486</v>
      </c>
      <c r="N3297" s="46">
        <v>0</v>
      </c>
    </row>
    <row r="3298" spans="13:14" x14ac:dyDescent="0.35">
      <c r="M3298" s="46">
        <v>0.39374521442350496</v>
      </c>
      <c r="N3298" s="46">
        <v>0</v>
      </c>
    </row>
    <row r="3299" spans="13:14" x14ac:dyDescent="0.35">
      <c r="M3299" s="46">
        <v>0.5289447989315923</v>
      </c>
      <c r="N3299" s="46">
        <v>0</v>
      </c>
    </row>
    <row r="3300" spans="13:14" x14ac:dyDescent="0.35">
      <c r="M3300" s="46">
        <v>0.62958851461641185</v>
      </c>
      <c r="N3300" s="46">
        <v>0</v>
      </c>
    </row>
    <row r="3301" spans="13:14" x14ac:dyDescent="0.35">
      <c r="M3301" s="46">
        <v>0.69095577978928624</v>
      </c>
      <c r="N3301" s="46">
        <v>0</v>
      </c>
    </row>
    <row r="3302" spans="13:14" x14ac:dyDescent="0.35">
      <c r="M3302" s="46">
        <v>0.71783024187564914</v>
      </c>
      <c r="N3302" s="46">
        <v>0</v>
      </c>
    </row>
    <row r="3303" spans="13:14" x14ac:dyDescent="0.35">
      <c r="M3303" s="46">
        <v>0.71920997180590596</v>
      </c>
      <c r="N3303" s="46">
        <v>0</v>
      </c>
    </row>
    <row r="3304" spans="13:14" x14ac:dyDescent="0.35">
      <c r="M3304" s="46">
        <v>0.69603027155364294</v>
      </c>
      <c r="N3304" s="46">
        <v>0</v>
      </c>
    </row>
    <row r="3305" spans="13:14" x14ac:dyDescent="0.35">
      <c r="M3305" s="46">
        <v>0.66013221546223477</v>
      </c>
      <c r="N3305" s="46">
        <v>0</v>
      </c>
    </row>
    <row r="3306" spans="13:14" x14ac:dyDescent="0.35">
      <c r="M3306" s="46">
        <v>0.58450319038433007</v>
      </c>
      <c r="N3306" s="46">
        <v>0</v>
      </c>
    </row>
    <row r="3307" spans="13:14" x14ac:dyDescent="0.35">
      <c r="M3307" s="46">
        <v>0.47096230894791513</v>
      </c>
      <c r="N3307" s="46">
        <v>0</v>
      </c>
    </row>
    <row r="3308" spans="13:14" x14ac:dyDescent="0.35">
      <c r="M3308" s="46">
        <v>0.31319691348864814</v>
      </c>
      <c r="N3308" s="46">
        <v>0</v>
      </c>
    </row>
    <row r="3309" spans="13:14" x14ac:dyDescent="0.35">
      <c r="M3309" s="46">
        <v>0.17934530345748625</v>
      </c>
      <c r="N3309" s="46">
        <v>0</v>
      </c>
    </row>
    <row r="3310" spans="13:14" x14ac:dyDescent="0.35">
      <c r="M3310" s="46">
        <v>0.12416953553939754</v>
      </c>
      <c r="N3310" s="46">
        <v>0</v>
      </c>
    </row>
    <row r="3311" spans="13:14" x14ac:dyDescent="0.35">
      <c r="M3311" s="46">
        <v>0.11342165009645347</v>
      </c>
      <c r="N3311" s="46">
        <v>0</v>
      </c>
    </row>
    <row r="3312" spans="13:14" x14ac:dyDescent="0.35">
      <c r="M3312" s="46">
        <v>0.10137883959044369</v>
      </c>
      <c r="N3312" s="46">
        <v>0</v>
      </c>
    </row>
    <row r="3313" spans="13:14" x14ac:dyDescent="0.35">
      <c r="M3313" s="46">
        <v>0.10177882475144681</v>
      </c>
      <c r="N3313" s="46">
        <v>0</v>
      </c>
    </row>
    <row r="3314" spans="13:14" x14ac:dyDescent="0.35">
      <c r="M3314" s="46">
        <v>0.10258747588663006</v>
      </c>
      <c r="N3314" s="46">
        <v>0</v>
      </c>
    </row>
    <row r="3315" spans="13:14" x14ac:dyDescent="0.35">
      <c r="M3315" s="46">
        <v>0.10363837364594153</v>
      </c>
      <c r="N3315" s="46">
        <v>0</v>
      </c>
    </row>
    <row r="3316" spans="13:14" x14ac:dyDescent="0.35">
      <c r="M3316" s="46">
        <v>0.10364831577385368</v>
      </c>
      <c r="N3316" s="46">
        <v>0</v>
      </c>
    </row>
    <row r="3317" spans="13:14" x14ac:dyDescent="0.35">
      <c r="M3317" s="46">
        <v>0.10352671019439086</v>
      </c>
      <c r="N3317" s="46">
        <v>0</v>
      </c>
    </row>
    <row r="3318" spans="13:14" x14ac:dyDescent="0.35">
      <c r="M3318" s="46">
        <v>0.10275345006677548</v>
      </c>
      <c r="N3318" s="46">
        <v>0</v>
      </c>
    </row>
    <row r="3319" spans="13:14" x14ac:dyDescent="0.35">
      <c r="M3319" s="46">
        <v>9.9620418459712118E-2</v>
      </c>
      <c r="N3319" s="46">
        <v>0</v>
      </c>
    </row>
    <row r="3320" spans="13:14" x14ac:dyDescent="0.35">
      <c r="M3320" s="46">
        <v>0.10390747885442944</v>
      </c>
      <c r="N3320" s="46">
        <v>0</v>
      </c>
    </row>
    <row r="3321" spans="13:14" x14ac:dyDescent="0.35">
      <c r="M3321" s="46">
        <v>0.1656431963199288</v>
      </c>
      <c r="N3321" s="46">
        <v>0</v>
      </c>
    </row>
    <row r="3322" spans="13:14" x14ac:dyDescent="0.35">
      <c r="M3322" s="46">
        <v>0.29200296779937673</v>
      </c>
      <c r="N3322" s="46">
        <v>0</v>
      </c>
    </row>
    <row r="3323" spans="13:14" x14ac:dyDescent="0.35">
      <c r="M3323" s="46">
        <v>0.44196587030716722</v>
      </c>
      <c r="N3323" s="46">
        <v>0</v>
      </c>
    </row>
    <row r="3324" spans="13:14" x14ac:dyDescent="0.35">
      <c r="M3324" s="46">
        <v>0.56673052381659006</v>
      </c>
      <c r="N3324" s="46">
        <v>0</v>
      </c>
    </row>
    <row r="3325" spans="13:14" x14ac:dyDescent="0.35">
      <c r="M3325" s="46">
        <v>0.65253806202700693</v>
      </c>
      <c r="N3325" s="46">
        <v>0</v>
      </c>
    </row>
    <row r="3326" spans="13:14" x14ac:dyDescent="0.35">
      <c r="M3326" s="46">
        <v>0.70541890488202996</v>
      </c>
      <c r="N3326" s="46">
        <v>0</v>
      </c>
    </row>
    <row r="3327" spans="13:14" x14ac:dyDescent="0.35">
      <c r="M3327" s="46">
        <v>0.73279099272889159</v>
      </c>
      <c r="N3327" s="46">
        <v>0</v>
      </c>
    </row>
    <row r="3328" spans="13:14" x14ac:dyDescent="0.35">
      <c r="M3328" s="46">
        <v>0.73481889004303302</v>
      </c>
      <c r="N3328" s="46">
        <v>0</v>
      </c>
    </row>
    <row r="3329" spans="13:14" x14ac:dyDescent="0.35">
      <c r="M3329" s="46">
        <v>0.7170488202997477</v>
      </c>
      <c r="N3329" s="46">
        <v>0</v>
      </c>
    </row>
    <row r="3330" spans="13:14" x14ac:dyDescent="0.35">
      <c r="M3330" s="46">
        <v>0.66385991986941684</v>
      </c>
      <c r="N3330" s="46">
        <v>0</v>
      </c>
    </row>
    <row r="3331" spans="13:14" x14ac:dyDescent="0.35">
      <c r="M3331" s="46">
        <v>0.57359771479447985</v>
      </c>
      <c r="N3331" s="46">
        <v>0</v>
      </c>
    </row>
    <row r="3332" spans="13:14" x14ac:dyDescent="0.35">
      <c r="M3332" s="46">
        <v>0.44347440273037542</v>
      </c>
      <c r="N3332" s="46">
        <v>0</v>
      </c>
    </row>
    <row r="3333" spans="13:14" x14ac:dyDescent="0.35">
      <c r="M3333" s="46">
        <v>0.33523408517584208</v>
      </c>
      <c r="N3333" s="46">
        <v>0</v>
      </c>
    </row>
    <row r="3334" spans="13:14" x14ac:dyDescent="0.35">
      <c r="M3334" s="46">
        <v>0.30257523371420092</v>
      </c>
      <c r="N3334" s="46">
        <v>0</v>
      </c>
    </row>
    <row r="3335" spans="13:14" x14ac:dyDescent="0.35">
      <c r="M3335" s="46">
        <v>0.30010609882771921</v>
      </c>
      <c r="N3335" s="46">
        <v>0</v>
      </c>
    </row>
    <row r="3336" spans="13:14" x14ac:dyDescent="0.35">
      <c r="M3336" s="46">
        <v>0.26629247662857991</v>
      </c>
      <c r="N3336" s="46">
        <v>0</v>
      </c>
    </row>
    <row r="3337" spans="13:14" x14ac:dyDescent="0.35">
      <c r="M3337" s="46">
        <v>0.25036555868823268</v>
      </c>
      <c r="N3337" s="46">
        <v>0</v>
      </c>
    </row>
    <row r="3338" spans="13:14" x14ac:dyDescent="0.35">
      <c r="M3338" s="46">
        <v>0.22466449028045701</v>
      </c>
      <c r="N3338" s="46">
        <v>0</v>
      </c>
    </row>
    <row r="3339" spans="13:14" x14ac:dyDescent="0.35">
      <c r="M3339" s="46">
        <v>0.20314505119453924</v>
      </c>
      <c r="N3339" s="46">
        <v>0</v>
      </c>
    </row>
    <row r="3340" spans="13:14" x14ac:dyDescent="0.35">
      <c r="M3340" s="46">
        <v>0.18612909927288918</v>
      </c>
      <c r="N3340" s="46">
        <v>0</v>
      </c>
    </row>
    <row r="3341" spans="13:14" x14ac:dyDescent="0.35">
      <c r="M3341" s="46">
        <v>0.17483076124054014</v>
      </c>
      <c r="N3341" s="46">
        <v>0</v>
      </c>
    </row>
    <row r="3342" spans="13:14" x14ac:dyDescent="0.35">
      <c r="M3342" s="46">
        <v>0.16628082801602609</v>
      </c>
      <c r="N3342" s="46">
        <v>0</v>
      </c>
    </row>
    <row r="3343" spans="13:14" x14ac:dyDescent="0.35">
      <c r="M3343" s="46">
        <v>0.16019357471434931</v>
      </c>
      <c r="N3343" s="46">
        <v>0</v>
      </c>
    </row>
    <row r="3344" spans="13:14" x14ac:dyDescent="0.35">
      <c r="M3344" s="46">
        <v>0.16187282979670575</v>
      </c>
      <c r="N3344" s="46">
        <v>0</v>
      </c>
    </row>
    <row r="3345" spans="13:14" x14ac:dyDescent="0.35">
      <c r="M3345" s="46">
        <v>0.22219053271998815</v>
      </c>
      <c r="N3345" s="46">
        <v>0</v>
      </c>
    </row>
    <row r="3346" spans="13:14" x14ac:dyDescent="0.35">
      <c r="M3346" s="46">
        <v>0.34159623089479146</v>
      </c>
      <c r="N3346" s="46">
        <v>0</v>
      </c>
    </row>
    <row r="3347" spans="13:14" x14ac:dyDescent="0.35">
      <c r="M3347" s="46">
        <v>0.48022748182222885</v>
      </c>
      <c r="N3347" s="46">
        <v>0</v>
      </c>
    </row>
    <row r="3348" spans="13:14" x14ac:dyDescent="0.35">
      <c r="M3348" s="46">
        <v>0.59016181926101796</v>
      </c>
      <c r="N3348" s="46">
        <v>0</v>
      </c>
    </row>
    <row r="3349" spans="13:14" x14ac:dyDescent="0.35">
      <c r="M3349" s="46">
        <v>0.65563407033684529</v>
      </c>
      <c r="N3349" s="46">
        <v>0</v>
      </c>
    </row>
    <row r="3350" spans="13:14" x14ac:dyDescent="0.35">
      <c r="M3350" s="46">
        <v>0.68780494138596238</v>
      </c>
      <c r="N3350" s="46">
        <v>0</v>
      </c>
    </row>
    <row r="3351" spans="13:14" x14ac:dyDescent="0.35">
      <c r="M3351" s="46">
        <v>0.69035316812583469</v>
      </c>
      <c r="N3351" s="46">
        <v>0</v>
      </c>
    </row>
    <row r="3352" spans="13:14" x14ac:dyDescent="0.35">
      <c r="M3352" s="46">
        <v>0.67192239204629767</v>
      </c>
      <c r="N3352" s="46">
        <v>0</v>
      </c>
    </row>
    <row r="3353" spans="13:14" x14ac:dyDescent="0.35">
      <c r="M3353" s="46">
        <v>0.62933640005935598</v>
      </c>
      <c r="N3353" s="46">
        <v>0</v>
      </c>
    </row>
    <row r="3354" spans="13:14" x14ac:dyDescent="0.35">
      <c r="M3354" s="46">
        <v>0.55855097195429582</v>
      </c>
      <c r="N3354" s="46">
        <v>0</v>
      </c>
    </row>
    <row r="3355" spans="13:14" x14ac:dyDescent="0.35">
      <c r="M3355" s="46">
        <v>0.45851595192165007</v>
      </c>
      <c r="N3355" s="46">
        <v>0</v>
      </c>
    </row>
    <row r="3356" spans="13:14" x14ac:dyDescent="0.35">
      <c r="M3356" s="46">
        <v>0.33816597418014543</v>
      </c>
      <c r="N3356" s="46">
        <v>0</v>
      </c>
    </row>
    <row r="3357" spans="13:14" x14ac:dyDescent="0.35">
      <c r="M3357" s="46">
        <v>0.23219379729930256</v>
      </c>
      <c r="N3357" s="46">
        <v>0</v>
      </c>
    </row>
    <row r="3358" spans="13:14" x14ac:dyDescent="0.35">
      <c r="M3358" s="46">
        <v>0.19132972251075828</v>
      </c>
      <c r="N3358" s="46">
        <v>0</v>
      </c>
    </row>
    <row r="3359" spans="13:14" x14ac:dyDescent="0.35">
      <c r="M3359" s="46">
        <v>0.17422332690310133</v>
      </c>
      <c r="N3359" s="46">
        <v>0</v>
      </c>
    </row>
    <row r="3360" spans="13:14" x14ac:dyDescent="0.35">
      <c r="M3360" s="46">
        <v>0.14158406291734679</v>
      </c>
      <c r="N3360" s="46">
        <v>0</v>
      </c>
    </row>
    <row r="3361" spans="13:14" x14ac:dyDescent="0.35">
      <c r="M3361" s="46">
        <v>0.11445926695355393</v>
      </c>
      <c r="N3361" s="46">
        <v>0</v>
      </c>
    </row>
    <row r="3362" spans="13:14" x14ac:dyDescent="0.35">
      <c r="M3362" s="46">
        <v>8.8130954147499621E-2</v>
      </c>
      <c r="N3362" s="46">
        <v>0</v>
      </c>
    </row>
    <row r="3363" spans="13:14" x14ac:dyDescent="0.35">
      <c r="M3363" s="46">
        <v>6.6852129396052826E-2</v>
      </c>
      <c r="N3363" s="46">
        <v>0</v>
      </c>
    </row>
    <row r="3364" spans="13:14" x14ac:dyDescent="0.35">
      <c r="M3364" s="46">
        <v>5.2399391601127769E-2</v>
      </c>
      <c r="N3364" s="46">
        <v>0</v>
      </c>
    </row>
    <row r="3365" spans="13:14" x14ac:dyDescent="0.35">
      <c r="M3365" s="46">
        <v>4.1347603502003269E-2</v>
      </c>
      <c r="N3365" s="46">
        <v>0</v>
      </c>
    </row>
    <row r="3366" spans="13:14" x14ac:dyDescent="0.35">
      <c r="M3366" s="46">
        <v>3.4934189048820299E-2</v>
      </c>
      <c r="N3366" s="46">
        <v>0</v>
      </c>
    </row>
    <row r="3367" spans="13:14" x14ac:dyDescent="0.35">
      <c r="M3367" s="46">
        <v>3.2771850422911412E-2</v>
      </c>
      <c r="N3367" s="46">
        <v>0</v>
      </c>
    </row>
    <row r="3368" spans="13:14" x14ac:dyDescent="0.35">
      <c r="M3368" s="46">
        <v>4.092803086511352E-2</v>
      </c>
      <c r="N3368" s="46">
        <v>0</v>
      </c>
    </row>
    <row r="3369" spans="13:14" x14ac:dyDescent="0.35">
      <c r="M3369" s="46">
        <v>0.11403064252856507</v>
      </c>
      <c r="N3369" s="46">
        <v>0</v>
      </c>
    </row>
    <row r="3370" spans="13:14" x14ac:dyDescent="0.35">
      <c r="M3370" s="46">
        <v>0.25201276153732011</v>
      </c>
      <c r="N3370" s="46">
        <v>0</v>
      </c>
    </row>
    <row r="3371" spans="13:14" x14ac:dyDescent="0.35">
      <c r="M3371" s="46">
        <v>0.40688766879358956</v>
      </c>
      <c r="N3371" s="46">
        <v>0</v>
      </c>
    </row>
    <row r="3372" spans="13:14" x14ac:dyDescent="0.35">
      <c r="M3372" s="46">
        <v>0.53252255527526338</v>
      </c>
      <c r="N3372" s="46">
        <v>0</v>
      </c>
    </row>
    <row r="3373" spans="13:14" x14ac:dyDescent="0.35">
      <c r="M3373" s="46">
        <v>0.61413681555126864</v>
      </c>
      <c r="N3373" s="46">
        <v>0</v>
      </c>
    </row>
    <row r="3374" spans="13:14" x14ac:dyDescent="0.35">
      <c r="M3374" s="46">
        <v>0.66881851906811096</v>
      </c>
      <c r="N3374" s="46">
        <v>0</v>
      </c>
    </row>
    <row r="3375" spans="13:14" x14ac:dyDescent="0.35">
      <c r="M3375" s="46">
        <v>0.68805186229410897</v>
      </c>
      <c r="N3375" s="46">
        <v>0</v>
      </c>
    </row>
    <row r="3376" spans="13:14" x14ac:dyDescent="0.35">
      <c r="M3376" s="46">
        <v>0.67165996438640752</v>
      </c>
      <c r="N3376" s="46">
        <v>0</v>
      </c>
    </row>
    <row r="3377" spans="13:14" x14ac:dyDescent="0.35">
      <c r="M3377" s="46">
        <v>0.62139983677103439</v>
      </c>
      <c r="N3377" s="46">
        <v>0</v>
      </c>
    </row>
    <row r="3378" spans="13:14" x14ac:dyDescent="0.35">
      <c r="M3378" s="46">
        <v>0.53070114260276002</v>
      </c>
      <c r="N3378" s="46">
        <v>0</v>
      </c>
    </row>
    <row r="3379" spans="13:14" x14ac:dyDescent="0.35">
      <c r="M3379" s="46">
        <v>0.40428372162041842</v>
      </c>
      <c r="N3379" s="46">
        <v>0</v>
      </c>
    </row>
    <row r="3380" spans="13:14" x14ac:dyDescent="0.35">
      <c r="M3380" s="46">
        <v>0.2452874313696394</v>
      </c>
      <c r="N3380" s="46">
        <v>0</v>
      </c>
    </row>
    <row r="3381" spans="13:14" x14ac:dyDescent="0.35">
      <c r="M3381" s="46">
        <v>0.11451528416679031</v>
      </c>
      <c r="N3381" s="46">
        <v>0</v>
      </c>
    </row>
    <row r="3382" spans="13:14" x14ac:dyDescent="0.35">
      <c r="M3382" s="46">
        <v>6.4918088737201368E-2</v>
      </c>
      <c r="N3382" s="46">
        <v>0</v>
      </c>
    </row>
    <row r="3383" spans="13:14" x14ac:dyDescent="0.35">
      <c r="M3383" s="46">
        <v>6.1269550378394426E-2</v>
      </c>
      <c r="N3383" s="46">
        <v>0</v>
      </c>
    </row>
    <row r="3384" spans="13:14" x14ac:dyDescent="0.35">
      <c r="M3384" s="46">
        <v>6.4884404214275104E-2</v>
      </c>
      <c r="N3384" s="46">
        <v>0</v>
      </c>
    </row>
    <row r="3385" spans="13:14" x14ac:dyDescent="0.35">
      <c r="M3385" s="46">
        <v>8.0164490280457051E-2</v>
      </c>
      <c r="N3385" s="46">
        <v>0</v>
      </c>
    </row>
    <row r="3386" spans="13:14" x14ac:dyDescent="0.35">
      <c r="M3386" s="46">
        <v>9.8047039620121679E-2</v>
      </c>
      <c r="N3386" s="46">
        <v>0</v>
      </c>
    </row>
    <row r="3387" spans="13:14" x14ac:dyDescent="0.35">
      <c r="M3387" s="46">
        <v>0.10857004006529158</v>
      </c>
      <c r="N3387" s="46">
        <v>0</v>
      </c>
    </row>
    <row r="3388" spans="13:14" x14ac:dyDescent="0.35">
      <c r="M3388" s="46">
        <v>0.11805579462828313</v>
      </c>
      <c r="N3388" s="46">
        <v>0</v>
      </c>
    </row>
    <row r="3389" spans="13:14" x14ac:dyDescent="0.35">
      <c r="M3389" s="46">
        <v>0.12294183113221546</v>
      </c>
      <c r="N3389" s="46">
        <v>0</v>
      </c>
    </row>
    <row r="3390" spans="13:14" x14ac:dyDescent="0.35">
      <c r="M3390" s="46">
        <v>0.12375456299154176</v>
      </c>
      <c r="N3390" s="46">
        <v>0</v>
      </c>
    </row>
    <row r="3391" spans="13:14" x14ac:dyDescent="0.35">
      <c r="M3391" s="46">
        <v>0.12482304496216055</v>
      </c>
      <c r="N3391" s="46">
        <v>0</v>
      </c>
    </row>
    <row r="3392" spans="13:14" x14ac:dyDescent="0.35">
      <c r="M3392" s="46">
        <v>0.13587735569075532</v>
      </c>
      <c r="N3392" s="46">
        <v>0</v>
      </c>
    </row>
    <row r="3393" spans="13:14" x14ac:dyDescent="0.35">
      <c r="M3393" s="46">
        <v>0.20241423059801159</v>
      </c>
      <c r="N3393" s="46">
        <v>0</v>
      </c>
    </row>
    <row r="3394" spans="13:14" x14ac:dyDescent="0.35">
      <c r="M3394" s="46">
        <v>0.32080783499035465</v>
      </c>
      <c r="N3394" s="46">
        <v>0</v>
      </c>
    </row>
    <row r="3395" spans="13:14" x14ac:dyDescent="0.35">
      <c r="M3395" s="46">
        <v>0.46634003561359255</v>
      </c>
      <c r="N3395" s="46">
        <v>0</v>
      </c>
    </row>
    <row r="3396" spans="13:14" x14ac:dyDescent="0.35">
      <c r="M3396" s="46">
        <v>0.58579358955334615</v>
      </c>
      <c r="N3396" s="46">
        <v>0</v>
      </c>
    </row>
    <row r="3397" spans="13:14" x14ac:dyDescent="0.35">
      <c r="M3397" s="46">
        <v>0.66532252559726968</v>
      </c>
      <c r="N3397" s="46">
        <v>0</v>
      </c>
    </row>
    <row r="3398" spans="13:14" x14ac:dyDescent="0.35">
      <c r="M3398" s="46">
        <v>0.70885991986941677</v>
      </c>
      <c r="N3398" s="46">
        <v>0</v>
      </c>
    </row>
    <row r="3399" spans="13:14" x14ac:dyDescent="0.35">
      <c r="M3399" s="46">
        <v>0.71862390562397982</v>
      </c>
      <c r="N3399" s="46">
        <v>0</v>
      </c>
    </row>
    <row r="3400" spans="13:14" x14ac:dyDescent="0.35">
      <c r="M3400" s="46">
        <v>0.69633847751891975</v>
      </c>
      <c r="N3400" s="46">
        <v>0</v>
      </c>
    </row>
    <row r="3401" spans="13:14" x14ac:dyDescent="0.35">
      <c r="M3401" s="46">
        <v>0.65595036355542358</v>
      </c>
      <c r="N3401" s="46">
        <v>0</v>
      </c>
    </row>
    <row r="3402" spans="13:14" x14ac:dyDescent="0.35">
      <c r="M3402" s="46">
        <v>0.5755170648464164</v>
      </c>
      <c r="N3402" s="46">
        <v>0</v>
      </c>
    </row>
    <row r="3403" spans="13:14" x14ac:dyDescent="0.35">
      <c r="M3403" s="46">
        <v>0.45760528268289064</v>
      </c>
      <c r="N3403" s="46">
        <v>0</v>
      </c>
    </row>
    <row r="3404" spans="13:14" x14ac:dyDescent="0.35">
      <c r="M3404" s="46">
        <v>0.2947698471583321</v>
      </c>
      <c r="N3404" s="46">
        <v>0</v>
      </c>
    </row>
    <row r="3405" spans="13:14" x14ac:dyDescent="0.35">
      <c r="M3405" s="46">
        <v>0.16110780531236088</v>
      </c>
      <c r="N3405" s="46">
        <v>0</v>
      </c>
    </row>
    <row r="3406" spans="13:14" x14ac:dyDescent="0.35">
      <c r="M3406" s="46">
        <v>0.11155089775931147</v>
      </c>
      <c r="N3406" s="46">
        <v>0</v>
      </c>
    </row>
    <row r="3407" spans="13:14" x14ac:dyDescent="0.35">
      <c r="M3407" s="46">
        <v>0.11182438047188011</v>
      </c>
      <c r="N3407" s="46">
        <v>0</v>
      </c>
    </row>
    <row r="3408" spans="13:14" x14ac:dyDescent="0.35">
      <c r="M3408" s="46">
        <v>0.10345333135480042</v>
      </c>
      <c r="N3408" s="46">
        <v>0</v>
      </c>
    </row>
    <row r="3409" spans="13:14" x14ac:dyDescent="0.35">
      <c r="M3409" s="46">
        <v>0.1064571894939902</v>
      </c>
      <c r="N3409" s="46">
        <v>0</v>
      </c>
    </row>
    <row r="3410" spans="13:14" x14ac:dyDescent="0.35">
      <c r="M3410" s="46">
        <v>0.1033960528268289</v>
      </c>
      <c r="N3410" s="46">
        <v>0</v>
      </c>
    </row>
    <row r="3411" spans="13:14" x14ac:dyDescent="0.35">
      <c r="M3411" s="46">
        <v>9.405134292921799E-2</v>
      </c>
      <c r="N3411" s="46">
        <v>0</v>
      </c>
    </row>
    <row r="3412" spans="13:14" x14ac:dyDescent="0.35">
      <c r="M3412" s="46">
        <v>8.777778602166493E-2</v>
      </c>
      <c r="N3412" s="46">
        <v>0</v>
      </c>
    </row>
    <row r="3413" spans="13:14" x14ac:dyDescent="0.35">
      <c r="M3413" s="46">
        <v>8.1026413414453186E-2</v>
      </c>
      <c r="N3413" s="46">
        <v>0</v>
      </c>
    </row>
    <row r="3414" spans="13:14" x14ac:dyDescent="0.35">
      <c r="M3414" s="46">
        <v>7.9239278824751458E-2</v>
      </c>
      <c r="N3414" s="46">
        <v>0</v>
      </c>
    </row>
    <row r="3415" spans="13:14" x14ac:dyDescent="0.35">
      <c r="M3415" s="46">
        <v>7.987550081614482E-2</v>
      </c>
      <c r="N3415" s="46">
        <v>0</v>
      </c>
    </row>
    <row r="3416" spans="13:14" x14ac:dyDescent="0.35">
      <c r="M3416" s="46">
        <v>9.3945837661374085E-2</v>
      </c>
      <c r="N3416" s="46">
        <v>0</v>
      </c>
    </row>
    <row r="3417" spans="13:14" x14ac:dyDescent="0.35">
      <c r="M3417" s="46">
        <v>0.16711937972993024</v>
      </c>
      <c r="N3417" s="46">
        <v>0</v>
      </c>
    </row>
    <row r="3418" spans="13:14" x14ac:dyDescent="0.35">
      <c r="M3418" s="46">
        <v>0.30677763763169608</v>
      </c>
      <c r="N3418" s="46">
        <v>0</v>
      </c>
    </row>
    <row r="3419" spans="13:14" x14ac:dyDescent="0.35">
      <c r="M3419" s="46">
        <v>0.45463266063214125</v>
      </c>
      <c r="N3419" s="46">
        <v>0</v>
      </c>
    </row>
    <row r="3420" spans="13:14" x14ac:dyDescent="0.35">
      <c r="M3420" s="46">
        <v>0.56206343671167824</v>
      </c>
      <c r="N3420" s="46">
        <v>0</v>
      </c>
    </row>
    <row r="3421" spans="13:14" x14ac:dyDescent="0.35">
      <c r="M3421" s="46">
        <v>0.62662004748478994</v>
      </c>
      <c r="N3421" s="46">
        <v>0</v>
      </c>
    </row>
    <row r="3422" spans="13:14" x14ac:dyDescent="0.35">
      <c r="M3422" s="46">
        <v>0.66830501558094679</v>
      </c>
      <c r="N3422" s="46">
        <v>0</v>
      </c>
    </row>
    <row r="3423" spans="13:14" x14ac:dyDescent="0.35">
      <c r="M3423" s="46">
        <v>0.68254882029974773</v>
      </c>
      <c r="N3423" s="46">
        <v>0</v>
      </c>
    </row>
    <row r="3424" spans="13:14" x14ac:dyDescent="0.35">
      <c r="M3424" s="46">
        <v>0.6714939902062621</v>
      </c>
      <c r="N3424" s="46">
        <v>0</v>
      </c>
    </row>
    <row r="3425" spans="13:14" x14ac:dyDescent="0.35">
      <c r="M3425" s="46">
        <v>0.63582579017658403</v>
      </c>
      <c r="N3425" s="46">
        <v>0</v>
      </c>
    </row>
    <row r="3426" spans="13:14" x14ac:dyDescent="0.35">
      <c r="M3426" s="46">
        <v>0.56263169609734376</v>
      </c>
      <c r="N3426" s="46">
        <v>0</v>
      </c>
    </row>
    <row r="3427" spans="13:14" x14ac:dyDescent="0.35">
      <c r="M3427" s="46">
        <v>0.4482199139338181</v>
      </c>
      <c r="N3427" s="46">
        <v>0</v>
      </c>
    </row>
    <row r="3428" spans="13:14" x14ac:dyDescent="0.35">
      <c r="M3428" s="46">
        <v>0.29164772221397833</v>
      </c>
      <c r="N3428" s="46">
        <v>0</v>
      </c>
    </row>
    <row r="3429" spans="13:14" x14ac:dyDescent="0.35">
      <c r="M3429" s="46">
        <v>0.15396446060246327</v>
      </c>
      <c r="N3429" s="46">
        <v>0</v>
      </c>
    </row>
    <row r="3430" spans="13:14" x14ac:dyDescent="0.35">
      <c r="M3430" s="46">
        <v>9.517480338329129E-2</v>
      </c>
      <c r="N3430" s="46">
        <v>0</v>
      </c>
    </row>
    <row r="3431" spans="13:14" x14ac:dyDescent="0.35">
      <c r="M3431" s="46">
        <v>8.2477667309689862E-2</v>
      </c>
      <c r="N3431" s="46">
        <v>0</v>
      </c>
    </row>
    <row r="3432" spans="13:14" x14ac:dyDescent="0.35">
      <c r="M3432" s="46">
        <v>7.4219765543849237E-2</v>
      </c>
      <c r="N3432" s="46">
        <v>0</v>
      </c>
    </row>
    <row r="3433" spans="13:14" x14ac:dyDescent="0.35">
      <c r="M3433" s="46">
        <v>8.0457263688974628E-2</v>
      </c>
      <c r="N3433" s="46">
        <v>0</v>
      </c>
    </row>
    <row r="3434" spans="13:14" x14ac:dyDescent="0.35">
      <c r="M3434" s="46">
        <v>9.5473660780531239E-2</v>
      </c>
      <c r="N3434" s="46">
        <v>0</v>
      </c>
    </row>
    <row r="3435" spans="13:14" x14ac:dyDescent="0.35">
      <c r="M3435" s="46">
        <v>0.11845036355542365</v>
      </c>
      <c r="N3435" s="46">
        <v>0</v>
      </c>
    </row>
    <row r="3436" spans="13:14" x14ac:dyDescent="0.35">
      <c r="M3436" s="46">
        <v>0.13278468615521591</v>
      </c>
      <c r="N3436" s="46">
        <v>0</v>
      </c>
    </row>
    <row r="3437" spans="13:14" x14ac:dyDescent="0.35">
      <c r="M3437" s="46">
        <v>0.13550608398872238</v>
      </c>
      <c r="N3437" s="46">
        <v>0</v>
      </c>
    </row>
    <row r="3438" spans="13:14" x14ac:dyDescent="0.35">
      <c r="M3438" s="46">
        <v>0.12722555275263392</v>
      </c>
      <c r="N3438" s="46">
        <v>0</v>
      </c>
    </row>
    <row r="3439" spans="13:14" x14ac:dyDescent="0.35">
      <c r="M3439" s="46">
        <v>0.10719943611811841</v>
      </c>
      <c r="N3439" s="46">
        <v>0</v>
      </c>
    </row>
    <row r="3440" spans="13:14" x14ac:dyDescent="0.35">
      <c r="M3440" s="46">
        <v>9.8634812286689424E-2</v>
      </c>
      <c r="N3440" s="46">
        <v>0</v>
      </c>
    </row>
    <row r="3441" spans="13:14" x14ac:dyDescent="0.35">
      <c r="M3441" s="46">
        <v>0.13867665825790176</v>
      </c>
      <c r="N3441" s="46">
        <v>0</v>
      </c>
    </row>
    <row r="3442" spans="13:14" x14ac:dyDescent="0.35">
      <c r="M3442" s="46">
        <v>0.2138983528713459</v>
      </c>
      <c r="N3442" s="46">
        <v>0</v>
      </c>
    </row>
    <row r="3443" spans="13:14" x14ac:dyDescent="0.35">
      <c r="M3443" s="46">
        <v>0.32071093634070341</v>
      </c>
      <c r="N3443" s="46">
        <v>0</v>
      </c>
    </row>
    <row r="3444" spans="13:14" x14ac:dyDescent="0.35">
      <c r="M3444" s="46">
        <v>0.42178260869565221</v>
      </c>
      <c r="N3444" s="46">
        <v>0</v>
      </c>
    </row>
    <row r="3445" spans="13:14" x14ac:dyDescent="0.35">
      <c r="M3445" s="46">
        <v>0.49623846267992283</v>
      </c>
      <c r="N3445" s="46">
        <v>0</v>
      </c>
    </row>
    <row r="3446" spans="13:14" x14ac:dyDescent="0.35">
      <c r="M3446" s="46">
        <v>0.54879870900727112</v>
      </c>
      <c r="N3446" s="46">
        <v>0</v>
      </c>
    </row>
    <row r="3447" spans="13:14" x14ac:dyDescent="0.35">
      <c r="M3447" s="46">
        <v>0.5760743433743879</v>
      </c>
      <c r="N3447" s="46">
        <v>0</v>
      </c>
    </row>
    <row r="3448" spans="13:14" x14ac:dyDescent="0.35">
      <c r="M3448" s="46">
        <v>0.58205831725775337</v>
      </c>
      <c r="N3448" s="46">
        <v>0</v>
      </c>
    </row>
    <row r="3449" spans="13:14" x14ac:dyDescent="0.35">
      <c r="M3449" s="46">
        <v>0.55998686748775783</v>
      </c>
      <c r="N3449" s="46">
        <v>0</v>
      </c>
    </row>
    <row r="3450" spans="13:14" x14ac:dyDescent="0.35">
      <c r="M3450" s="46">
        <v>0.50747640599495469</v>
      </c>
      <c r="N3450" s="46">
        <v>0</v>
      </c>
    </row>
    <row r="3451" spans="13:14" x14ac:dyDescent="0.35">
      <c r="M3451" s="46">
        <v>0.41181688677845374</v>
      </c>
      <c r="N3451" s="46">
        <v>0</v>
      </c>
    </row>
    <row r="3452" spans="13:14" x14ac:dyDescent="0.35">
      <c r="M3452" s="46">
        <v>0.26893085027452146</v>
      </c>
      <c r="N3452" s="46">
        <v>0</v>
      </c>
    </row>
    <row r="3453" spans="13:14" x14ac:dyDescent="0.35">
      <c r="M3453" s="46">
        <v>0.13781176732452885</v>
      </c>
      <c r="N3453" s="46">
        <v>0</v>
      </c>
    </row>
    <row r="3454" spans="13:14" x14ac:dyDescent="0.35">
      <c r="M3454" s="46">
        <v>7.7238759459860501E-2</v>
      </c>
      <c r="N3454" s="46">
        <v>0</v>
      </c>
    </row>
    <row r="3455" spans="13:14" x14ac:dyDescent="0.35">
      <c r="M3455" s="46">
        <v>6.216515803531681E-2</v>
      </c>
      <c r="N3455" s="46">
        <v>0</v>
      </c>
    </row>
    <row r="3456" spans="13:14" x14ac:dyDescent="0.35">
      <c r="M3456" s="46">
        <v>5.4881955779789285E-2</v>
      </c>
      <c r="N3456" s="46">
        <v>0</v>
      </c>
    </row>
    <row r="3457" spans="13:14" x14ac:dyDescent="0.35">
      <c r="M3457" s="46">
        <v>5.2286392639857543E-2</v>
      </c>
      <c r="N3457" s="46">
        <v>0</v>
      </c>
    </row>
    <row r="3458" spans="13:14" x14ac:dyDescent="0.35">
      <c r="M3458" s="46">
        <v>5.2088143641489837E-2</v>
      </c>
      <c r="N3458" s="46">
        <v>0</v>
      </c>
    </row>
    <row r="3459" spans="13:14" x14ac:dyDescent="0.35">
      <c r="M3459" s="46">
        <v>5.5220507493693421E-2</v>
      </c>
      <c r="N3459" s="46">
        <v>0</v>
      </c>
    </row>
    <row r="3460" spans="13:14" x14ac:dyDescent="0.35">
      <c r="M3460" s="46">
        <v>5.6700549042884706E-2</v>
      </c>
      <c r="N3460" s="46">
        <v>0</v>
      </c>
    </row>
    <row r="3461" spans="13:14" x14ac:dyDescent="0.35">
      <c r="M3461" s="46">
        <v>5.710535687787506E-2</v>
      </c>
      <c r="N3461" s="46">
        <v>0</v>
      </c>
    </row>
    <row r="3462" spans="13:14" x14ac:dyDescent="0.35">
      <c r="M3462" s="46">
        <v>5.4610550526784395E-2</v>
      </c>
      <c r="N3462" s="46">
        <v>0</v>
      </c>
    </row>
    <row r="3463" spans="13:14" x14ac:dyDescent="0.35">
      <c r="M3463" s="46">
        <v>5.0964460602463277E-2</v>
      </c>
      <c r="N3463" s="46">
        <v>0</v>
      </c>
    </row>
    <row r="3464" spans="13:14" x14ac:dyDescent="0.35">
      <c r="M3464" s="46">
        <v>5.7518919721026858E-2</v>
      </c>
      <c r="N3464" s="46">
        <v>0</v>
      </c>
    </row>
    <row r="3465" spans="13:14" x14ac:dyDescent="0.35">
      <c r="M3465" s="46">
        <v>0.11897610921501706</v>
      </c>
      <c r="N3465" s="46">
        <v>0</v>
      </c>
    </row>
    <row r="3466" spans="13:14" x14ac:dyDescent="0.35">
      <c r="M3466" s="46">
        <v>0.22902441014987387</v>
      </c>
      <c r="N3466" s="46">
        <v>0</v>
      </c>
    </row>
    <row r="3467" spans="13:14" x14ac:dyDescent="0.35">
      <c r="M3467" s="46">
        <v>0.36668637780086061</v>
      </c>
      <c r="N3467" s="46">
        <v>0</v>
      </c>
    </row>
    <row r="3468" spans="13:14" x14ac:dyDescent="0.35">
      <c r="M3468" s="46">
        <v>0.486820299747737</v>
      </c>
      <c r="N3468" s="46">
        <v>0</v>
      </c>
    </row>
    <row r="3469" spans="13:14" x14ac:dyDescent="0.35">
      <c r="M3469" s="46">
        <v>0.56919127466983233</v>
      </c>
      <c r="N3469" s="46">
        <v>0</v>
      </c>
    </row>
    <row r="3470" spans="13:14" x14ac:dyDescent="0.35">
      <c r="M3470" s="46">
        <v>0.63273044962160563</v>
      </c>
      <c r="N3470" s="46">
        <v>0</v>
      </c>
    </row>
    <row r="3471" spans="13:14" x14ac:dyDescent="0.35">
      <c r="M3471" s="46">
        <v>0.66070522332690318</v>
      </c>
      <c r="N3471" s="46">
        <v>0</v>
      </c>
    </row>
    <row r="3472" spans="13:14" x14ac:dyDescent="0.35">
      <c r="M3472" s="46">
        <v>0.65463243804718807</v>
      </c>
      <c r="N3472" s="46">
        <v>0</v>
      </c>
    </row>
    <row r="3473" spans="13:14" x14ac:dyDescent="0.35">
      <c r="M3473" s="46">
        <v>0.60486199732898061</v>
      </c>
      <c r="N3473" s="46">
        <v>0</v>
      </c>
    </row>
    <row r="3474" spans="13:14" x14ac:dyDescent="0.35">
      <c r="M3474" s="46">
        <v>0.52400393233417419</v>
      </c>
      <c r="N3474" s="46">
        <v>0</v>
      </c>
    </row>
    <row r="3475" spans="13:14" x14ac:dyDescent="0.35">
      <c r="M3475" s="46">
        <v>0.41944257308205968</v>
      </c>
      <c r="N3475" s="46">
        <v>0</v>
      </c>
    </row>
    <row r="3476" spans="13:14" x14ac:dyDescent="0.35">
      <c r="M3476" s="46">
        <v>0.2989163080575753</v>
      </c>
      <c r="N3476" s="46">
        <v>0</v>
      </c>
    </row>
    <row r="3477" spans="13:14" x14ac:dyDescent="0.35">
      <c r="M3477" s="46">
        <v>0.19285724884997774</v>
      </c>
      <c r="N3477" s="46">
        <v>0</v>
      </c>
    </row>
    <row r="3478" spans="13:14" x14ac:dyDescent="0.35">
      <c r="M3478" s="46">
        <v>0.16411181184151952</v>
      </c>
      <c r="N3478" s="46">
        <v>0</v>
      </c>
    </row>
    <row r="3479" spans="13:14" x14ac:dyDescent="0.35">
      <c r="M3479" s="46">
        <v>0.16213874462086364</v>
      </c>
      <c r="N3479" s="46">
        <v>0</v>
      </c>
    </row>
    <row r="3480" spans="13:14" x14ac:dyDescent="0.35">
      <c r="M3480" s="46">
        <v>0.14634745511203442</v>
      </c>
      <c r="N3480" s="46">
        <v>0</v>
      </c>
    </row>
    <row r="3481" spans="13:14" x14ac:dyDescent="0.35">
      <c r="M3481" s="46">
        <v>0.1424038433001929</v>
      </c>
      <c r="N3481" s="46">
        <v>0</v>
      </c>
    </row>
    <row r="3482" spans="13:14" x14ac:dyDescent="0.35">
      <c r="M3482" s="46">
        <v>0.14038099124499184</v>
      </c>
      <c r="N3482" s="46">
        <v>0</v>
      </c>
    </row>
    <row r="3483" spans="13:14" x14ac:dyDescent="0.35">
      <c r="M3483" s="46">
        <v>0.13785450363555424</v>
      </c>
      <c r="N3483" s="46">
        <v>0</v>
      </c>
    </row>
    <row r="3484" spans="13:14" x14ac:dyDescent="0.35">
      <c r="M3484" s="46">
        <v>0.1403622199139338</v>
      </c>
      <c r="N3484" s="46">
        <v>0</v>
      </c>
    </row>
    <row r="3485" spans="13:14" x14ac:dyDescent="0.35">
      <c r="M3485" s="46">
        <v>0.15157872087846863</v>
      </c>
      <c r="N3485" s="46">
        <v>0</v>
      </c>
    </row>
    <row r="3486" spans="13:14" x14ac:dyDescent="0.35">
      <c r="M3486" s="46">
        <v>0.16318177771182668</v>
      </c>
      <c r="N3486" s="46">
        <v>0</v>
      </c>
    </row>
    <row r="3487" spans="13:14" x14ac:dyDescent="0.35">
      <c r="M3487" s="46">
        <v>0.17364809318890043</v>
      </c>
      <c r="N3487" s="46">
        <v>0</v>
      </c>
    </row>
    <row r="3488" spans="13:14" x14ac:dyDescent="0.35">
      <c r="M3488" s="46">
        <v>0.20210001483899689</v>
      </c>
      <c r="N3488" s="46">
        <v>0</v>
      </c>
    </row>
    <row r="3489" spans="13:14" x14ac:dyDescent="0.35">
      <c r="M3489" s="46">
        <v>0.2761725033387743</v>
      </c>
      <c r="N3489" s="46">
        <v>0</v>
      </c>
    </row>
    <row r="3490" spans="13:14" x14ac:dyDescent="0.35">
      <c r="M3490" s="46">
        <v>0.37907055943018253</v>
      </c>
      <c r="N3490" s="46">
        <v>0</v>
      </c>
    </row>
    <row r="3491" spans="13:14" x14ac:dyDescent="0.35">
      <c r="M3491" s="46">
        <v>0.5109685413266063</v>
      </c>
      <c r="N3491" s="46">
        <v>0</v>
      </c>
    </row>
    <row r="3492" spans="13:14" x14ac:dyDescent="0.35">
      <c r="M3492" s="46">
        <v>0.61984515506751736</v>
      </c>
      <c r="N3492" s="46">
        <v>0</v>
      </c>
    </row>
    <row r="3493" spans="13:14" x14ac:dyDescent="0.35">
      <c r="M3493" s="46">
        <v>0.69956788841074347</v>
      </c>
      <c r="N3493" s="46">
        <v>0</v>
      </c>
    </row>
    <row r="3494" spans="13:14" x14ac:dyDescent="0.35">
      <c r="M3494" s="46">
        <v>0.75384968096156701</v>
      </c>
      <c r="N3494" s="46">
        <v>0</v>
      </c>
    </row>
    <row r="3495" spans="13:14" x14ac:dyDescent="0.35">
      <c r="M3495" s="46">
        <v>0.78188202997477374</v>
      </c>
      <c r="N3495" s="46">
        <v>0</v>
      </c>
    </row>
    <row r="3496" spans="13:14" x14ac:dyDescent="0.35">
      <c r="M3496" s="46">
        <v>0.78525508235643271</v>
      </c>
      <c r="N3496" s="46">
        <v>0</v>
      </c>
    </row>
    <row r="3497" spans="13:14" x14ac:dyDescent="0.35">
      <c r="M3497" s="46">
        <v>0.74337594598605128</v>
      </c>
      <c r="N3497" s="46">
        <v>0</v>
      </c>
    </row>
    <row r="3498" spans="13:14" x14ac:dyDescent="0.35">
      <c r="M3498" s="46">
        <v>0.6552222881733194</v>
      </c>
      <c r="N3498" s="46">
        <v>0</v>
      </c>
    </row>
    <row r="3499" spans="13:14" x14ac:dyDescent="0.35">
      <c r="M3499" s="46">
        <v>0.51576784389375285</v>
      </c>
      <c r="N3499" s="46">
        <v>0</v>
      </c>
    </row>
    <row r="3500" spans="13:14" x14ac:dyDescent="0.35">
      <c r="M3500" s="46">
        <v>0.33277236978780234</v>
      </c>
      <c r="N3500" s="46">
        <v>0</v>
      </c>
    </row>
    <row r="3501" spans="13:14" x14ac:dyDescent="0.35">
      <c r="M3501" s="46">
        <v>0.17176138893010834</v>
      </c>
      <c r="N3501" s="46">
        <v>0</v>
      </c>
    </row>
    <row r="3502" spans="13:14" x14ac:dyDescent="0.35">
      <c r="M3502" s="46">
        <v>9.7934856803680068E-2</v>
      </c>
      <c r="N3502" s="46">
        <v>0</v>
      </c>
    </row>
    <row r="3503" spans="13:14" x14ac:dyDescent="0.35">
      <c r="M3503" s="46">
        <v>7.9317183558391458E-2</v>
      </c>
      <c r="N3503" s="46">
        <v>0</v>
      </c>
    </row>
    <row r="3504" spans="13:14" x14ac:dyDescent="0.35">
      <c r="M3504" s="46">
        <v>7.3105579462828307E-2</v>
      </c>
      <c r="N3504" s="46">
        <v>0</v>
      </c>
    </row>
    <row r="3505" spans="13:14" x14ac:dyDescent="0.35">
      <c r="M3505" s="46">
        <v>8.7601943908591787E-2</v>
      </c>
      <c r="N3505" s="46">
        <v>0</v>
      </c>
    </row>
    <row r="3506" spans="13:14" x14ac:dyDescent="0.35">
      <c r="M3506" s="46">
        <v>0.1097390562397982</v>
      </c>
      <c r="N3506" s="46">
        <v>0</v>
      </c>
    </row>
    <row r="3507" spans="13:14" x14ac:dyDescent="0.35">
      <c r="M3507" s="46">
        <v>0.11570960083098383</v>
      </c>
      <c r="N3507" s="46">
        <v>0</v>
      </c>
    </row>
    <row r="3508" spans="13:14" x14ac:dyDescent="0.35">
      <c r="M3508" s="46">
        <v>0.10631273185932631</v>
      </c>
      <c r="N3508" s="46">
        <v>0</v>
      </c>
    </row>
    <row r="3509" spans="13:14" x14ac:dyDescent="0.35">
      <c r="M3509" s="46">
        <v>9.3562843151802938E-2</v>
      </c>
      <c r="N3509" s="46">
        <v>0</v>
      </c>
    </row>
    <row r="3510" spans="13:14" x14ac:dyDescent="0.35">
      <c r="M3510" s="46">
        <v>8.2048671909778909E-2</v>
      </c>
      <c r="N3510" s="46">
        <v>0</v>
      </c>
    </row>
    <row r="3511" spans="13:14" x14ac:dyDescent="0.35">
      <c r="M3511" s="46">
        <v>6.9634663896720572E-2</v>
      </c>
      <c r="N3511" s="46">
        <v>0</v>
      </c>
    </row>
    <row r="3512" spans="13:14" x14ac:dyDescent="0.35">
      <c r="M3512" s="46">
        <v>6.9566330316070638E-2</v>
      </c>
      <c r="N3512" s="46">
        <v>0</v>
      </c>
    </row>
    <row r="3513" spans="13:14" x14ac:dyDescent="0.35">
      <c r="M3513" s="46">
        <v>0.12678201513577683</v>
      </c>
      <c r="N3513" s="46">
        <v>0</v>
      </c>
    </row>
    <row r="3514" spans="13:14" x14ac:dyDescent="0.35">
      <c r="M3514" s="46">
        <v>0.22356722065588366</v>
      </c>
      <c r="N3514" s="46">
        <v>0</v>
      </c>
    </row>
    <row r="3515" spans="13:14" x14ac:dyDescent="0.35">
      <c r="M3515" s="46">
        <v>0.35840554978483458</v>
      </c>
      <c r="N3515" s="46">
        <v>0</v>
      </c>
    </row>
    <row r="3516" spans="13:14" x14ac:dyDescent="0.35">
      <c r="M3516" s="46">
        <v>0.48275115002225855</v>
      </c>
      <c r="N3516" s="46">
        <v>0</v>
      </c>
    </row>
    <row r="3517" spans="13:14" x14ac:dyDescent="0.35">
      <c r="M3517" s="46">
        <v>0.57219802641341444</v>
      </c>
      <c r="N3517" s="46">
        <v>0</v>
      </c>
    </row>
    <row r="3518" spans="13:14" x14ac:dyDescent="0.35">
      <c r="M3518" s="46">
        <v>0.64433602908443399</v>
      </c>
      <c r="N3518" s="46">
        <v>0</v>
      </c>
    </row>
    <row r="3519" spans="13:14" x14ac:dyDescent="0.35">
      <c r="M3519" s="46">
        <v>0.68035494880546077</v>
      </c>
      <c r="N3519" s="46">
        <v>0</v>
      </c>
    </row>
    <row r="3520" spans="13:14" x14ac:dyDescent="0.35">
      <c r="M3520" s="46">
        <v>0.68638774298857397</v>
      </c>
      <c r="N3520" s="46">
        <v>0</v>
      </c>
    </row>
    <row r="3521" spans="13:14" x14ac:dyDescent="0.35">
      <c r="M3521" s="46">
        <v>0.63418289063659294</v>
      </c>
      <c r="N3521" s="46">
        <v>0</v>
      </c>
    </row>
    <row r="3522" spans="13:14" x14ac:dyDescent="0.35">
      <c r="M3522" s="46">
        <v>0.54204481377058911</v>
      </c>
      <c r="N3522" s="46">
        <v>0</v>
      </c>
    </row>
    <row r="3523" spans="13:14" x14ac:dyDescent="0.35">
      <c r="M3523" s="46">
        <v>0.41283165158035318</v>
      </c>
      <c r="N3523" s="46">
        <v>0</v>
      </c>
    </row>
    <row r="3524" spans="13:14" x14ac:dyDescent="0.35">
      <c r="M3524" s="46">
        <v>0.2519225404362665</v>
      </c>
      <c r="N3524" s="46">
        <v>0</v>
      </c>
    </row>
    <row r="3525" spans="13:14" x14ac:dyDescent="0.35">
      <c r="M3525" s="46">
        <v>0.11185665529010239</v>
      </c>
      <c r="N3525" s="46">
        <v>0</v>
      </c>
    </row>
    <row r="3526" spans="13:14" x14ac:dyDescent="0.35">
      <c r="M3526" s="46">
        <v>5.0526190829499926E-2</v>
      </c>
      <c r="N3526" s="46">
        <v>0</v>
      </c>
    </row>
    <row r="3527" spans="13:14" x14ac:dyDescent="0.35">
      <c r="M3527" s="46">
        <v>4.4251891972102685E-2</v>
      </c>
      <c r="N3527" s="46">
        <v>0</v>
      </c>
    </row>
    <row r="3528" spans="13:14" x14ac:dyDescent="0.35">
      <c r="M3528" s="46">
        <v>4.3424321115892568E-2</v>
      </c>
      <c r="N3528" s="46">
        <v>0</v>
      </c>
    </row>
    <row r="3529" spans="13:14" x14ac:dyDescent="0.35">
      <c r="M3529" s="46">
        <v>4.1941682742246619E-2</v>
      </c>
      <c r="N3529" s="46">
        <v>0</v>
      </c>
    </row>
    <row r="3530" spans="13:14" x14ac:dyDescent="0.35">
      <c r="M3530" s="46">
        <v>4.5197878023445617E-2</v>
      </c>
      <c r="N3530" s="46">
        <v>0</v>
      </c>
    </row>
    <row r="3531" spans="13:14" x14ac:dyDescent="0.35">
      <c r="M3531" s="46">
        <v>5.0961344413117671E-2</v>
      </c>
      <c r="N3531" s="46">
        <v>0</v>
      </c>
    </row>
    <row r="3532" spans="13:14" x14ac:dyDescent="0.35">
      <c r="M3532" s="46">
        <v>5.9839813028639263E-2</v>
      </c>
      <c r="N3532" s="46">
        <v>0</v>
      </c>
    </row>
    <row r="3533" spans="13:14" x14ac:dyDescent="0.35">
      <c r="M3533" s="46">
        <v>6.9248553197803833E-2</v>
      </c>
      <c r="N3533" s="46">
        <v>0</v>
      </c>
    </row>
    <row r="3534" spans="13:14" x14ac:dyDescent="0.35">
      <c r="M3534" s="46">
        <v>7.0682000296779943E-2</v>
      </c>
      <c r="N3534" s="46">
        <v>0</v>
      </c>
    </row>
    <row r="3535" spans="13:14" x14ac:dyDescent="0.35">
      <c r="M3535" s="46">
        <v>6.7741059504377504E-2</v>
      </c>
      <c r="N3535" s="46">
        <v>0</v>
      </c>
    </row>
    <row r="3536" spans="13:14" x14ac:dyDescent="0.35">
      <c r="M3536" s="46">
        <v>7.6316960973438194E-2</v>
      </c>
      <c r="N3536" s="46">
        <v>0</v>
      </c>
    </row>
    <row r="3537" spans="13:14" x14ac:dyDescent="0.35">
      <c r="M3537" s="46">
        <v>0.1546837067814216</v>
      </c>
      <c r="N3537" s="46">
        <v>0</v>
      </c>
    </row>
    <row r="3538" spans="13:14" x14ac:dyDescent="0.35">
      <c r="M3538" s="46">
        <v>0.30807471434931</v>
      </c>
      <c r="N3538" s="46">
        <v>0</v>
      </c>
    </row>
    <row r="3539" spans="13:14" x14ac:dyDescent="0.35">
      <c r="M3539" s="46">
        <v>0.47821531384478411</v>
      </c>
      <c r="N3539" s="46">
        <v>0</v>
      </c>
    </row>
    <row r="3540" spans="13:14" x14ac:dyDescent="0.35">
      <c r="M3540" s="46">
        <v>0.6167377207300786</v>
      </c>
      <c r="N3540" s="46">
        <v>0</v>
      </c>
    </row>
    <row r="3541" spans="13:14" x14ac:dyDescent="0.35">
      <c r="M3541" s="46">
        <v>0.71064082208042734</v>
      </c>
      <c r="N3541" s="46">
        <v>0</v>
      </c>
    </row>
    <row r="3542" spans="13:14" x14ac:dyDescent="0.35">
      <c r="M3542" s="46">
        <v>0.75376398575456294</v>
      </c>
      <c r="N3542" s="46">
        <v>0</v>
      </c>
    </row>
    <row r="3543" spans="13:14" x14ac:dyDescent="0.35">
      <c r="M3543" s="46">
        <v>0.75057946282831278</v>
      </c>
      <c r="N3543" s="46">
        <v>0</v>
      </c>
    </row>
    <row r="3544" spans="13:14" x14ac:dyDescent="0.35">
      <c r="M3544" s="46">
        <v>0.71719765543849234</v>
      </c>
      <c r="N3544" s="46">
        <v>0</v>
      </c>
    </row>
    <row r="3545" spans="13:14" x14ac:dyDescent="0.35">
      <c r="M3545" s="46">
        <v>0.69429870900727109</v>
      </c>
      <c r="N3545" s="46">
        <v>0</v>
      </c>
    </row>
    <row r="3546" spans="13:14" x14ac:dyDescent="0.35">
      <c r="M3546" s="46">
        <v>0.62793181480931881</v>
      </c>
      <c r="N3546" s="46">
        <v>0</v>
      </c>
    </row>
    <row r="3547" spans="13:14" x14ac:dyDescent="0.35">
      <c r="M3547" s="46">
        <v>0.51829715091259831</v>
      </c>
      <c r="N3547" s="46">
        <v>0</v>
      </c>
    </row>
    <row r="3548" spans="13:14" x14ac:dyDescent="0.35">
      <c r="M3548" s="46">
        <v>0.3710306425285651</v>
      </c>
      <c r="N3548" s="46">
        <v>0</v>
      </c>
    </row>
    <row r="3549" spans="13:14" x14ac:dyDescent="0.35">
      <c r="M3549" s="46">
        <v>0.24816018697136075</v>
      </c>
      <c r="N3549" s="46">
        <v>0</v>
      </c>
    </row>
    <row r="3550" spans="13:14" x14ac:dyDescent="0.35">
      <c r="M3550" s="46">
        <v>0.20810802789731414</v>
      </c>
      <c r="N3550" s="46">
        <v>0</v>
      </c>
    </row>
    <row r="3551" spans="13:14" x14ac:dyDescent="0.35">
      <c r="M3551" s="46">
        <v>0.23172021071375576</v>
      </c>
      <c r="N3551" s="46">
        <v>0</v>
      </c>
    </row>
    <row r="3552" spans="13:14" x14ac:dyDescent="0.35">
      <c r="M3552" s="46">
        <v>0.25488996883810655</v>
      </c>
      <c r="N3552" s="46">
        <v>0</v>
      </c>
    </row>
    <row r="3553" spans="13:14" x14ac:dyDescent="0.35">
      <c r="M3553" s="46">
        <v>0.28913807686600385</v>
      </c>
      <c r="N3553" s="46">
        <v>0</v>
      </c>
    </row>
    <row r="3554" spans="13:14" x14ac:dyDescent="0.35">
      <c r="M3554" s="46">
        <v>0.30427786021664932</v>
      </c>
      <c r="N3554" s="46">
        <v>0</v>
      </c>
    </row>
    <row r="3555" spans="13:14" x14ac:dyDescent="0.35">
      <c r="M3555" s="46">
        <v>0.30202426175990504</v>
      </c>
      <c r="N3555" s="46">
        <v>0</v>
      </c>
    </row>
    <row r="3556" spans="13:14" x14ac:dyDescent="0.35">
      <c r="M3556" s="46">
        <v>0.29245184745511205</v>
      </c>
      <c r="N3556" s="46">
        <v>0</v>
      </c>
    </row>
    <row r="3557" spans="13:14" x14ac:dyDescent="0.35">
      <c r="M3557" s="46">
        <v>0.28503739427214719</v>
      </c>
      <c r="N3557" s="46">
        <v>0</v>
      </c>
    </row>
    <row r="3558" spans="13:14" x14ac:dyDescent="0.35">
      <c r="M3558" s="46">
        <v>0.27389071078795074</v>
      </c>
      <c r="N3558" s="46">
        <v>0</v>
      </c>
    </row>
    <row r="3559" spans="13:14" x14ac:dyDescent="0.35">
      <c r="M3559" s="46">
        <v>0.25604110402136815</v>
      </c>
      <c r="N3559" s="46">
        <v>0</v>
      </c>
    </row>
    <row r="3560" spans="13:14" x14ac:dyDescent="0.35">
      <c r="M3560" s="46">
        <v>0.25193344709897614</v>
      </c>
      <c r="N3560" s="46">
        <v>0</v>
      </c>
    </row>
    <row r="3561" spans="13:14" x14ac:dyDescent="0.35">
      <c r="M3561" s="46">
        <v>0.3055997922540436</v>
      </c>
      <c r="N3561" s="46">
        <v>0</v>
      </c>
    </row>
    <row r="3562" spans="13:14" x14ac:dyDescent="0.35">
      <c r="M3562" s="46">
        <v>0.40438907849829347</v>
      </c>
      <c r="N3562" s="46">
        <v>0</v>
      </c>
    </row>
    <row r="3563" spans="13:14" x14ac:dyDescent="0.35">
      <c r="M3563" s="46">
        <v>0.54690532719988127</v>
      </c>
      <c r="N3563" s="46">
        <v>0</v>
      </c>
    </row>
    <row r="3564" spans="13:14" x14ac:dyDescent="0.35">
      <c r="M3564" s="46">
        <v>0.68097729633476778</v>
      </c>
      <c r="N3564" s="46">
        <v>0</v>
      </c>
    </row>
    <row r="3565" spans="13:14" x14ac:dyDescent="0.35">
      <c r="M3565" s="46">
        <v>0.78435346490577229</v>
      </c>
      <c r="N3565" s="46">
        <v>0</v>
      </c>
    </row>
    <row r="3566" spans="13:14" x14ac:dyDescent="0.35">
      <c r="M3566" s="46">
        <v>0.81580894791512093</v>
      </c>
      <c r="N3566" s="46">
        <v>0</v>
      </c>
    </row>
    <row r="3567" spans="13:14" x14ac:dyDescent="0.35">
      <c r="M3567" s="46">
        <v>0.80698582875797598</v>
      </c>
      <c r="N3567" s="46">
        <v>0</v>
      </c>
    </row>
    <row r="3568" spans="13:14" x14ac:dyDescent="0.35">
      <c r="M3568" s="46">
        <v>0.76801491319186821</v>
      </c>
      <c r="N3568" s="46">
        <v>0</v>
      </c>
    </row>
    <row r="3569" spans="13:14" x14ac:dyDescent="0.35">
      <c r="M3569" s="46">
        <v>0.71924840480783503</v>
      </c>
      <c r="N3569" s="46">
        <v>0</v>
      </c>
    </row>
    <row r="3570" spans="13:14" x14ac:dyDescent="0.35">
      <c r="M3570" s="46">
        <v>0.64143626650838403</v>
      </c>
      <c r="N3570" s="46">
        <v>0</v>
      </c>
    </row>
    <row r="3571" spans="13:14" x14ac:dyDescent="0.35">
      <c r="M3571" s="46">
        <v>0.54184070336845225</v>
      </c>
      <c r="N3571" s="46">
        <v>0</v>
      </c>
    </row>
    <row r="3572" spans="13:14" x14ac:dyDescent="0.35">
      <c r="M3572" s="46">
        <v>0.43181621902359402</v>
      </c>
      <c r="N3572" s="46">
        <v>0</v>
      </c>
    </row>
    <row r="3573" spans="13:14" x14ac:dyDescent="0.35">
      <c r="M3573" s="46">
        <v>0.32374773705297522</v>
      </c>
      <c r="N3573" s="46">
        <v>0</v>
      </c>
    </row>
    <row r="3574" spans="13:14" x14ac:dyDescent="0.35">
      <c r="M3574" s="46">
        <v>0.26695162487015878</v>
      </c>
      <c r="N3574" s="46">
        <v>0</v>
      </c>
    </row>
    <row r="3575" spans="13:14" x14ac:dyDescent="0.35">
      <c r="M3575" s="46">
        <v>0.26624365632883218</v>
      </c>
      <c r="N3575" s="46">
        <v>0</v>
      </c>
    </row>
    <row r="3576" spans="13:14" x14ac:dyDescent="0.35">
      <c r="M3576" s="46">
        <v>0.26314735123905625</v>
      </c>
      <c r="N3576" s="46">
        <v>0</v>
      </c>
    </row>
    <row r="3577" spans="13:14" x14ac:dyDescent="0.35">
      <c r="M3577" s="46">
        <v>0.28225938566552899</v>
      </c>
      <c r="N3577" s="46">
        <v>0</v>
      </c>
    </row>
    <row r="3578" spans="13:14" x14ac:dyDescent="0.35">
      <c r="M3578" s="46">
        <v>0.29963095414749963</v>
      </c>
      <c r="N3578" s="46">
        <v>0</v>
      </c>
    </row>
    <row r="3579" spans="13:14" x14ac:dyDescent="0.35">
      <c r="M3579" s="46">
        <v>0.30192676955037839</v>
      </c>
      <c r="N3579" s="46">
        <v>0</v>
      </c>
    </row>
    <row r="3580" spans="13:14" x14ac:dyDescent="0.35">
      <c r="M3580" s="46">
        <v>0.29654585250037097</v>
      </c>
      <c r="N3580" s="46">
        <v>0</v>
      </c>
    </row>
    <row r="3581" spans="13:14" x14ac:dyDescent="0.35">
      <c r="M3581" s="46">
        <v>0.28058398872236234</v>
      </c>
      <c r="N3581" s="46">
        <v>0</v>
      </c>
    </row>
    <row r="3582" spans="13:14" x14ac:dyDescent="0.35">
      <c r="M3582" s="46">
        <v>0.26497136073601424</v>
      </c>
      <c r="N3582" s="46">
        <v>0</v>
      </c>
    </row>
    <row r="3583" spans="13:14" x14ac:dyDescent="0.35">
      <c r="M3583" s="46">
        <v>0.24784419053272</v>
      </c>
      <c r="N3583" s="46">
        <v>0</v>
      </c>
    </row>
    <row r="3584" spans="13:14" x14ac:dyDescent="0.35">
      <c r="M3584" s="46">
        <v>0.2452967057426918</v>
      </c>
      <c r="N3584" s="46">
        <v>0</v>
      </c>
    </row>
    <row r="3585" spans="13:14" x14ac:dyDescent="0.35">
      <c r="M3585" s="46">
        <v>0.30596319928772814</v>
      </c>
      <c r="N3585" s="46">
        <v>0</v>
      </c>
    </row>
    <row r="3586" spans="13:14" x14ac:dyDescent="0.35">
      <c r="M3586" s="46">
        <v>0.4103532423208191</v>
      </c>
      <c r="N3586" s="46">
        <v>0</v>
      </c>
    </row>
    <row r="3587" spans="13:14" x14ac:dyDescent="0.35">
      <c r="M3587" s="46">
        <v>0.52505787208784682</v>
      </c>
      <c r="N3587" s="46">
        <v>0</v>
      </c>
    </row>
    <row r="3588" spans="13:14" x14ac:dyDescent="0.35">
      <c r="M3588" s="46">
        <v>0.60104525894049565</v>
      </c>
      <c r="N3588" s="46">
        <v>0</v>
      </c>
    </row>
    <row r="3589" spans="13:14" x14ac:dyDescent="0.35">
      <c r="M3589" s="46">
        <v>0.63615707078201511</v>
      </c>
      <c r="N3589" s="46">
        <v>0</v>
      </c>
    </row>
    <row r="3590" spans="13:14" x14ac:dyDescent="0.35">
      <c r="M3590" s="46">
        <v>0.60894190532719983</v>
      </c>
      <c r="N3590" s="46">
        <v>0</v>
      </c>
    </row>
    <row r="3591" spans="13:14" x14ac:dyDescent="0.35">
      <c r="M3591" s="46">
        <v>0.56048345451847459</v>
      </c>
      <c r="N3591" s="46">
        <v>0</v>
      </c>
    </row>
    <row r="3592" spans="13:14" x14ac:dyDescent="0.35">
      <c r="M3592" s="46">
        <v>0.50359311470544588</v>
      </c>
      <c r="N3592" s="46">
        <v>0</v>
      </c>
    </row>
    <row r="3593" spans="13:14" x14ac:dyDescent="0.35">
      <c r="M3593" s="46">
        <v>0.50059615669980706</v>
      </c>
      <c r="N3593" s="46">
        <v>0</v>
      </c>
    </row>
    <row r="3594" spans="13:14" x14ac:dyDescent="0.35">
      <c r="M3594" s="46">
        <v>0.47355816886778457</v>
      </c>
      <c r="N3594" s="46">
        <v>0</v>
      </c>
    </row>
    <row r="3595" spans="13:14" x14ac:dyDescent="0.35">
      <c r="M3595" s="46">
        <v>0.41205668496809617</v>
      </c>
      <c r="N3595" s="46">
        <v>0</v>
      </c>
    </row>
    <row r="3596" spans="13:14" x14ac:dyDescent="0.35">
      <c r="M3596" s="46">
        <v>0.30533558391452736</v>
      </c>
      <c r="N3596" s="46">
        <v>0</v>
      </c>
    </row>
    <row r="3597" spans="13:14" x14ac:dyDescent="0.35">
      <c r="M3597" s="46">
        <v>0.20974595637334917</v>
      </c>
      <c r="N3597" s="46">
        <v>0</v>
      </c>
    </row>
    <row r="3598" spans="13:14" x14ac:dyDescent="0.35">
      <c r="M3598" s="46">
        <v>0.18370188455260425</v>
      </c>
      <c r="N3598" s="46">
        <v>0</v>
      </c>
    </row>
    <row r="3599" spans="13:14" x14ac:dyDescent="0.35">
      <c r="M3599" s="46">
        <v>0.18665276747291884</v>
      </c>
      <c r="N3599" s="46">
        <v>0</v>
      </c>
    </row>
    <row r="3600" spans="13:14" x14ac:dyDescent="0.35">
      <c r="M3600" s="46">
        <v>0.13986155215907406</v>
      </c>
      <c r="N3600" s="46">
        <v>0</v>
      </c>
    </row>
    <row r="3601" spans="13:14" x14ac:dyDescent="0.35">
      <c r="M3601" s="46">
        <v>0.10241096601869715</v>
      </c>
      <c r="N3601" s="46">
        <v>0</v>
      </c>
    </row>
    <row r="3602" spans="13:14" x14ac:dyDescent="0.35">
      <c r="M3602" s="46">
        <v>7.5108398872236234E-2</v>
      </c>
      <c r="N3602" s="46">
        <v>0</v>
      </c>
    </row>
    <row r="3603" spans="13:14" x14ac:dyDescent="0.35">
      <c r="M3603" s="46">
        <v>6.7328312806054308E-2</v>
      </c>
      <c r="N3603" s="46">
        <v>0</v>
      </c>
    </row>
    <row r="3604" spans="13:14" x14ac:dyDescent="0.35">
      <c r="M3604" s="46">
        <v>6.6001112924766278E-2</v>
      </c>
      <c r="N3604" s="46">
        <v>0</v>
      </c>
    </row>
    <row r="3605" spans="13:14" x14ac:dyDescent="0.35">
      <c r="M3605" s="46">
        <v>6.5456966909036948E-2</v>
      </c>
      <c r="N3605" s="46">
        <v>0</v>
      </c>
    </row>
    <row r="3606" spans="13:14" x14ac:dyDescent="0.35">
      <c r="M3606" s="46">
        <v>6.1407107879507344E-2</v>
      </c>
      <c r="N3606" s="46">
        <v>0</v>
      </c>
    </row>
    <row r="3607" spans="13:14" x14ac:dyDescent="0.35">
      <c r="M3607" s="46">
        <v>5.7204332987090073E-2</v>
      </c>
      <c r="N3607" s="46">
        <v>0</v>
      </c>
    </row>
    <row r="3608" spans="13:14" x14ac:dyDescent="0.35">
      <c r="M3608" s="46">
        <v>6.2653954592669536E-2</v>
      </c>
      <c r="N3608" s="46">
        <v>0</v>
      </c>
    </row>
    <row r="3609" spans="13:14" x14ac:dyDescent="0.35">
      <c r="M3609" s="46">
        <v>0.1164123757234011</v>
      </c>
      <c r="N3609" s="46">
        <v>0</v>
      </c>
    </row>
    <row r="3610" spans="13:14" x14ac:dyDescent="0.35">
      <c r="M3610" s="46">
        <v>0.20566100311618934</v>
      </c>
      <c r="N3610" s="46">
        <v>0</v>
      </c>
    </row>
    <row r="3611" spans="13:14" x14ac:dyDescent="0.35">
      <c r="M3611" s="46">
        <v>0.32254933966463867</v>
      </c>
      <c r="N3611" s="46">
        <v>0</v>
      </c>
    </row>
    <row r="3612" spans="13:14" x14ac:dyDescent="0.35">
      <c r="M3612" s="46">
        <v>0.43149317406143345</v>
      </c>
      <c r="N3612" s="46">
        <v>0</v>
      </c>
    </row>
    <row r="3613" spans="13:14" x14ac:dyDescent="0.35">
      <c r="M3613" s="46">
        <v>0.5116667161299896</v>
      </c>
      <c r="N3613" s="46">
        <v>0</v>
      </c>
    </row>
    <row r="3614" spans="13:14" x14ac:dyDescent="0.35">
      <c r="M3614" s="46">
        <v>0.51331154473957552</v>
      </c>
      <c r="N3614" s="46">
        <v>0</v>
      </c>
    </row>
    <row r="3615" spans="13:14" x14ac:dyDescent="0.35">
      <c r="M3615" s="46">
        <v>0.48966285799079984</v>
      </c>
      <c r="N3615" s="46">
        <v>0</v>
      </c>
    </row>
    <row r="3616" spans="13:14" x14ac:dyDescent="0.35">
      <c r="M3616" s="46">
        <v>0.45105475589850125</v>
      </c>
      <c r="N3616" s="46">
        <v>0</v>
      </c>
    </row>
    <row r="3617" spans="13:14" x14ac:dyDescent="0.35">
      <c r="M3617" s="46">
        <v>0.47954956224959189</v>
      </c>
      <c r="N3617" s="46">
        <v>0</v>
      </c>
    </row>
    <row r="3618" spans="13:14" x14ac:dyDescent="0.35">
      <c r="M3618" s="46">
        <v>0.52838306870455554</v>
      </c>
      <c r="N3618" s="46">
        <v>0</v>
      </c>
    </row>
    <row r="3619" spans="13:14" x14ac:dyDescent="0.35">
      <c r="M3619" s="46">
        <v>0.60807634663896726</v>
      </c>
      <c r="N3619" s="46">
        <v>0</v>
      </c>
    </row>
    <row r="3620" spans="13:14" x14ac:dyDescent="0.35">
      <c r="M3620" s="46">
        <v>0.56982630954147495</v>
      </c>
      <c r="N3620" s="46">
        <v>0</v>
      </c>
    </row>
    <row r="3621" spans="13:14" x14ac:dyDescent="0.35">
      <c r="M3621" s="46">
        <v>0.48876539545926695</v>
      </c>
      <c r="N3621" s="46">
        <v>0</v>
      </c>
    </row>
    <row r="3622" spans="13:14" x14ac:dyDescent="0.35">
      <c r="M3622" s="46">
        <v>0.45525827274076269</v>
      </c>
      <c r="N3622" s="46">
        <v>0</v>
      </c>
    </row>
    <row r="3623" spans="13:14" x14ac:dyDescent="0.35">
      <c r="M3623" s="46">
        <v>0.45012264430924465</v>
      </c>
      <c r="N3623" s="46">
        <v>0</v>
      </c>
    </row>
    <row r="3624" spans="13:14" x14ac:dyDescent="0.35">
      <c r="M3624" s="46">
        <v>0.42102277786021663</v>
      </c>
      <c r="N3624" s="46">
        <v>0</v>
      </c>
    </row>
    <row r="3625" spans="13:14" x14ac:dyDescent="0.35">
      <c r="M3625" s="46">
        <v>0.41175018548746106</v>
      </c>
      <c r="N3625" s="46">
        <v>0</v>
      </c>
    </row>
    <row r="3626" spans="13:14" x14ac:dyDescent="0.35">
      <c r="M3626" s="46">
        <v>0.45884463570262651</v>
      </c>
      <c r="N3626" s="46">
        <v>0</v>
      </c>
    </row>
    <row r="3627" spans="13:14" x14ac:dyDescent="0.35">
      <c r="M3627" s="46">
        <v>0.46263310580204775</v>
      </c>
      <c r="N3627" s="46">
        <v>0</v>
      </c>
    </row>
    <row r="3628" spans="13:14" x14ac:dyDescent="0.35">
      <c r="M3628" s="46">
        <v>0.46889249146757678</v>
      </c>
      <c r="N3628" s="46">
        <v>0</v>
      </c>
    </row>
    <row r="3629" spans="13:14" x14ac:dyDescent="0.35">
      <c r="M3629" s="46">
        <v>0.48023059801157442</v>
      </c>
      <c r="N3629" s="46">
        <v>0</v>
      </c>
    </row>
    <row r="3630" spans="13:14" x14ac:dyDescent="0.35">
      <c r="M3630" s="46">
        <v>0.49676183410001484</v>
      </c>
      <c r="N3630" s="46">
        <v>0</v>
      </c>
    </row>
    <row r="3631" spans="13:14" x14ac:dyDescent="0.35">
      <c r="M3631" s="46">
        <v>0.51346483157738543</v>
      </c>
      <c r="N3631" s="46">
        <v>0</v>
      </c>
    </row>
    <row r="3632" spans="13:14" x14ac:dyDescent="0.35">
      <c r="M3632" s="46">
        <v>0.53800556462383142</v>
      </c>
      <c r="N3632" s="46">
        <v>0</v>
      </c>
    </row>
    <row r="3633" spans="13:14" x14ac:dyDescent="0.35">
      <c r="M3633" s="46">
        <v>0.60446779937676209</v>
      </c>
      <c r="N3633" s="46">
        <v>0</v>
      </c>
    </row>
    <row r="3634" spans="13:14" x14ac:dyDescent="0.35">
      <c r="M3634" s="46">
        <v>0.71085902952960389</v>
      </c>
      <c r="N3634" s="46">
        <v>0</v>
      </c>
    </row>
    <row r="3635" spans="13:14" x14ac:dyDescent="0.35">
      <c r="M3635" s="46">
        <v>0.82401201958747583</v>
      </c>
      <c r="N3635" s="46">
        <v>0</v>
      </c>
    </row>
    <row r="3636" spans="13:14" x14ac:dyDescent="0.35">
      <c r="M3636" s="46">
        <v>0.91310802789731416</v>
      </c>
      <c r="N3636" s="46">
        <v>0</v>
      </c>
    </row>
    <row r="3637" spans="13:14" x14ac:dyDescent="0.35">
      <c r="M3637" s="46">
        <v>0.9727998219320374</v>
      </c>
      <c r="N3637" s="46">
        <v>0</v>
      </c>
    </row>
    <row r="3638" spans="13:14" x14ac:dyDescent="0.35">
      <c r="M3638" s="46">
        <v>1</v>
      </c>
      <c r="N3638" s="46">
        <v>1.8543789979619914E-2</v>
      </c>
    </row>
    <row r="3639" spans="13:14" x14ac:dyDescent="0.35">
      <c r="M3639" s="46">
        <v>1</v>
      </c>
      <c r="N3639" s="46">
        <v>5.2355903542096738E-2</v>
      </c>
    </row>
    <row r="3640" spans="13:14" x14ac:dyDescent="0.35">
      <c r="M3640" s="46">
        <v>1</v>
      </c>
      <c r="N3640" s="46">
        <v>6.2443738728521485E-2</v>
      </c>
    </row>
    <row r="3641" spans="13:14" x14ac:dyDescent="0.35">
      <c r="M3641" s="46">
        <v>1</v>
      </c>
      <c r="N3641" s="46">
        <v>7.772204895584392E-2</v>
      </c>
    </row>
    <row r="3642" spans="13:14" x14ac:dyDescent="0.35">
      <c r="M3642" s="46">
        <v>1</v>
      </c>
      <c r="N3642" s="46">
        <v>3.831141912031627E-2</v>
      </c>
    </row>
    <row r="3643" spans="13:14" x14ac:dyDescent="0.35">
      <c r="M3643" s="46">
        <v>0.95089879804125244</v>
      </c>
      <c r="N3643" s="46">
        <v>0</v>
      </c>
    </row>
    <row r="3644" spans="13:14" x14ac:dyDescent="0.35">
      <c r="M3644" s="46">
        <v>0.82526183410001486</v>
      </c>
      <c r="N3644" s="46">
        <v>0</v>
      </c>
    </row>
    <row r="3645" spans="13:14" x14ac:dyDescent="0.35">
      <c r="M3645" s="46">
        <v>0.71177281495770883</v>
      </c>
      <c r="N3645" s="46">
        <v>0</v>
      </c>
    </row>
    <row r="3646" spans="13:14" x14ac:dyDescent="0.35">
      <c r="M3646" s="46">
        <v>0.65797076717613878</v>
      </c>
      <c r="N3646" s="46">
        <v>0</v>
      </c>
    </row>
    <row r="3647" spans="13:14" x14ac:dyDescent="0.35">
      <c r="M3647" s="46">
        <v>0.65128646683484204</v>
      </c>
      <c r="N3647" s="46">
        <v>0</v>
      </c>
    </row>
    <row r="3648" spans="13:14" x14ac:dyDescent="0.35">
      <c r="M3648" s="46">
        <v>0.65017918088737203</v>
      </c>
      <c r="N3648" s="46">
        <v>0</v>
      </c>
    </row>
    <row r="3649" spans="13:14" x14ac:dyDescent="0.35">
      <c r="M3649" s="46">
        <v>0.65046075085324229</v>
      </c>
      <c r="N3649" s="46">
        <v>0</v>
      </c>
    </row>
    <row r="3650" spans="13:14" x14ac:dyDescent="0.35">
      <c r="M3650" s="46">
        <v>0.647641638225256</v>
      </c>
      <c r="N3650" s="46">
        <v>0</v>
      </c>
    </row>
    <row r="3651" spans="13:14" x14ac:dyDescent="0.35">
      <c r="M3651" s="46">
        <v>0.64148916753227481</v>
      </c>
      <c r="N3651" s="46">
        <v>0</v>
      </c>
    </row>
    <row r="3652" spans="13:14" x14ac:dyDescent="0.35">
      <c r="M3652" s="46">
        <v>0.63412939605282681</v>
      </c>
      <c r="N3652" s="46">
        <v>0</v>
      </c>
    </row>
    <row r="3653" spans="13:14" x14ac:dyDescent="0.35">
      <c r="M3653" s="46">
        <v>0.62772139783350644</v>
      </c>
      <c r="N3653" s="46">
        <v>0</v>
      </c>
    </row>
    <row r="3654" spans="13:14" x14ac:dyDescent="0.35">
      <c r="M3654" s="46">
        <v>0.62549510313102841</v>
      </c>
      <c r="N3654" s="46">
        <v>0</v>
      </c>
    </row>
    <row r="3655" spans="13:14" x14ac:dyDescent="0.35">
      <c r="M3655" s="46">
        <v>0.62013317999703221</v>
      </c>
      <c r="N3655" s="46">
        <v>0</v>
      </c>
    </row>
    <row r="3656" spans="13:14" x14ac:dyDescent="0.35">
      <c r="M3656" s="46">
        <v>0.61901350348716433</v>
      </c>
      <c r="N3656" s="46">
        <v>0</v>
      </c>
    </row>
    <row r="3657" spans="13:14" x14ac:dyDescent="0.35">
      <c r="M3657" s="46">
        <v>0.66863770589108174</v>
      </c>
      <c r="N3657" s="46">
        <v>0</v>
      </c>
    </row>
    <row r="3658" spans="13:14" x14ac:dyDescent="0.35">
      <c r="M3658" s="46">
        <v>0.77140925953405548</v>
      </c>
      <c r="N3658" s="46">
        <v>0</v>
      </c>
    </row>
    <row r="3659" spans="13:14" x14ac:dyDescent="0.35">
      <c r="M3659" s="46">
        <v>0.88111173764653505</v>
      </c>
      <c r="N3659" s="46">
        <v>0</v>
      </c>
    </row>
    <row r="3660" spans="13:14" x14ac:dyDescent="0.35">
      <c r="M3660" s="46">
        <v>0.96033513874462095</v>
      </c>
      <c r="N3660" s="46">
        <v>0</v>
      </c>
    </row>
    <row r="3661" spans="13:14" x14ac:dyDescent="0.35">
      <c r="M3661" s="46">
        <v>1</v>
      </c>
      <c r="N3661" s="46">
        <v>1.3937580232035203E-2</v>
      </c>
    </row>
    <row r="3662" spans="13:14" x14ac:dyDescent="0.35">
      <c r="M3662" s="46">
        <v>1</v>
      </c>
      <c r="N3662" s="46">
        <v>0.10510803996783444</v>
      </c>
    </row>
    <row r="3663" spans="13:14" x14ac:dyDescent="0.35">
      <c r="M3663" s="46">
        <v>1</v>
      </c>
      <c r="N3663" s="46">
        <v>0.1802543543996773</v>
      </c>
    </row>
    <row r="3664" spans="13:14" x14ac:dyDescent="0.35">
      <c r="M3664" s="46">
        <v>1</v>
      </c>
      <c r="N3664" s="46">
        <v>0.23221563147901775</v>
      </c>
    </row>
    <row r="3665" spans="13:14" x14ac:dyDescent="0.35">
      <c r="M3665" s="46">
        <v>1</v>
      </c>
      <c r="N3665" s="46">
        <v>0.19739479117339168</v>
      </c>
    </row>
    <row r="3666" spans="13:14" x14ac:dyDescent="0.35">
      <c r="M3666" s="46">
        <v>1</v>
      </c>
      <c r="N3666" s="46">
        <v>8.909087870603899E-2</v>
      </c>
    </row>
    <row r="3667" spans="13:14" x14ac:dyDescent="0.35">
      <c r="M3667" s="46">
        <v>0.94517101943908588</v>
      </c>
      <c r="N3667" s="46">
        <v>0</v>
      </c>
    </row>
    <row r="3668" spans="13:14" x14ac:dyDescent="0.35">
      <c r="M3668" s="46">
        <v>0.82791252411336991</v>
      </c>
      <c r="N3668" s="46">
        <v>0</v>
      </c>
    </row>
    <row r="3669" spans="13:14" x14ac:dyDescent="0.35">
      <c r="M3669" s="46">
        <v>0.70803680071227182</v>
      </c>
      <c r="N3669" s="46">
        <v>0</v>
      </c>
    </row>
    <row r="3670" spans="13:14" x14ac:dyDescent="0.35">
      <c r="M3670" s="46">
        <v>0.65552700697432853</v>
      </c>
      <c r="N3670" s="46">
        <v>0</v>
      </c>
    </row>
    <row r="3671" spans="13:14" x14ac:dyDescent="0.35">
      <c r="M3671" s="46">
        <v>0.64694442795667007</v>
      </c>
      <c r="N3671" s="46">
        <v>0</v>
      </c>
    </row>
    <row r="3672" spans="13:14" x14ac:dyDescent="0.35">
      <c r="M3672" s="46">
        <v>0.63671991393381799</v>
      </c>
      <c r="N3672" s="46">
        <v>0</v>
      </c>
    </row>
    <row r="3673" spans="13:14" x14ac:dyDescent="0.35">
      <c r="M3673" s="46">
        <v>0.63161485383588079</v>
      </c>
      <c r="N3673" s="46">
        <v>0</v>
      </c>
    </row>
    <row r="3674" spans="13:14" x14ac:dyDescent="0.35">
      <c r="M3674" s="46">
        <v>0.62438559133402571</v>
      </c>
      <c r="N3674" s="46">
        <v>0</v>
      </c>
    </row>
    <row r="3675" spans="13:14" x14ac:dyDescent="0.35">
      <c r="M3675" s="46">
        <v>0.61845770885888118</v>
      </c>
      <c r="N3675" s="46">
        <v>0</v>
      </c>
    </row>
    <row r="3676" spans="13:14" x14ac:dyDescent="0.35">
      <c r="M3676" s="46">
        <v>0.60487498145125396</v>
      </c>
      <c r="N3676" s="46">
        <v>0</v>
      </c>
    </row>
    <row r="3677" spans="13:14" x14ac:dyDescent="0.35">
      <c r="M3677" s="46">
        <v>0.59689842706633034</v>
      </c>
      <c r="N3677" s="46">
        <v>0</v>
      </c>
    </row>
    <row r="3678" spans="13:14" x14ac:dyDescent="0.35">
      <c r="M3678" s="46">
        <v>0.59251854874610477</v>
      </c>
      <c r="N3678" s="46">
        <v>0</v>
      </c>
    </row>
    <row r="3679" spans="13:14" x14ac:dyDescent="0.35">
      <c r="M3679" s="46">
        <v>0.58743122124944358</v>
      </c>
      <c r="N3679" s="46">
        <v>0</v>
      </c>
    </row>
    <row r="3680" spans="13:14" x14ac:dyDescent="0.35">
      <c r="M3680" s="46">
        <v>0.59156900133550971</v>
      </c>
      <c r="N3680" s="46">
        <v>0</v>
      </c>
    </row>
    <row r="3681" spans="13:14" x14ac:dyDescent="0.35">
      <c r="M3681" s="46">
        <v>0.64292550823564332</v>
      </c>
      <c r="N3681" s="46">
        <v>0</v>
      </c>
    </row>
    <row r="3682" spans="13:14" x14ac:dyDescent="0.35">
      <c r="M3682" s="46">
        <v>0.75384315180293815</v>
      </c>
      <c r="N3682" s="46">
        <v>0</v>
      </c>
    </row>
    <row r="3683" spans="13:14" x14ac:dyDescent="0.35">
      <c r="M3683" s="46">
        <v>0.87370566849680964</v>
      </c>
      <c r="N3683" s="46">
        <v>0</v>
      </c>
    </row>
    <row r="3684" spans="13:14" x14ac:dyDescent="0.35">
      <c r="M3684" s="46">
        <v>0.95948182222881739</v>
      </c>
      <c r="N3684" s="46">
        <v>0</v>
      </c>
    </row>
    <row r="3685" spans="13:14" x14ac:dyDescent="0.35">
      <c r="M3685" s="46">
        <v>1</v>
      </c>
      <c r="N3685" s="46">
        <v>9.6466305754154512E-3</v>
      </c>
    </row>
    <row r="3686" spans="13:14" x14ac:dyDescent="0.35">
      <c r="M3686" s="46">
        <v>1</v>
      </c>
      <c r="N3686" s="46">
        <v>5.8604310826872369E-2</v>
      </c>
    </row>
    <row r="3687" spans="13:14" x14ac:dyDescent="0.35">
      <c r="M3687" s="46">
        <v>1</v>
      </c>
      <c r="N3687" s="46">
        <v>8.0917435121286116E-2</v>
      </c>
    </row>
    <row r="3688" spans="13:14" x14ac:dyDescent="0.35">
      <c r="M3688" s="46">
        <v>1</v>
      </c>
      <c r="N3688" s="46">
        <v>9.8122619499163538E-2</v>
      </c>
    </row>
    <row r="3689" spans="13:14" x14ac:dyDescent="0.35">
      <c r="M3689" s="46">
        <v>1</v>
      </c>
      <c r="N3689" s="46">
        <v>8.6359712914761216E-2</v>
      </c>
    </row>
    <row r="3690" spans="13:14" x14ac:dyDescent="0.35">
      <c r="M3690" s="46">
        <v>1</v>
      </c>
      <c r="N3690" s="46">
        <v>2.6123201803478092E-2</v>
      </c>
    </row>
    <row r="3691" spans="13:14" x14ac:dyDescent="0.35">
      <c r="M3691" s="46">
        <v>0.92391348864816736</v>
      </c>
      <c r="N3691" s="46">
        <v>0</v>
      </c>
    </row>
    <row r="3692" spans="13:14" x14ac:dyDescent="0.35">
      <c r="M3692" s="46">
        <v>0.78493953108769854</v>
      </c>
      <c r="N3692" s="46">
        <v>0</v>
      </c>
    </row>
    <row r="3693" spans="13:14" x14ac:dyDescent="0.35">
      <c r="M3693" s="46">
        <v>0.6568502745214424</v>
      </c>
      <c r="N3693" s="46">
        <v>0</v>
      </c>
    </row>
    <row r="3694" spans="13:14" x14ac:dyDescent="0.35">
      <c r="M3694" s="46">
        <v>0.59961937972993029</v>
      </c>
      <c r="N3694" s="46">
        <v>0</v>
      </c>
    </row>
    <row r="3695" spans="13:14" x14ac:dyDescent="0.35">
      <c r="M3695" s="46">
        <v>0.58285932630954151</v>
      </c>
      <c r="N3695" s="46">
        <v>0</v>
      </c>
    </row>
    <row r="3696" spans="13:14" x14ac:dyDescent="0.35">
      <c r="M3696" s="46">
        <v>0.54981532868378102</v>
      </c>
      <c r="N3696" s="46">
        <v>0</v>
      </c>
    </row>
    <row r="3697" spans="13:14" x14ac:dyDescent="0.35">
      <c r="M3697" s="46">
        <v>0.53910276005342039</v>
      </c>
      <c r="N3697" s="46">
        <v>0</v>
      </c>
    </row>
    <row r="3698" spans="13:14" x14ac:dyDescent="0.35">
      <c r="M3698" s="46">
        <v>0.51973838848493836</v>
      </c>
      <c r="N3698" s="46">
        <v>0</v>
      </c>
    </row>
    <row r="3699" spans="13:14" x14ac:dyDescent="0.35">
      <c r="M3699" s="46">
        <v>0.50636986199732903</v>
      </c>
      <c r="N3699" s="46">
        <v>0</v>
      </c>
    </row>
    <row r="3700" spans="13:14" x14ac:dyDescent="0.35">
      <c r="M3700" s="46">
        <v>0.47906922392046303</v>
      </c>
      <c r="N3700" s="46">
        <v>0</v>
      </c>
    </row>
    <row r="3701" spans="13:14" x14ac:dyDescent="0.35">
      <c r="M3701" s="46">
        <v>0.44321152990057872</v>
      </c>
      <c r="N3701" s="46">
        <v>0</v>
      </c>
    </row>
    <row r="3702" spans="13:14" x14ac:dyDescent="0.35">
      <c r="M3702" s="46">
        <v>0.40425730820596528</v>
      </c>
      <c r="N3702" s="46">
        <v>0</v>
      </c>
    </row>
    <row r="3703" spans="13:14" x14ac:dyDescent="0.35">
      <c r="M3703" s="46">
        <v>0.35882957412078947</v>
      </c>
      <c r="N3703" s="46">
        <v>0</v>
      </c>
    </row>
    <row r="3704" spans="13:14" x14ac:dyDescent="0.35">
      <c r="M3704" s="46">
        <v>0.33696750259682445</v>
      </c>
      <c r="N3704" s="46">
        <v>0</v>
      </c>
    </row>
    <row r="3705" spans="13:14" x14ac:dyDescent="0.35">
      <c r="M3705" s="46">
        <v>0.37005876242765989</v>
      </c>
      <c r="N3705" s="46">
        <v>0</v>
      </c>
    </row>
    <row r="3706" spans="13:14" x14ac:dyDescent="0.35">
      <c r="M3706" s="46">
        <v>0.48196987683632586</v>
      </c>
      <c r="N3706" s="46">
        <v>0</v>
      </c>
    </row>
    <row r="3707" spans="13:14" x14ac:dyDescent="0.35">
      <c r="M3707" s="46">
        <v>0.60613392194687643</v>
      </c>
      <c r="N3707" s="46">
        <v>0</v>
      </c>
    </row>
    <row r="3708" spans="13:14" x14ac:dyDescent="0.35">
      <c r="M3708" s="46">
        <v>0.69441163377355697</v>
      </c>
      <c r="N3708" s="46">
        <v>0</v>
      </c>
    </row>
    <row r="3709" spans="13:14" x14ac:dyDescent="0.35">
      <c r="M3709" s="46">
        <v>0.74989820448137712</v>
      </c>
      <c r="N3709" s="46">
        <v>0</v>
      </c>
    </row>
    <row r="3710" spans="13:14" x14ac:dyDescent="0.35">
      <c r="M3710" s="46">
        <v>0.79899643864074787</v>
      </c>
      <c r="N3710" s="46">
        <v>0</v>
      </c>
    </row>
    <row r="3711" spans="13:14" x14ac:dyDescent="0.35">
      <c r="M3711" s="46">
        <v>0.82749272889152692</v>
      </c>
      <c r="N3711" s="46">
        <v>0</v>
      </c>
    </row>
    <row r="3712" spans="13:14" x14ac:dyDescent="0.35">
      <c r="M3712" s="46">
        <v>0.84920284908740173</v>
      </c>
      <c r="N3712" s="46">
        <v>0</v>
      </c>
    </row>
    <row r="3713" spans="13:14" x14ac:dyDescent="0.35">
      <c r="M3713" s="46">
        <v>0.85219928772814946</v>
      </c>
      <c r="N3713" s="46">
        <v>0</v>
      </c>
    </row>
    <row r="3714" spans="13:14" x14ac:dyDescent="0.35">
      <c r="M3714" s="46">
        <v>0.82577852797150919</v>
      </c>
      <c r="N3714" s="46">
        <v>0</v>
      </c>
    </row>
    <row r="3715" spans="13:14" x14ac:dyDescent="0.35">
      <c r="M3715" s="46">
        <v>0.75737483306128495</v>
      </c>
      <c r="N3715" s="46">
        <v>0</v>
      </c>
    </row>
    <row r="3716" spans="13:14" x14ac:dyDescent="0.35">
      <c r="M3716" s="46">
        <v>0.64560706336251672</v>
      </c>
      <c r="N3716" s="46">
        <v>0</v>
      </c>
    </row>
    <row r="3717" spans="13:14" x14ac:dyDescent="0.35">
      <c r="M3717" s="46">
        <v>0.54075137260721173</v>
      </c>
      <c r="N3717" s="46">
        <v>0</v>
      </c>
    </row>
    <row r="3718" spans="13:14" x14ac:dyDescent="0.35">
      <c r="M3718" s="46">
        <v>0.50139301083246768</v>
      </c>
      <c r="N3718" s="46">
        <v>0</v>
      </c>
    </row>
    <row r="3719" spans="13:14" x14ac:dyDescent="0.35">
      <c r="M3719" s="46">
        <v>0.48964163822525597</v>
      </c>
      <c r="N3719" s="46">
        <v>0</v>
      </c>
    </row>
    <row r="3720" spans="13:14" x14ac:dyDescent="0.35">
      <c r="M3720" s="46">
        <v>0.44017747440273042</v>
      </c>
      <c r="N3720" s="46">
        <v>0</v>
      </c>
    </row>
    <row r="3721" spans="13:14" x14ac:dyDescent="0.35">
      <c r="M3721" s="46">
        <v>0.43064304792995994</v>
      </c>
      <c r="N3721" s="46">
        <v>0</v>
      </c>
    </row>
    <row r="3722" spans="13:14" x14ac:dyDescent="0.35">
      <c r="M3722" s="46">
        <v>0.40652055201068404</v>
      </c>
      <c r="N3722" s="46">
        <v>0</v>
      </c>
    </row>
    <row r="3723" spans="13:14" x14ac:dyDescent="0.35">
      <c r="M3723" s="46">
        <v>0.39175471138151058</v>
      </c>
      <c r="N3723" s="46">
        <v>0</v>
      </c>
    </row>
    <row r="3724" spans="13:14" x14ac:dyDescent="0.35">
      <c r="M3724" s="46">
        <v>0.38375500816144831</v>
      </c>
      <c r="N3724" s="46">
        <v>0</v>
      </c>
    </row>
    <row r="3725" spans="13:14" x14ac:dyDescent="0.35">
      <c r="M3725" s="46">
        <v>0.37983677103427804</v>
      </c>
      <c r="N3725" s="46">
        <v>0</v>
      </c>
    </row>
    <row r="3726" spans="13:14" x14ac:dyDescent="0.35">
      <c r="M3726" s="46">
        <v>0.37197581243507938</v>
      </c>
      <c r="N3726" s="46">
        <v>0</v>
      </c>
    </row>
    <row r="3727" spans="13:14" x14ac:dyDescent="0.35">
      <c r="M3727" s="46">
        <v>0.36263763169609736</v>
      </c>
      <c r="N3727" s="46">
        <v>0</v>
      </c>
    </row>
    <row r="3728" spans="13:14" x14ac:dyDescent="0.35">
      <c r="M3728" s="46">
        <v>0.37348256417866149</v>
      </c>
      <c r="N3728" s="46">
        <v>0</v>
      </c>
    </row>
    <row r="3729" spans="13:14" x14ac:dyDescent="0.35">
      <c r="M3729" s="46">
        <v>0.44250756788841078</v>
      </c>
      <c r="N3729" s="46">
        <v>0</v>
      </c>
    </row>
    <row r="3730" spans="13:14" x14ac:dyDescent="0.35">
      <c r="M3730" s="46">
        <v>0.58018890043033089</v>
      </c>
      <c r="N3730" s="46">
        <v>0</v>
      </c>
    </row>
    <row r="3731" spans="13:14" x14ac:dyDescent="0.35">
      <c r="M3731" s="46">
        <v>0.72820292328238601</v>
      </c>
      <c r="N3731" s="46">
        <v>0</v>
      </c>
    </row>
    <row r="3732" spans="13:14" x14ac:dyDescent="0.35">
      <c r="M3732" s="46">
        <v>0.84092573082059652</v>
      </c>
      <c r="N3732" s="46">
        <v>0</v>
      </c>
    </row>
    <row r="3733" spans="13:14" x14ac:dyDescent="0.35">
      <c r="M3733" s="46">
        <v>0.91527036652322302</v>
      </c>
      <c r="N3733" s="46">
        <v>0</v>
      </c>
    </row>
    <row r="3734" spans="13:14" x14ac:dyDescent="0.35">
      <c r="M3734" s="46">
        <v>0.9526980264134145</v>
      </c>
      <c r="N3734" s="46">
        <v>0</v>
      </c>
    </row>
    <row r="3735" spans="13:14" x14ac:dyDescent="0.35">
      <c r="M3735" s="46">
        <v>0.95993545036355543</v>
      </c>
      <c r="N3735" s="46">
        <v>0</v>
      </c>
    </row>
    <row r="3736" spans="13:14" x14ac:dyDescent="0.35">
      <c r="M3736" s="46">
        <v>0.95280338329128955</v>
      </c>
      <c r="N3736" s="46">
        <v>0</v>
      </c>
    </row>
    <row r="3737" spans="13:14" x14ac:dyDescent="0.35">
      <c r="M3737" s="46">
        <v>0.91348278676361483</v>
      </c>
      <c r="N3737" s="46">
        <v>0</v>
      </c>
    </row>
    <row r="3738" spans="13:14" x14ac:dyDescent="0.35">
      <c r="M3738" s="46">
        <v>0.85846208636296195</v>
      </c>
      <c r="N3738" s="46">
        <v>0</v>
      </c>
    </row>
    <row r="3739" spans="13:14" x14ac:dyDescent="0.35">
      <c r="M3739" s="46">
        <v>0.78060736014245435</v>
      </c>
      <c r="N3739" s="46">
        <v>0</v>
      </c>
    </row>
    <row r="3740" spans="13:14" x14ac:dyDescent="0.35">
      <c r="M3740" s="46">
        <v>0.72171776227926987</v>
      </c>
      <c r="N3740" s="46">
        <v>0</v>
      </c>
    </row>
    <row r="3741" spans="13:14" x14ac:dyDescent="0.35">
      <c r="M3741" s="46">
        <v>0.64535747143493105</v>
      </c>
      <c r="N3741" s="46">
        <v>0</v>
      </c>
    </row>
    <row r="3742" spans="13:14" x14ac:dyDescent="0.35">
      <c r="M3742" s="46">
        <v>0.6072076717613889</v>
      </c>
      <c r="N3742" s="46">
        <v>0</v>
      </c>
    </row>
    <row r="3743" spans="13:14" x14ac:dyDescent="0.35">
      <c r="M3743" s="46">
        <v>0.60249836771034282</v>
      </c>
      <c r="N3743" s="46">
        <v>0</v>
      </c>
    </row>
    <row r="3744" spans="13:14" x14ac:dyDescent="0.35">
      <c r="M3744" s="46">
        <v>0.58351506158183708</v>
      </c>
      <c r="N3744" s="46">
        <v>0</v>
      </c>
    </row>
    <row r="3745" spans="13:14" x14ac:dyDescent="0.35">
      <c r="M3745" s="46">
        <v>0.58316493545036352</v>
      </c>
      <c r="N3745" s="46">
        <v>0</v>
      </c>
    </row>
    <row r="3746" spans="13:14" x14ac:dyDescent="0.35">
      <c r="M3746" s="46">
        <v>0.57554852351981012</v>
      </c>
      <c r="N3746" s="46">
        <v>0</v>
      </c>
    </row>
    <row r="3747" spans="13:14" x14ac:dyDescent="0.35">
      <c r="M3747" s="46">
        <v>0.5720406588514616</v>
      </c>
      <c r="N3747" s="46">
        <v>0</v>
      </c>
    </row>
    <row r="3748" spans="13:14" x14ac:dyDescent="0.35">
      <c r="M3748" s="46">
        <v>0.56594776673096903</v>
      </c>
      <c r="N3748" s="46">
        <v>0</v>
      </c>
    </row>
    <row r="3749" spans="13:14" x14ac:dyDescent="0.35">
      <c r="M3749" s="46">
        <v>0.5631730227036652</v>
      </c>
      <c r="N3749" s="46">
        <v>0</v>
      </c>
    </row>
    <row r="3750" spans="13:14" x14ac:dyDescent="0.35">
      <c r="M3750" s="46">
        <v>0.56361819261017954</v>
      </c>
      <c r="N3750" s="46">
        <v>0</v>
      </c>
    </row>
    <row r="3751" spans="13:14" x14ac:dyDescent="0.35">
      <c r="M3751" s="46">
        <v>0.56511329574120783</v>
      </c>
      <c r="N3751" s="46">
        <v>0</v>
      </c>
    </row>
    <row r="3752" spans="13:14" x14ac:dyDescent="0.35">
      <c r="M3752" s="46">
        <v>0.57908042736311027</v>
      </c>
      <c r="N3752" s="46">
        <v>0</v>
      </c>
    </row>
    <row r="3753" spans="13:14" x14ac:dyDescent="0.35">
      <c r="M3753" s="46">
        <v>0.65220411040213677</v>
      </c>
      <c r="N3753" s="46">
        <v>0</v>
      </c>
    </row>
    <row r="3754" spans="13:14" x14ac:dyDescent="0.35">
      <c r="M3754" s="46">
        <v>0.78856581095117972</v>
      </c>
      <c r="N3754" s="46">
        <v>0</v>
      </c>
    </row>
    <row r="3755" spans="13:14" x14ac:dyDescent="0.35">
      <c r="M3755" s="46">
        <v>0.93741326606321418</v>
      </c>
      <c r="N3755" s="46">
        <v>0</v>
      </c>
    </row>
    <row r="3756" spans="13:14" x14ac:dyDescent="0.35">
      <c r="M3756" s="46">
        <v>1</v>
      </c>
      <c r="N3756" s="46">
        <v>7.8382724656314337E-2</v>
      </c>
    </row>
    <row r="3757" spans="13:14" x14ac:dyDescent="0.35">
      <c r="M3757" s="46">
        <v>1</v>
      </c>
      <c r="N3757" s="46">
        <v>0.18166327454986708</v>
      </c>
    </row>
    <row r="3758" spans="13:14" x14ac:dyDescent="0.35">
      <c r="M3758" s="46">
        <v>1</v>
      </c>
      <c r="N3758" s="46">
        <v>0.2342229900506379</v>
      </c>
    </row>
    <row r="3759" spans="13:14" x14ac:dyDescent="0.35">
      <c r="M3759" s="46">
        <v>1</v>
      </c>
      <c r="N3759" s="46">
        <v>0.23849111922818653</v>
      </c>
    </row>
    <row r="3760" spans="13:14" x14ac:dyDescent="0.35">
      <c r="M3760" s="46">
        <v>1</v>
      </c>
      <c r="N3760" s="46">
        <v>0.21326329644684305</v>
      </c>
    </row>
    <row r="3761" spans="13:14" x14ac:dyDescent="0.35">
      <c r="M3761" s="46">
        <v>1</v>
      </c>
      <c r="N3761" s="46">
        <v>0.15507838821866843</v>
      </c>
    </row>
    <row r="3762" spans="13:14" x14ac:dyDescent="0.35">
      <c r="M3762" s="46">
        <v>1</v>
      </c>
      <c r="N3762" s="46">
        <v>4.4596706315667131E-2</v>
      </c>
    </row>
    <row r="3763" spans="13:14" x14ac:dyDescent="0.35">
      <c r="M3763" s="46">
        <v>0.9228209675025969</v>
      </c>
      <c r="N3763" s="46">
        <v>0</v>
      </c>
    </row>
    <row r="3764" spans="13:14" x14ac:dyDescent="0.35">
      <c r="M3764" s="46">
        <v>0.82093975367265171</v>
      </c>
      <c r="N3764" s="46">
        <v>0</v>
      </c>
    </row>
    <row r="3765" spans="13:14" x14ac:dyDescent="0.35">
      <c r="M3765" s="46">
        <v>0.71239798189642389</v>
      </c>
      <c r="N3765" s="46">
        <v>0</v>
      </c>
    </row>
    <row r="3766" spans="13:14" x14ac:dyDescent="0.35">
      <c r="M3766" s="46">
        <v>0.65061945392491471</v>
      </c>
      <c r="N3766" s="46">
        <v>0</v>
      </c>
    </row>
    <row r="3767" spans="13:14" x14ac:dyDescent="0.35">
      <c r="M3767" s="46">
        <v>0.63838418162932187</v>
      </c>
      <c r="N3767" s="46">
        <v>0</v>
      </c>
    </row>
    <row r="3768" spans="13:14" x14ac:dyDescent="0.35">
      <c r="M3768" s="46">
        <v>0.6298395162487016</v>
      </c>
      <c r="N3768" s="46">
        <v>0</v>
      </c>
    </row>
    <row r="3769" spans="13:14" x14ac:dyDescent="0.35">
      <c r="M3769" s="46">
        <v>0.62470722659148237</v>
      </c>
      <c r="N3769" s="46">
        <v>0</v>
      </c>
    </row>
    <row r="3770" spans="13:14" x14ac:dyDescent="0.35">
      <c r="M3770" s="46">
        <v>0.61637728149577087</v>
      </c>
      <c r="N3770" s="46">
        <v>0</v>
      </c>
    </row>
    <row r="3771" spans="13:14" x14ac:dyDescent="0.35">
      <c r="M3771" s="46">
        <v>0.61217435821338484</v>
      </c>
      <c r="N3771" s="46">
        <v>0</v>
      </c>
    </row>
    <row r="3772" spans="13:14" x14ac:dyDescent="0.35">
      <c r="M3772" s="46">
        <v>0.59756937231043183</v>
      </c>
      <c r="N3772" s="46">
        <v>0</v>
      </c>
    </row>
    <row r="3773" spans="13:14" x14ac:dyDescent="0.35">
      <c r="M3773" s="46">
        <v>0.58213770589108171</v>
      </c>
      <c r="N3773" s="46">
        <v>0</v>
      </c>
    </row>
    <row r="3774" spans="13:14" x14ac:dyDescent="0.35">
      <c r="M3774" s="46">
        <v>0.56597403175545336</v>
      </c>
      <c r="N3774" s="46">
        <v>0</v>
      </c>
    </row>
    <row r="3775" spans="13:14" x14ac:dyDescent="0.35">
      <c r="M3775" s="46">
        <v>0.53851320670722658</v>
      </c>
      <c r="N3775" s="46">
        <v>0</v>
      </c>
    </row>
    <row r="3776" spans="13:14" x14ac:dyDescent="0.35">
      <c r="M3776" s="46">
        <v>0.51465061581837068</v>
      </c>
      <c r="N3776" s="46">
        <v>0</v>
      </c>
    </row>
    <row r="3777" spans="13:14" x14ac:dyDescent="0.35">
      <c r="M3777" s="46">
        <v>0.53856440124647575</v>
      </c>
      <c r="N3777" s="46">
        <v>0</v>
      </c>
    </row>
    <row r="3778" spans="13:14" x14ac:dyDescent="0.35">
      <c r="M3778" s="46">
        <v>0.61242454370084576</v>
      </c>
      <c r="N3778" s="46">
        <v>0</v>
      </c>
    </row>
    <row r="3779" spans="13:14" x14ac:dyDescent="0.35">
      <c r="M3779" s="46">
        <v>0.70610624721768811</v>
      </c>
      <c r="N3779" s="46">
        <v>0</v>
      </c>
    </row>
    <row r="3780" spans="13:14" x14ac:dyDescent="0.35">
      <c r="M3780" s="46">
        <v>0.77566916456447543</v>
      </c>
      <c r="N3780" s="46">
        <v>0</v>
      </c>
    </row>
    <row r="3781" spans="13:14" x14ac:dyDescent="0.35">
      <c r="M3781" s="46">
        <v>0.80883254192016618</v>
      </c>
      <c r="N3781" s="46">
        <v>0</v>
      </c>
    </row>
    <row r="3782" spans="13:14" x14ac:dyDescent="0.35">
      <c r="M3782" s="46">
        <v>0.87400682593856649</v>
      </c>
      <c r="N3782" s="46">
        <v>0</v>
      </c>
    </row>
    <row r="3783" spans="13:14" x14ac:dyDescent="0.35">
      <c r="M3783" s="46">
        <v>0.9138703071672355</v>
      </c>
      <c r="N3783" s="46">
        <v>0</v>
      </c>
    </row>
    <row r="3784" spans="13:14" x14ac:dyDescent="0.35">
      <c r="M3784" s="46">
        <v>0.922775337587179</v>
      </c>
      <c r="N3784" s="46">
        <v>0</v>
      </c>
    </row>
    <row r="3785" spans="13:14" x14ac:dyDescent="0.35">
      <c r="M3785" s="46">
        <v>0.8833022703665232</v>
      </c>
      <c r="N3785" s="46">
        <v>0</v>
      </c>
    </row>
    <row r="3786" spans="13:14" x14ac:dyDescent="0.35">
      <c r="M3786" s="46">
        <v>0.8107110847306721</v>
      </c>
      <c r="N3786" s="46">
        <v>0</v>
      </c>
    </row>
    <row r="3787" spans="13:14" x14ac:dyDescent="0.35">
      <c r="M3787" s="46">
        <v>0.6926119602314883</v>
      </c>
      <c r="N3787" s="46">
        <v>0</v>
      </c>
    </row>
    <row r="3788" spans="13:14" x14ac:dyDescent="0.35">
      <c r="M3788" s="46">
        <v>0.53317599050304199</v>
      </c>
      <c r="N3788" s="46">
        <v>0</v>
      </c>
    </row>
    <row r="3789" spans="13:14" x14ac:dyDescent="0.35">
      <c r="M3789" s="46">
        <v>0.38750675174358212</v>
      </c>
      <c r="N3789" s="46">
        <v>0</v>
      </c>
    </row>
    <row r="3790" spans="13:14" x14ac:dyDescent="0.35">
      <c r="M3790" s="46">
        <v>0.30994798931592227</v>
      </c>
      <c r="N3790" s="46">
        <v>0</v>
      </c>
    </row>
    <row r="3791" spans="13:14" x14ac:dyDescent="0.35">
      <c r="M3791" s="46">
        <v>0.28034419053271997</v>
      </c>
      <c r="N3791" s="46">
        <v>0</v>
      </c>
    </row>
    <row r="3792" spans="13:14" x14ac:dyDescent="0.35">
      <c r="M3792" s="46">
        <v>0.24755052678438938</v>
      </c>
      <c r="N3792" s="46">
        <v>0</v>
      </c>
    </row>
    <row r="3793" spans="13:14" x14ac:dyDescent="0.35">
      <c r="M3793" s="46">
        <v>0.24050059355987535</v>
      </c>
      <c r="N3793" s="46">
        <v>0</v>
      </c>
    </row>
    <row r="3794" spans="13:14" x14ac:dyDescent="0.35">
      <c r="M3794" s="46">
        <v>0.22552871345897016</v>
      </c>
      <c r="N3794" s="46">
        <v>0</v>
      </c>
    </row>
    <row r="3795" spans="13:14" x14ac:dyDescent="0.35">
      <c r="M3795" s="46">
        <v>0.21543693426324381</v>
      </c>
      <c r="N3795" s="46">
        <v>0</v>
      </c>
    </row>
    <row r="3796" spans="13:14" x14ac:dyDescent="0.35">
      <c r="M3796" s="46">
        <v>0.19810847306722068</v>
      </c>
      <c r="N3796" s="46">
        <v>0</v>
      </c>
    </row>
    <row r="3797" spans="13:14" x14ac:dyDescent="0.35">
      <c r="M3797" s="46">
        <v>0.17968036800712273</v>
      </c>
      <c r="N3797" s="46">
        <v>0</v>
      </c>
    </row>
    <row r="3798" spans="13:14" x14ac:dyDescent="0.35">
      <c r="M3798" s="46">
        <v>0.15505008161448286</v>
      </c>
      <c r="N3798" s="46">
        <v>0</v>
      </c>
    </row>
    <row r="3799" spans="13:14" x14ac:dyDescent="0.35">
      <c r="M3799" s="46">
        <v>0.12798694168274224</v>
      </c>
      <c r="N3799" s="46">
        <v>0</v>
      </c>
    </row>
    <row r="3800" spans="13:14" x14ac:dyDescent="0.35">
      <c r="M3800" s="46">
        <v>0.11975122421724292</v>
      </c>
      <c r="N3800" s="46">
        <v>0</v>
      </c>
    </row>
    <row r="3801" spans="13:14" x14ac:dyDescent="0.35">
      <c r="M3801" s="46">
        <v>0.16968266805163973</v>
      </c>
      <c r="N3801" s="46">
        <v>0</v>
      </c>
    </row>
    <row r="3802" spans="13:14" x14ac:dyDescent="0.35">
      <c r="M3802" s="46">
        <v>0.27110001483899687</v>
      </c>
      <c r="N3802" s="46">
        <v>0</v>
      </c>
    </row>
    <row r="3803" spans="13:14" x14ac:dyDescent="0.35">
      <c r="M3803" s="46">
        <v>0.40020166196765095</v>
      </c>
      <c r="N3803" s="46">
        <v>0</v>
      </c>
    </row>
    <row r="3804" spans="13:14" x14ac:dyDescent="0.35">
      <c r="M3804" s="46">
        <v>0.51499755156551419</v>
      </c>
      <c r="N3804" s="46">
        <v>0</v>
      </c>
    </row>
    <row r="3805" spans="13:14" x14ac:dyDescent="0.35">
      <c r="M3805" s="46">
        <v>0.59948404807834987</v>
      </c>
      <c r="N3805" s="46">
        <v>0</v>
      </c>
    </row>
    <row r="3806" spans="13:14" x14ac:dyDescent="0.35">
      <c r="M3806" s="46">
        <v>0.63423994657961125</v>
      </c>
      <c r="N3806" s="46">
        <v>0</v>
      </c>
    </row>
    <row r="3807" spans="13:14" x14ac:dyDescent="0.35">
      <c r="M3807" s="46">
        <v>0.63731918682297084</v>
      </c>
      <c r="N3807" s="46">
        <v>0</v>
      </c>
    </row>
    <row r="3808" spans="13:14" x14ac:dyDescent="0.35">
      <c r="M3808" s="46">
        <v>0.628257975960825</v>
      </c>
      <c r="N3808" s="46">
        <v>0</v>
      </c>
    </row>
    <row r="3809" spans="13:14" x14ac:dyDescent="0.35">
      <c r="M3809" s="46">
        <v>0.62082556759163077</v>
      </c>
      <c r="N3809" s="46">
        <v>0</v>
      </c>
    </row>
    <row r="3810" spans="13:14" x14ac:dyDescent="0.35">
      <c r="M3810" s="46">
        <v>0.59347581243507941</v>
      </c>
      <c r="N3810" s="46">
        <v>0</v>
      </c>
    </row>
    <row r="3811" spans="13:14" x14ac:dyDescent="0.35">
      <c r="M3811" s="46">
        <v>0.54502166493545035</v>
      </c>
      <c r="N3811" s="46">
        <v>0</v>
      </c>
    </row>
    <row r="3812" spans="13:14" x14ac:dyDescent="0.35">
      <c r="M3812" s="46">
        <v>0.50160646980264134</v>
      </c>
      <c r="N3812" s="46">
        <v>0</v>
      </c>
    </row>
    <row r="3813" spans="13:14" x14ac:dyDescent="0.35">
      <c r="M3813" s="46">
        <v>0.44044294405698176</v>
      </c>
      <c r="N3813" s="46">
        <v>0</v>
      </c>
    </row>
    <row r="3814" spans="13:14" x14ac:dyDescent="0.35">
      <c r="M3814" s="46">
        <v>0.40720433298709008</v>
      </c>
      <c r="N3814" s="46">
        <v>0</v>
      </c>
    </row>
    <row r="3815" spans="13:14" x14ac:dyDescent="0.35">
      <c r="M3815" s="46">
        <v>0.39934122273334322</v>
      </c>
      <c r="N3815" s="46">
        <v>0</v>
      </c>
    </row>
    <row r="3816" spans="13:14" x14ac:dyDescent="0.35">
      <c r="M3816" s="46">
        <v>0.35743047929959937</v>
      </c>
      <c r="N3816" s="46">
        <v>0</v>
      </c>
    </row>
    <row r="3817" spans="13:14" x14ac:dyDescent="0.35">
      <c r="M3817" s="46">
        <v>0.35213785428105054</v>
      </c>
      <c r="N3817" s="46">
        <v>0</v>
      </c>
    </row>
    <row r="3818" spans="13:14" x14ac:dyDescent="0.35">
      <c r="M3818" s="46">
        <v>0.33535168422614631</v>
      </c>
      <c r="N3818" s="46">
        <v>0</v>
      </c>
    </row>
    <row r="3819" spans="13:14" x14ac:dyDescent="0.35">
      <c r="M3819" s="46">
        <v>0.3200362071523965</v>
      </c>
      <c r="N3819" s="46">
        <v>0</v>
      </c>
    </row>
    <row r="3820" spans="13:14" x14ac:dyDescent="0.35">
      <c r="M3820" s="46">
        <v>0.30432237720730082</v>
      </c>
      <c r="N3820" s="46">
        <v>0</v>
      </c>
    </row>
    <row r="3821" spans="13:14" x14ac:dyDescent="0.35">
      <c r="M3821" s="46">
        <v>0.29121828164416086</v>
      </c>
      <c r="N3821" s="46">
        <v>0</v>
      </c>
    </row>
    <row r="3822" spans="13:14" x14ac:dyDescent="0.35">
      <c r="M3822" s="46">
        <v>0.2806506158183707</v>
      </c>
      <c r="N3822" s="46">
        <v>0</v>
      </c>
    </row>
    <row r="3823" spans="13:14" x14ac:dyDescent="0.35">
      <c r="M3823" s="46">
        <v>0.26767554533313548</v>
      </c>
      <c r="N3823" s="46">
        <v>0</v>
      </c>
    </row>
    <row r="3824" spans="13:14" x14ac:dyDescent="0.35">
      <c r="M3824" s="46">
        <v>0.26007612405401392</v>
      </c>
      <c r="N3824" s="46">
        <v>0</v>
      </c>
    </row>
    <row r="3825" spans="13:14" x14ac:dyDescent="0.35">
      <c r="M3825" s="46">
        <v>0.32120381362219919</v>
      </c>
      <c r="N3825" s="46">
        <v>0</v>
      </c>
    </row>
    <row r="3826" spans="13:14" x14ac:dyDescent="0.35">
      <c r="M3826" s="46">
        <v>0.43879752188752041</v>
      </c>
      <c r="N3826" s="46">
        <v>0</v>
      </c>
    </row>
    <row r="3827" spans="13:14" x14ac:dyDescent="0.35">
      <c r="M3827" s="46">
        <v>0.57407226591482408</v>
      </c>
      <c r="N3827" s="46">
        <v>0</v>
      </c>
    </row>
    <row r="3828" spans="13:14" x14ac:dyDescent="0.35">
      <c r="M3828" s="46">
        <v>0.68165039323341736</v>
      </c>
      <c r="N3828" s="46">
        <v>0</v>
      </c>
    </row>
    <row r="3829" spans="13:14" x14ac:dyDescent="0.35">
      <c r="M3829" s="46">
        <v>0.75498686748775778</v>
      </c>
      <c r="N3829" s="46">
        <v>0</v>
      </c>
    </row>
    <row r="3830" spans="13:14" x14ac:dyDescent="0.35">
      <c r="M3830" s="46">
        <v>0.83004971063956079</v>
      </c>
      <c r="N3830" s="46">
        <v>0</v>
      </c>
    </row>
    <row r="3831" spans="13:14" x14ac:dyDescent="0.35">
      <c r="M3831" s="46">
        <v>0.87508391452737788</v>
      </c>
      <c r="N3831" s="46">
        <v>0</v>
      </c>
    </row>
    <row r="3832" spans="13:14" x14ac:dyDescent="0.35">
      <c r="M3832" s="46">
        <v>0.90406788841074348</v>
      </c>
      <c r="N3832" s="46">
        <v>0</v>
      </c>
    </row>
    <row r="3833" spans="13:14" x14ac:dyDescent="0.35">
      <c r="M3833" s="46">
        <v>0.89520047484790033</v>
      </c>
      <c r="N3833" s="46">
        <v>0</v>
      </c>
    </row>
    <row r="3834" spans="13:14" x14ac:dyDescent="0.35">
      <c r="M3834" s="46">
        <v>0.84852166493545034</v>
      </c>
      <c r="N3834" s="46">
        <v>0</v>
      </c>
    </row>
    <row r="3835" spans="13:14" x14ac:dyDescent="0.35">
      <c r="M3835" s="46">
        <v>0.74618400356135917</v>
      </c>
      <c r="N3835" s="46">
        <v>0</v>
      </c>
    </row>
    <row r="3836" spans="13:14" x14ac:dyDescent="0.35">
      <c r="M3836" s="46">
        <v>0.61365944502151659</v>
      </c>
      <c r="N3836" s="46">
        <v>0</v>
      </c>
    </row>
    <row r="3837" spans="13:14" x14ac:dyDescent="0.35">
      <c r="M3837" s="46">
        <v>0.48163280902211009</v>
      </c>
      <c r="N3837" s="46">
        <v>0</v>
      </c>
    </row>
    <row r="3838" spans="13:14" x14ac:dyDescent="0.35">
      <c r="M3838" s="46">
        <v>0.40679225404362668</v>
      </c>
      <c r="N3838" s="46">
        <v>0</v>
      </c>
    </row>
    <row r="3839" spans="13:14" x14ac:dyDescent="0.35">
      <c r="M3839" s="46">
        <v>0.37061017955186226</v>
      </c>
      <c r="N3839" s="46">
        <v>0</v>
      </c>
    </row>
    <row r="3840" spans="13:14" x14ac:dyDescent="0.35">
      <c r="M3840" s="46">
        <v>0.31411025374684676</v>
      </c>
      <c r="N3840" s="46">
        <v>0</v>
      </c>
    </row>
    <row r="3841" spans="13:14" x14ac:dyDescent="0.35">
      <c r="M3841" s="46">
        <v>0.29402730375426622</v>
      </c>
      <c r="N3841" s="46">
        <v>0</v>
      </c>
    </row>
    <row r="3842" spans="13:14" x14ac:dyDescent="0.35">
      <c r="M3842" s="46">
        <v>0.26966211604095564</v>
      </c>
      <c r="N3842" s="46">
        <v>0</v>
      </c>
    </row>
    <row r="3843" spans="13:14" x14ac:dyDescent="0.35">
      <c r="M3843" s="46">
        <v>0.26224617895830243</v>
      </c>
      <c r="N3843" s="46">
        <v>0</v>
      </c>
    </row>
    <row r="3844" spans="13:14" x14ac:dyDescent="0.35">
      <c r="M3844" s="46">
        <v>0.25986822970767176</v>
      </c>
      <c r="N3844" s="46">
        <v>0</v>
      </c>
    </row>
    <row r="3845" spans="13:14" x14ac:dyDescent="0.35">
      <c r="M3845" s="46">
        <v>0.25964134144531831</v>
      </c>
      <c r="N3845" s="46">
        <v>0</v>
      </c>
    </row>
    <row r="3846" spans="13:14" x14ac:dyDescent="0.35">
      <c r="M3846" s="46">
        <v>0.25814668348419645</v>
      </c>
      <c r="N3846" s="46">
        <v>0</v>
      </c>
    </row>
    <row r="3847" spans="13:14" x14ac:dyDescent="0.35">
      <c r="M3847" s="46">
        <v>0.24924328535391008</v>
      </c>
      <c r="N3847" s="46">
        <v>0</v>
      </c>
    </row>
    <row r="3848" spans="13:14" x14ac:dyDescent="0.35">
      <c r="M3848" s="46">
        <v>0.24507679180887371</v>
      </c>
      <c r="N3848" s="46">
        <v>0</v>
      </c>
    </row>
    <row r="3849" spans="13:14" x14ac:dyDescent="0.35">
      <c r="M3849" s="46">
        <v>0.28984893901172282</v>
      </c>
      <c r="N3849" s="46">
        <v>0</v>
      </c>
    </row>
    <row r="3850" spans="13:14" x14ac:dyDescent="0.35">
      <c r="M3850" s="46">
        <v>0.40026947618341002</v>
      </c>
      <c r="N3850" s="46">
        <v>0</v>
      </c>
    </row>
    <row r="3851" spans="13:14" x14ac:dyDescent="0.35">
      <c r="M3851" s="46">
        <v>0.52315662561210863</v>
      </c>
      <c r="N3851" s="46">
        <v>0</v>
      </c>
    </row>
    <row r="3852" spans="13:14" x14ac:dyDescent="0.35">
      <c r="M3852" s="46">
        <v>0.61804414601572932</v>
      </c>
      <c r="N3852" s="46">
        <v>0</v>
      </c>
    </row>
    <row r="3853" spans="13:14" x14ac:dyDescent="0.35">
      <c r="M3853" s="46">
        <v>0.67780182519661669</v>
      </c>
      <c r="N3853" s="46">
        <v>0</v>
      </c>
    </row>
    <row r="3854" spans="13:14" x14ac:dyDescent="0.35">
      <c r="M3854" s="46">
        <v>0.73387943315031912</v>
      </c>
      <c r="N3854" s="46">
        <v>0</v>
      </c>
    </row>
    <row r="3855" spans="13:14" x14ac:dyDescent="0.35">
      <c r="M3855" s="46">
        <v>0.76865766434189053</v>
      </c>
      <c r="N3855" s="46">
        <v>0</v>
      </c>
    </row>
    <row r="3856" spans="13:14" x14ac:dyDescent="0.35">
      <c r="M3856" s="46">
        <v>0.78758332096750261</v>
      </c>
      <c r="N3856" s="46">
        <v>0</v>
      </c>
    </row>
    <row r="3857" spans="13:14" x14ac:dyDescent="0.35">
      <c r="M3857" s="46">
        <v>0.7962619824899837</v>
      </c>
      <c r="N3857" s="46">
        <v>0</v>
      </c>
    </row>
    <row r="3858" spans="13:14" x14ac:dyDescent="0.35">
      <c r="M3858" s="46">
        <v>0.75526628579907995</v>
      </c>
      <c r="N3858" s="46">
        <v>0</v>
      </c>
    </row>
    <row r="3859" spans="13:14" x14ac:dyDescent="0.35">
      <c r="M3859" s="46">
        <v>0.66311210862145709</v>
      </c>
      <c r="N3859" s="46">
        <v>0</v>
      </c>
    </row>
    <row r="3860" spans="13:14" x14ac:dyDescent="0.35">
      <c r="M3860" s="46">
        <v>0.51911915714497703</v>
      </c>
      <c r="N3860" s="46">
        <v>0</v>
      </c>
    </row>
    <row r="3861" spans="13:14" x14ac:dyDescent="0.35">
      <c r="M3861" s="46">
        <v>0.38204436860068264</v>
      </c>
      <c r="N3861" s="46">
        <v>0</v>
      </c>
    </row>
    <row r="3862" spans="13:14" x14ac:dyDescent="0.35">
      <c r="M3862" s="46">
        <v>0.32075923727556016</v>
      </c>
      <c r="N3862" s="46">
        <v>0</v>
      </c>
    </row>
    <row r="3863" spans="13:14" x14ac:dyDescent="0.35">
      <c r="M3863" s="46">
        <v>0.29889701736162638</v>
      </c>
      <c r="N3863" s="46">
        <v>0</v>
      </c>
    </row>
    <row r="3864" spans="13:14" x14ac:dyDescent="0.35">
      <c r="M3864" s="46">
        <v>0.27855297521887518</v>
      </c>
      <c r="N3864" s="46">
        <v>0</v>
      </c>
    </row>
    <row r="3865" spans="13:14" x14ac:dyDescent="0.35">
      <c r="M3865" s="46">
        <v>0.28638826235346487</v>
      </c>
      <c r="N3865" s="46">
        <v>0</v>
      </c>
    </row>
    <row r="3866" spans="13:14" x14ac:dyDescent="0.35">
      <c r="M3866" s="46">
        <v>0.28551417124202405</v>
      </c>
      <c r="N3866" s="46">
        <v>0</v>
      </c>
    </row>
    <row r="3867" spans="13:14" x14ac:dyDescent="0.35">
      <c r="M3867" s="46">
        <v>0.28503783944205369</v>
      </c>
      <c r="N3867" s="46">
        <v>0</v>
      </c>
    </row>
    <row r="3868" spans="13:14" x14ac:dyDescent="0.35">
      <c r="M3868" s="46">
        <v>0.27538536874907255</v>
      </c>
      <c r="N3868" s="46">
        <v>0</v>
      </c>
    </row>
    <row r="3869" spans="13:14" x14ac:dyDescent="0.35">
      <c r="M3869" s="46">
        <v>0.25551610031161892</v>
      </c>
      <c r="N3869" s="46">
        <v>0</v>
      </c>
    </row>
    <row r="3870" spans="13:14" x14ac:dyDescent="0.35">
      <c r="M3870" s="46">
        <v>0.2266926843745363</v>
      </c>
      <c r="N3870" s="46">
        <v>0</v>
      </c>
    </row>
    <row r="3871" spans="13:14" x14ac:dyDescent="0.35">
      <c r="M3871" s="46">
        <v>0.19634493248256418</v>
      </c>
      <c r="N3871" s="46">
        <v>0</v>
      </c>
    </row>
    <row r="3872" spans="13:14" x14ac:dyDescent="0.35">
      <c r="M3872" s="46">
        <v>0.17547217688084285</v>
      </c>
      <c r="N3872" s="46">
        <v>0</v>
      </c>
    </row>
    <row r="3873" spans="13:14" x14ac:dyDescent="0.35">
      <c r="M3873" s="46">
        <v>0.22037787505564624</v>
      </c>
      <c r="N3873" s="46">
        <v>0</v>
      </c>
    </row>
    <row r="3874" spans="13:14" x14ac:dyDescent="0.35">
      <c r="M3874" s="46">
        <v>0.31600882920314588</v>
      </c>
      <c r="N3874" s="46">
        <v>0</v>
      </c>
    </row>
    <row r="3875" spans="13:14" x14ac:dyDescent="0.35">
      <c r="M3875" s="46">
        <v>0.43919401988425583</v>
      </c>
      <c r="N3875" s="46">
        <v>0</v>
      </c>
    </row>
    <row r="3876" spans="13:14" x14ac:dyDescent="0.35">
      <c r="M3876" s="46">
        <v>0.54724165306425288</v>
      </c>
      <c r="N3876" s="46">
        <v>0</v>
      </c>
    </row>
    <row r="3877" spans="13:14" x14ac:dyDescent="0.35">
      <c r="M3877" s="46">
        <v>0.62308636296186382</v>
      </c>
      <c r="N3877" s="46">
        <v>0</v>
      </c>
    </row>
    <row r="3878" spans="13:14" x14ac:dyDescent="0.35">
      <c r="M3878" s="46">
        <v>0.6750895533461938</v>
      </c>
      <c r="N3878" s="46">
        <v>0</v>
      </c>
    </row>
    <row r="3879" spans="13:14" x14ac:dyDescent="0.35">
      <c r="M3879" s="46">
        <v>0.70113562843151811</v>
      </c>
      <c r="N3879" s="46">
        <v>0</v>
      </c>
    </row>
    <row r="3880" spans="13:14" x14ac:dyDescent="0.35">
      <c r="M3880" s="46">
        <v>0.70621078795073444</v>
      </c>
      <c r="N3880" s="46">
        <v>0</v>
      </c>
    </row>
    <row r="3881" spans="13:14" x14ac:dyDescent="0.35">
      <c r="M3881" s="46">
        <v>0.68793916011277634</v>
      </c>
      <c r="N3881" s="46">
        <v>0</v>
      </c>
    </row>
    <row r="3882" spans="13:14" x14ac:dyDescent="0.35">
      <c r="M3882" s="46">
        <v>0.63932208042736305</v>
      </c>
      <c r="N3882" s="46">
        <v>0</v>
      </c>
    </row>
    <row r="3883" spans="13:14" x14ac:dyDescent="0.35">
      <c r="M3883" s="46">
        <v>0.5481125537913637</v>
      </c>
      <c r="N3883" s="46">
        <v>0</v>
      </c>
    </row>
    <row r="3884" spans="13:14" x14ac:dyDescent="0.35">
      <c r="M3884" s="46">
        <v>0.42035413266063215</v>
      </c>
      <c r="N3884" s="46">
        <v>0</v>
      </c>
    </row>
    <row r="3885" spans="13:14" x14ac:dyDescent="0.35">
      <c r="M3885" s="46">
        <v>0.29556247217688081</v>
      </c>
      <c r="N3885" s="46">
        <v>0</v>
      </c>
    </row>
    <row r="3886" spans="13:14" x14ac:dyDescent="0.35">
      <c r="M3886" s="46">
        <v>0.23113933818073898</v>
      </c>
      <c r="N3886" s="46">
        <v>0</v>
      </c>
    </row>
    <row r="3887" spans="13:14" x14ac:dyDescent="0.35">
      <c r="M3887" s="46">
        <v>0.20434790028194094</v>
      </c>
      <c r="N3887" s="46">
        <v>0</v>
      </c>
    </row>
    <row r="3888" spans="13:14" x14ac:dyDescent="0.35">
      <c r="M3888" s="46">
        <v>0.18255260424395311</v>
      </c>
      <c r="N3888" s="46">
        <v>0</v>
      </c>
    </row>
    <row r="3889" spans="13:14" x14ac:dyDescent="0.35">
      <c r="M3889" s="46">
        <v>0.17722414304792997</v>
      </c>
      <c r="N3889" s="46">
        <v>0</v>
      </c>
    </row>
    <row r="3890" spans="13:14" x14ac:dyDescent="0.35">
      <c r="M3890" s="46">
        <v>0.16727615373200769</v>
      </c>
      <c r="N3890" s="46">
        <v>0</v>
      </c>
    </row>
    <row r="3891" spans="13:14" x14ac:dyDescent="0.35">
      <c r="M3891" s="46">
        <v>0.16113740911114408</v>
      </c>
      <c r="N3891" s="46">
        <v>0</v>
      </c>
    </row>
    <row r="3892" spans="13:14" x14ac:dyDescent="0.35">
      <c r="M3892" s="46">
        <v>0.15161997328980562</v>
      </c>
      <c r="N3892" s="46">
        <v>0</v>
      </c>
    </row>
    <row r="3893" spans="13:14" x14ac:dyDescent="0.35">
      <c r="M3893" s="46">
        <v>0.13906403027155365</v>
      </c>
      <c r="N3893" s="46">
        <v>0</v>
      </c>
    </row>
    <row r="3894" spans="13:14" x14ac:dyDescent="0.35">
      <c r="M3894" s="46">
        <v>0.12435643270514914</v>
      </c>
      <c r="N3894" s="46">
        <v>0</v>
      </c>
    </row>
    <row r="3895" spans="13:14" x14ac:dyDescent="0.35">
      <c r="M3895" s="46">
        <v>0.10665083840332394</v>
      </c>
      <c r="N3895" s="46">
        <v>0</v>
      </c>
    </row>
    <row r="3896" spans="13:14" x14ac:dyDescent="0.35">
      <c r="M3896" s="46">
        <v>0.10442454370084582</v>
      </c>
      <c r="N3896" s="46">
        <v>0</v>
      </c>
    </row>
    <row r="3897" spans="13:14" x14ac:dyDescent="0.35">
      <c r="M3897" s="46">
        <v>0.16608235643270516</v>
      </c>
      <c r="N3897" s="46">
        <v>0</v>
      </c>
    </row>
    <row r="3898" spans="13:14" x14ac:dyDescent="0.35">
      <c r="M3898" s="46">
        <v>0.29733276450511947</v>
      </c>
      <c r="N3898" s="46">
        <v>0</v>
      </c>
    </row>
    <row r="3899" spans="13:14" x14ac:dyDescent="0.35">
      <c r="M3899" s="46">
        <v>0.45443485680368007</v>
      </c>
      <c r="N3899" s="46">
        <v>0</v>
      </c>
    </row>
    <row r="3900" spans="13:14" x14ac:dyDescent="0.35">
      <c r="M3900" s="46">
        <v>0.59472763021219766</v>
      </c>
      <c r="N3900" s="46">
        <v>0</v>
      </c>
    </row>
    <row r="3901" spans="13:14" x14ac:dyDescent="0.35">
      <c r="M3901" s="46">
        <v>0.70176717613889295</v>
      </c>
      <c r="N3901" s="46">
        <v>0</v>
      </c>
    </row>
    <row r="3902" spans="13:14" x14ac:dyDescent="0.35">
      <c r="M3902" s="46">
        <v>0.79874128208933071</v>
      </c>
      <c r="N3902" s="46">
        <v>0</v>
      </c>
    </row>
    <row r="3903" spans="13:14" x14ac:dyDescent="0.35">
      <c r="M3903" s="46">
        <v>0.87718875204036206</v>
      </c>
      <c r="N3903" s="46">
        <v>0</v>
      </c>
    </row>
    <row r="3904" spans="13:14" x14ac:dyDescent="0.35">
      <c r="M3904" s="46">
        <v>0.93737364594153438</v>
      </c>
      <c r="N3904" s="46">
        <v>0</v>
      </c>
    </row>
    <row r="3905" spans="13:14" x14ac:dyDescent="0.35">
      <c r="M3905" s="46">
        <v>0.96063110253746853</v>
      </c>
      <c r="N3905" s="46">
        <v>0</v>
      </c>
    </row>
    <row r="3906" spans="13:14" x14ac:dyDescent="0.35">
      <c r="M3906" s="46">
        <v>0.92427956670129108</v>
      </c>
      <c r="N3906" s="46">
        <v>0</v>
      </c>
    </row>
    <row r="3907" spans="13:14" x14ac:dyDescent="0.35">
      <c r="M3907" s="46">
        <v>0.83251276153732012</v>
      </c>
      <c r="N3907" s="46">
        <v>0</v>
      </c>
    </row>
    <row r="3908" spans="13:14" x14ac:dyDescent="0.35">
      <c r="M3908" s="46">
        <v>0.69405705594301825</v>
      </c>
      <c r="N3908" s="46">
        <v>0</v>
      </c>
    </row>
    <row r="3909" spans="13:14" x14ac:dyDescent="0.35">
      <c r="M3909" s="46">
        <v>0.56255713013800268</v>
      </c>
      <c r="N3909" s="46">
        <v>0</v>
      </c>
    </row>
    <row r="3910" spans="13:14" x14ac:dyDescent="0.35">
      <c r="M3910" s="46">
        <v>0.49963859623089479</v>
      </c>
      <c r="N3910" s="46">
        <v>0</v>
      </c>
    </row>
    <row r="3911" spans="13:14" x14ac:dyDescent="0.35">
      <c r="M3911" s="46">
        <v>0.4575056388188159</v>
      </c>
      <c r="N3911" s="46">
        <v>0</v>
      </c>
    </row>
    <row r="3912" spans="13:14" x14ac:dyDescent="0.35">
      <c r="M3912" s="46">
        <v>0.37211203442647278</v>
      </c>
      <c r="N3912" s="46">
        <v>0</v>
      </c>
    </row>
    <row r="3913" spans="13:14" x14ac:dyDescent="0.35">
      <c r="M3913" s="46">
        <v>0.31923111737646531</v>
      </c>
      <c r="N3913" s="46">
        <v>0</v>
      </c>
    </row>
    <row r="3914" spans="13:14" x14ac:dyDescent="0.35">
      <c r="M3914" s="46">
        <v>0.26801046149280305</v>
      </c>
      <c r="N3914" s="46">
        <v>0</v>
      </c>
    </row>
    <row r="3915" spans="13:14" x14ac:dyDescent="0.35">
      <c r="M3915" s="46">
        <v>0.25401142602760052</v>
      </c>
      <c r="N3915" s="46">
        <v>0</v>
      </c>
    </row>
    <row r="3916" spans="13:14" x14ac:dyDescent="0.35">
      <c r="M3916" s="46">
        <v>0.25034062917346789</v>
      </c>
      <c r="N3916" s="46">
        <v>0</v>
      </c>
    </row>
    <row r="3917" spans="13:14" x14ac:dyDescent="0.35">
      <c r="M3917" s="46">
        <v>0.24216018697136074</v>
      </c>
      <c r="N3917" s="46">
        <v>0</v>
      </c>
    </row>
    <row r="3918" spans="13:14" x14ac:dyDescent="0.35">
      <c r="M3918" s="46">
        <v>0.2339937676213088</v>
      </c>
      <c r="N3918" s="46">
        <v>0</v>
      </c>
    </row>
    <row r="3919" spans="13:14" x14ac:dyDescent="0.35">
      <c r="M3919" s="46">
        <v>0.22162895088292031</v>
      </c>
      <c r="N3919" s="46">
        <v>0</v>
      </c>
    </row>
    <row r="3920" spans="13:14" x14ac:dyDescent="0.35">
      <c r="M3920" s="46">
        <v>0.22522985606173024</v>
      </c>
      <c r="N3920" s="46">
        <v>0</v>
      </c>
    </row>
    <row r="3921" spans="13:14" x14ac:dyDescent="0.35">
      <c r="M3921" s="46">
        <v>0.28834189048820297</v>
      </c>
      <c r="N3921" s="46">
        <v>0</v>
      </c>
    </row>
    <row r="3922" spans="13:14" x14ac:dyDescent="0.35">
      <c r="M3922" s="46">
        <v>0.39929959934708414</v>
      </c>
      <c r="N3922" s="46">
        <v>0</v>
      </c>
    </row>
    <row r="3923" spans="13:14" x14ac:dyDescent="0.35">
      <c r="M3923" s="46">
        <v>0.51587609437602022</v>
      </c>
      <c r="N3923" s="46">
        <v>0</v>
      </c>
    </row>
    <row r="3924" spans="13:14" x14ac:dyDescent="0.35">
      <c r="M3924" s="46">
        <v>0.59947536726517292</v>
      </c>
      <c r="N3924" s="46">
        <v>0</v>
      </c>
    </row>
    <row r="3925" spans="13:14" x14ac:dyDescent="0.35">
      <c r="M3925" s="46">
        <v>0.64493545036355548</v>
      </c>
      <c r="N3925" s="46">
        <v>0</v>
      </c>
    </row>
    <row r="3926" spans="13:14" x14ac:dyDescent="0.35">
      <c r="M3926" s="46">
        <v>0.69765699658703073</v>
      </c>
      <c r="N3926" s="46">
        <v>0</v>
      </c>
    </row>
    <row r="3927" spans="13:14" x14ac:dyDescent="0.35">
      <c r="M3927" s="46">
        <v>0.72429485086808132</v>
      </c>
      <c r="N3927" s="46">
        <v>0</v>
      </c>
    </row>
    <row r="3928" spans="13:14" x14ac:dyDescent="0.35">
      <c r="M3928" s="46">
        <v>0.72782482564178663</v>
      </c>
      <c r="N3928" s="46">
        <v>0</v>
      </c>
    </row>
    <row r="3929" spans="13:14" x14ac:dyDescent="0.35">
      <c r="M3929" s="46">
        <v>0.73679885739724005</v>
      </c>
      <c r="N3929" s="46">
        <v>0</v>
      </c>
    </row>
    <row r="3930" spans="13:14" x14ac:dyDescent="0.35">
      <c r="M3930" s="46">
        <v>0.70967606469802635</v>
      </c>
      <c r="N3930" s="46">
        <v>0</v>
      </c>
    </row>
    <row r="3931" spans="13:14" x14ac:dyDescent="0.35">
      <c r="M3931" s="46">
        <v>0.63995251520997187</v>
      </c>
      <c r="N3931" s="46">
        <v>0</v>
      </c>
    </row>
    <row r="3932" spans="13:14" x14ac:dyDescent="0.35">
      <c r="M3932" s="46">
        <v>0.52248612553791363</v>
      </c>
      <c r="N3932" s="46">
        <v>0</v>
      </c>
    </row>
    <row r="3933" spans="13:14" x14ac:dyDescent="0.35">
      <c r="M3933" s="46">
        <v>0.40698738685264879</v>
      </c>
      <c r="N3933" s="46">
        <v>0</v>
      </c>
    </row>
    <row r="3934" spans="13:14" x14ac:dyDescent="0.35">
      <c r="M3934" s="46">
        <v>0.34598924172725926</v>
      </c>
      <c r="N3934" s="46">
        <v>0</v>
      </c>
    </row>
    <row r="3935" spans="13:14" x14ac:dyDescent="0.35">
      <c r="M3935" s="46">
        <v>0.32152856506900135</v>
      </c>
      <c r="N3935" s="46">
        <v>0</v>
      </c>
    </row>
    <row r="3936" spans="13:14" x14ac:dyDescent="0.35">
      <c r="M3936" s="46">
        <v>0.27199925805015579</v>
      </c>
      <c r="N3936" s="46">
        <v>0</v>
      </c>
    </row>
    <row r="3937" spans="13:14" x14ac:dyDescent="0.35">
      <c r="M3937" s="46">
        <v>0.26377311173764656</v>
      </c>
      <c r="N3937" s="46">
        <v>0</v>
      </c>
    </row>
    <row r="3938" spans="13:14" x14ac:dyDescent="0.35">
      <c r="M3938" s="46">
        <v>0.24426873423356579</v>
      </c>
      <c r="N3938" s="46">
        <v>0</v>
      </c>
    </row>
    <row r="3939" spans="13:14" x14ac:dyDescent="0.35">
      <c r="M3939" s="46">
        <v>0.24764497699955484</v>
      </c>
      <c r="N3939" s="46">
        <v>0</v>
      </c>
    </row>
    <row r="3940" spans="13:14" x14ac:dyDescent="0.35">
      <c r="M3940" s="46">
        <v>0.25865825790176583</v>
      </c>
      <c r="N3940" s="46">
        <v>0</v>
      </c>
    </row>
    <row r="3941" spans="13:14" x14ac:dyDescent="0.35">
      <c r="M3941" s="46">
        <v>0.27569023594005049</v>
      </c>
      <c r="N3941" s="46">
        <v>0</v>
      </c>
    </row>
    <row r="3942" spans="13:14" x14ac:dyDescent="0.35">
      <c r="M3942" s="46">
        <v>0.29087461047633179</v>
      </c>
      <c r="N3942" s="46">
        <v>0</v>
      </c>
    </row>
    <row r="3943" spans="13:14" x14ac:dyDescent="0.35">
      <c r="M3943" s="46">
        <v>0.29208458228223771</v>
      </c>
      <c r="N3943" s="46">
        <v>0</v>
      </c>
    </row>
    <row r="3944" spans="13:14" x14ac:dyDescent="0.35">
      <c r="M3944" s="46">
        <v>0.29937038136221994</v>
      </c>
      <c r="N3944" s="46">
        <v>0</v>
      </c>
    </row>
    <row r="3945" spans="13:14" x14ac:dyDescent="0.35">
      <c r="M3945" s="46">
        <v>0.35275092743730529</v>
      </c>
      <c r="N3945" s="46">
        <v>0</v>
      </c>
    </row>
    <row r="3946" spans="13:14" x14ac:dyDescent="0.35">
      <c r="M3946" s="46">
        <v>0.44857374981451259</v>
      </c>
      <c r="N3946" s="46">
        <v>0</v>
      </c>
    </row>
    <row r="3947" spans="13:14" x14ac:dyDescent="0.35">
      <c r="M3947" s="46">
        <v>0.5528907849829352</v>
      </c>
      <c r="N3947" s="46">
        <v>0</v>
      </c>
    </row>
    <row r="3948" spans="13:14" x14ac:dyDescent="0.35">
      <c r="M3948" s="46">
        <v>0.63944042142751156</v>
      </c>
      <c r="N3948" s="46">
        <v>0</v>
      </c>
    </row>
    <row r="3949" spans="13:14" x14ac:dyDescent="0.35">
      <c r="M3949" s="46">
        <v>0.69299769995548299</v>
      </c>
      <c r="N3949" s="46">
        <v>0</v>
      </c>
    </row>
    <row r="3950" spans="13:14" x14ac:dyDescent="0.35">
      <c r="M3950" s="46">
        <v>0.70348197061878626</v>
      </c>
      <c r="N3950" s="46">
        <v>0</v>
      </c>
    </row>
    <row r="3951" spans="13:14" x14ac:dyDescent="0.35">
      <c r="M3951" s="46">
        <v>0.6953007864668348</v>
      </c>
      <c r="N3951" s="46">
        <v>0</v>
      </c>
    </row>
    <row r="3952" spans="13:14" x14ac:dyDescent="0.35">
      <c r="M3952" s="46">
        <v>0.66835880694465055</v>
      </c>
      <c r="N3952" s="46">
        <v>0</v>
      </c>
    </row>
    <row r="3953" spans="13:14" x14ac:dyDescent="0.35">
      <c r="M3953" s="46">
        <v>0.68845748627392789</v>
      </c>
      <c r="N3953" s="46">
        <v>0</v>
      </c>
    </row>
    <row r="3954" spans="13:14" x14ac:dyDescent="0.35">
      <c r="M3954" s="46">
        <v>0.67852470692981159</v>
      </c>
      <c r="N3954" s="46">
        <v>0</v>
      </c>
    </row>
    <row r="3955" spans="13:14" x14ac:dyDescent="0.35">
      <c r="M3955" s="46">
        <v>0.62122963347677707</v>
      </c>
      <c r="N3955" s="46">
        <v>0</v>
      </c>
    </row>
    <row r="3956" spans="13:14" x14ac:dyDescent="0.35">
      <c r="M3956" s="46">
        <v>0.53119364890933374</v>
      </c>
      <c r="N3956" s="46">
        <v>0</v>
      </c>
    </row>
    <row r="3957" spans="13:14" x14ac:dyDescent="0.35">
      <c r="M3957" s="46">
        <v>0.42313570262650246</v>
      </c>
      <c r="N3957" s="46">
        <v>0</v>
      </c>
    </row>
    <row r="3958" spans="13:14" x14ac:dyDescent="0.35">
      <c r="M3958" s="46">
        <v>0.33022110105356878</v>
      </c>
      <c r="N3958" s="46">
        <v>0</v>
      </c>
    </row>
    <row r="3959" spans="13:14" x14ac:dyDescent="0.35">
      <c r="M3959" s="46">
        <v>0.28256195281198992</v>
      </c>
      <c r="N3959" s="46">
        <v>0</v>
      </c>
    </row>
    <row r="3960" spans="13:14" x14ac:dyDescent="0.35">
      <c r="M3960" s="46">
        <v>0.23037453628134738</v>
      </c>
      <c r="N3960" s="46">
        <v>0</v>
      </c>
    </row>
    <row r="3961" spans="13:14" x14ac:dyDescent="0.35">
      <c r="M3961" s="46">
        <v>0.22687557501112926</v>
      </c>
      <c r="N3961" s="46">
        <v>0</v>
      </c>
    </row>
    <row r="3962" spans="13:14" x14ac:dyDescent="0.35">
      <c r="M3962" s="46">
        <v>0.2207846861552159</v>
      </c>
      <c r="N3962" s="46">
        <v>0</v>
      </c>
    </row>
    <row r="3963" spans="13:14" x14ac:dyDescent="0.35">
      <c r="M3963" s="46">
        <v>0.23345125389523669</v>
      </c>
      <c r="N3963" s="46">
        <v>0</v>
      </c>
    </row>
    <row r="3964" spans="13:14" x14ac:dyDescent="0.35">
      <c r="M3964" s="46">
        <v>0.25016886778453773</v>
      </c>
      <c r="N3964" s="46">
        <v>0</v>
      </c>
    </row>
    <row r="3965" spans="13:14" x14ac:dyDescent="0.35">
      <c r="M3965" s="46">
        <v>0.26951328090221099</v>
      </c>
      <c r="N3965" s="46">
        <v>0</v>
      </c>
    </row>
    <row r="3966" spans="13:14" x14ac:dyDescent="0.35">
      <c r="M3966" s="46">
        <v>0.27818355839145276</v>
      </c>
      <c r="N3966" s="46">
        <v>0</v>
      </c>
    </row>
    <row r="3967" spans="13:14" x14ac:dyDescent="0.35">
      <c r="M3967" s="46">
        <v>0.28674877578275709</v>
      </c>
      <c r="N3967" s="46">
        <v>0</v>
      </c>
    </row>
    <row r="3968" spans="13:14" x14ac:dyDescent="0.35">
      <c r="M3968" s="46">
        <v>0.29348820299747735</v>
      </c>
      <c r="N3968" s="46">
        <v>0</v>
      </c>
    </row>
    <row r="3969" spans="13:14" x14ac:dyDescent="0.35">
      <c r="M3969" s="46">
        <v>0.34190503041994358</v>
      </c>
      <c r="N3969" s="46">
        <v>0</v>
      </c>
    </row>
    <row r="3970" spans="13:14" x14ac:dyDescent="0.35">
      <c r="M3970" s="46">
        <v>0.40939597863184446</v>
      </c>
      <c r="N3970" s="46">
        <v>0</v>
      </c>
    </row>
    <row r="3971" spans="13:14" x14ac:dyDescent="0.35">
      <c r="M3971" s="46">
        <v>0.48802099718059055</v>
      </c>
      <c r="N3971" s="46">
        <v>0</v>
      </c>
    </row>
    <row r="3972" spans="13:14" x14ac:dyDescent="0.35">
      <c r="M3972" s="46">
        <v>0.55059066627096009</v>
      </c>
      <c r="N3972" s="46">
        <v>0</v>
      </c>
    </row>
    <row r="3973" spans="13:14" x14ac:dyDescent="0.35">
      <c r="M3973" s="46">
        <v>0.58667472918830688</v>
      </c>
      <c r="N3973" s="46">
        <v>0</v>
      </c>
    </row>
    <row r="3974" spans="13:14" x14ac:dyDescent="0.35">
      <c r="M3974" s="46">
        <v>0.62339219468763907</v>
      </c>
      <c r="N3974" s="46">
        <v>0</v>
      </c>
    </row>
    <row r="3975" spans="13:14" x14ac:dyDescent="0.35">
      <c r="M3975" s="46">
        <v>0.64382809022110099</v>
      </c>
      <c r="N3975" s="46">
        <v>0</v>
      </c>
    </row>
    <row r="3976" spans="13:14" x14ac:dyDescent="0.35">
      <c r="M3976" s="46">
        <v>0.64876606321412666</v>
      </c>
      <c r="N3976" s="46">
        <v>0</v>
      </c>
    </row>
    <row r="3977" spans="13:14" x14ac:dyDescent="0.35">
      <c r="M3977" s="46">
        <v>0.65825077904733642</v>
      </c>
      <c r="N3977" s="46">
        <v>0</v>
      </c>
    </row>
    <row r="3978" spans="13:14" x14ac:dyDescent="0.35">
      <c r="M3978" s="46">
        <v>0.63119654251372603</v>
      </c>
      <c r="N3978" s="46">
        <v>0</v>
      </c>
    </row>
    <row r="3979" spans="13:14" x14ac:dyDescent="0.35">
      <c r="M3979" s="46">
        <v>0.55599243211158922</v>
      </c>
      <c r="N3979" s="46">
        <v>0</v>
      </c>
    </row>
    <row r="3980" spans="13:14" x14ac:dyDescent="0.35">
      <c r="M3980" s="46">
        <v>0.41928053123608844</v>
      </c>
      <c r="N3980" s="46">
        <v>0</v>
      </c>
    </row>
    <row r="3981" spans="13:14" x14ac:dyDescent="0.35">
      <c r="M3981" s="46">
        <v>0.28711819261017957</v>
      </c>
      <c r="N3981" s="46">
        <v>0</v>
      </c>
    </row>
    <row r="3982" spans="13:14" x14ac:dyDescent="0.35">
      <c r="M3982" s="46">
        <v>0.22752240688529454</v>
      </c>
      <c r="N3982" s="46">
        <v>0</v>
      </c>
    </row>
    <row r="3983" spans="13:14" x14ac:dyDescent="0.35">
      <c r="M3983" s="46">
        <v>0.21949621605579461</v>
      </c>
      <c r="N3983" s="46">
        <v>0</v>
      </c>
    </row>
    <row r="3984" spans="13:14" x14ac:dyDescent="0.35">
      <c r="M3984" s="46">
        <v>0.21152604243953108</v>
      </c>
      <c r="N3984" s="46">
        <v>0</v>
      </c>
    </row>
    <row r="3985" spans="13:14" x14ac:dyDescent="0.35">
      <c r="M3985" s="46">
        <v>0.23891393381807388</v>
      </c>
      <c r="N3985" s="46">
        <v>0</v>
      </c>
    </row>
    <row r="3986" spans="13:14" x14ac:dyDescent="0.35">
      <c r="M3986" s="46">
        <v>0.24894472473660781</v>
      </c>
      <c r="N3986" s="46">
        <v>0</v>
      </c>
    </row>
    <row r="3987" spans="13:14" x14ac:dyDescent="0.35">
      <c r="M3987" s="46">
        <v>0.25043834396794779</v>
      </c>
      <c r="N3987" s="46">
        <v>0</v>
      </c>
    </row>
    <row r="3988" spans="13:14" x14ac:dyDescent="0.35">
      <c r="M3988" s="46">
        <v>0.23564749962902506</v>
      </c>
      <c r="N3988" s="46">
        <v>0</v>
      </c>
    </row>
    <row r="3989" spans="13:14" x14ac:dyDescent="0.35">
      <c r="M3989" s="46">
        <v>0.21454800415491912</v>
      </c>
      <c r="N3989" s="46">
        <v>0</v>
      </c>
    </row>
    <row r="3990" spans="13:14" x14ac:dyDescent="0.35">
      <c r="M3990" s="46">
        <v>0.19549517732601276</v>
      </c>
      <c r="N3990" s="46">
        <v>0</v>
      </c>
    </row>
    <row r="3991" spans="13:14" x14ac:dyDescent="0.35">
      <c r="M3991" s="46">
        <v>0.18328030865113518</v>
      </c>
      <c r="N3991" s="46">
        <v>0</v>
      </c>
    </row>
    <row r="3992" spans="13:14" x14ac:dyDescent="0.35">
      <c r="M3992" s="46">
        <v>0.18052700697432852</v>
      </c>
      <c r="N3992" s="46">
        <v>0</v>
      </c>
    </row>
    <row r="3993" spans="13:14" x14ac:dyDescent="0.35">
      <c r="M3993" s="46">
        <v>0.2198613295741208</v>
      </c>
      <c r="N3993" s="46">
        <v>0</v>
      </c>
    </row>
    <row r="3994" spans="13:14" x14ac:dyDescent="0.35">
      <c r="M3994" s="46">
        <v>0.30268956818519066</v>
      </c>
      <c r="N3994" s="46">
        <v>0</v>
      </c>
    </row>
    <row r="3995" spans="13:14" x14ac:dyDescent="0.35">
      <c r="M3995" s="46">
        <v>0.39726339219468765</v>
      </c>
      <c r="N3995" s="46">
        <v>0</v>
      </c>
    </row>
    <row r="3996" spans="13:14" x14ac:dyDescent="0.35">
      <c r="M3996" s="46">
        <v>0.47288974625315328</v>
      </c>
      <c r="N3996" s="46">
        <v>0</v>
      </c>
    </row>
    <row r="3997" spans="13:14" x14ac:dyDescent="0.35">
      <c r="M3997" s="46">
        <v>0.52510884404214275</v>
      </c>
      <c r="N3997" s="46">
        <v>0</v>
      </c>
    </row>
    <row r="3998" spans="13:14" x14ac:dyDescent="0.35">
      <c r="M3998" s="46">
        <v>0.56559252114557057</v>
      </c>
      <c r="N3998" s="46">
        <v>0</v>
      </c>
    </row>
    <row r="3999" spans="13:14" x14ac:dyDescent="0.35">
      <c r="M3999" s="46">
        <v>0.58116426769550378</v>
      </c>
      <c r="N3999" s="46">
        <v>0</v>
      </c>
    </row>
    <row r="4000" spans="13:14" x14ac:dyDescent="0.35">
      <c r="M4000" s="46">
        <v>0.58016026116634511</v>
      </c>
      <c r="N4000" s="46">
        <v>0</v>
      </c>
    </row>
    <row r="4001" spans="13:14" x14ac:dyDescent="0.35">
      <c r="M4001" s="46">
        <v>0.55648827719246186</v>
      </c>
      <c r="N4001" s="46">
        <v>0</v>
      </c>
    </row>
    <row r="4002" spans="13:14" x14ac:dyDescent="0.35">
      <c r="M4002" s="46">
        <v>0.50510075678884103</v>
      </c>
      <c r="N4002" s="46">
        <v>0</v>
      </c>
    </row>
    <row r="4003" spans="13:14" x14ac:dyDescent="0.35">
      <c r="M4003" s="46">
        <v>0.4218007122718504</v>
      </c>
      <c r="N4003" s="46">
        <v>0</v>
      </c>
    </row>
    <row r="4004" spans="13:14" x14ac:dyDescent="0.35">
      <c r="M4004" s="46">
        <v>0.32354540733046444</v>
      </c>
      <c r="N4004" s="46">
        <v>0</v>
      </c>
    </row>
    <row r="4005" spans="13:14" x14ac:dyDescent="0.35">
      <c r="M4005" s="46">
        <v>0.23164082208042736</v>
      </c>
      <c r="N4005" s="46">
        <v>0</v>
      </c>
    </row>
    <row r="4006" spans="13:14" x14ac:dyDescent="0.35">
      <c r="M4006" s="46">
        <v>0.18161982489983675</v>
      </c>
      <c r="N4006" s="46">
        <v>0</v>
      </c>
    </row>
    <row r="4007" spans="13:14" x14ac:dyDescent="0.35">
      <c r="M4007" s="46">
        <v>0.16939063659296633</v>
      </c>
      <c r="N4007" s="46">
        <v>0</v>
      </c>
    </row>
    <row r="4008" spans="13:14" x14ac:dyDescent="0.35">
      <c r="M4008" s="46">
        <v>0.16267576791808872</v>
      </c>
      <c r="N4008" s="46">
        <v>0</v>
      </c>
    </row>
    <row r="4009" spans="13:14" x14ac:dyDescent="0.35">
      <c r="M4009" s="46">
        <v>0.18610335361329575</v>
      </c>
      <c r="N4009" s="46">
        <v>0</v>
      </c>
    </row>
    <row r="4010" spans="13:14" x14ac:dyDescent="0.35">
      <c r="M4010" s="46">
        <v>0.23339204629767027</v>
      </c>
      <c r="N4010" s="46">
        <v>0</v>
      </c>
    </row>
    <row r="4011" spans="13:14" x14ac:dyDescent="0.35">
      <c r="M4011" s="46">
        <v>0.30969565217391309</v>
      </c>
      <c r="N4011" s="46">
        <v>0</v>
      </c>
    </row>
    <row r="4012" spans="13:14" x14ac:dyDescent="0.35">
      <c r="M4012" s="46">
        <v>0.38292179848642233</v>
      </c>
      <c r="N4012" s="46">
        <v>0</v>
      </c>
    </row>
    <row r="4013" spans="13:14" x14ac:dyDescent="0.35">
      <c r="M4013" s="46">
        <v>0.42415951921650097</v>
      </c>
      <c r="N4013" s="46">
        <v>0</v>
      </c>
    </row>
    <row r="4014" spans="13:14" x14ac:dyDescent="0.35">
      <c r="M4014" s="46">
        <v>0.43947544146015727</v>
      </c>
      <c r="N4014" s="46">
        <v>0</v>
      </c>
    </row>
    <row r="4015" spans="13:14" x14ac:dyDescent="0.35">
      <c r="M4015" s="46">
        <v>0.44475871791066923</v>
      </c>
      <c r="N4015" s="46">
        <v>0</v>
      </c>
    </row>
    <row r="4016" spans="13:14" x14ac:dyDescent="0.35">
      <c r="M4016" s="46">
        <v>0.46100230004451698</v>
      </c>
      <c r="N4016" s="46">
        <v>0</v>
      </c>
    </row>
    <row r="4017" spans="13:14" x14ac:dyDescent="0.35">
      <c r="M4017" s="46">
        <v>0.51924862739278821</v>
      </c>
      <c r="N4017" s="46">
        <v>0</v>
      </c>
    </row>
    <row r="4018" spans="13:14" x14ac:dyDescent="0.35">
      <c r="M4018" s="46">
        <v>0.60397202849087406</v>
      </c>
      <c r="N4018" s="46">
        <v>0</v>
      </c>
    </row>
    <row r="4019" spans="13:14" x14ac:dyDescent="0.35">
      <c r="M4019" s="46">
        <v>0.71581095117970028</v>
      </c>
      <c r="N4019" s="46">
        <v>0</v>
      </c>
    </row>
    <row r="4020" spans="13:14" x14ac:dyDescent="0.35">
      <c r="M4020" s="46">
        <v>0.82890376910520847</v>
      </c>
      <c r="N4020" s="46">
        <v>0</v>
      </c>
    </row>
    <row r="4021" spans="13:14" x14ac:dyDescent="0.35">
      <c r="M4021" s="46">
        <v>0.92283179997032194</v>
      </c>
      <c r="N4021" s="46">
        <v>0</v>
      </c>
    </row>
    <row r="4022" spans="13:14" x14ac:dyDescent="0.35">
      <c r="M4022" s="46">
        <v>0.98825448879655731</v>
      </c>
      <c r="N4022" s="46">
        <v>0</v>
      </c>
    </row>
    <row r="4023" spans="13:14" x14ac:dyDescent="0.35">
      <c r="M4023" s="46">
        <v>1</v>
      </c>
      <c r="N4023" s="46">
        <v>4.7479478133900299E-2</v>
      </c>
    </row>
    <row r="4024" spans="13:14" x14ac:dyDescent="0.35">
      <c r="M4024" s="46">
        <v>1</v>
      </c>
      <c r="N4024" s="46">
        <v>6.0352600313786031E-2</v>
      </c>
    </row>
    <row r="4025" spans="13:14" x14ac:dyDescent="0.35">
      <c r="M4025" s="46">
        <v>0.98723816589998514</v>
      </c>
      <c r="N4025" s="46">
        <v>0</v>
      </c>
    </row>
    <row r="4026" spans="13:14" x14ac:dyDescent="0.35">
      <c r="M4026" s="46">
        <v>0.91412731859326313</v>
      </c>
      <c r="N4026" s="46">
        <v>0</v>
      </c>
    </row>
    <row r="4027" spans="13:14" x14ac:dyDescent="0.35">
      <c r="M4027" s="46">
        <v>0.81488366226443099</v>
      </c>
      <c r="N4027" s="46">
        <v>0</v>
      </c>
    </row>
    <row r="4028" spans="13:14" x14ac:dyDescent="0.35">
      <c r="M4028" s="46">
        <v>0.70665232230301234</v>
      </c>
      <c r="N4028" s="46">
        <v>0</v>
      </c>
    </row>
    <row r="4029" spans="13:14" x14ac:dyDescent="0.35">
      <c r="M4029" s="46">
        <v>0.60011893456002374</v>
      </c>
      <c r="N4029" s="46">
        <v>0</v>
      </c>
    </row>
    <row r="4030" spans="13:14" x14ac:dyDescent="0.35">
      <c r="M4030" s="46">
        <v>0.53181710936340709</v>
      </c>
      <c r="N4030" s="46">
        <v>0</v>
      </c>
    </row>
    <row r="4031" spans="13:14" x14ac:dyDescent="0.35">
      <c r="M4031" s="46">
        <v>0.49508458228223773</v>
      </c>
      <c r="N4031" s="46">
        <v>0</v>
      </c>
    </row>
    <row r="4032" spans="13:14" x14ac:dyDescent="0.35">
      <c r="M4032" s="46">
        <v>0.43467287431369639</v>
      </c>
      <c r="N4032" s="46">
        <v>0</v>
      </c>
    </row>
    <row r="4033" spans="13:14" x14ac:dyDescent="0.35">
      <c r="M4033" s="46">
        <v>0.43722006232378691</v>
      </c>
      <c r="N4033" s="46">
        <v>0</v>
      </c>
    </row>
    <row r="4034" spans="13:14" x14ac:dyDescent="0.35">
      <c r="M4034" s="46">
        <v>0.43525011129247665</v>
      </c>
      <c r="N4034" s="46">
        <v>0</v>
      </c>
    </row>
    <row r="4035" spans="13:14" x14ac:dyDescent="0.35">
      <c r="M4035" s="46">
        <v>0.43555393975367263</v>
      </c>
      <c r="N4035" s="46">
        <v>0</v>
      </c>
    </row>
    <row r="4036" spans="13:14" x14ac:dyDescent="0.35">
      <c r="M4036" s="46">
        <v>0.44092780828016026</v>
      </c>
      <c r="N4036" s="46">
        <v>0</v>
      </c>
    </row>
    <row r="4037" spans="13:14" x14ac:dyDescent="0.35">
      <c r="M4037" s="46">
        <v>0.45623030123163677</v>
      </c>
      <c r="N4037" s="46">
        <v>0</v>
      </c>
    </row>
    <row r="4038" spans="13:14" x14ac:dyDescent="0.35">
      <c r="M4038" s="46">
        <v>0.47288180738982044</v>
      </c>
      <c r="N4038" s="46">
        <v>0</v>
      </c>
    </row>
    <row r="4039" spans="13:14" x14ac:dyDescent="0.35">
      <c r="M4039" s="46">
        <v>0.49291912746698324</v>
      </c>
      <c r="N4039" s="46">
        <v>0</v>
      </c>
    </row>
    <row r="4040" spans="13:14" x14ac:dyDescent="0.35">
      <c r="M4040" s="46">
        <v>0.51187668793589547</v>
      </c>
      <c r="N4040" s="46">
        <v>0</v>
      </c>
    </row>
    <row r="4041" spans="13:14" x14ac:dyDescent="0.35">
      <c r="M4041" s="46">
        <v>0.5556813325419202</v>
      </c>
      <c r="N4041" s="46">
        <v>0</v>
      </c>
    </row>
    <row r="4042" spans="13:14" x14ac:dyDescent="0.35">
      <c r="M4042" s="46">
        <v>0.61885146164119298</v>
      </c>
      <c r="N4042" s="46">
        <v>0</v>
      </c>
    </row>
    <row r="4043" spans="13:14" x14ac:dyDescent="0.35">
      <c r="M4043" s="46">
        <v>0.69284285502300047</v>
      </c>
      <c r="N4043" s="46">
        <v>0</v>
      </c>
    </row>
    <row r="4044" spans="13:14" x14ac:dyDescent="0.35">
      <c r="M4044" s="46">
        <v>0.75465796112182826</v>
      </c>
      <c r="N4044" s="46">
        <v>0</v>
      </c>
    </row>
    <row r="4045" spans="13:14" x14ac:dyDescent="0.35">
      <c r="M4045" s="46">
        <v>0.79661745066033529</v>
      </c>
      <c r="N4045" s="46">
        <v>0</v>
      </c>
    </row>
    <row r="4046" spans="13:14" x14ac:dyDescent="0.35">
      <c r="M4046" s="46">
        <v>0.81122763021219768</v>
      </c>
      <c r="N4046" s="46">
        <v>0</v>
      </c>
    </row>
    <row r="4047" spans="13:14" x14ac:dyDescent="0.35">
      <c r="M4047" s="46">
        <v>0.80483899688381066</v>
      </c>
      <c r="N4047" s="46">
        <v>0</v>
      </c>
    </row>
    <row r="4048" spans="13:14" x14ac:dyDescent="0.35">
      <c r="M4048" s="46">
        <v>0.75308866300638078</v>
      </c>
      <c r="N4048" s="46">
        <v>0</v>
      </c>
    </row>
    <row r="4049" spans="13:14" x14ac:dyDescent="0.35">
      <c r="M4049" s="46">
        <v>0.70976747291883058</v>
      </c>
      <c r="N4049" s="46">
        <v>0</v>
      </c>
    </row>
    <row r="4050" spans="13:14" x14ac:dyDescent="0.35">
      <c r="M4050" s="46">
        <v>0.66389212049265467</v>
      </c>
      <c r="N4050" s="46">
        <v>0</v>
      </c>
    </row>
    <row r="4051" spans="13:14" x14ac:dyDescent="0.35">
      <c r="M4051" s="46">
        <v>0.60394746995103132</v>
      </c>
      <c r="N4051" s="46">
        <v>0</v>
      </c>
    </row>
    <row r="4052" spans="13:14" x14ac:dyDescent="0.35">
      <c r="M4052" s="46">
        <v>0.52296178958302419</v>
      </c>
      <c r="N4052" s="46">
        <v>0</v>
      </c>
    </row>
    <row r="4053" spans="13:14" x14ac:dyDescent="0.35">
      <c r="M4053" s="46">
        <v>0.43891423059801155</v>
      </c>
      <c r="N4053" s="46">
        <v>0</v>
      </c>
    </row>
    <row r="4054" spans="13:14" x14ac:dyDescent="0.35">
      <c r="M4054" s="46">
        <v>0.37301387446208634</v>
      </c>
      <c r="N4054" s="46">
        <v>0</v>
      </c>
    </row>
    <row r="4055" spans="13:14" x14ac:dyDescent="0.35">
      <c r="M4055" s="46">
        <v>0.31685049710639562</v>
      </c>
      <c r="N4055" s="46">
        <v>0</v>
      </c>
    </row>
    <row r="4056" spans="13:14" x14ac:dyDescent="0.35">
      <c r="M4056" s="46">
        <v>0.23715054162338625</v>
      </c>
      <c r="N4056" s="46">
        <v>0</v>
      </c>
    </row>
    <row r="4057" spans="13:14" x14ac:dyDescent="0.35">
      <c r="M4057" s="46">
        <v>0.21243537616857103</v>
      </c>
      <c r="N4057" s="46">
        <v>0</v>
      </c>
    </row>
    <row r="4058" spans="13:14" x14ac:dyDescent="0.35">
      <c r="M4058" s="46">
        <v>0.17878438937527824</v>
      </c>
      <c r="N4058" s="46">
        <v>0</v>
      </c>
    </row>
    <row r="4059" spans="13:14" x14ac:dyDescent="0.35">
      <c r="M4059" s="46">
        <v>0.16101031310283426</v>
      </c>
      <c r="N4059" s="46">
        <v>0</v>
      </c>
    </row>
    <row r="4060" spans="13:14" x14ac:dyDescent="0.35">
      <c r="M4060" s="46">
        <v>0.15019127466983231</v>
      </c>
      <c r="N4060" s="46">
        <v>0</v>
      </c>
    </row>
    <row r="4061" spans="13:14" x14ac:dyDescent="0.35">
      <c r="M4061" s="46">
        <v>0.13856877875055648</v>
      </c>
      <c r="N4061" s="46">
        <v>0</v>
      </c>
    </row>
    <row r="4062" spans="13:14" x14ac:dyDescent="0.35">
      <c r="M4062" s="46">
        <v>0.13158458228223774</v>
      </c>
      <c r="N4062" s="46">
        <v>0</v>
      </c>
    </row>
    <row r="4063" spans="13:14" x14ac:dyDescent="0.35">
      <c r="M4063" s="46">
        <v>0.13001558094672799</v>
      </c>
      <c r="N4063" s="46">
        <v>0</v>
      </c>
    </row>
    <row r="4064" spans="13:14" x14ac:dyDescent="0.35">
      <c r="M4064" s="46">
        <v>0.13904117821635259</v>
      </c>
      <c r="N4064" s="46">
        <v>0</v>
      </c>
    </row>
    <row r="4065" spans="13:14" x14ac:dyDescent="0.35">
      <c r="M4065" s="46">
        <v>0.19972859474699511</v>
      </c>
      <c r="N4065" s="46">
        <v>0</v>
      </c>
    </row>
    <row r="4066" spans="13:14" x14ac:dyDescent="0.35">
      <c r="M4066" s="46">
        <v>0.30353516842261463</v>
      </c>
      <c r="N4066" s="46">
        <v>0</v>
      </c>
    </row>
    <row r="4067" spans="13:14" x14ac:dyDescent="0.35">
      <c r="M4067" s="46">
        <v>0.43154340406588509</v>
      </c>
      <c r="N4067" s="46">
        <v>0</v>
      </c>
    </row>
    <row r="4068" spans="13:14" x14ac:dyDescent="0.35">
      <c r="M4068" s="46">
        <v>0.54460646980264138</v>
      </c>
      <c r="N4068" s="46">
        <v>0</v>
      </c>
    </row>
    <row r="4069" spans="13:14" x14ac:dyDescent="0.35">
      <c r="M4069" s="46">
        <v>0.63224499183855165</v>
      </c>
      <c r="N4069" s="46">
        <v>0</v>
      </c>
    </row>
    <row r="4070" spans="13:14" x14ac:dyDescent="0.35">
      <c r="M4070" s="46">
        <v>0.70606610773111744</v>
      </c>
      <c r="N4070" s="46">
        <v>0</v>
      </c>
    </row>
    <row r="4071" spans="13:14" x14ac:dyDescent="0.35">
      <c r="M4071" s="46">
        <v>0.7504005787208784</v>
      </c>
      <c r="N4071" s="46">
        <v>0</v>
      </c>
    </row>
    <row r="4072" spans="13:14" x14ac:dyDescent="0.35">
      <c r="M4072" s="46">
        <v>0.76700348716426769</v>
      </c>
      <c r="N4072" s="46">
        <v>0</v>
      </c>
    </row>
    <row r="4073" spans="13:14" x14ac:dyDescent="0.35">
      <c r="M4073" s="46">
        <v>0.74793136963941242</v>
      </c>
      <c r="N4073" s="46">
        <v>0</v>
      </c>
    </row>
    <row r="4074" spans="13:14" x14ac:dyDescent="0.35">
      <c r="M4074" s="46">
        <v>0.70237334916159666</v>
      </c>
      <c r="N4074" s="46">
        <v>0</v>
      </c>
    </row>
    <row r="4075" spans="13:14" x14ac:dyDescent="0.35">
      <c r="M4075" s="46">
        <v>0.62828854429440573</v>
      </c>
      <c r="N4075" s="46">
        <v>0</v>
      </c>
    </row>
    <row r="4076" spans="13:14" x14ac:dyDescent="0.35">
      <c r="M4076" s="46">
        <v>0.51829885739723991</v>
      </c>
      <c r="N4076" s="46">
        <v>0</v>
      </c>
    </row>
    <row r="4077" spans="13:14" x14ac:dyDescent="0.35">
      <c r="M4077" s="46">
        <v>0.41930813177029236</v>
      </c>
      <c r="N4077" s="46">
        <v>0</v>
      </c>
    </row>
    <row r="4078" spans="13:14" x14ac:dyDescent="0.35">
      <c r="M4078" s="46">
        <v>0.38762590888855908</v>
      </c>
      <c r="N4078" s="46">
        <v>0</v>
      </c>
    </row>
    <row r="4079" spans="13:14" x14ac:dyDescent="0.35">
      <c r="M4079" s="46">
        <v>0.37820848790621753</v>
      </c>
      <c r="N4079" s="46">
        <v>0</v>
      </c>
    </row>
    <row r="4080" spans="13:14" x14ac:dyDescent="0.35">
      <c r="M4080" s="46">
        <v>0.32917628728297965</v>
      </c>
      <c r="N4080" s="46">
        <v>0</v>
      </c>
    </row>
    <row r="4081" spans="13:14" x14ac:dyDescent="0.35">
      <c r="M4081" s="46">
        <v>0.30929069594895386</v>
      </c>
      <c r="N4081" s="46">
        <v>0</v>
      </c>
    </row>
    <row r="4082" spans="13:14" x14ac:dyDescent="0.35">
      <c r="M4082" s="46">
        <v>0.27944798931592224</v>
      </c>
      <c r="N4082" s="46">
        <v>0</v>
      </c>
    </row>
    <row r="4083" spans="13:14" x14ac:dyDescent="0.35">
      <c r="M4083" s="46">
        <v>0.26279173467873573</v>
      </c>
      <c r="N4083" s="46">
        <v>0</v>
      </c>
    </row>
    <row r="4084" spans="13:14" x14ac:dyDescent="0.35">
      <c r="M4084" s="46">
        <v>0.25735917791957263</v>
      </c>
      <c r="N4084" s="46">
        <v>0</v>
      </c>
    </row>
    <row r="4085" spans="13:14" x14ac:dyDescent="0.35">
      <c r="M4085" s="46">
        <v>0.26132111589256563</v>
      </c>
      <c r="N4085" s="46">
        <v>0</v>
      </c>
    </row>
    <row r="4086" spans="13:14" x14ac:dyDescent="0.35">
      <c r="M4086" s="46">
        <v>0.27226413414453182</v>
      </c>
      <c r="N4086" s="46">
        <v>0</v>
      </c>
    </row>
    <row r="4087" spans="13:14" x14ac:dyDescent="0.35">
      <c r="M4087" s="46">
        <v>0.28636155215907405</v>
      </c>
      <c r="N4087" s="46">
        <v>0</v>
      </c>
    </row>
    <row r="4088" spans="13:14" x14ac:dyDescent="0.35">
      <c r="M4088" s="46">
        <v>0.29741029826383736</v>
      </c>
      <c r="N4088" s="46">
        <v>0</v>
      </c>
    </row>
    <row r="4089" spans="13:14" x14ac:dyDescent="0.35">
      <c r="M4089" s="46">
        <v>0.35562754117821638</v>
      </c>
      <c r="N4089" s="46">
        <v>0</v>
      </c>
    </row>
    <row r="4090" spans="13:14" x14ac:dyDescent="0.35">
      <c r="M4090" s="46">
        <v>0.47764816738388488</v>
      </c>
      <c r="N4090" s="46">
        <v>0</v>
      </c>
    </row>
    <row r="4091" spans="13:14" x14ac:dyDescent="0.35">
      <c r="M4091" s="46">
        <v>0.61238366226443097</v>
      </c>
      <c r="N4091" s="46">
        <v>0</v>
      </c>
    </row>
    <row r="4092" spans="13:14" x14ac:dyDescent="0.35">
      <c r="M4092" s="46">
        <v>0.70609496958005635</v>
      </c>
      <c r="N4092" s="46">
        <v>0</v>
      </c>
    </row>
    <row r="4093" spans="13:14" x14ac:dyDescent="0.35">
      <c r="M4093" s="46">
        <v>0.75997158332096759</v>
      </c>
      <c r="N4093" s="46">
        <v>0</v>
      </c>
    </row>
    <row r="4094" spans="13:14" x14ac:dyDescent="0.35">
      <c r="M4094" s="46">
        <v>0.81506566256121082</v>
      </c>
      <c r="N4094" s="46">
        <v>0</v>
      </c>
    </row>
    <row r="4095" spans="13:14" x14ac:dyDescent="0.35">
      <c r="M4095" s="46">
        <v>0.85352151654548158</v>
      </c>
      <c r="N4095" s="46">
        <v>0</v>
      </c>
    </row>
    <row r="4096" spans="13:14" x14ac:dyDescent="0.35">
      <c r="M4096" s="46">
        <v>0.88160513429292175</v>
      </c>
      <c r="N4096" s="46">
        <v>0</v>
      </c>
    </row>
    <row r="4097" spans="13:14" x14ac:dyDescent="0.35">
      <c r="M4097" s="46">
        <v>0.88694939902062619</v>
      </c>
      <c r="N4097" s="46">
        <v>0</v>
      </c>
    </row>
    <row r="4098" spans="13:14" x14ac:dyDescent="0.35">
      <c r="M4098" s="46">
        <v>0.84498100608398874</v>
      </c>
      <c r="N4098" s="46">
        <v>0</v>
      </c>
    </row>
    <row r="4099" spans="13:14" x14ac:dyDescent="0.35">
      <c r="M4099" s="46">
        <v>0.7515546817035168</v>
      </c>
      <c r="N4099" s="46">
        <v>0</v>
      </c>
    </row>
    <row r="4100" spans="13:14" x14ac:dyDescent="0.35">
      <c r="M4100" s="46">
        <v>0.59893174061433452</v>
      </c>
      <c r="N4100" s="46">
        <v>0</v>
      </c>
    </row>
    <row r="4101" spans="13:14" x14ac:dyDescent="0.35">
      <c r="M4101" s="46">
        <v>0.44502411336993619</v>
      </c>
      <c r="N4101" s="46">
        <v>0</v>
      </c>
    </row>
    <row r="4102" spans="13:14" x14ac:dyDescent="0.35">
      <c r="M4102" s="46">
        <v>0.36011834100014839</v>
      </c>
      <c r="N4102" s="46">
        <v>0</v>
      </c>
    </row>
    <row r="4103" spans="13:14" x14ac:dyDescent="0.35">
      <c r="M4103" s="46">
        <v>0.32314809318890048</v>
      </c>
      <c r="N4103" s="46">
        <v>0</v>
      </c>
    </row>
    <row r="4104" spans="13:14" x14ac:dyDescent="0.35">
      <c r="M4104" s="46">
        <v>0.28622176880842853</v>
      </c>
      <c r="N4104" s="46">
        <v>0</v>
      </c>
    </row>
    <row r="4105" spans="13:14" x14ac:dyDescent="0.35">
      <c r="M4105" s="46">
        <v>0.26816760646980264</v>
      </c>
      <c r="N4105" s="46">
        <v>0</v>
      </c>
    </row>
    <row r="4106" spans="13:14" x14ac:dyDescent="0.35">
      <c r="M4106" s="46">
        <v>0.24991259830835436</v>
      </c>
      <c r="N4106" s="46">
        <v>0</v>
      </c>
    </row>
    <row r="4107" spans="13:14" x14ac:dyDescent="0.35">
      <c r="M4107" s="46">
        <v>0.23947759311470546</v>
      </c>
      <c r="N4107" s="46">
        <v>0</v>
      </c>
    </row>
    <row r="4108" spans="13:14" x14ac:dyDescent="0.35">
      <c r="M4108" s="46">
        <v>0.23316048375129839</v>
      </c>
      <c r="N4108" s="46">
        <v>0</v>
      </c>
    </row>
    <row r="4109" spans="13:14" x14ac:dyDescent="0.35">
      <c r="M4109" s="46">
        <v>0.22872273334322599</v>
      </c>
      <c r="N4109" s="46">
        <v>0</v>
      </c>
    </row>
    <row r="4110" spans="13:14" x14ac:dyDescent="0.35">
      <c r="M4110" s="46">
        <v>0.22666968392936637</v>
      </c>
      <c r="N4110" s="46">
        <v>0</v>
      </c>
    </row>
    <row r="4111" spans="13:14" x14ac:dyDescent="0.35">
      <c r="M4111" s="46">
        <v>0.21582067072265915</v>
      </c>
      <c r="N4111" s="46">
        <v>0</v>
      </c>
    </row>
    <row r="4112" spans="13:14" x14ac:dyDescent="0.35">
      <c r="M4112" s="46">
        <v>0.21720997180590593</v>
      </c>
      <c r="N4112" s="46">
        <v>0</v>
      </c>
    </row>
    <row r="4113" spans="13:14" x14ac:dyDescent="0.35">
      <c r="M4113" s="46">
        <v>0.2782087104911708</v>
      </c>
      <c r="N4113" s="46">
        <v>0</v>
      </c>
    </row>
    <row r="4114" spans="13:14" x14ac:dyDescent="0.35">
      <c r="M4114" s="46">
        <v>0.39353487164267698</v>
      </c>
      <c r="N4114" s="46">
        <v>0</v>
      </c>
    </row>
    <row r="4115" spans="13:14" x14ac:dyDescent="0.35">
      <c r="M4115" s="46">
        <v>0.52333194836029084</v>
      </c>
      <c r="N4115" s="46">
        <v>0</v>
      </c>
    </row>
    <row r="4116" spans="13:14" x14ac:dyDescent="0.35">
      <c r="M4116" s="46">
        <v>0.61914297373497551</v>
      </c>
      <c r="N4116" s="46">
        <v>0</v>
      </c>
    </row>
    <row r="4117" spans="13:14" x14ac:dyDescent="0.35">
      <c r="M4117" s="46">
        <v>0.68100682593856665</v>
      </c>
      <c r="N4117" s="46">
        <v>0</v>
      </c>
    </row>
    <row r="4118" spans="13:14" x14ac:dyDescent="0.35">
      <c r="M4118" s="46">
        <v>0.73014052530048978</v>
      </c>
      <c r="N4118" s="46">
        <v>0</v>
      </c>
    </row>
    <row r="4119" spans="13:14" x14ac:dyDescent="0.35">
      <c r="M4119" s="46">
        <v>0.75792788247514475</v>
      </c>
      <c r="N4119" s="46">
        <v>0</v>
      </c>
    </row>
    <row r="4120" spans="13:14" x14ac:dyDescent="0.35">
      <c r="M4120" s="46">
        <v>0.76795555720433295</v>
      </c>
      <c r="N4120" s="46">
        <v>0</v>
      </c>
    </row>
    <row r="4121" spans="13:14" x14ac:dyDescent="0.35">
      <c r="M4121" s="46">
        <v>0.74508072414304793</v>
      </c>
      <c r="N4121" s="46">
        <v>0</v>
      </c>
    </row>
    <row r="4122" spans="13:14" x14ac:dyDescent="0.35">
      <c r="M4122" s="46">
        <v>0.69216107731117382</v>
      </c>
      <c r="N4122" s="46">
        <v>0</v>
      </c>
    </row>
    <row r="4123" spans="13:14" x14ac:dyDescent="0.35">
      <c r="M4123" s="46">
        <v>0.60636652322303008</v>
      </c>
      <c r="N4123" s="46">
        <v>0</v>
      </c>
    </row>
    <row r="4124" spans="13:14" x14ac:dyDescent="0.35">
      <c r="M4124" s="46">
        <v>0.51407998219320372</v>
      </c>
      <c r="N4124" s="46">
        <v>0</v>
      </c>
    </row>
    <row r="4125" spans="13:14" x14ac:dyDescent="0.35">
      <c r="M4125" s="46">
        <v>0.43795221843003412</v>
      </c>
      <c r="N4125" s="46">
        <v>0</v>
      </c>
    </row>
    <row r="4126" spans="13:14" x14ac:dyDescent="0.35">
      <c r="M4126" s="46">
        <v>0.43288039768511649</v>
      </c>
      <c r="N4126" s="46">
        <v>0</v>
      </c>
    </row>
    <row r="4127" spans="13:14" x14ac:dyDescent="0.35">
      <c r="M4127" s="46">
        <v>0.47114542216946131</v>
      </c>
      <c r="N4127" s="46">
        <v>0</v>
      </c>
    </row>
    <row r="4128" spans="13:14" x14ac:dyDescent="0.35">
      <c r="M4128" s="46">
        <v>0.4824516248701588</v>
      </c>
      <c r="N4128" s="46">
        <v>0</v>
      </c>
    </row>
    <row r="4129" spans="13:14" x14ac:dyDescent="0.35">
      <c r="M4129" s="46">
        <v>0.51740391749517733</v>
      </c>
      <c r="N4129" s="46">
        <v>0</v>
      </c>
    </row>
    <row r="4130" spans="13:14" x14ac:dyDescent="0.35">
      <c r="M4130" s="46">
        <v>0.53406284315180297</v>
      </c>
      <c r="N4130" s="46">
        <v>0</v>
      </c>
    </row>
    <row r="4131" spans="13:14" x14ac:dyDescent="0.35">
      <c r="M4131" s="46">
        <v>0.55380382846119602</v>
      </c>
      <c r="N4131" s="46">
        <v>0</v>
      </c>
    </row>
    <row r="4132" spans="13:14" x14ac:dyDescent="0.35">
      <c r="M4132" s="46">
        <v>0.56504318148093191</v>
      </c>
      <c r="N4132" s="46">
        <v>0</v>
      </c>
    </row>
    <row r="4133" spans="13:14" x14ac:dyDescent="0.35">
      <c r="M4133" s="46">
        <v>0.57172889152693274</v>
      </c>
      <c r="N4133" s="46">
        <v>0</v>
      </c>
    </row>
    <row r="4134" spans="13:14" x14ac:dyDescent="0.35">
      <c r="M4134" s="46">
        <v>0.58360921501706486</v>
      </c>
      <c r="N4134" s="46">
        <v>0</v>
      </c>
    </row>
    <row r="4135" spans="13:14" x14ac:dyDescent="0.35">
      <c r="M4135" s="46">
        <v>0.59164705445911858</v>
      </c>
      <c r="N4135" s="46">
        <v>0</v>
      </c>
    </row>
    <row r="4136" spans="13:14" x14ac:dyDescent="0.35">
      <c r="M4136" s="46">
        <v>0.60209630508977596</v>
      </c>
      <c r="N4136" s="46">
        <v>0</v>
      </c>
    </row>
    <row r="4137" spans="13:14" x14ac:dyDescent="0.35">
      <c r="M4137" s="46">
        <v>0.64484092595340547</v>
      </c>
      <c r="N4137" s="46">
        <v>0</v>
      </c>
    </row>
    <row r="4138" spans="13:14" x14ac:dyDescent="0.35">
      <c r="M4138" s="46">
        <v>0.71253620715239652</v>
      </c>
      <c r="N4138" s="46">
        <v>0</v>
      </c>
    </row>
    <row r="4139" spans="13:14" x14ac:dyDescent="0.35">
      <c r="M4139" s="46">
        <v>0.79260706336251663</v>
      </c>
      <c r="N4139" s="46">
        <v>0</v>
      </c>
    </row>
    <row r="4140" spans="13:14" x14ac:dyDescent="0.35">
      <c r="M4140" s="46">
        <v>0.8561544739575605</v>
      </c>
      <c r="N4140" s="46">
        <v>0</v>
      </c>
    </row>
    <row r="4141" spans="13:14" x14ac:dyDescent="0.35">
      <c r="M4141" s="46">
        <v>0.89761663451550666</v>
      </c>
      <c r="N4141" s="46">
        <v>0</v>
      </c>
    </row>
    <row r="4142" spans="13:14" x14ac:dyDescent="0.35">
      <c r="M4142" s="46">
        <v>1</v>
      </c>
      <c r="N4142" s="46">
        <v>1.6704665803319294E-2</v>
      </c>
    </row>
    <row r="4143" spans="13:14" x14ac:dyDescent="0.35">
      <c r="M4143" s="46">
        <v>1</v>
      </c>
      <c r="N4143" s="46">
        <v>0.17163494903814985</v>
      </c>
    </row>
    <row r="4144" spans="13:14" x14ac:dyDescent="0.35">
      <c r="M4144" s="46">
        <v>1</v>
      </c>
      <c r="N4144" s="46">
        <v>0.29786668906635588</v>
      </c>
    </row>
    <row r="4145" spans="13:14" x14ac:dyDescent="0.35">
      <c r="M4145" s="46">
        <v>1</v>
      </c>
      <c r="N4145" s="46">
        <v>0.2935813143084815</v>
      </c>
    </row>
    <row r="4146" spans="13:14" x14ac:dyDescent="0.35">
      <c r="M4146" s="46">
        <v>1</v>
      </c>
      <c r="N4146" s="46">
        <v>0.21752528964861015</v>
      </c>
    </row>
    <row r="4147" spans="13:14" x14ac:dyDescent="0.35">
      <c r="M4147" s="46">
        <v>1</v>
      </c>
      <c r="N4147" s="46">
        <v>5.0453422793973683E-2</v>
      </c>
    </row>
    <row r="4148" spans="13:14" x14ac:dyDescent="0.35">
      <c r="M4148" s="46">
        <v>0.86950779047336402</v>
      </c>
      <c r="N4148" s="46">
        <v>0</v>
      </c>
    </row>
    <row r="4149" spans="13:14" x14ac:dyDescent="0.35">
      <c r="M4149" s="46">
        <v>0.72003086511351821</v>
      </c>
      <c r="N4149" s="46">
        <v>0</v>
      </c>
    </row>
    <row r="4150" spans="13:14" x14ac:dyDescent="0.35">
      <c r="M4150" s="46">
        <v>0.64615388039768507</v>
      </c>
      <c r="N4150" s="46">
        <v>0</v>
      </c>
    </row>
    <row r="4151" spans="13:14" x14ac:dyDescent="0.35">
      <c r="M4151" s="46">
        <v>0.62254540733046437</v>
      </c>
      <c r="N4151" s="46">
        <v>0</v>
      </c>
    </row>
    <row r="4152" spans="13:14" x14ac:dyDescent="0.35">
      <c r="M4152" s="46">
        <v>0.59364616411930549</v>
      </c>
      <c r="N4152" s="46">
        <v>0</v>
      </c>
    </row>
    <row r="4153" spans="13:14" x14ac:dyDescent="0.35">
      <c r="M4153" s="46">
        <v>0.57630019290695944</v>
      </c>
      <c r="N4153" s="46">
        <v>0</v>
      </c>
    </row>
    <row r="4154" spans="13:14" x14ac:dyDescent="0.35">
      <c r="M4154" s="46">
        <v>0.54872666567740025</v>
      </c>
      <c r="N4154" s="46">
        <v>0</v>
      </c>
    </row>
    <row r="4155" spans="13:14" x14ac:dyDescent="0.35">
      <c r="M4155" s="46">
        <v>0.51197900281940945</v>
      </c>
      <c r="N4155" s="46">
        <v>0</v>
      </c>
    </row>
    <row r="4156" spans="13:14" x14ac:dyDescent="0.35">
      <c r="M4156" s="46">
        <v>0.47928691200474843</v>
      </c>
      <c r="N4156" s="46">
        <v>0</v>
      </c>
    </row>
    <row r="4157" spans="13:14" x14ac:dyDescent="0.35">
      <c r="M4157" s="46">
        <v>0.44460832467725181</v>
      </c>
      <c r="N4157" s="46">
        <v>0</v>
      </c>
    </row>
    <row r="4158" spans="13:14" x14ac:dyDescent="0.35">
      <c r="M4158" s="46">
        <v>0.42221642676955035</v>
      </c>
      <c r="N4158" s="46">
        <v>0</v>
      </c>
    </row>
    <row r="4159" spans="13:14" x14ac:dyDescent="0.35">
      <c r="M4159" s="46">
        <v>0.41543344709897612</v>
      </c>
      <c r="N4159" s="46">
        <v>0</v>
      </c>
    </row>
    <row r="4160" spans="13:14" x14ac:dyDescent="0.35">
      <c r="M4160" s="46">
        <v>0.42607478854429442</v>
      </c>
      <c r="N4160" s="46">
        <v>0</v>
      </c>
    </row>
    <row r="4161" spans="13:14" x14ac:dyDescent="0.35">
      <c r="M4161" s="46">
        <v>0.49661403769105206</v>
      </c>
      <c r="N4161" s="46">
        <v>0</v>
      </c>
    </row>
    <row r="4162" spans="13:14" x14ac:dyDescent="0.35">
      <c r="M4162" s="46">
        <v>0.63681903843300192</v>
      </c>
      <c r="N4162" s="46">
        <v>0</v>
      </c>
    </row>
    <row r="4163" spans="13:14" x14ac:dyDescent="0.35">
      <c r="M4163" s="46">
        <v>0.78059148241578868</v>
      </c>
      <c r="N4163" s="46">
        <v>0</v>
      </c>
    </row>
    <row r="4164" spans="13:14" x14ac:dyDescent="0.35">
      <c r="M4164" s="46">
        <v>0.88639293663748331</v>
      </c>
      <c r="N4164" s="46">
        <v>0</v>
      </c>
    </row>
    <row r="4165" spans="13:14" x14ac:dyDescent="0.35">
      <c r="M4165" s="46">
        <v>0.9472888410743433</v>
      </c>
      <c r="N4165" s="46">
        <v>0</v>
      </c>
    </row>
    <row r="4166" spans="13:14" x14ac:dyDescent="0.35">
      <c r="M4166" s="46">
        <v>1</v>
      </c>
      <c r="N4166" s="46">
        <v>1.5563046644905027E-3</v>
      </c>
    </row>
    <row r="4167" spans="13:14" x14ac:dyDescent="0.35">
      <c r="M4167" s="46">
        <v>1</v>
      </c>
      <c r="N4167" s="46">
        <v>4.9591745948628821E-2</v>
      </c>
    </row>
    <row r="4168" spans="13:14" x14ac:dyDescent="0.35">
      <c r="M4168" s="46">
        <v>1</v>
      </c>
      <c r="N4168" s="46">
        <v>7.1981824636481576E-2</v>
      </c>
    </row>
    <row r="4169" spans="13:14" x14ac:dyDescent="0.35">
      <c r="M4169" s="46">
        <v>1</v>
      </c>
      <c r="N4169" s="46">
        <v>7.8572269582565024E-2</v>
      </c>
    </row>
    <row r="4170" spans="13:14" x14ac:dyDescent="0.35">
      <c r="M4170" s="46">
        <v>1</v>
      </c>
      <c r="N4170" s="46">
        <v>4.0332751583587359E-2</v>
      </c>
    </row>
    <row r="4171" spans="13:14" x14ac:dyDescent="0.35">
      <c r="M4171" s="46">
        <v>0.95491052084879058</v>
      </c>
      <c r="N4171" s="46">
        <v>0</v>
      </c>
    </row>
    <row r="4172" spans="13:14" x14ac:dyDescent="0.35">
      <c r="M4172" s="46">
        <v>0.83187765247069301</v>
      </c>
      <c r="N4172" s="46">
        <v>0</v>
      </c>
    </row>
    <row r="4173" spans="13:14" x14ac:dyDescent="0.35">
      <c r="M4173" s="46">
        <v>0.69980983825493404</v>
      </c>
      <c r="N4173" s="46">
        <v>0</v>
      </c>
    </row>
    <row r="4174" spans="13:14" x14ac:dyDescent="0.35">
      <c r="M4174" s="46">
        <v>0.63166775485977156</v>
      </c>
      <c r="N4174" s="46">
        <v>0</v>
      </c>
    </row>
    <row r="4175" spans="13:14" x14ac:dyDescent="0.35">
      <c r="M4175" s="46">
        <v>0.6149386407478854</v>
      </c>
      <c r="N4175" s="46">
        <v>0</v>
      </c>
    </row>
    <row r="4176" spans="13:14" x14ac:dyDescent="0.35">
      <c r="M4176" s="46">
        <v>0.58858554681703523</v>
      </c>
      <c r="N4176" s="46">
        <v>0</v>
      </c>
    </row>
    <row r="4177" spans="13:14" x14ac:dyDescent="0.35">
      <c r="M4177" s="46">
        <v>0.57578372162041846</v>
      </c>
      <c r="N4177" s="46">
        <v>0</v>
      </c>
    </row>
    <row r="4178" spans="13:14" x14ac:dyDescent="0.35">
      <c r="M4178" s="46">
        <v>0.55082690310135041</v>
      </c>
      <c r="N4178" s="46">
        <v>0</v>
      </c>
    </row>
    <row r="4179" spans="13:14" x14ac:dyDescent="0.35">
      <c r="M4179" s="46">
        <v>0.51921049117079687</v>
      </c>
      <c r="N4179" s="46">
        <v>0</v>
      </c>
    </row>
    <row r="4180" spans="13:14" x14ac:dyDescent="0.35">
      <c r="M4180" s="46">
        <v>0.498095785724885</v>
      </c>
      <c r="N4180" s="46">
        <v>0</v>
      </c>
    </row>
    <row r="4181" spans="13:14" x14ac:dyDescent="0.35">
      <c r="M4181" s="46">
        <v>0.47560439234307761</v>
      </c>
      <c r="N4181" s="46">
        <v>0</v>
      </c>
    </row>
    <row r="4182" spans="13:14" x14ac:dyDescent="0.35">
      <c r="M4182" s="46">
        <v>0.46135754562991538</v>
      </c>
      <c r="N4182" s="46">
        <v>0</v>
      </c>
    </row>
    <row r="4183" spans="13:14" x14ac:dyDescent="0.35">
      <c r="M4183" s="46">
        <v>0.4524038433001929</v>
      </c>
      <c r="N4183" s="46">
        <v>0</v>
      </c>
    </row>
    <row r="4184" spans="13:14" x14ac:dyDescent="0.35">
      <c r="M4184" s="46">
        <v>0.462920685561656</v>
      </c>
      <c r="N4184" s="46">
        <v>0</v>
      </c>
    </row>
    <row r="4185" spans="13:14" x14ac:dyDescent="0.35">
      <c r="M4185" s="46">
        <v>0.53149124499183853</v>
      </c>
      <c r="N4185" s="46">
        <v>0</v>
      </c>
    </row>
    <row r="4186" spans="13:14" x14ac:dyDescent="0.35">
      <c r="M4186" s="46">
        <v>0.66856195281198993</v>
      </c>
      <c r="N4186" s="46">
        <v>0</v>
      </c>
    </row>
    <row r="4187" spans="13:14" x14ac:dyDescent="0.35">
      <c r="M4187" s="46">
        <v>0.81521813325419201</v>
      </c>
      <c r="N4187" s="46">
        <v>0</v>
      </c>
    </row>
    <row r="4188" spans="13:14" x14ac:dyDescent="0.35">
      <c r="M4188" s="46">
        <v>0.91784545184745503</v>
      </c>
      <c r="N4188" s="46">
        <v>0</v>
      </c>
    </row>
    <row r="4189" spans="13:14" x14ac:dyDescent="0.35">
      <c r="M4189" s="46">
        <v>0.97039798189642379</v>
      </c>
      <c r="N4189" s="46">
        <v>0</v>
      </c>
    </row>
    <row r="4190" spans="13:14" x14ac:dyDescent="0.35">
      <c r="M4190" s="46">
        <v>1</v>
      </c>
      <c r="N4190" s="46">
        <v>2.9443467863079855E-2</v>
      </c>
    </row>
    <row r="4191" spans="13:14" x14ac:dyDescent="0.35">
      <c r="M4191" s="46">
        <v>1</v>
      </c>
      <c r="N4191" s="46">
        <v>5.6109203079594272E-2</v>
      </c>
    </row>
    <row r="4192" spans="13:14" x14ac:dyDescent="0.35">
      <c r="M4192" s="46">
        <v>1</v>
      </c>
      <c r="N4192" s="46">
        <v>6.0314829621148827E-2</v>
      </c>
    </row>
    <row r="4193" spans="13:14" x14ac:dyDescent="0.35">
      <c r="M4193" s="46">
        <v>1</v>
      </c>
      <c r="N4193" s="46">
        <v>4.2297363389165239E-2</v>
      </c>
    </row>
    <row r="4194" spans="13:14" x14ac:dyDescent="0.35">
      <c r="M4194" s="46">
        <v>0.98043908591779194</v>
      </c>
      <c r="N4194" s="46">
        <v>0</v>
      </c>
    </row>
    <row r="4195" spans="13:14" x14ac:dyDescent="0.35">
      <c r="M4195" s="46">
        <v>0.876712642825345</v>
      </c>
      <c r="N4195" s="46">
        <v>0</v>
      </c>
    </row>
    <row r="4196" spans="13:14" x14ac:dyDescent="0.35">
      <c r="M4196" s="46">
        <v>0.73618556165603199</v>
      </c>
      <c r="N4196" s="46">
        <v>0</v>
      </c>
    </row>
    <row r="4197" spans="13:14" x14ac:dyDescent="0.35">
      <c r="M4197" s="46">
        <v>0.60734916159667607</v>
      </c>
      <c r="N4197" s="46">
        <v>0</v>
      </c>
    </row>
    <row r="4198" spans="13:14" x14ac:dyDescent="0.35">
      <c r="M4198" s="46">
        <v>0.5501879358955335</v>
      </c>
      <c r="N4198" s="46">
        <v>0</v>
      </c>
    </row>
    <row r="4199" spans="13:14" x14ac:dyDescent="0.35">
      <c r="M4199" s="46">
        <v>0.53809430182519669</v>
      </c>
      <c r="N4199" s="46">
        <v>0</v>
      </c>
    </row>
    <row r="4200" spans="13:14" x14ac:dyDescent="0.35">
      <c r="M4200" s="46">
        <v>0.51501565514171244</v>
      </c>
      <c r="N4200" s="46">
        <v>0</v>
      </c>
    </row>
    <row r="4201" spans="13:14" x14ac:dyDescent="0.35">
      <c r="M4201" s="46">
        <v>0.5309222436563289</v>
      </c>
      <c r="N4201" s="46">
        <v>0</v>
      </c>
    </row>
    <row r="4202" spans="13:14" x14ac:dyDescent="0.35">
      <c r="M4202" s="46">
        <v>0.52528171835583914</v>
      </c>
      <c r="N4202" s="46">
        <v>0</v>
      </c>
    </row>
    <row r="4203" spans="13:14" x14ac:dyDescent="0.35">
      <c r="M4203" s="46">
        <v>0.50805527526339223</v>
      </c>
      <c r="N4203" s="46">
        <v>0</v>
      </c>
    </row>
    <row r="4204" spans="13:14" x14ac:dyDescent="0.35">
      <c r="M4204" s="46">
        <v>0.49855290102389077</v>
      </c>
      <c r="N4204" s="46">
        <v>0</v>
      </c>
    </row>
    <row r="4205" spans="13:14" x14ac:dyDescent="0.35">
      <c r="M4205" s="46">
        <v>0.48697826086956525</v>
      </c>
      <c r="N4205" s="46">
        <v>0</v>
      </c>
    </row>
    <row r="4206" spans="13:14" x14ac:dyDescent="0.35">
      <c r="M4206" s="46">
        <v>0.47164549636444575</v>
      </c>
      <c r="N4206" s="46">
        <v>0</v>
      </c>
    </row>
    <row r="4207" spans="13:14" x14ac:dyDescent="0.35">
      <c r="M4207" s="46">
        <v>0.46033543552455852</v>
      </c>
      <c r="N4207" s="46">
        <v>0</v>
      </c>
    </row>
    <row r="4208" spans="13:14" x14ac:dyDescent="0.35">
      <c r="M4208" s="46">
        <v>0.46352537468467137</v>
      </c>
      <c r="N4208" s="46">
        <v>0</v>
      </c>
    </row>
    <row r="4209" spans="13:14" x14ac:dyDescent="0.35">
      <c r="M4209" s="46">
        <v>0.53325270811693126</v>
      </c>
      <c r="N4209" s="46">
        <v>0</v>
      </c>
    </row>
    <row r="4210" spans="13:14" x14ac:dyDescent="0.35">
      <c r="M4210" s="46">
        <v>0.66935836177474395</v>
      </c>
      <c r="N4210" s="46">
        <v>0</v>
      </c>
    </row>
    <row r="4211" spans="13:14" x14ac:dyDescent="0.35">
      <c r="M4211" s="46">
        <v>0.82172592372755604</v>
      </c>
      <c r="N4211" s="46">
        <v>0</v>
      </c>
    </row>
    <row r="4212" spans="13:14" x14ac:dyDescent="0.35">
      <c r="M4212" s="46">
        <v>0.94156083988722361</v>
      </c>
      <c r="N4212" s="46">
        <v>0</v>
      </c>
    </row>
    <row r="4213" spans="13:14" x14ac:dyDescent="0.35">
      <c r="M4213" s="46">
        <v>1</v>
      </c>
      <c r="N4213" s="46">
        <v>1.9791077952977149E-2</v>
      </c>
    </row>
    <row r="4214" spans="13:14" x14ac:dyDescent="0.35">
      <c r="M4214" s="46">
        <v>1</v>
      </c>
      <c r="N4214" s="46">
        <v>0.10194435643012148</v>
      </c>
    </row>
    <row r="4215" spans="13:14" x14ac:dyDescent="0.35">
      <c r="M4215" s="46">
        <v>1</v>
      </c>
      <c r="N4215" s="46">
        <v>0.14391829287460803</v>
      </c>
    </row>
    <row r="4216" spans="13:14" x14ac:dyDescent="0.35">
      <c r="M4216" s="46">
        <v>1</v>
      </c>
      <c r="N4216" s="46">
        <v>0.17398650670498111</v>
      </c>
    </row>
    <row r="4217" spans="13:14" x14ac:dyDescent="0.35">
      <c r="M4217" s="46">
        <v>1</v>
      </c>
      <c r="N4217" s="46">
        <v>0.1739634965934114</v>
      </c>
    </row>
    <row r="4218" spans="13:14" x14ac:dyDescent="0.35">
      <c r="M4218" s="46">
        <v>1</v>
      </c>
      <c r="N4218" s="46">
        <v>0.11855892522747616</v>
      </c>
    </row>
    <row r="4219" spans="13:14" x14ac:dyDescent="0.35">
      <c r="M4219" s="46">
        <v>0.99096735420685556</v>
      </c>
      <c r="N4219" s="46">
        <v>0</v>
      </c>
    </row>
    <row r="4220" spans="13:14" x14ac:dyDescent="0.35">
      <c r="M4220" s="46">
        <v>0.85166753227481817</v>
      </c>
      <c r="N4220" s="46">
        <v>0</v>
      </c>
    </row>
    <row r="4221" spans="13:14" x14ac:dyDescent="0.35">
      <c r="M4221" s="46">
        <v>0.71707768214868672</v>
      </c>
      <c r="N4221" s="46">
        <v>0</v>
      </c>
    </row>
    <row r="4222" spans="13:14" x14ac:dyDescent="0.35">
      <c r="M4222" s="46">
        <v>0.65234678735717466</v>
      </c>
      <c r="N4222" s="46">
        <v>0</v>
      </c>
    </row>
    <row r="4223" spans="13:14" x14ac:dyDescent="0.35">
      <c r="M4223" s="46">
        <v>0.63877875055646227</v>
      </c>
      <c r="N4223" s="46">
        <v>0</v>
      </c>
    </row>
    <row r="4224" spans="13:14" x14ac:dyDescent="0.35">
      <c r="M4224" s="46">
        <v>0.62730138002671021</v>
      </c>
      <c r="N4224" s="46">
        <v>0</v>
      </c>
    </row>
    <row r="4225" spans="13:14" x14ac:dyDescent="0.35">
      <c r="M4225" s="46">
        <v>0.62720789434634217</v>
      </c>
      <c r="N4225" s="46">
        <v>0</v>
      </c>
    </row>
    <row r="4226" spans="13:14" x14ac:dyDescent="0.35">
      <c r="M4226" s="46">
        <v>0.61807723697878025</v>
      </c>
      <c r="N4226" s="46">
        <v>0</v>
      </c>
    </row>
    <row r="4227" spans="13:14" x14ac:dyDescent="0.35">
      <c r="M4227" s="46">
        <v>0.6063779492506306</v>
      </c>
      <c r="N4227" s="46">
        <v>0</v>
      </c>
    </row>
    <row r="4228" spans="13:14" x14ac:dyDescent="0.35">
      <c r="M4228" s="46">
        <v>0.58324439827867636</v>
      </c>
      <c r="N4228" s="46">
        <v>0</v>
      </c>
    </row>
    <row r="4229" spans="13:14" x14ac:dyDescent="0.35">
      <c r="M4229" s="46">
        <v>0.54988796557352726</v>
      </c>
      <c r="N4229" s="46">
        <v>0</v>
      </c>
    </row>
    <row r="4230" spans="13:14" x14ac:dyDescent="0.35">
      <c r="M4230" s="46">
        <v>0.51242625018548749</v>
      </c>
      <c r="N4230" s="46">
        <v>0</v>
      </c>
    </row>
    <row r="4231" spans="13:14" x14ac:dyDescent="0.35">
      <c r="M4231" s="46">
        <v>0.47839976257604988</v>
      </c>
      <c r="N4231" s="46">
        <v>0</v>
      </c>
    </row>
    <row r="4232" spans="13:14" x14ac:dyDescent="0.35">
      <c r="M4232" s="46">
        <v>0.44740814660928924</v>
      </c>
      <c r="N4232" s="46">
        <v>0</v>
      </c>
    </row>
    <row r="4233" spans="13:14" x14ac:dyDescent="0.35">
      <c r="M4233" s="46">
        <v>0.46038870752337141</v>
      </c>
      <c r="N4233" s="46">
        <v>0</v>
      </c>
    </row>
    <row r="4234" spans="13:14" x14ac:dyDescent="0.35">
      <c r="M4234" s="46">
        <v>0.54851276153732009</v>
      </c>
      <c r="N4234" s="46">
        <v>0</v>
      </c>
    </row>
    <row r="4235" spans="13:14" x14ac:dyDescent="0.35">
      <c r="M4235" s="46">
        <v>0.65238714942869858</v>
      </c>
      <c r="N4235" s="46">
        <v>0</v>
      </c>
    </row>
    <row r="4236" spans="13:14" x14ac:dyDescent="0.35">
      <c r="M4236" s="46">
        <v>0.73632000296779931</v>
      </c>
      <c r="N4236" s="46">
        <v>0</v>
      </c>
    </row>
    <row r="4237" spans="13:14" x14ac:dyDescent="0.35">
      <c r="M4237" s="46">
        <v>0.79722673987238468</v>
      </c>
      <c r="N4237" s="46">
        <v>0</v>
      </c>
    </row>
    <row r="4238" spans="13:14" x14ac:dyDescent="0.35">
      <c r="M4238" s="46">
        <v>0.86568689716575153</v>
      </c>
      <c r="N4238" s="46">
        <v>0</v>
      </c>
    </row>
    <row r="4239" spans="13:14" x14ac:dyDescent="0.35">
      <c r="M4239" s="46">
        <v>0.91730390265618045</v>
      </c>
      <c r="N4239" s="46">
        <v>0</v>
      </c>
    </row>
    <row r="4240" spans="13:14" x14ac:dyDescent="0.35">
      <c r="M4240" s="46">
        <v>0.95387394272147208</v>
      </c>
      <c r="N4240" s="46">
        <v>0</v>
      </c>
    </row>
    <row r="4241" spans="13:14" x14ac:dyDescent="0.35">
      <c r="M4241" s="46">
        <v>0.9730624721768808</v>
      </c>
      <c r="N4241" s="46">
        <v>0</v>
      </c>
    </row>
    <row r="4242" spans="13:14" x14ac:dyDescent="0.35">
      <c r="M4242" s="46">
        <v>0.95005638818815852</v>
      </c>
      <c r="N4242" s="46">
        <v>0</v>
      </c>
    </row>
    <row r="4243" spans="13:14" x14ac:dyDescent="0.35">
      <c r="M4243" s="46">
        <v>0.87777318593263098</v>
      </c>
      <c r="N4243" s="46">
        <v>0</v>
      </c>
    </row>
    <row r="4244" spans="13:14" x14ac:dyDescent="0.35">
      <c r="M4244" s="46">
        <v>0.760348271256863</v>
      </c>
      <c r="N4244" s="46">
        <v>0</v>
      </c>
    </row>
    <row r="4245" spans="13:14" x14ac:dyDescent="0.35">
      <c r="M4245" s="46">
        <v>0.64769461344413126</v>
      </c>
      <c r="N4245" s="46">
        <v>0</v>
      </c>
    </row>
    <row r="4246" spans="13:14" x14ac:dyDescent="0.35">
      <c r="M4246" s="46">
        <v>0.5994826383736459</v>
      </c>
      <c r="N4246" s="46">
        <v>0</v>
      </c>
    </row>
    <row r="4247" spans="13:14" x14ac:dyDescent="0.35">
      <c r="M4247" s="46">
        <v>0.58983565810951177</v>
      </c>
      <c r="N4247" s="46">
        <v>0</v>
      </c>
    </row>
    <row r="4248" spans="13:14" x14ac:dyDescent="0.35">
      <c r="M4248" s="46">
        <v>0.56784085175842114</v>
      </c>
      <c r="N4248" s="46">
        <v>0</v>
      </c>
    </row>
    <row r="4249" spans="13:14" x14ac:dyDescent="0.35">
      <c r="M4249" s="46">
        <v>0.57139197210268577</v>
      </c>
      <c r="N4249" s="46">
        <v>0</v>
      </c>
    </row>
    <row r="4250" spans="13:14" x14ac:dyDescent="0.35">
      <c r="M4250" s="46">
        <v>0.57019379729930253</v>
      </c>
      <c r="N4250" s="46">
        <v>0</v>
      </c>
    </row>
    <row r="4251" spans="13:14" x14ac:dyDescent="0.35">
      <c r="M4251" s="46">
        <v>0.56670151357768217</v>
      </c>
      <c r="N4251" s="46">
        <v>0</v>
      </c>
    </row>
    <row r="4252" spans="13:14" x14ac:dyDescent="0.35">
      <c r="M4252" s="46">
        <v>0.55876895681851901</v>
      </c>
      <c r="N4252" s="46">
        <v>0</v>
      </c>
    </row>
    <row r="4253" spans="13:14" x14ac:dyDescent="0.35">
      <c r="M4253" s="46">
        <v>0.54601454221694612</v>
      </c>
      <c r="N4253" s="46">
        <v>0</v>
      </c>
    </row>
    <row r="4254" spans="13:14" x14ac:dyDescent="0.35">
      <c r="M4254" s="46">
        <v>0.5232086362961863</v>
      </c>
      <c r="N4254" s="46">
        <v>0</v>
      </c>
    </row>
    <row r="4255" spans="13:14" x14ac:dyDescent="0.35">
      <c r="M4255" s="46">
        <v>0.49435079388633324</v>
      </c>
      <c r="N4255" s="46">
        <v>0</v>
      </c>
    </row>
    <row r="4256" spans="13:14" x14ac:dyDescent="0.35">
      <c r="M4256" s="46">
        <v>0.47738878171835586</v>
      </c>
      <c r="N4256" s="46">
        <v>0</v>
      </c>
    </row>
    <row r="4257" spans="13:14" x14ac:dyDescent="0.35">
      <c r="M4257" s="46">
        <v>0.50459845674432413</v>
      </c>
      <c r="N4257" s="46">
        <v>0</v>
      </c>
    </row>
    <row r="4258" spans="13:14" x14ac:dyDescent="0.35">
      <c r="M4258" s="46">
        <v>0.59450942276302121</v>
      </c>
      <c r="N4258" s="46">
        <v>0</v>
      </c>
    </row>
    <row r="4259" spans="13:14" x14ac:dyDescent="0.35">
      <c r="M4259" s="46">
        <v>0.70802374239501409</v>
      </c>
      <c r="N4259" s="46">
        <v>0</v>
      </c>
    </row>
    <row r="4260" spans="13:14" x14ac:dyDescent="0.35">
      <c r="M4260" s="46">
        <v>0.80155349458376612</v>
      </c>
      <c r="N4260" s="46">
        <v>0</v>
      </c>
    </row>
    <row r="4261" spans="13:14" x14ac:dyDescent="0.35">
      <c r="M4261" s="46">
        <v>0.86470967502596829</v>
      </c>
      <c r="N4261" s="46">
        <v>0</v>
      </c>
    </row>
    <row r="4262" spans="13:14" x14ac:dyDescent="0.35">
      <c r="M4262" s="46">
        <v>0.92900816144828613</v>
      </c>
      <c r="N4262" s="46">
        <v>0</v>
      </c>
    </row>
    <row r="4263" spans="13:14" x14ac:dyDescent="0.35">
      <c r="M4263" s="46">
        <v>0.97300949695800565</v>
      </c>
      <c r="N4263" s="46">
        <v>0</v>
      </c>
    </row>
    <row r="4264" spans="13:14" x14ac:dyDescent="0.35">
      <c r="M4264" s="46">
        <v>1</v>
      </c>
      <c r="N4264" s="46">
        <v>1.8203735710414257E-2</v>
      </c>
    </row>
    <row r="4265" spans="13:14" x14ac:dyDescent="0.35">
      <c r="M4265" s="46">
        <v>1</v>
      </c>
      <c r="N4265" s="46">
        <v>3.5512882367822608E-2</v>
      </c>
    </row>
    <row r="4266" spans="13:14" x14ac:dyDescent="0.35">
      <c r="M4266" s="46">
        <v>0.99496453479744762</v>
      </c>
      <c r="N4266" s="46">
        <v>0</v>
      </c>
    </row>
    <row r="4267" spans="13:14" x14ac:dyDescent="0.35">
      <c r="M4267" s="46">
        <v>0.91228379581540286</v>
      </c>
      <c r="N4267" s="46">
        <v>0</v>
      </c>
    </row>
    <row r="4268" spans="13:14" x14ac:dyDescent="0.35">
      <c r="M4268" s="46">
        <v>0.78812472176880843</v>
      </c>
      <c r="N4268" s="46">
        <v>0</v>
      </c>
    </row>
    <row r="4269" spans="13:14" x14ac:dyDescent="0.35">
      <c r="M4269" s="46">
        <v>0.6686233862590889</v>
      </c>
      <c r="N4269" s="46">
        <v>0</v>
      </c>
    </row>
    <row r="4270" spans="13:14" x14ac:dyDescent="0.35">
      <c r="M4270" s="46">
        <v>0.61665172874313701</v>
      </c>
      <c r="N4270" s="46">
        <v>0</v>
      </c>
    </row>
    <row r="4271" spans="13:14" x14ac:dyDescent="0.35">
      <c r="M4271" s="46">
        <v>0.60697677696987684</v>
      </c>
      <c r="N4271" s="46">
        <v>0</v>
      </c>
    </row>
    <row r="4272" spans="13:14" x14ac:dyDescent="0.35">
      <c r="M4272" s="46">
        <v>0.58878995399910972</v>
      </c>
      <c r="N4272" s="46">
        <v>0</v>
      </c>
    </row>
    <row r="4273" spans="13:14" x14ac:dyDescent="0.35">
      <c r="M4273" s="46">
        <v>0.5932310431814809</v>
      </c>
      <c r="N4273" s="46">
        <v>0</v>
      </c>
    </row>
    <row r="4274" spans="13:14" x14ac:dyDescent="0.35">
      <c r="M4274" s="46">
        <v>0.6008105060097938</v>
      </c>
      <c r="N4274" s="46">
        <v>0</v>
      </c>
    </row>
    <row r="4275" spans="13:14" x14ac:dyDescent="0.35">
      <c r="M4275" s="46">
        <v>0.60542075975664045</v>
      </c>
      <c r="N4275" s="46">
        <v>0</v>
      </c>
    </row>
    <row r="4276" spans="13:14" x14ac:dyDescent="0.35">
      <c r="M4276" s="46">
        <v>0.60868793589553349</v>
      </c>
      <c r="N4276" s="46">
        <v>0</v>
      </c>
    </row>
    <row r="4277" spans="13:14" x14ac:dyDescent="0.35">
      <c r="M4277" s="46">
        <v>0.60965069001335503</v>
      </c>
      <c r="N4277" s="46">
        <v>0</v>
      </c>
    </row>
    <row r="4278" spans="13:14" x14ac:dyDescent="0.35">
      <c r="M4278" s="46">
        <v>0.60839961418608102</v>
      </c>
      <c r="N4278" s="46">
        <v>0</v>
      </c>
    </row>
    <row r="4279" spans="13:14" x14ac:dyDescent="0.35">
      <c r="M4279" s="46">
        <v>0.60397447692535988</v>
      </c>
      <c r="N4279" s="46">
        <v>0</v>
      </c>
    </row>
    <row r="4280" spans="13:14" x14ac:dyDescent="0.35">
      <c r="M4280" s="46">
        <v>0.61375626947618345</v>
      </c>
      <c r="N4280" s="46">
        <v>0</v>
      </c>
    </row>
    <row r="4281" spans="13:14" x14ac:dyDescent="0.35">
      <c r="M4281" s="46">
        <v>0.6774897610921502</v>
      </c>
      <c r="N4281" s="46">
        <v>0</v>
      </c>
    </row>
    <row r="4282" spans="13:14" x14ac:dyDescent="0.35">
      <c r="M4282" s="46">
        <v>0.81030071227185041</v>
      </c>
      <c r="N4282" s="46">
        <v>0</v>
      </c>
    </row>
    <row r="4283" spans="13:14" x14ac:dyDescent="0.35">
      <c r="M4283" s="46">
        <v>0.95670166196765094</v>
      </c>
      <c r="N4283" s="46">
        <v>0</v>
      </c>
    </row>
    <row r="4284" spans="13:14" x14ac:dyDescent="0.35">
      <c r="M4284" s="46">
        <v>1</v>
      </c>
      <c r="N4284" s="46">
        <v>0.10439313350220722</v>
      </c>
    </row>
    <row r="4285" spans="13:14" x14ac:dyDescent="0.35">
      <c r="M4285" s="46">
        <v>1</v>
      </c>
      <c r="N4285" s="46">
        <v>0.20869615165575622</v>
      </c>
    </row>
    <row r="4286" spans="13:14" x14ac:dyDescent="0.35">
      <c r="M4286" s="46">
        <v>1</v>
      </c>
      <c r="N4286" s="46">
        <v>0.27344288206939832</v>
      </c>
    </row>
    <row r="4287" spans="13:14" x14ac:dyDescent="0.35">
      <c r="M4287" s="46">
        <v>1</v>
      </c>
      <c r="N4287" s="46">
        <v>0.29536443323695522</v>
      </c>
    </row>
    <row r="4288" spans="13:14" x14ac:dyDescent="0.35">
      <c r="M4288" s="46">
        <v>1</v>
      </c>
      <c r="N4288" s="46">
        <v>0.27932431601333901</v>
      </c>
    </row>
    <row r="4289" spans="13:14" x14ac:dyDescent="0.35">
      <c r="M4289" s="46">
        <v>1</v>
      </c>
      <c r="N4289" s="46">
        <v>0.23793132343847415</v>
      </c>
    </row>
    <row r="4290" spans="13:14" x14ac:dyDescent="0.35">
      <c r="M4290" s="46">
        <v>1</v>
      </c>
      <c r="N4290" s="46">
        <v>0.15331006253660051</v>
      </c>
    </row>
    <row r="4291" spans="13:14" x14ac:dyDescent="0.35">
      <c r="M4291" s="46">
        <v>1</v>
      </c>
      <c r="N4291" s="46">
        <v>4.4874396241225472E-3</v>
      </c>
    </row>
    <row r="4292" spans="13:14" x14ac:dyDescent="0.35">
      <c r="M4292" s="46">
        <v>0.86540087550081612</v>
      </c>
      <c r="N4292" s="46">
        <v>0</v>
      </c>
    </row>
    <row r="4293" spans="13:14" x14ac:dyDescent="0.35">
      <c r="M4293" s="46">
        <v>0.73716627096008314</v>
      </c>
      <c r="N4293" s="46">
        <v>0</v>
      </c>
    </row>
    <row r="4294" spans="13:14" x14ac:dyDescent="0.35">
      <c r="M4294" s="46">
        <v>0.67616486125537911</v>
      </c>
      <c r="N4294" s="46">
        <v>0</v>
      </c>
    </row>
    <row r="4295" spans="13:14" x14ac:dyDescent="0.35">
      <c r="M4295" s="46">
        <v>0.66666137409111148</v>
      </c>
      <c r="N4295" s="46">
        <v>0</v>
      </c>
    </row>
    <row r="4296" spans="13:14" x14ac:dyDescent="0.35">
      <c r="M4296" s="46">
        <v>0.66831317702923276</v>
      </c>
      <c r="N4296" s="46">
        <v>0</v>
      </c>
    </row>
    <row r="4297" spans="13:14" x14ac:dyDescent="0.35">
      <c r="M4297" s="46">
        <v>0.66602945540881442</v>
      </c>
      <c r="N4297" s="46">
        <v>0</v>
      </c>
    </row>
    <row r="4298" spans="13:14" x14ac:dyDescent="0.35">
      <c r="M4298" s="46">
        <v>0.65673549488054606</v>
      </c>
      <c r="N4298" s="46">
        <v>0</v>
      </c>
    </row>
    <row r="4299" spans="13:14" x14ac:dyDescent="0.35">
      <c r="M4299" s="46">
        <v>0.64159563733491609</v>
      </c>
      <c r="N4299" s="46">
        <v>0</v>
      </c>
    </row>
    <row r="4300" spans="13:14" x14ac:dyDescent="0.35">
      <c r="M4300" s="46">
        <v>0.60249933224514018</v>
      </c>
      <c r="N4300" s="46">
        <v>0</v>
      </c>
    </row>
    <row r="4301" spans="13:14" x14ac:dyDescent="0.35">
      <c r="M4301" s="46">
        <v>0.54333625166938715</v>
      </c>
      <c r="N4301" s="46">
        <v>0</v>
      </c>
    </row>
    <row r="4302" spans="13:14" x14ac:dyDescent="0.35">
      <c r="M4302" s="46">
        <v>0.45894220210713754</v>
      </c>
      <c r="N4302" s="46">
        <v>0</v>
      </c>
    </row>
    <row r="4303" spans="13:14" x14ac:dyDescent="0.35">
      <c r="M4303" s="46">
        <v>0.37711381510609882</v>
      </c>
      <c r="N4303" s="46">
        <v>0</v>
      </c>
    </row>
    <row r="4304" spans="13:14" x14ac:dyDescent="0.35">
      <c r="M4304" s="46">
        <v>0.32747566404511053</v>
      </c>
      <c r="N4304" s="46">
        <v>0</v>
      </c>
    </row>
    <row r="4305" spans="13:14" x14ac:dyDescent="0.35">
      <c r="M4305" s="46">
        <v>0.33168830687045553</v>
      </c>
      <c r="N4305" s="46">
        <v>0</v>
      </c>
    </row>
    <row r="4306" spans="13:14" x14ac:dyDescent="0.35">
      <c r="M4306" s="46">
        <v>0.36580063807686602</v>
      </c>
      <c r="N4306" s="46">
        <v>0</v>
      </c>
    </row>
    <row r="4307" spans="13:14" x14ac:dyDescent="0.35">
      <c r="M4307" s="46">
        <v>0.42650519364890932</v>
      </c>
      <c r="N4307" s="46">
        <v>0</v>
      </c>
    </row>
    <row r="4308" spans="13:14" x14ac:dyDescent="0.35">
      <c r="M4308" s="46">
        <v>0.4835082356432705</v>
      </c>
      <c r="N4308" s="46">
        <v>0</v>
      </c>
    </row>
    <row r="4309" spans="13:14" x14ac:dyDescent="0.35">
      <c r="M4309" s="46">
        <v>0.53201921650096451</v>
      </c>
      <c r="N4309" s="46">
        <v>0</v>
      </c>
    </row>
    <row r="4310" spans="13:14" x14ac:dyDescent="0.35">
      <c r="M4310" s="46">
        <v>0.57194272147202851</v>
      </c>
      <c r="N4310" s="46">
        <v>0</v>
      </c>
    </row>
    <row r="4311" spans="13:14" x14ac:dyDescent="0.35">
      <c r="M4311" s="46">
        <v>0.588602685858436</v>
      </c>
      <c r="N4311" s="46">
        <v>0</v>
      </c>
    </row>
    <row r="4312" spans="13:14" x14ac:dyDescent="0.35">
      <c r="M4312" s="46">
        <v>0.58593040510461492</v>
      </c>
      <c r="N4312" s="46">
        <v>0</v>
      </c>
    </row>
    <row r="4313" spans="13:14" x14ac:dyDescent="0.35">
      <c r="M4313" s="46">
        <v>0.5626209378246031</v>
      </c>
      <c r="N4313" s="46">
        <v>0</v>
      </c>
    </row>
    <row r="4314" spans="13:14" x14ac:dyDescent="0.35">
      <c r="M4314" s="46">
        <v>0.51513844784092599</v>
      </c>
      <c r="N4314" s="46">
        <v>0</v>
      </c>
    </row>
    <row r="4315" spans="13:14" x14ac:dyDescent="0.35">
      <c r="M4315" s="46">
        <v>0.43330850274521437</v>
      </c>
      <c r="N4315" s="46">
        <v>0</v>
      </c>
    </row>
    <row r="4316" spans="13:14" x14ac:dyDescent="0.35">
      <c r="M4316" s="46">
        <v>0.33101535836177476</v>
      </c>
      <c r="N4316" s="46">
        <v>0</v>
      </c>
    </row>
    <row r="4317" spans="13:14" x14ac:dyDescent="0.35">
      <c r="M4317" s="46">
        <v>0.22179744769253598</v>
      </c>
      <c r="N4317" s="46">
        <v>0</v>
      </c>
    </row>
    <row r="4318" spans="13:14" x14ac:dyDescent="0.35">
      <c r="M4318" s="46">
        <v>0.14933417420982342</v>
      </c>
      <c r="N4318" s="46">
        <v>0</v>
      </c>
    </row>
    <row r="4319" spans="13:14" x14ac:dyDescent="0.35">
      <c r="M4319" s="46">
        <v>0.11617665825790176</v>
      </c>
      <c r="N4319" s="46">
        <v>0</v>
      </c>
    </row>
    <row r="4320" spans="13:14" x14ac:dyDescent="0.35">
      <c r="M4320" s="46">
        <v>9.2919721026858595E-2</v>
      </c>
      <c r="N4320" s="46">
        <v>0</v>
      </c>
    </row>
    <row r="4321" spans="13:14" x14ac:dyDescent="0.35">
      <c r="M4321" s="46">
        <v>8.0384330019290698E-2</v>
      </c>
      <c r="N4321" s="46">
        <v>0</v>
      </c>
    </row>
    <row r="4322" spans="13:14" x14ac:dyDescent="0.35">
      <c r="M4322" s="46">
        <v>6.6017361626354062E-2</v>
      </c>
      <c r="N4322" s="46">
        <v>0</v>
      </c>
    </row>
    <row r="4323" spans="13:14" x14ac:dyDescent="0.35">
      <c r="M4323" s="46">
        <v>5.7737646535094229E-2</v>
      </c>
      <c r="N4323" s="46">
        <v>0</v>
      </c>
    </row>
    <row r="4324" spans="13:14" x14ac:dyDescent="0.35">
      <c r="M4324" s="46">
        <v>5.3695355393975366E-2</v>
      </c>
      <c r="N4324" s="46">
        <v>0</v>
      </c>
    </row>
    <row r="4325" spans="13:14" x14ac:dyDescent="0.35">
      <c r="M4325" s="46">
        <v>5.0437231043181478E-2</v>
      </c>
      <c r="N4325" s="46">
        <v>0</v>
      </c>
    </row>
    <row r="4326" spans="13:14" x14ac:dyDescent="0.35">
      <c r="M4326" s="46">
        <v>4.891912746698323E-2</v>
      </c>
      <c r="N4326" s="46">
        <v>0</v>
      </c>
    </row>
    <row r="4327" spans="13:14" x14ac:dyDescent="0.35">
      <c r="M4327" s="46">
        <v>5.0354577830538656E-2</v>
      </c>
      <c r="N4327" s="46">
        <v>0</v>
      </c>
    </row>
    <row r="4328" spans="13:14" x14ac:dyDescent="0.35">
      <c r="M4328" s="46">
        <v>6.6556684968096164E-2</v>
      </c>
      <c r="N4328" s="46">
        <v>0</v>
      </c>
    </row>
    <row r="4329" spans="13:14" x14ac:dyDescent="0.35">
      <c r="M4329" s="46">
        <v>0.13330842855023001</v>
      </c>
      <c r="N4329" s="46">
        <v>0</v>
      </c>
    </row>
    <row r="4330" spans="13:14" x14ac:dyDescent="0.35">
      <c r="M4330" s="46">
        <v>0.26478438937527826</v>
      </c>
      <c r="N4330" s="46">
        <v>0</v>
      </c>
    </row>
    <row r="4331" spans="13:14" x14ac:dyDescent="0.35">
      <c r="M4331" s="46">
        <v>0.41619721026858586</v>
      </c>
      <c r="N4331" s="46">
        <v>0</v>
      </c>
    </row>
    <row r="4332" spans="13:14" x14ac:dyDescent="0.35">
      <c r="M4332" s="46">
        <v>0.53943300192906962</v>
      </c>
      <c r="N4332" s="46">
        <v>0</v>
      </c>
    </row>
    <row r="4333" spans="13:14" x14ac:dyDescent="0.35">
      <c r="M4333" s="46">
        <v>0.62473030123163675</v>
      </c>
      <c r="N4333" s="46">
        <v>0</v>
      </c>
    </row>
    <row r="4334" spans="13:14" x14ac:dyDescent="0.35">
      <c r="M4334" s="46">
        <v>0.6941126279863481</v>
      </c>
      <c r="N4334" s="46">
        <v>0</v>
      </c>
    </row>
    <row r="4335" spans="13:14" x14ac:dyDescent="0.35">
      <c r="M4335" s="46">
        <v>0.74194516990651427</v>
      </c>
      <c r="N4335" s="46">
        <v>0</v>
      </c>
    </row>
    <row r="4336" spans="13:14" x14ac:dyDescent="0.35">
      <c r="M4336" s="46">
        <v>0.77442951476480193</v>
      </c>
      <c r="N4336" s="46">
        <v>0</v>
      </c>
    </row>
    <row r="4337" spans="13:14" x14ac:dyDescent="0.35">
      <c r="M4337" s="46">
        <v>0.78291141118860363</v>
      </c>
      <c r="N4337" s="46">
        <v>0</v>
      </c>
    </row>
    <row r="4338" spans="13:14" x14ac:dyDescent="0.35">
      <c r="M4338" s="46">
        <v>0.76275508235643275</v>
      </c>
      <c r="N4338" s="46">
        <v>0</v>
      </c>
    </row>
    <row r="4339" spans="13:14" x14ac:dyDescent="0.35">
      <c r="M4339" s="46">
        <v>0.6991483899688381</v>
      </c>
      <c r="N4339" s="46">
        <v>0</v>
      </c>
    </row>
    <row r="4340" spans="13:14" x14ac:dyDescent="0.35">
      <c r="M4340" s="46">
        <v>0.60618348419646828</v>
      </c>
      <c r="N4340" s="46">
        <v>0</v>
      </c>
    </row>
    <row r="4341" spans="13:14" x14ac:dyDescent="0.35">
      <c r="M4341" s="46">
        <v>0.50730805757530784</v>
      </c>
      <c r="N4341" s="46">
        <v>0</v>
      </c>
    </row>
    <row r="4342" spans="13:14" x14ac:dyDescent="0.35">
      <c r="M4342" s="46">
        <v>0.46163963496067667</v>
      </c>
      <c r="N4342" s="46">
        <v>0</v>
      </c>
    </row>
    <row r="4343" spans="13:14" x14ac:dyDescent="0.35">
      <c r="M4343" s="46">
        <v>0.43592469209081464</v>
      </c>
      <c r="N4343" s="46">
        <v>0</v>
      </c>
    </row>
    <row r="4344" spans="13:14" x14ac:dyDescent="0.35">
      <c r="M4344" s="46">
        <v>0.39198530939308501</v>
      </c>
      <c r="N4344" s="46">
        <v>0</v>
      </c>
    </row>
    <row r="4345" spans="13:14" x14ac:dyDescent="0.35">
      <c r="M4345" s="46">
        <v>0.38496334767769697</v>
      </c>
      <c r="N4345" s="46">
        <v>0</v>
      </c>
    </row>
    <row r="4346" spans="13:14" x14ac:dyDescent="0.35">
      <c r="M4346" s="46">
        <v>0.29076272443982787</v>
      </c>
      <c r="N4346" s="46">
        <v>0</v>
      </c>
    </row>
    <row r="4347" spans="13:14" x14ac:dyDescent="0.35">
      <c r="M4347" s="46">
        <v>0.29288885591334024</v>
      </c>
      <c r="N4347" s="46">
        <v>0</v>
      </c>
    </row>
    <row r="4348" spans="13:14" x14ac:dyDescent="0.35">
      <c r="M4348" s="46">
        <v>0.29026057278527972</v>
      </c>
      <c r="N4348" s="46">
        <v>0</v>
      </c>
    </row>
    <row r="4349" spans="13:14" x14ac:dyDescent="0.35">
      <c r="M4349" s="46">
        <v>0.28196149280308652</v>
      </c>
      <c r="N4349" s="46">
        <v>0</v>
      </c>
    </row>
    <row r="4350" spans="13:14" x14ac:dyDescent="0.35">
      <c r="M4350" s="46">
        <v>0.25127875055646237</v>
      </c>
      <c r="N4350" s="46">
        <v>0</v>
      </c>
    </row>
    <row r="4351" spans="13:14" x14ac:dyDescent="0.35">
      <c r="M4351" s="46">
        <v>0.21681302863926399</v>
      </c>
      <c r="N4351" s="46">
        <v>0</v>
      </c>
    </row>
    <row r="4352" spans="13:14" x14ac:dyDescent="0.35">
      <c r="M4352" s="46">
        <v>0.19732623534649057</v>
      </c>
      <c r="N4352" s="46">
        <v>0</v>
      </c>
    </row>
    <row r="4353" spans="13:14" x14ac:dyDescent="0.35">
      <c r="M4353" s="46">
        <v>0.24020552010684076</v>
      </c>
      <c r="N4353" s="46">
        <v>0</v>
      </c>
    </row>
    <row r="4354" spans="13:14" x14ac:dyDescent="0.35">
      <c r="M4354" s="46">
        <v>0.34646861552159069</v>
      </c>
      <c r="N4354" s="46">
        <v>0</v>
      </c>
    </row>
    <row r="4355" spans="13:14" x14ac:dyDescent="0.35">
      <c r="M4355" s="46">
        <v>0.48215069001335509</v>
      </c>
      <c r="N4355" s="46">
        <v>0</v>
      </c>
    </row>
    <row r="4356" spans="13:14" x14ac:dyDescent="0.35">
      <c r="M4356" s="46">
        <v>0.59846876391155956</v>
      </c>
      <c r="N4356" s="46">
        <v>0</v>
      </c>
    </row>
    <row r="4357" spans="13:14" x14ac:dyDescent="0.35">
      <c r="M4357" s="46">
        <v>0.68363993174061433</v>
      </c>
      <c r="N4357" s="46">
        <v>0</v>
      </c>
    </row>
    <row r="4358" spans="13:14" x14ac:dyDescent="0.35">
      <c r="M4358" s="46">
        <v>0.7475802789731415</v>
      </c>
      <c r="N4358" s="46">
        <v>0</v>
      </c>
    </row>
    <row r="4359" spans="13:14" x14ac:dyDescent="0.35">
      <c r="M4359" s="46">
        <v>0.78097321561062472</v>
      </c>
      <c r="N4359" s="46">
        <v>0</v>
      </c>
    </row>
    <row r="4360" spans="13:14" x14ac:dyDescent="0.35">
      <c r="M4360" s="46">
        <v>0.79249666122570117</v>
      </c>
      <c r="N4360" s="46">
        <v>0</v>
      </c>
    </row>
    <row r="4361" spans="13:14" x14ac:dyDescent="0.35">
      <c r="M4361" s="46">
        <v>0.77190102389078508</v>
      </c>
      <c r="N4361" s="46">
        <v>0</v>
      </c>
    </row>
    <row r="4362" spans="13:14" x14ac:dyDescent="0.35">
      <c r="M4362" s="46">
        <v>0.71592439531087693</v>
      </c>
      <c r="N4362" s="46">
        <v>0</v>
      </c>
    </row>
    <row r="4363" spans="13:14" x14ac:dyDescent="0.35">
      <c r="M4363" s="46">
        <v>0.61557545629915422</v>
      </c>
      <c r="N4363" s="46">
        <v>0</v>
      </c>
    </row>
    <row r="4364" spans="13:14" x14ac:dyDescent="0.35">
      <c r="M4364" s="46">
        <v>0.48780746401543257</v>
      </c>
      <c r="N4364" s="46">
        <v>0</v>
      </c>
    </row>
    <row r="4365" spans="13:14" x14ac:dyDescent="0.35">
      <c r="M4365" s="46">
        <v>0.35137728149577091</v>
      </c>
      <c r="N4365" s="46">
        <v>0</v>
      </c>
    </row>
    <row r="4366" spans="13:14" x14ac:dyDescent="0.35">
      <c r="M4366" s="46">
        <v>0.2724253598456744</v>
      </c>
      <c r="N4366" s="46">
        <v>0</v>
      </c>
    </row>
    <row r="4367" spans="13:14" x14ac:dyDescent="0.35">
      <c r="M4367" s="46">
        <v>0.23525092743730525</v>
      </c>
      <c r="N4367" s="46">
        <v>0</v>
      </c>
    </row>
    <row r="4368" spans="13:14" x14ac:dyDescent="0.35">
      <c r="M4368" s="46">
        <v>0.19089456892714052</v>
      </c>
      <c r="N4368" s="46">
        <v>0</v>
      </c>
    </row>
    <row r="4369" spans="13:14" x14ac:dyDescent="0.35">
      <c r="M4369" s="46">
        <v>0.18763451550675175</v>
      </c>
      <c r="N4369" s="46">
        <v>0</v>
      </c>
    </row>
    <row r="4370" spans="13:14" x14ac:dyDescent="0.35">
      <c r="M4370" s="46">
        <v>0.18404192016619675</v>
      </c>
      <c r="N4370" s="46">
        <v>0</v>
      </c>
    </row>
    <row r="4371" spans="13:14" x14ac:dyDescent="0.35">
      <c r="M4371" s="46">
        <v>0.17838217836474254</v>
      </c>
      <c r="N4371" s="46">
        <v>0</v>
      </c>
    </row>
    <row r="4372" spans="13:14" x14ac:dyDescent="0.35">
      <c r="M4372" s="46">
        <v>0.17535413266063213</v>
      </c>
      <c r="N4372" s="46">
        <v>0</v>
      </c>
    </row>
    <row r="4373" spans="13:14" x14ac:dyDescent="0.35">
      <c r="M4373" s="46">
        <v>0.17016359994064403</v>
      </c>
      <c r="N4373" s="46">
        <v>0</v>
      </c>
    </row>
    <row r="4374" spans="13:14" x14ac:dyDescent="0.35">
      <c r="M4374" s="46">
        <v>0.16143604392343078</v>
      </c>
      <c r="N4374" s="46">
        <v>0</v>
      </c>
    </row>
    <row r="4375" spans="13:14" x14ac:dyDescent="0.35">
      <c r="M4375" s="46">
        <v>0.15313570262650247</v>
      </c>
      <c r="N4375" s="46">
        <v>0</v>
      </c>
    </row>
    <row r="4376" spans="13:14" x14ac:dyDescent="0.35">
      <c r="M4376" s="46">
        <v>0.15430894791512093</v>
      </c>
      <c r="N4376" s="46">
        <v>0</v>
      </c>
    </row>
    <row r="4377" spans="13:14" x14ac:dyDescent="0.35">
      <c r="M4377" s="46">
        <v>0.20366708710491171</v>
      </c>
      <c r="N4377" s="46">
        <v>0</v>
      </c>
    </row>
    <row r="4378" spans="13:14" x14ac:dyDescent="0.35">
      <c r="M4378" s="46">
        <v>0.28507597566404508</v>
      </c>
      <c r="N4378" s="46">
        <v>0</v>
      </c>
    </row>
    <row r="4379" spans="13:14" x14ac:dyDescent="0.35">
      <c r="M4379" s="46">
        <v>0.40041437898798038</v>
      </c>
      <c r="N4379" s="46">
        <v>0</v>
      </c>
    </row>
    <row r="4380" spans="13:14" x14ac:dyDescent="0.35">
      <c r="M4380" s="46">
        <v>0.51187980412524114</v>
      </c>
      <c r="N4380" s="46">
        <v>0</v>
      </c>
    </row>
    <row r="4381" spans="13:14" x14ac:dyDescent="0.35">
      <c r="M4381" s="46">
        <v>0.5949828609585992</v>
      </c>
      <c r="N4381" s="46">
        <v>0</v>
      </c>
    </row>
    <row r="4382" spans="13:14" x14ac:dyDescent="0.35">
      <c r="M4382" s="46">
        <v>0.67759630508977597</v>
      </c>
      <c r="N4382" s="46">
        <v>0</v>
      </c>
    </row>
    <row r="4383" spans="13:14" x14ac:dyDescent="0.35">
      <c r="M4383" s="46">
        <v>0.73648308354355241</v>
      </c>
      <c r="N4383" s="46">
        <v>0</v>
      </c>
    </row>
    <row r="4384" spans="13:14" x14ac:dyDescent="0.35">
      <c r="M4384" s="46">
        <v>0.76592439531087708</v>
      </c>
      <c r="N4384" s="46">
        <v>0</v>
      </c>
    </row>
    <row r="4385" spans="13:14" x14ac:dyDescent="0.35">
      <c r="M4385" s="46">
        <v>0.73961678290547561</v>
      </c>
      <c r="N4385" s="46">
        <v>0</v>
      </c>
    </row>
    <row r="4386" spans="13:14" x14ac:dyDescent="0.35">
      <c r="M4386" s="46">
        <v>0.67912034426472767</v>
      </c>
      <c r="N4386" s="46">
        <v>0</v>
      </c>
    </row>
    <row r="4387" spans="13:14" x14ac:dyDescent="0.35">
      <c r="M4387" s="46">
        <v>0.57815239649799677</v>
      </c>
      <c r="N4387" s="46">
        <v>0</v>
      </c>
    </row>
    <row r="4388" spans="13:14" x14ac:dyDescent="0.35">
      <c r="M4388" s="46">
        <v>0.4517963347677697</v>
      </c>
      <c r="N4388" s="46">
        <v>0</v>
      </c>
    </row>
    <row r="4389" spans="13:14" x14ac:dyDescent="0.35">
      <c r="M4389" s="46">
        <v>0.3272718504229114</v>
      </c>
      <c r="N4389" s="46">
        <v>0</v>
      </c>
    </row>
    <row r="4390" spans="13:14" x14ac:dyDescent="0.35">
      <c r="M4390" s="46">
        <v>0.26738195577978929</v>
      </c>
      <c r="N4390" s="46">
        <v>0</v>
      </c>
    </row>
    <row r="4391" spans="13:14" x14ac:dyDescent="0.35">
      <c r="M4391" s="46">
        <v>0.24654258792105652</v>
      </c>
      <c r="N4391" s="46">
        <v>0</v>
      </c>
    </row>
    <row r="4392" spans="13:14" x14ac:dyDescent="0.35">
      <c r="M4392" s="46">
        <v>0.21038180738982043</v>
      </c>
      <c r="N4392" s="46">
        <v>0</v>
      </c>
    </row>
    <row r="4393" spans="13:14" x14ac:dyDescent="0.35">
      <c r="M4393" s="46">
        <v>0.20836192313399615</v>
      </c>
      <c r="N4393" s="46">
        <v>0</v>
      </c>
    </row>
    <row r="4394" spans="13:14" x14ac:dyDescent="0.35">
      <c r="M4394" s="46">
        <v>0.21065313844784092</v>
      </c>
      <c r="N4394" s="46">
        <v>0</v>
      </c>
    </row>
    <row r="4395" spans="13:14" x14ac:dyDescent="0.35">
      <c r="M4395" s="46">
        <v>0.21030093485680368</v>
      </c>
      <c r="N4395" s="46">
        <v>0</v>
      </c>
    </row>
    <row r="4396" spans="13:14" x14ac:dyDescent="0.35">
      <c r="M4396" s="46">
        <v>0.20774402730375427</v>
      </c>
      <c r="N4396" s="46">
        <v>0</v>
      </c>
    </row>
    <row r="4397" spans="13:14" x14ac:dyDescent="0.35">
      <c r="M4397" s="46">
        <v>0.20416167087104911</v>
      </c>
      <c r="N4397" s="46">
        <v>0</v>
      </c>
    </row>
    <row r="4398" spans="13:14" x14ac:dyDescent="0.35">
      <c r="M4398" s="46">
        <v>0.19086845229262503</v>
      </c>
      <c r="N4398" s="46">
        <v>0</v>
      </c>
    </row>
    <row r="4399" spans="13:14" x14ac:dyDescent="0.35">
      <c r="M4399" s="46">
        <v>0.17484285502300045</v>
      </c>
      <c r="N4399" s="46">
        <v>0</v>
      </c>
    </row>
    <row r="4400" spans="13:14" x14ac:dyDescent="0.35">
      <c r="M4400" s="46">
        <v>0.16536496512835733</v>
      </c>
      <c r="N4400" s="46">
        <v>0</v>
      </c>
    </row>
    <row r="4401" spans="13:14" x14ac:dyDescent="0.35">
      <c r="M4401" s="46">
        <v>0.20734441311767327</v>
      </c>
      <c r="N4401" s="46">
        <v>0</v>
      </c>
    </row>
    <row r="4402" spans="13:14" x14ac:dyDescent="0.35">
      <c r="M4402" s="46">
        <v>0.29469988128802493</v>
      </c>
      <c r="N4402" s="46">
        <v>0</v>
      </c>
    </row>
    <row r="4403" spans="13:14" x14ac:dyDescent="0.35">
      <c r="M4403" s="46">
        <v>0.41479841222733344</v>
      </c>
      <c r="N4403" s="46">
        <v>0</v>
      </c>
    </row>
    <row r="4404" spans="13:14" x14ac:dyDescent="0.35">
      <c r="M4404" s="46">
        <v>0.52219609734381955</v>
      </c>
      <c r="N4404" s="46">
        <v>0</v>
      </c>
    </row>
    <row r="4405" spans="13:14" x14ac:dyDescent="0.35">
      <c r="M4405" s="46">
        <v>0.60277096008309838</v>
      </c>
      <c r="N4405" s="46">
        <v>0</v>
      </c>
    </row>
    <row r="4406" spans="13:14" x14ac:dyDescent="0.35">
      <c r="M4406" s="46">
        <v>0.66854904288470096</v>
      </c>
      <c r="N4406" s="46">
        <v>0</v>
      </c>
    </row>
    <row r="4407" spans="13:14" x14ac:dyDescent="0.35">
      <c r="M4407" s="46">
        <v>0.71272859474699513</v>
      </c>
      <c r="N4407" s="46">
        <v>0</v>
      </c>
    </row>
    <row r="4408" spans="13:14" x14ac:dyDescent="0.35">
      <c r="M4408" s="46">
        <v>0.73274855319780385</v>
      </c>
      <c r="N4408" s="46">
        <v>0</v>
      </c>
    </row>
    <row r="4409" spans="13:14" x14ac:dyDescent="0.35">
      <c r="M4409" s="46">
        <v>0.70798182222881734</v>
      </c>
      <c r="N4409" s="46">
        <v>0</v>
      </c>
    </row>
    <row r="4410" spans="13:14" x14ac:dyDescent="0.35">
      <c r="M4410" s="46">
        <v>0.64185012613147352</v>
      </c>
      <c r="N4410" s="46">
        <v>0</v>
      </c>
    </row>
    <row r="4411" spans="13:14" x14ac:dyDescent="0.35">
      <c r="M4411" s="46">
        <v>0.52822970767176136</v>
      </c>
      <c r="N4411" s="46">
        <v>0</v>
      </c>
    </row>
    <row r="4412" spans="13:14" x14ac:dyDescent="0.35">
      <c r="M4412" s="46">
        <v>0.38575649206113666</v>
      </c>
      <c r="N4412" s="46">
        <v>0</v>
      </c>
    </row>
    <row r="4413" spans="13:14" x14ac:dyDescent="0.35">
      <c r="M4413" s="46">
        <v>0.24456514319631992</v>
      </c>
      <c r="N4413" s="46">
        <v>0</v>
      </c>
    </row>
    <row r="4414" spans="13:14" x14ac:dyDescent="0.35">
      <c r="M4414" s="46">
        <v>0.1625883662264431</v>
      </c>
      <c r="N4414" s="46">
        <v>0</v>
      </c>
    </row>
    <row r="4415" spans="13:14" x14ac:dyDescent="0.35">
      <c r="M4415" s="46">
        <v>0.12905015580946727</v>
      </c>
      <c r="N4415" s="46">
        <v>0</v>
      </c>
    </row>
    <row r="4416" spans="13:14" x14ac:dyDescent="0.35">
      <c r="M4416" s="46">
        <v>9.5565588366226431E-2</v>
      </c>
      <c r="N4416" s="46">
        <v>0</v>
      </c>
    </row>
    <row r="4417" spans="13:14" x14ac:dyDescent="0.35">
      <c r="M4417" s="46">
        <v>8.273178513132512E-2</v>
      </c>
      <c r="N4417" s="46">
        <v>0</v>
      </c>
    </row>
    <row r="4418" spans="13:14" x14ac:dyDescent="0.35">
      <c r="M4418" s="46">
        <v>7.2719023594005047E-2</v>
      </c>
      <c r="N4418" s="46">
        <v>0</v>
      </c>
    </row>
    <row r="4419" spans="13:14" x14ac:dyDescent="0.35">
      <c r="M4419" s="46">
        <v>6.7648983528713458E-2</v>
      </c>
      <c r="N4419" s="46">
        <v>0</v>
      </c>
    </row>
    <row r="4420" spans="13:14" x14ac:dyDescent="0.35">
      <c r="M4420" s="46">
        <v>6.3313251224217243E-2</v>
      </c>
      <c r="N4420" s="46">
        <v>0</v>
      </c>
    </row>
    <row r="4421" spans="13:14" x14ac:dyDescent="0.35">
      <c r="M4421" s="46">
        <v>5.9092521145570558E-2</v>
      </c>
      <c r="N4421" s="46">
        <v>0</v>
      </c>
    </row>
    <row r="4422" spans="13:14" x14ac:dyDescent="0.35">
      <c r="M4422" s="46">
        <v>5.4721323638522036E-2</v>
      </c>
      <c r="N4422" s="46">
        <v>0</v>
      </c>
    </row>
    <row r="4423" spans="13:14" x14ac:dyDescent="0.35">
      <c r="M4423" s="46">
        <v>4.9175322748182218E-2</v>
      </c>
      <c r="N4423" s="46">
        <v>0</v>
      </c>
    </row>
    <row r="4424" spans="13:14" x14ac:dyDescent="0.35">
      <c r="M4424" s="46">
        <v>5.3663599940644013E-2</v>
      </c>
      <c r="N4424" s="46">
        <v>0</v>
      </c>
    </row>
    <row r="4425" spans="13:14" x14ac:dyDescent="0.35">
      <c r="M4425" s="46">
        <v>0.11455698174803383</v>
      </c>
      <c r="N4425" s="46">
        <v>0</v>
      </c>
    </row>
    <row r="4426" spans="13:14" x14ac:dyDescent="0.35">
      <c r="M4426" s="46">
        <v>0.22837164267695503</v>
      </c>
      <c r="N4426" s="46">
        <v>0</v>
      </c>
    </row>
    <row r="4427" spans="13:14" x14ac:dyDescent="0.35">
      <c r="M4427" s="46">
        <v>0.36736733936785876</v>
      </c>
      <c r="N4427" s="46">
        <v>0</v>
      </c>
    </row>
    <row r="4428" spans="13:14" x14ac:dyDescent="0.35">
      <c r="M4428" s="46">
        <v>0.48560995696690906</v>
      </c>
      <c r="N4428" s="46">
        <v>0</v>
      </c>
    </row>
    <row r="4429" spans="13:14" x14ac:dyDescent="0.35">
      <c r="M4429" s="46">
        <v>0.56805119453924913</v>
      </c>
      <c r="N4429" s="46">
        <v>0</v>
      </c>
    </row>
    <row r="4430" spans="13:14" x14ac:dyDescent="0.35">
      <c r="M4430" s="46">
        <v>0.61360899243211153</v>
      </c>
      <c r="N4430" s="46">
        <v>0</v>
      </c>
    </row>
    <row r="4431" spans="13:14" x14ac:dyDescent="0.35">
      <c r="M4431" s="46">
        <v>0.63187052975218883</v>
      </c>
      <c r="N4431" s="46">
        <v>0</v>
      </c>
    </row>
    <row r="4432" spans="13:14" x14ac:dyDescent="0.35">
      <c r="M4432" s="46">
        <v>0.62484960676658252</v>
      </c>
      <c r="N4432" s="46">
        <v>0</v>
      </c>
    </row>
    <row r="4433" spans="13:14" x14ac:dyDescent="0.35">
      <c r="M4433" s="46">
        <v>0.60912947024781128</v>
      </c>
      <c r="N4433" s="46">
        <v>0</v>
      </c>
    </row>
    <row r="4434" spans="13:14" x14ac:dyDescent="0.35">
      <c r="M4434" s="46">
        <v>0.55904867190977892</v>
      </c>
      <c r="N4434" s="46">
        <v>0</v>
      </c>
    </row>
    <row r="4435" spans="13:14" x14ac:dyDescent="0.35">
      <c r="M4435" s="46">
        <v>0.46355839145273781</v>
      </c>
      <c r="N4435" s="46">
        <v>0</v>
      </c>
    </row>
    <row r="4436" spans="13:14" x14ac:dyDescent="0.35">
      <c r="M4436" s="46">
        <v>0.32533536132957414</v>
      </c>
      <c r="N4436" s="46">
        <v>0</v>
      </c>
    </row>
    <row r="4437" spans="13:14" x14ac:dyDescent="0.35">
      <c r="M4437" s="46">
        <v>0.1968300934856804</v>
      </c>
      <c r="N4437" s="46">
        <v>0</v>
      </c>
    </row>
    <row r="4438" spans="13:14" x14ac:dyDescent="0.35">
      <c r="M4438" s="46">
        <v>0.13633944205371717</v>
      </c>
      <c r="N4438" s="46">
        <v>0</v>
      </c>
    </row>
    <row r="4439" spans="13:14" x14ac:dyDescent="0.35">
      <c r="M4439" s="46">
        <v>0.11788299450957115</v>
      </c>
      <c r="N4439" s="46">
        <v>0</v>
      </c>
    </row>
    <row r="4440" spans="13:14" x14ac:dyDescent="0.35">
      <c r="M4440" s="46">
        <v>0.10805779789286245</v>
      </c>
      <c r="N4440" s="46">
        <v>0</v>
      </c>
    </row>
    <row r="4441" spans="13:14" x14ac:dyDescent="0.35">
      <c r="M4441" s="46">
        <v>0.11247774150467428</v>
      </c>
      <c r="N4441" s="46">
        <v>0</v>
      </c>
    </row>
    <row r="4442" spans="13:14" x14ac:dyDescent="0.35">
      <c r="M4442" s="46">
        <v>0.11826049859029529</v>
      </c>
      <c r="N4442" s="46">
        <v>0</v>
      </c>
    </row>
    <row r="4443" spans="13:14" x14ac:dyDescent="0.35">
      <c r="M4443" s="46">
        <v>0.1205833209675026</v>
      </c>
      <c r="N4443" s="46">
        <v>0</v>
      </c>
    </row>
    <row r="4444" spans="13:14" x14ac:dyDescent="0.35">
      <c r="M4444" s="46">
        <v>0.12131940940792403</v>
      </c>
      <c r="N4444" s="46">
        <v>0</v>
      </c>
    </row>
    <row r="4445" spans="13:14" x14ac:dyDescent="0.35">
      <c r="M4445" s="46">
        <v>0.12083039026561804</v>
      </c>
      <c r="N4445" s="46">
        <v>0</v>
      </c>
    </row>
    <row r="4446" spans="13:14" x14ac:dyDescent="0.35">
      <c r="M4446" s="46">
        <v>0.11918689716575161</v>
      </c>
      <c r="N4446" s="46">
        <v>0</v>
      </c>
    </row>
    <row r="4447" spans="13:14" x14ac:dyDescent="0.35">
      <c r="M4447" s="46">
        <v>0.11161841519513281</v>
      </c>
      <c r="N4447" s="46">
        <v>0</v>
      </c>
    </row>
    <row r="4448" spans="13:14" x14ac:dyDescent="0.35">
      <c r="M4448" s="46">
        <v>0.11495066033536133</v>
      </c>
      <c r="N4448" s="46">
        <v>0</v>
      </c>
    </row>
    <row r="4449" spans="13:14" x14ac:dyDescent="0.35">
      <c r="M4449" s="46">
        <v>0.17244917643567295</v>
      </c>
      <c r="N4449" s="46">
        <v>0</v>
      </c>
    </row>
    <row r="4450" spans="13:14" x14ac:dyDescent="0.35">
      <c r="M4450" s="46">
        <v>0.288295147648019</v>
      </c>
      <c r="N4450" s="46">
        <v>0</v>
      </c>
    </row>
    <row r="4451" spans="13:14" x14ac:dyDescent="0.35">
      <c r="M4451" s="46">
        <v>0.42088729781866746</v>
      </c>
      <c r="N4451" s="46">
        <v>0</v>
      </c>
    </row>
    <row r="4452" spans="13:14" x14ac:dyDescent="0.35">
      <c r="M4452" s="46">
        <v>0.52424810802789734</v>
      </c>
      <c r="N4452" s="46">
        <v>0</v>
      </c>
    </row>
    <row r="4453" spans="13:14" x14ac:dyDescent="0.35">
      <c r="M4453" s="46">
        <v>0.58842484048078347</v>
      </c>
      <c r="N4453" s="46">
        <v>0</v>
      </c>
    </row>
    <row r="4454" spans="13:14" x14ac:dyDescent="0.35">
      <c r="M4454" s="46">
        <v>0.62405097195429593</v>
      </c>
      <c r="N4454" s="46">
        <v>0</v>
      </c>
    </row>
    <row r="4455" spans="13:14" x14ac:dyDescent="0.35">
      <c r="M4455" s="46">
        <v>0.63341022406885283</v>
      </c>
      <c r="N4455" s="46">
        <v>0</v>
      </c>
    </row>
    <row r="4456" spans="13:14" x14ac:dyDescent="0.35">
      <c r="M4456" s="46">
        <v>0.62373364000593567</v>
      </c>
      <c r="N4456" s="46">
        <v>0</v>
      </c>
    </row>
    <row r="4457" spans="13:14" x14ac:dyDescent="0.35">
      <c r="M4457" s="46">
        <v>0.60224039174951771</v>
      </c>
      <c r="N4457" s="46">
        <v>0</v>
      </c>
    </row>
    <row r="4458" spans="13:14" x14ac:dyDescent="0.35">
      <c r="M4458" s="46">
        <v>0.55763117673245288</v>
      </c>
      <c r="N4458" s="46">
        <v>0</v>
      </c>
    </row>
    <row r="4459" spans="13:14" x14ac:dyDescent="0.35">
      <c r="M4459" s="46">
        <v>0.48333959044368602</v>
      </c>
      <c r="N4459" s="46">
        <v>0</v>
      </c>
    </row>
    <row r="4460" spans="13:14" x14ac:dyDescent="0.35">
      <c r="M4460" s="46">
        <v>0.39260431814809316</v>
      </c>
      <c r="N4460" s="46">
        <v>0</v>
      </c>
    </row>
    <row r="4461" spans="13:14" x14ac:dyDescent="0.35">
      <c r="M4461" s="46">
        <v>0.30285064549636442</v>
      </c>
      <c r="N4461" s="46">
        <v>0</v>
      </c>
    </row>
    <row r="4462" spans="13:14" x14ac:dyDescent="0.35">
      <c r="M4462" s="46">
        <v>0.25721338477518924</v>
      </c>
      <c r="N4462" s="46">
        <v>0</v>
      </c>
    </row>
    <row r="4463" spans="13:14" x14ac:dyDescent="0.35">
      <c r="M4463" s="46">
        <v>0.24988151060988276</v>
      </c>
      <c r="N4463" s="46">
        <v>0</v>
      </c>
    </row>
    <row r="4464" spans="13:14" x14ac:dyDescent="0.35">
      <c r="M4464" s="46">
        <v>0.21495622495919275</v>
      </c>
      <c r="N4464" s="46">
        <v>0</v>
      </c>
    </row>
    <row r="4465" spans="13:14" x14ac:dyDescent="0.35">
      <c r="M4465" s="46">
        <v>0.22529655735272297</v>
      </c>
      <c r="N4465" s="46">
        <v>0</v>
      </c>
    </row>
    <row r="4466" spans="13:14" x14ac:dyDescent="0.35">
      <c r="M4466" s="46">
        <v>0.23414215759014692</v>
      </c>
      <c r="N4466" s="46">
        <v>0</v>
      </c>
    </row>
    <row r="4467" spans="13:14" x14ac:dyDescent="0.35">
      <c r="M4467" s="46">
        <v>0.24385420685561657</v>
      </c>
      <c r="N4467" s="46">
        <v>0</v>
      </c>
    </row>
    <row r="4468" spans="13:14" x14ac:dyDescent="0.35">
      <c r="M4468" s="46">
        <v>0.24728906365929662</v>
      </c>
      <c r="N4468" s="46">
        <v>0</v>
      </c>
    </row>
    <row r="4469" spans="13:14" x14ac:dyDescent="0.35">
      <c r="M4469" s="46">
        <v>0.25115529010238907</v>
      </c>
      <c r="N4469" s="46">
        <v>0</v>
      </c>
    </row>
    <row r="4470" spans="13:14" x14ac:dyDescent="0.35">
      <c r="M4470" s="46">
        <v>0.24420307167235497</v>
      </c>
      <c r="N4470" s="46">
        <v>0</v>
      </c>
    </row>
    <row r="4471" spans="13:14" x14ac:dyDescent="0.35">
      <c r="M4471" s="46">
        <v>0.22963184448731266</v>
      </c>
      <c r="N4471" s="46">
        <v>0</v>
      </c>
    </row>
    <row r="4472" spans="13:14" x14ac:dyDescent="0.35">
      <c r="M4472" s="46">
        <v>0.22232304496216054</v>
      </c>
      <c r="N4472" s="46">
        <v>0</v>
      </c>
    </row>
    <row r="4473" spans="13:14" x14ac:dyDescent="0.35">
      <c r="M4473" s="46">
        <v>0.27375322748182224</v>
      </c>
      <c r="N4473" s="46">
        <v>0</v>
      </c>
    </row>
    <row r="4474" spans="13:14" x14ac:dyDescent="0.35">
      <c r="M4474" s="46">
        <v>0.37591571449769995</v>
      </c>
      <c r="N4474" s="46">
        <v>0</v>
      </c>
    </row>
    <row r="4475" spans="13:14" x14ac:dyDescent="0.35">
      <c r="M4475" s="46">
        <v>0.4944226888262353</v>
      </c>
      <c r="N4475" s="46">
        <v>0</v>
      </c>
    </row>
    <row r="4476" spans="13:14" x14ac:dyDescent="0.35">
      <c r="M4476" s="46">
        <v>0.59149814512538956</v>
      </c>
      <c r="N4476" s="46">
        <v>0</v>
      </c>
    </row>
    <row r="4477" spans="13:14" x14ac:dyDescent="0.35">
      <c r="M4477" s="46">
        <v>0.66241215313844781</v>
      </c>
      <c r="N4477" s="46">
        <v>0</v>
      </c>
    </row>
    <row r="4478" spans="13:14" x14ac:dyDescent="0.35">
      <c r="M4478" s="46">
        <v>0.7164119305534945</v>
      </c>
      <c r="N4478" s="46">
        <v>0</v>
      </c>
    </row>
    <row r="4479" spans="13:14" x14ac:dyDescent="0.35">
      <c r="M4479" s="46">
        <v>0.75071501706484645</v>
      </c>
      <c r="N4479" s="46">
        <v>0</v>
      </c>
    </row>
    <row r="4480" spans="13:14" x14ac:dyDescent="0.35">
      <c r="M4480" s="46">
        <v>0.76659838254933965</v>
      </c>
      <c r="N4480" s="46">
        <v>0</v>
      </c>
    </row>
    <row r="4481" spans="13:14" x14ac:dyDescent="0.35">
      <c r="M4481" s="46">
        <v>0.77193033090963048</v>
      </c>
      <c r="N4481" s="46">
        <v>0</v>
      </c>
    </row>
    <row r="4482" spans="13:14" x14ac:dyDescent="0.35">
      <c r="M4482" s="46">
        <v>0.7379182371271702</v>
      </c>
      <c r="N4482" s="46">
        <v>0</v>
      </c>
    </row>
    <row r="4483" spans="13:14" x14ac:dyDescent="0.35">
      <c r="M4483" s="46">
        <v>0.66022763021219766</v>
      </c>
      <c r="N4483" s="46">
        <v>0</v>
      </c>
    </row>
    <row r="4484" spans="13:14" x14ac:dyDescent="0.35">
      <c r="M4484" s="46">
        <v>0.54015692239204627</v>
      </c>
      <c r="N4484" s="46">
        <v>0</v>
      </c>
    </row>
    <row r="4485" spans="13:14" x14ac:dyDescent="0.35">
      <c r="M4485" s="46">
        <v>0.41954815254488798</v>
      </c>
      <c r="N4485" s="46">
        <v>0</v>
      </c>
    </row>
    <row r="4486" spans="13:14" x14ac:dyDescent="0.35">
      <c r="M4486" s="46">
        <v>0.35748857397239947</v>
      </c>
      <c r="N4486" s="46">
        <v>0</v>
      </c>
    </row>
    <row r="4487" spans="13:14" x14ac:dyDescent="0.35">
      <c r="M4487" s="46">
        <v>0.34215328683780977</v>
      </c>
      <c r="N4487" s="46">
        <v>0</v>
      </c>
    </row>
    <row r="4488" spans="13:14" x14ac:dyDescent="0.35">
      <c r="M4488" s="46">
        <v>0.29451528416679029</v>
      </c>
      <c r="N4488" s="46">
        <v>0</v>
      </c>
    </row>
    <row r="4489" spans="13:14" x14ac:dyDescent="0.35">
      <c r="M4489" s="46">
        <v>0.28974588217836478</v>
      </c>
      <c r="N4489" s="46">
        <v>0</v>
      </c>
    </row>
    <row r="4490" spans="13:14" x14ac:dyDescent="0.35">
      <c r="M4490" s="46">
        <v>0.28488499777415044</v>
      </c>
      <c r="N4490" s="46">
        <v>0</v>
      </c>
    </row>
    <row r="4491" spans="13:14" x14ac:dyDescent="0.35">
      <c r="M4491" s="46">
        <v>0.27787780086066183</v>
      </c>
      <c r="N4491" s="46">
        <v>0</v>
      </c>
    </row>
    <row r="4492" spans="13:14" x14ac:dyDescent="0.35">
      <c r="M4492" s="46">
        <v>0.26529967354206857</v>
      </c>
      <c r="N4492" s="46">
        <v>0</v>
      </c>
    </row>
    <row r="4493" spans="13:14" x14ac:dyDescent="0.35">
      <c r="M4493" s="46">
        <v>0.24894954741059505</v>
      </c>
      <c r="N4493" s="46">
        <v>0</v>
      </c>
    </row>
    <row r="4494" spans="13:14" x14ac:dyDescent="0.35">
      <c r="M4494" s="46">
        <v>0.2242791957263689</v>
      </c>
      <c r="N4494" s="46">
        <v>0</v>
      </c>
    </row>
    <row r="4495" spans="13:14" x14ac:dyDescent="0.35">
      <c r="M4495" s="46">
        <v>0.19651647128654101</v>
      </c>
      <c r="N4495" s="46">
        <v>0</v>
      </c>
    </row>
    <row r="4496" spans="13:14" x14ac:dyDescent="0.35">
      <c r="M4496" s="46">
        <v>0.17813956076569226</v>
      </c>
      <c r="N4496" s="46">
        <v>0</v>
      </c>
    </row>
    <row r="4497" spans="13:14" x14ac:dyDescent="0.35">
      <c r="M4497" s="46">
        <v>0.22046943166641936</v>
      </c>
      <c r="N4497" s="46">
        <v>0</v>
      </c>
    </row>
    <row r="4498" spans="13:14" x14ac:dyDescent="0.35">
      <c r="M4498" s="46">
        <v>0.30900600979373799</v>
      </c>
      <c r="N4498" s="46">
        <v>0</v>
      </c>
    </row>
    <row r="4499" spans="13:14" x14ac:dyDescent="0.35">
      <c r="M4499" s="46">
        <v>0.40334478409259533</v>
      </c>
      <c r="N4499" s="46">
        <v>0</v>
      </c>
    </row>
    <row r="4500" spans="13:14" x14ac:dyDescent="0.35">
      <c r="M4500" s="46">
        <v>0.47149985161003116</v>
      </c>
      <c r="N4500" s="46">
        <v>0</v>
      </c>
    </row>
    <row r="4501" spans="13:14" x14ac:dyDescent="0.35">
      <c r="M4501" s="46">
        <v>0.5089225404362665</v>
      </c>
      <c r="N4501" s="46">
        <v>0</v>
      </c>
    </row>
    <row r="4502" spans="13:14" x14ac:dyDescent="0.35">
      <c r="M4502" s="46">
        <v>0.52574788544294404</v>
      </c>
      <c r="N4502" s="46">
        <v>0</v>
      </c>
    </row>
    <row r="4503" spans="13:14" x14ac:dyDescent="0.35">
      <c r="M4503" s="46">
        <v>0.51888915269327796</v>
      </c>
      <c r="N4503" s="46">
        <v>0</v>
      </c>
    </row>
    <row r="4504" spans="13:14" x14ac:dyDescent="0.35">
      <c r="M4504" s="46">
        <v>0.4933616263540585</v>
      </c>
      <c r="N4504" s="46">
        <v>0</v>
      </c>
    </row>
    <row r="4505" spans="13:14" x14ac:dyDescent="0.35">
      <c r="M4505" s="46">
        <v>0.44824870158777269</v>
      </c>
      <c r="N4505" s="46">
        <v>0</v>
      </c>
    </row>
    <row r="4506" spans="13:14" x14ac:dyDescent="0.35">
      <c r="M4506" s="46">
        <v>0.38364349309986645</v>
      </c>
      <c r="N4506" s="46">
        <v>0</v>
      </c>
    </row>
    <row r="4507" spans="13:14" x14ac:dyDescent="0.35">
      <c r="M4507" s="46">
        <v>0.3039194984419053</v>
      </c>
      <c r="N4507" s="46">
        <v>0</v>
      </c>
    </row>
    <row r="4508" spans="13:14" x14ac:dyDescent="0.35">
      <c r="M4508" s="46">
        <v>0.24321427511500221</v>
      </c>
      <c r="N4508" s="46">
        <v>0</v>
      </c>
    </row>
    <row r="4509" spans="13:14" x14ac:dyDescent="0.35">
      <c r="M4509" s="46">
        <v>0.18662457337883959</v>
      </c>
      <c r="N4509" s="46">
        <v>0</v>
      </c>
    </row>
    <row r="4510" spans="13:14" x14ac:dyDescent="0.35">
      <c r="M4510" s="46">
        <v>0.15005787208784685</v>
      </c>
      <c r="N4510" s="46">
        <v>0</v>
      </c>
    </row>
    <row r="4511" spans="13:14" x14ac:dyDescent="0.35">
      <c r="M4511" s="46">
        <v>0.1413774298857397</v>
      </c>
      <c r="N4511" s="46">
        <v>0</v>
      </c>
    </row>
    <row r="4512" spans="13:14" x14ac:dyDescent="0.35">
      <c r="M4512" s="46">
        <v>0.11685034871642677</v>
      </c>
      <c r="N4512" s="46">
        <v>0</v>
      </c>
    </row>
    <row r="4513" spans="13:14" x14ac:dyDescent="0.35">
      <c r="M4513" s="46">
        <v>0.11483387742988574</v>
      </c>
      <c r="N4513" s="46">
        <v>0</v>
      </c>
    </row>
    <row r="4514" spans="13:14" x14ac:dyDescent="0.35">
      <c r="M4514" s="46">
        <v>0.11323801751001632</v>
      </c>
      <c r="N4514" s="46">
        <v>0</v>
      </c>
    </row>
    <row r="4515" spans="13:14" x14ac:dyDescent="0.35">
      <c r="M4515" s="46">
        <v>0.11345815402878766</v>
      </c>
      <c r="N4515" s="46">
        <v>0</v>
      </c>
    </row>
    <row r="4516" spans="13:14" x14ac:dyDescent="0.35">
      <c r="M4516" s="46">
        <v>0.11940384330019291</v>
      </c>
      <c r="N4516" s="46">
        <v>0</v>
      </c>
    </row>
    <row r="4517" spans="13:14" x14ac:dyDescent="0.35">
      <c r="M4517" s="46">
        <v>0.12385405846564773</v>
      </c>
      <c r="N4517" s="46">
        <v>0</v>
      </c>
    </row>
    <row r="4518" spans="13:14" x14ac:dyDescent="0.35">
      <c r="M4518" s="46">
        <v>0.1181506900133551</v>
      </c>
      <c r="N4518" s="46">
        <v>0</v>
      </c>
    </row>
    <row r="4519" spans="13:14" x14ac:dyDescent="0.35">
      <c r="M4519" s="46">
        <v>0.11134018400356137</v>
      </c>
      <c r="N4519" s="46">
        <v>0</v>
      </c>
    </row>
    <row r="4520" spans="13:14" x14ac:dyDescent="0.35">
      <c r="M4520" s="46">
        <v>0.10953116189345601</v>
      </c>
      <c r="N4520" s="46">
        <v>0</v>
      </c>
    </row>
    <row r="4521" spans="13:14" x14ac:dyDescent="0.35">
      <c r="M4521" s="46">
        <v>0.15635813918979077</v>
      </c>
      <c r="N4521" s="46">
        <v>0</v>
      </c>
    </row>
    <row r="4522" spans="13:14" x14ac:dyDescent="0.35">
      <c r="M4522" s="46">
        <v>0.24643344709897611</v>
      </c>
      <c r="N4522" s="46">
        <v>0</v>
      </c>
    </row>
    <row r="4523" spans="13:14" x14ac:dyDescent="0.35">
      <c r="M4523" s="46">
        <v>0.37120002967799376</v>
      </c>
      <c r="N4523" s="46">
        <v>0</v>
      </c>
    </row>
    <row r="4524" spans="13:14" x14ac:dyDescent="0.35">
      <c r="M4524" s="46">
        <v>0.4865804273631103</v>
      </c>
      <c r="N4524" s="46">
        <v>0</v>
      </c>
    </row>
    <row r="4525" spans="13:14" x14ac:dyDescent="0.35">
      <c r="M4525" s="46">
        <v>0.57798427066330316</v>
      </c>
      <c r="N4525" s="46">
        <v>0</v>
      </c>
    </row>
    <row r="4526" spans="13:14" x14ac:dyDescent="0.35">
      <c r="M4526" s="46">
        <v>0.61732883217094525</v>
      </c>
      <c r="N4526" s="46">
        <v>0</v>
      </c>
    </row>
    <row r="4527" spans="13:14" x14ac:dyDescent="0.35">
      <c r="M4527" s="46">
        <v>0.63219209081466088</v>
      </c>
      <c r="N4527" s="46">
        <v>0</v>
      </c>
    </row>
    <row r="4528" spans="13:14" x14ac:dyDescent="0.35">
      <c r="M4528" s="46">
        <v>0.64196423801751001</v>
      </c>
      <c r="N4528" s="46">
        <v>0</v>
      </c>
    </row>
    <row r="4529" spans="13:14" x14ac:dyDescent="0.35">
      <c r="M4529" s="46">
        <v>0.62464453182964841</v>
      </c>
      <c r="N4529" s="46">
        <v>0</v>
      </c>
    </row>
    <row r="4530" spans="13:14" x14ac:dyDescent="0.35">
      <c r="M4530" s="46">
        <v>0.57847247366078058</v>
      </c>
      <c r="N4530" s="46">
        <v>0</v>
      </c>
    </row>
    <row r="4531" spans="13:14" x14ac:dyDescent="0.35">
      <c r="M4531" s="46">
        <v>0.48867339367858736</v>
      </c>
      <c r="N4531" s="46">
        <v>0</v>
      </c>
    </row>
    <row r="4532" spans="13:14" x14ac:dyDescent="0.35">
      <c r="M4532" s="46">
        <v>0.41732475144680226</v>
      </c>
      <c r="N4532" s="46">
        <v>0</v>
      </c>
    </row>
    <row r="4533" spans="13:14" x14ac:dyDescent="0.35">
      <c r="M4533" s="46">
        <v>0.33215261908294996</v>
      </c>
      <c r="N4533" s="46">
        <v>0</v>
      </c>
    </row>
    <row r="4534" spans="13:14" x14ac:dyDescent="0.35">
      <c r="M4534" s="46">
        <v>0.27046164119305538</v>
      </c>
      <c r="N4534" s="46">
        <v>0</v>
      </c>
    </row>
    <row r="4535" spans="13:14" x14ac:dyDescent="0.35">
      <c r="M4535" s="46">
        <v>0.23885517139041401</v>
      </c>
      <c r="N4535" s="46">
        <v>0</v>
      </c>
    </row>
    <row r="4536" spans="13:14" x14ac:dyDescent="0.35">
      <c r="M4536" s="46">
        <v>0.18977726665677402</v>
      </c>
      <c r="N4536" s="46">
        <v>0</v>
      </c>
    </row>
    <row r="4537" spans="13:14" x14ac:dyDescent="0.35">
      <c r="M4537" s="46">
        <v>0.18486362961863778</v>
      </c>
      <c r="N4537" s="46">
        <v>0</v>
      </c>
    </row>
    <row r="4538" spans="13:14" x14ac:dyDescent="0.35">
      <c r="M4538" s="46">
        <v>0.18065514171242023</v>
      </c>
      <c r="N4538" s="46">
        <v>0</v>
      </c>
    </row>
    <row r="4539" spans="13:14" x14ac:dyDescent="0.35">
      <c r="M4539" s="46">
        <v>0.17411871197507048</v>
      </c>
      <c r="N4539" s="46">
        <v>0</v>
      </c>
    </row>
    <row r="4540" spans="13:14" x14ac:dyDescent="0.35">
      <c r="M4540" s="46">
        <v>0.17099591927585694</v>
      </c>
      <c r="N4540" s="46">
        <v>0</v>
      </c>
    </row>
    <row r="4541" spans="13:14" x14ac:dyDescent="0.35">
      <c r="M4541" s="46">
        <v>0.16888893010832468</v>
      </c>
      <c r="N4541" s="46">
        <v>0</v>
      </c>
    </row>
    <row r="4542" spans="13:14" x14ac:dyDescent="0.35">
      <c r="M4542" s="46">
        <v>0.16926814067369048</v>
      </c>
      <c r="N4542" s="46">
        <v>0</v>
      </c>
    </row>
    <row r="4543" spans="13:14" x14ac:dyDescent="0.35">
      <c r="M4543" s="46">
        <v>0.17290874016916455</v>
      </c>
      <c r="N4543" s="46">
        <v>0</v>
      </c>
    </row>
    <row r="4544" spans="13:14" x14ac:dyDescent="0.35">
      <c r="M4544" s="46">
        <v>0.18974002077459562</v>
      </c>
      <c r="N4544" s="46">
        <v>0</v>
      </c>
    </row>
    <row r="4545" spans="13:14" x14ac:dyDescent="0.35">
      <c r="M4545" s="46">
        <v>0.25518838106544001</v>
      </c>
      <c r="N4545" s="46">
        <v>0</v>
      </c>
    </row>
    <row r="4546" spans="13:14" x14ac:dyDescent="0.35">
      <c r="M4546" s="46">
        <v>0.36697618341000143</v>
      </c>
      <c r="N4546" s="46">
        <v>0</v>
      </c>
    </row>
    <row r="4547" spans="13:14" x14ac:dyDescent="0.35">
      <c r="M4547" s="46">
        <v>0.52118244546668646</v>
      </c>
      <c r="N4547" s="46">
        <v>0</v>
      </c>
    </row>
    <row r="4548" spans="13:14" x14ac:dyDescent="0.35">
      <c r="M4548" s="46">
        <v>0.64091719839738825</v>
      </c>
      <c r="N4548" s="46">
        <v>0</v>
      </c>
    </row>
    <row r="4549" spans="13:14" x14ac:dyDescent="0.35">
      <c r="M4549" s="46">
        <v>0.72705542365336107</v>
      </c>
      <c r="N4549" s="46">
        <v>0</v>
      </c>
    </row>
    <row r="4550" spans="13:14" x14ac:dyDescent="0.35">
      <c r="M4550" s="46">
        <v>0.80647907701439381</v>
      </c>
      <c r="N4550" s="46">
        <v>0</v>
      </c>
    </row>
    <row r="4551" spans="13:14" x14ac:dyDescent="0.35">
      <c r="M4551" s="46">
        <v>0.87872013651877123</v>
      </c>
      <c r="N4551" s="46">
        <v>0</v>
      </c>
    </row>
    <row r="4552" spans="13:14" x14ac:dyDescent="0.35">
      <c r="M4552" s="46">
        <v>0.95045652173913053</v>
      </c>
      <c r="N4552" s="46">
        <v>0</v>
      </c>
    </row>
    <row r="4553" spans="13:14" x14ac:dyDescent="0.35">
      <c r="M4553" s="46">
        <v>0.99988158480486722</v>
      </c>
      <c r="N4553" s="46">
        <v>0</v>
      </c>
    </row>
    <row r="4554" spans="13:14" x14ac:dyDescent="0.35">
      <c r="M4554" s="46">
        <v>1</v>
      </c>
      <c r="N4554" s="46">
        <v>2.0596409594788065E-3</v>
      </c>
    </row>
    <row r="4555" spans="13:14" x14ac:dyDescent="0.35">
      <c r="M4555" s="46">
        <v>0.93759474699510315</v>
      </c>
      <c r="N4555" s="46">
        <v>0</v>
      </c>
    </row>
    <row r="4556" spans="13:14" x14ac:dyDescent="0.35">
      <c r="M4556" s="46">
        <v>0.82234055497848346</v>
      </c>
      <c r="N4556" s="46">
        <v>0</v>
      </c>
    </row>
    <row r="4557" spans="13:14" x14ac:dyDescent="0.35">
      <c r="M4557" s="46">
        <v>0.70238240094969573</v>
      </c>
      <c r="N4557" s="46">
        <v>0</v>
      </c>
    </row>
    <row r="4558" spans="13:14" x14ac:dyDescent="0.35">
      <c r="M4558" s="46">
        <v>0.64169416827422476</v>
      </c>
      <c r="N4558" s="46">
        <v>0</v>
      </c>
    </row>
    <row r="4559" spans="13:14" x14ac:dyDescent="0.35">
      <c r="M4559" s="46">
        <v>0.61330353168125828</v>
      </c>
      <c r="N4559" s="46">
        <v>0</v>
      </c>
    </row>
    <row r="4560" spans="13:14" x14ac:dyDescent="0.35">
      <c r="M4560" s="46">
        <v>0.54649087401691643</v>
      </c>
      <c r="N4560" s="46">
        <v>0</v>
      </c>
    </row>
    <row r="4561" spans="13:14" x14ac:dyDescent="0.35">
      <c r="M4561" s="46">
        <v>0.51262479596379285</v>
      </c>
      <c r="N4561" s="46">
        <v>0</v>
      </c>
    </row>
    <row r="4562" spans="13:14" x14ac:dyDescent="0.35">
      <c r="M4562" s="46">
        <v>0.47461596676064699</v>
      </c>
      <c r="N4562" s="46">
        <v>0</v>
      </c>
    </row>
    <row r="4563" spans="13:14" x14ac:dyDescent="0.35">
      <c r="M4563" s="46">
        <v>0.43122525597269623</v>
      </c>
      <c r="N4563" s="46">
        <v>0</v>
      </c>
    </row>
    <row r="4564" spans="13:14" x14ac:dyDescent="0.35">
      <c r="M4564" s="46">
        <v>0.39571167829054754</v>
      </c>
      <c r="N4564" s="46">
        <v>0</v>
      </c>
    </row>
    <row r="4565" spans="13:14" x14ac:dyDescent="0.35">
      <c r="M4565" s="46">
        <v>0.35150890339813029</v>
      </c>
      <c r="N4565" s="46">
        <v>0</v>
      </c>
    </row>
    <row r="4566" spans="13:14" x14ac:dyDescent="0.35">
      <c r="M4566" s="46">
        <v>0.30874862739278824</v>
      </c>
      <c r="N4566" s="46">
        <v>0</v>
      </c>
    </row>
    <row r="4567" spans="13:14" x14ac:dyDescent="0.35">
      <c r="M4567" s="46">
        <v>0.27437297818667455</v>
      </c>
      <c r="N4567" s="46">
        <v>0</v>
      </c>
    </row>
    <row r="4568" spans="13:14" x14ac:dyDescent="0.35">
      <c r="M4568" s="46">
        <v>0.25301454221694614</v>
      </c>
      <c r="N4568" s="46">
        <v>0</v>
      </c>
    </row>
    <row r="4569" spans="13:14" x14ac:dyDescent="0.35">
      <c r="M4569" s="46">
        <v>0.28334166790324972</v>
      </c>
      <c r="N4569" s="46">
        <v>0</v>
      </c>
    </row>
    <row r="4570" spans="13:14" x14ac:dyDescent="0.35">
      <c r="M4570" s="46">
        <v>0.36463815106098829</v>
      </c>
      <c r="N4570" s="46">
        <v>0</v>
      </c>
    </row>
    <row r="4571" spans="13:14" x14ac:dyDescent="0.35">
      <c r="M4571" s="46">
        <v>0.46550148389968843</v>
      </c>
      <c r="N4571" s="46">
        <v>0</v>
      </c>
    </row>
    <row r="4572" spans="13:14" x14ac:dyDescent="0.35">
      <c r="M4572" s="46">
        <v>0.54659652767472922</v>
      </c>
      <c r="N4572" s="46">
        <v>0</v>
      </c>
    </row>
    <row r="4573" spans="13:14" x14ac:dyDescent="0.35">
      <c r="M4573" s="46">
        <v>0.60241037245882179</v>
      </c>
      <c r="N4573" s="46">
        <v>0</v>
      </c>
    </row>
    <row r="4574" spans="13:14" x14ac:dyDescent="0.35">
      <c r="M4574" s="46">
        <v>0.69052856506900129</v>
      </c>
      <c r="N4574" s="46">
        <v>0</v>
      </c>
    </row>
    <row r="4575" spans="13:14" x14ac:dyDescent="0.35">
      <c r="M4575" s="46">
        <v>0.76109252114557047</v>
      </c>
      <c r="N4575" s="46">
        <v>0</v>
      </c>
    </row>
    <row r="4576" spans="13:14" x14ac:dyDescent="0.35">
      <c r="M4576" s="46">
        <v>0.80941252411336995</v>
      </c>
      <c r="N4576" s="46">
        <v>0</v>
      </c>
    </row>
    <row r="4577" spans="13:14" x14ac:dyDescent="0.35">
      <c r="M4577" s="46">
        <v>0.78788959786318435</v>
      </c>
      <c r="N4577" s="46">
        <v>0</v>
      </c>
    </row>
    <row r="4578" spans="13:14" x14ac:dyDescent="0.35">
      <c r="M4578" s="46">
        <v>0.72748827719246179</v>
      </c>
      <c r="N4578" s="46">
        <v>0</v>
      </c>
    </row>
    <row r="4579" spans="13:14" x14ac:dyDescent="0.35">
      <c r="M4579" s="46">
        <v>0.6269962160557947</v>
      </c>
      <c r="N4579" s="46">
        <v>0</v>
      </c>
    </row>
    <row r="4580" spans="13:14" x14ac:dyDescent="0.35">
      <c r="M4580" s="46">
        <v>0.5012707374981451</v>
      </c>
      <c r="N4580" s="46">
        <v>0</v>
      </c>
    </row>
    <row r="4581" spans="13:14" x14ac:dyDescent="0.35">
      <c r="M4581" s="46">
        <v>0.37401973586585546</v>
      </c>
      <c r="N4581" s="46">
        <v>0</v>
      </c>
    </row>
    <row r="4582" spans="13:14" x14ac:dyDescent="0.35">
      <c r="M4582" s="46">
        <v>0.30120997180590592</v>
      </c>
      <c r="N4582" s="46">
        <v>0</v>
      </c>
    </row>
    <row r="4583" spans="13:14" x14ac:dyDescent="0.35">
      <c r="M4583" s="46">
        <v>0.27384389375278229</v>
      </c>
      <c r="N4583" s="46">
        <v>0</v>
      </c>
    </row>
    <row r="4584" spans="13:14" x14ac:dyDescent="0.35">
      <c r="M4584" s="46">
        <v>0.23627726665677401</v>
      </c>
      <c r="N4584" s="46">
        <v>0</v>
      </c>
    </row>
    <row r="4585" spans="13:14" x14ac:dyDescent="0.35">
      <c r="M4585" s="46">
        <v>0.23108584359697282</v>
      </c>
      <c r="N4585" s="46">
        <v>0</v>
      </c>
    </row>
    <row r="4586" spans="13:14" x14ac:dyDescent="0.35">
      <c r="M4586" s="46">
        <v>0.22567695503783944</v>
      </c>
      <c r="N4586" s="46">
        <v>0</v>
      </c>
    </row>
    <row r="4587" spans="13:14" x14ac:dyDescent="0.35">
      <c r="M4587" s="46">
        <v>0.22279559281792549</v>
      </c>
      <c r="N4587" s="46">
        <v>0</v>
      </c>
    </row>
    <row r="4588" spans="13:14" x14ac:dyDescent="0.35">
      <c r="M4588" s="46">
        <v>0.2180951179700252</v>
      </c>
      <c r="N4588" s="46">
        <v>0</v>
      </c>
    </row>
    <row r="4589" spans="13:14" x14ac:dyDescent="0.35">
      <c r="M4589" s="46">
        <v>0.21254407182074492</v>
      </c>
      <c r="N4589" s="46">
        <v>0</v>
      </c>
    </row>
    <row r="4590" spans="13:14" x14ac:dyDescent="0.35">
      <c r="M4590" s="46">
        <v>0.20670856210120195</v>
      </c>
      <c r="N4590" s="46">
        <v>0</v>
      </c>
    </row>
    <row r="4591" spans="13:14" x14ac:dyDescent="0.35">
      <c r="M4591" s="46">
        <v>0.19975656625612109</v>
      </c>
      <c r="N4591" s="46">
        <v>0</v>
      </c>
    </row>
    <row r="4592" spans="13:14" x14ac:dyDescent="0.35">
      <c r="M4592" s="46">
        <v>0.19373475293070189</v>
      </c>
      <c r="N4592" s="46">
        <v>0</v>
      </c>
    </row>
    <row r="4593" spans="13:14" x14ac:dyDescent="0.35">
      <c r="M4593" s="46">
        <v>0.23446572191719839</v>
      </c>
      <c r="N4593" s="46">
        <v>0</v>
      </c>
    </row>
    <row r="4594" spans="13:14" x14ac:dyDescent="0.35">
      <c r="M4594" s="46">
        <v>0.32089850126131469</v>
      </c>
      <c r="N4594" s="46">
        <v>0</v>
      </c>
    </row>
    <row r="4595" spans="13:14" x14ac:dyDescent="0.35">
      <c r="M4595" s="46">
        <v>0.43921932037394268</v>
      </c>
      <c r="N4595" s="46">
        <v>0</v>
      </c>
    </row>
    <row r="4596" spans="13:14" x14ac:dyDescent="0.35">
      <c r="M4596" s="46">
        <v>0.54994160854726226</v>
      </c>
      <c r="N4596" s="46">
        <v>0</v>
      </c>
    </row>
    <row r="4597" spans="13:14" x14ac:dyDescent="0.35">
      <c r="M4597" s="46">
        <v>0.63639048820299748</v>
      </c>
      <c r="N4597" s="46">
        <v>0</v>
      </c>
    </row>
    <row r="4598" spans="13:14" x14ac:dyDescent="0.35">
      <c r="M4598" s="46">
        <v>0.70259014690606914</v>
      </c>
      <c r="N4598" s="46">
        <v>0</v>
      </c>
    </row>
    <row r="4599" spans="13:14" x14ac:dyDescent="0.35">
      <c r="M4599" s="46">
        <v>0.74548508680813175</v>
      </c>
      <c r="N4599" s="46">
        <v>0</v>
      </c>
    </row>
    <row r="4600" spans="13:14" x14ac:dyDescent="0.35">
      <c r="M4600" s="46">
        <v>0.76081696097343809</v>
      </c>
      <c r="N4600" s="46">
        <v>0</v>
      </c>
    </row>
    <row r="4601" spans="13:14" x14ac:dyDescent="0.35">
      <c r="M4601" s="46">
        <v>0.73487401691645637</v>
      </c>
      <c r="N4601" s="46">
        <v>0</v>
      </c>
    </row>
    <row r="4602" spans="13:14" x14ac:dyDescent="0.35">
      <c r="M4602" s="46">
        <v>0.6767017361626354</v>
      </c>
      <c r="N4602" s="46">
        <v>0</v>
      </c>
    </row>
    <row r="4603" spans="13:14" x14ac:dyDescent="0.35">
      <c r="M4603" s="46">
        <v>0.57951246475738238</v>
      </c>
      <c r="N4603" s="46">
        <v>0</v>
      </c>
    </row>
    <row r="4604" spans="13:14" x14ac:dyDescent="0.35">
      <c r="M4604" s="46">
        <v>0.44753798783202259</v>
      </c>
      <c r="N4604" s="46">
        <v>0</v>
      </c>
    </row>
    <row r="4605" spans="13:14" x14ac:dyDescent="0.35">
      <c r="M4605" s="46">
        <v>0.31280649948063516</v>
      </c>
      <c r="N4605" s="46">
        <v>0</v>
      </c>
    </row>
    <row r="4606" spans="13:14" x14ac:dyDescent="0.35">
      <c r="M4606" s="46">
        <v>0.23756840777563437</v>
      </c>
      <c r="N4606" s="46">
        <v>0</v>
      </c>
    </row>
    <row r="4607" spans="13:14" x14ac:dyDescent="0.35">
      <c r="M4607" s="46">
        <v>0.21168096156699809</v>
      </c>
      <c r="N4607" s="46">
        <v>0</v>
      </c>
    </row>
    <row r="4608" spans="13:14" x14ac:dyDescent="0.35">
      <c r="M4608" s="46">
        <v>0.17954295889597863</v>
      </c>
      <c r="N4608" s="46">
        <v>0</v>
      </c>
    </row>
    <row r="4609" spans="13:14" x14ac:dyDescent="0.35">
      <c r="M4609" s="46">
        <v>0.17695518622941089</v>
      </c>
      <c r="N4609" s="46">
        <v>0</v>
      </c>
    </row>
    <row r="4610" spans="13:14" x14ac:dyDescent="0.35">
      <c r="M4610" s="46">
        <v>0.18085190681109956</v>
      </c>
      <c r="N4610" s="46">
        <v>0</v>
      </c>
    </row>
    <row r="4611" spans="13:14" x14ac:dyDescent="0.35">
      <c r="M4611" s="46">
        <v>0.18810157293366969</v>
      </c>
      <c r="N4611" s="46">
        <v>0</v>
      </c>
    </row>
    <row r="4612" spans="13:14" x14ac:dyDescent="0.35">
      <c r="M4612" s="46">
        <v>0.19386088440421428</v>
      </c>
      <c r="N4612" s="46">
        <v>0</v>
      </c>
    </row>
    <row r="4613" spans="13:14" x14ac:dyDescent="0.35">
      <c r="M4613" s="46">
        <v>0.19079329277340853</v>
      </c>
      <c r="N4613" s="46">
        <v>0</v>
      </c>
    </row>
    <row r="4614" spans="13:14" x14ac:dyDescent="0.35">
      <c r="M4614" s="46">
        <v>0.17572013651877136</v>
      </c>
      <c r="N4614" s="46">
        <v>0</v>
      </c>
    </row>
    <row r="4615" spans="13:14" x14ac:dyDescent="0.35">
      <c r="M4615" s="46">
        <v>0.15574610476331802</v>
      </c>
      <c r="N4615" s="46">
        <v>0</v>
      </c>
    </row>
    <row r="4616" spans="13:14" x14ac:dyDescent="0.35">
      <c r="M4616" s="46">
        <v>0.1424124499183855</v>
      </c>
      <c r="N4616" s="46">
        <v>0</v>
      </c>
    </row>
    <row r="4617" spans="13:14" x14ac:dyDescent="0.35">
      <c r="M4617" s="46">
        <v>0.17290710787950733</v>
      </c>
      <c r="N4617" s="46">
        <v>0</v>
      </c>
    </row>
    <row r="4618" spans="13:14" x14ac:dyDescent="0.35">
      <c r="M4618" s="46">
        <v>0.24161477964089628</v>
      </c>
      <c r="N4618" s="46">
        <v>0</v>
      </c>
    </row>
    <row r="4619" spans="13:14" x14ac:dyDescent="0.35">
      <c r="M4619" s="46">
        <v>0.34229025077904734</v>
      </c>
      <c r="N4619" s="46">
        <v>0</v>
      </c>
    </row>
    <row r="4620" spans="13:14" x14ac:dyDescent="0.35">
      <c r="M4620" s="46">
        <v>0.44059326309541474</v>
      </c>
      <c r="N4620" s="46">
        <v>0</v>
      </c>
    </row>
    <row r="4621" spans="13:14" x14ac:dyDescent="0.35">
      <c r="M4621" s="46">
        <v>0.51857130138002672</v>
      </c>
      <c r="N4621" s="46">
        <v>0</v>
      </c>
    </row>
    <row r="4622" spans="13:14" x14ac:dyDescent="0.35">
      <c r="M4622" s="46">
        <v>0.56895859919869418</v>
      </c>
      <c r="N4622" s="46">
        <v>0</v>
      </c>
    </row>
    <row r="4623" spans="13:14" x14ac:dyDescent="0.35">
      <c r="M4623" s="46">
        <v>0.59733320967502601</v>
      </c>
      <c r="N4623" s="46">
        <v>0</v>
      </c>
    </row>
    <row r="4624" spans="13:14" x14ac:dyDescent="0.35">
      <c r="M4624" s="46">
        <v>0.60361989909482117</v>
      </c>
      <c r="N4624" s="46">
        <v>0</v>
      </c>
    </row>
    <row r="4625" spans="13:14" x14ac:dyDescent="0.35">
      <c r="M4625" s="46">
        <v>0.56831688677845371</v>
      </c>
      <c r="N4625" s="46">
        <v>0</v>
      </c>
    </row>
    <row r="4626" spans="13:14" x14ac:dyDescent="0.35">
      <c r="M4626" s="46">
        <v>0.50693567294850872</v>
      </c>
      <c r="N4626" s="46">
        <v>0</v>
      </c>
    </row>
    <row r="4627" spans="13:14" x14ac:dyDescent="0.35">
      <c r="M4627" s="46">
        <v>0.41533217094524411</v>
      </c>
      <c r="N4627" s="46">
        <v>0</v>
      </c>
    </row>
    <row r="4628" spans="13:14" x14ac:dyDescent="0.35">
      <c r="M4628" s="46">
        <v>0.31448946431221253</v>
      </c>
      <c r="N4628" s="46">
        <v>0</v>
      </c>
    </row>
    <row r="4629" spans="13:14" x14ac:dyDescent="0.35">
      <c r="M4629" s="46">
        <v>0.19885138744620864</v>
      </c>
      <c r="N4629" s="46">
        <v>0</v>
      </c>
    </row>
    <row r="4630" spans="13:14" x14ac:dyDescent="0.35">
      <c r="M4630" s="46">
        <v>0.13022644309244696</v>
      </c>
      <c r="N4630" s="46">
        <v>0</v>
      </c>
    </row>
    <row r="4631" spans="13:14" x14ac:dyDescent="0.35">
      <c r="M4631" s="46">
        <v>0.10178950882920315</v>
      </c>
      <c r="N4631" s="46">
        <v>0</v>
      </c>
    </row>
    <row r="4632" spans="13:14" x14ac:dyDescent="0.35">
      <c r="M4632" s="46">
        <v>7.6258569520700412E-2</v>
      </c>
      <c r="N4632" s="46">
        <v>0</v>
      </c>
    </row>
    <row r="4633" spans="13:14" x14ac:dyDescent="0.35">
      <c r="M4633" s="46">
        <v>6.9219320373942725E-2</v>
      </c>
      <c r="N4633" s="46">
        <v>0</v>
      </c>
    </row>
    <row r="4634" spans="13:14" x14ac:dyDescent="0.35">
      <c r="M4634" s="46">
        <v>6.7849755156551422E-2</v>
      </c>
      <c r="N4634" s="46">
        <v>0</v>
      </c>
    </row>
    <row r="4635" spans="13:14" x14ac:dyDescent="0.35">
      <c r="M4635" s="46">
        <v>6.9614186081020921E-2</v>
      </c>
      <c r="N4635" s="46">
        <v>0</v>
      </c>
    </row>
    <row r="4636" spans="13:14" x14ac:dyDescent="0.35">
      <c r="M4636" s="46">
        <v>6.6784463570262645E-2</v>
      </c>
      <c r="N4636" s="46">
        <v>0</v>
      </c>
    </row>
    <row r="4637" spans="13:14" x14ac:dyDescent="0.35">
      <c r="M4637" s="46">
        <v>6.1178587327496668E-2</v>
      </c>
      <c r="N4637" s="46">
        <v>0</v>
      </c>
    </row>
    <row r="4638" spans="13:14" x14ac:dyDescent="0.35">
      <c r="M4638" s="46">
        <v>5.36989909482119E-2</v>
      </c>
      <c r="N4638" s="46">
        <v>0</v>
      </c>
    </row>
    <row r="4639" spans="13:14" x14ac:dyDescent="0.35">
      <c r="M4639" s="46">
        <v>4.9050007419498443E-2</v>
      </c>
      <c r="N4639" s="46">
        <v>0</v>
      </c>
    </row>
    <row r="4640" spans="13:14" x14ac:dyDescent="0.35">
      <c r="M4640" s="46">
        <v>5.1567072265914823E-2</v>
      </c>
      <c r="N4640" s="46">
        <v>0</v>
      </c>
    </row>
    <row r="4641" spans="13:14" x14ac:dyDescent="0.35">
      <c r="M4641" s="46">
        <v>0.10199243211158926</v>
      </c>
      <c r="N4641" s="46">
        <v>0</v>
      </c>
    </row>
    <row r="4642" spans="13:14" x14ac:dyDescent="0.35">
      <c r="M4642" s="46">
        <v>0.18398649651283572</v>
      </c>
      <c r="N4642" s="46">
        <v>0</v>
      </c>
    </row>
    <row r="4643" spans="13:14" x14ac:dyDescent="0.35">
      <c r="M4643" s="46">
        <v>0.2968967205816887</v>
      </c>
      <c r="N4643" s="46">
        <v>0</v>
      </c>
    </row>
    <row r="4644" spans="13:14" x14ac:dyDescent="0.35">
      <c r="M4644" s="46">
        <v>0.40857033684522925</v>
      </c>
      <c r="N4644" s="46">
        <v>0</v>
      </c>
    </row>
    <row r="4645" spans="13:14" x14ac:dyDescent="0.35">
      <c r="M4645" s="46">
        <v>0.49978372162041845</v>
      </c>
      <c r="N4645" s="46">
        <v>0</v>
      </c>
    </row>
    <row r="4646" spans="13:14" x14ac:dyDescent="0.35">
      <c r="M4646" s="46">
        <v>0.54739056239798189</v>
      </c>
      <c r="N4646" s="46">
        <v>0</v>
      </c>
    </row>
    <row r="4647" spans="13:14" x14ac:dyDescent="0.35">
      <c r="M4647" s="46">
        <v>0.56217228075382097</v>
      </c>
      <c r="N4647" s="46">
        <v>0</v>
      </c>
    </row>
    <row r="4648" spans="13:14" x14ac:dyDescent="0.35">
      <c r="M4648" s="46">
        <v>0.54994583766137406</v>
      </c>
      <c r="N4648" s="46">
        <v>0</v>
      </c>
    </row>
    <row r="4649" spans="13:14" x14ac:dyDescent="0.35">
      <c r="M4649" s="46">
        <v>0.51239775931147058</v>
      </c>
      <c r="N4649" s="46">
        <v>0</v>
      </c>
    </row>
    <row r="4650" spans="13:14" x14ac:dyDescent="0.35">
      <c r="M4650" s="46">
        <v>0.44924150467428403</v>
      </c>
      <c r="N4650" s="46">
        <v>0</v>
      </c>
    </row>
    <row r="4651" spans="13:14" x14ac:dyDescent="0.35">
      <c r="M4651" s="46">
        <v>0.35278320225552751</v>
      </c>
      <c r="N4651" s="46">
        <v>0</v>
      </c>
    </row>
    <row r="4652" spans="13:14" x14ac:dyDescent="0.35">
      <c r="M4652" s="46">
        <v>0.23084930998664491</v>
      </c>
      <c r="N4652" s="46">
        <v>0</v>
      </c>
    </row>
    <row r="4653" spans="13:14" x14ac:dyDescent="0.35">
      <c r="M4653" s="46">
        <v>0.11289998516100311</v>
      </c>
      <c r="N4653" s="46">
        <v>0</v>
      </c>
    </row>
    <row r="4654" spans="13:14" x14ac:dyDescent="0.35">
      <c r="M4654" s="46">
        <v>5.0531829648315769E-2</v>
      </c>
      <c r="N4654" s="46">
        <v>0</v>
      </c>
    </row>
    <row r="4655" spans="13:14" x14ac:dyDescent="0.35">
      <c r="M4655" s="46">
        <v>3.5952441014987388E-2</v>
      </c>
      <c r="N4655" s="46">
        <v>0</v>
      </c>
    </row>
    <row r="4656" spans="13:14" x14ac:dyDescent="0.35">
      <c r="M4656" s="46">
        <v>2.7395236682000296E-2</v>
      </c>
      <c r="N4656" s="46">
        <v>0</v>
      </c>
    </row>
    <row r="4657" spans="13:14" x14ac:dyDescent="0.35">
      <c r="M4657" s="46">
        <v>2.1750408072414303E-2</v>
      </c>
      <c r="N4657" s="46">
        <v>0</v>
      </c>
    </row>
    <row r="4658" spans="13:14" x14ac:dyDescent="0.35">
      <c r="M4658" s="46">
        <v>1.5493248256417867E-2</v>
      </c>
      <c r="N4658" s="46">
        <v>0</v>
      </c>
    </row>
    <row r="4659" spans="13:14" x14ac:dyDescent="0.35">
      <c r="M4659" s="46">
        <v>1.4586585546817037E-2</v>
      </c>
      <c r="N4659" s="46">
        <v>0</v>
      </c>
    </row>
    <row r="4660" spans="13:14" x14ac:dyDescent="0.35">
      <c r="M4660" s="46">
        <v>1.6383736459415342E-2</v>
      </c>
      <c r="N4660" s="46">
        <v>0</v>
      </c>
    </row>
    <row r="4661" spans="13:14" x14ac:dyDescent="0.35">
      <c r="M4661" s="46">
        <v>1.8349384181629323E-2</v>
      </c>
      <c r="N4661" s="46">
        <v>0</v>
      </c>
    </row>
    <row r="4662" spans="13:14" x14ac:dyDescent="0.35">
      <c r="M4662" s="46">
        <v>1.8969505861403769E-2</v>
      </c>
      <c r="N4662" s="46">
        <v>0</v>
      </c>
    </row>
    <row r="4663" spans="13:14" x14ac:dyDescent="0.35">
      <c r="M4663" s="46">
        <v>1.5871345897017362E-2</v>
      </c>
      <c r="N4663" s="46">
        <v>0</v>
      </c>
    </row>
    <row r="4664" spans="13:14" x14ac:dyDescent="0.35">
      <c r="M4664" s="46">
        <v>1.8580724143047931E-2</v>
      </c>
      <c r="N4664" s="46">
        <v>0</v>
      </c>
    </row>
    <row r="4665" spans="13:14" x14ac:dyDescent="0.35">
      <c r="M4665" s="46">
        <v>7.1732972251075833E-2</v>
      </c>
      <c r="N4665" s="46">
        <v>0</v>
      </c>
    </row>
    <row r="4666" spans="13:14" x14ac:dyDescent="0.35">
      <c r="M4666" s="46">
        <v>0.16474528861848939</v>
      </c>
      <c r="N4666" s="46">
        <v>0</v>
      </c>
    </row>
    <row r="4667" spans="13:14" x14ac:dyDescent="0.35">
      <c r="M4667" s="46">
        <v>0.29717777118266808</v>
      </c>
      <c r="N4667" s="46">
        <v>0</v>
      </c>
    </row>
    <row r="4668" spans="13:14" x14ac:dyDescent="0.35">
      <c r="M4668" s="46">
        <v>0.42751914230598009</v>
      </c>
      <c r="N4668" s="46">
        <v>0</v>
      </c>
    </row>
    <row r="4669" spans="13:14" x14ac:dyDescent="0.35">
      <c r="M4669" s="46">
        <v>0.53210914082208038</v>
      </c>
      <c r="N4669" s="46">
        <v>0</v>
      </c>
    </row>
    <row r="4670" spans="13:14" x14ac:dyDescent="0.35">
      <c r="M4670" s="46">
        <v>0.58441059504377502</v>
      </c>
      <c r="N4670" s="46">
        <v>0</v>
      </c>
    </row>
    <row r="4671" spans="13:14" x14ac:dyDescent="0.35">
      <c r="M4671" s="46">
        <v>0.60854852351981004</v>
      </c>
      <c r="N4671" s="46">
        <v>0</v>
      </c>
    </row>
    <row r="4672" spans="13:14" x14ac:dyDescent="0.35">
      <c r="M4672" s="46">
        <v>0.60441660483751303</v>
      </c>
      <c r="N4672" s="46">
        <v>0</v>
      </c>
    </row>
    <row r="4673" spans="13:14" x14ac:dyDescent="0.35">
      <c r="M4673" s="46">
        <v>0.5684255082356432</v>
      </c>
      <c r="N4673" s="46">
        <v>0</v>
      </c>
    </row>
    <row r="4674" spans="13:14" x14ac:dyDescent="0.35">
      <c r="M4674" s="46">
        <v>0.50237750408072412</v>
      </c>
      <c r="N4674" s="46">
        <v>0</v>
      </c>
    </row>
    <row r="4675" spans="13:14" x14ac:dyDescent="0.35">
      <c r="M4675" s="46">
        <v>0.40001914230598007</v>
      </c>
      <c r="N4675" s="46">
        <v>0</v>
      </c>
    </row>
    <row r="4676" spans="13:14" x14ac:dyDescent="0.35">
      <c r="M4676" s="46">
        <v>0.26893596972844636</v>
      </c>
      <c r="N4676" s="46">
        <v>0</v>
      </c>
    </row>
    <row r="4677" spans="13:14" x14ac:dyDescent="0.35">
      <c r="M4677" s="46">
        <v>0.13472273334322599</v>
      </c>
      <c r="N4677" s="46">
        <v>0</v>
      </c>
    </row>
    <row r="4678" spans="13:14" x14ac:dyDescent="0.35">
      <c r="M4678" s="46">
        <v>6.5258866300638069E-2</v>
      </c>
      <c r="N4678" s="46">
        <v>0</v>
      </c>
    </row>
    <row r="4679" spans="13:14" x14ac:dyDescent="0.35">
      <c r="M4679" s="46">
        <v>4.2331651580353173E-2</v>
      </c>
      <c r="N4679" s="46">
        <v>0</v>
      </c>
    </row>
    <row r="4680" spans="13:14" x14ac:dyDescent="0.35">
      <c r="M4680" s="46">
        <v>3.2793366968392933E-2</v>
      </c>
      <c r="N4680" s="46">
        <v>0</v>
      </c>
    </row>
    <row r="4681" spans="13:14" x14ac:dyDescent="0.35">
      <c r="M4681" s="46">
        <v>3.1225997922540435E-2</v>
      </c>
      <c r="N4681" s="46">
        <v>0</v>
      </c>
    </row>
    <row r="4682" spans="13:14" x14ac:dyDescent="0.35">
      <c r="M4682" s="46">
        <v>3.6372607211752485E-2</v>
      </c>
      <c r="N4682" s="46">
        <v>0</v>
      </c>
    </row>
    <row r="4683" spans="13:14" x14ac:dyDescent="0.35">
      <c r="M4683" s="46">
        <v>3.633825493396646E-2</v>
      </c>
      <c r="N4683" s="46">
        <v>0</v>
      </c>
    </row>
    <row r="4684" spans="13:14" x14ac:dyDescent="0.35">
      <c r="M4684" s="46">
        <v>3.4110995696690904E-2</v>
      </c>
      <c r="N4684" s="46">
        <v>0</v>
      </c>
    </row>
    <row r="4685" spans="13:14" x14ac:dyDescent="0.35">
      <c r="M4685" s="46">
        <v>3.2713681555126876E-2</v>
      </c>
      <c r="N4685" s="46">
        <v>0</v>
      </c>
    </row>
    <row r="4686" spans="13:14" x14ac:dyDescent="0.35">
      <c r="M4686" s="46">
        <v>3.1265098679329278E-2</v>
      </c>
      <c r="N4686" s="46">
        <v>0</v>
      </c>
    </row>
    <row r="4687" spans="13:14" x14ac:dyDescent="0.35">
      <c r="M4687" s="46">
        <v>2.9542958895978633E-2</v>
      </c>
      <c r="N4687" s="46">
        <v>0</v>
      </c>
    </row>
    <row r="4688" spans="13:14" x14ac:dyDescent="0.35">
      <c r="M4688" s="46">
        <v>3.1439382697729633E-2</v>
      </c>
      <c r="N4688" s="46">
        <v>0</v>
      </c>
    </row>
    <row r="4689" spans="13:14" x14ac:dyDescent="0.35">
      <c r="M4689" s="46">
        <v>7.9558614037691044E-2</v>
      </c>
      <c r="N4689" s="46">
        <v>0</v>
      </c>
    </row>
    <row r="4690" spans="13:14" x14ac:dyDescent="0.35">
      <c r="M4690" s="46">
        <v>0.1855054162338626</v>
      </c>
      <c r="N4690" s="46">
        <v>0</v>
      </c>
    </row>
    <row r="4691" spans="13:14" x14ac:dyDescent="0.35">
      <c r="M4691" s="46">
        <v>0.32005356877875052</v>
      </c>
      <c r="N4691" s="46">
        <v>0</v>
      </c>
    </row>
    <row r="4692" spans="13:14" x14ac:dyDescent="0.35">
      <c r="M4692" s="46">
        <v>0.44049985161003113</v>
      </c>
      <c r="N4692" s="46">
        <v>0</v>
      </c>
    </row>
    <row r="4693" spans="13:14" x14ac:dyDescent="0.35">
      <c r="M4693" s="46">
        <v>0.53163577682148688</v>
      </c>
      <c r="N4693" s="46">
        <v>0</v>
      </c>
    </row>
    <row r="4694" spans="13:14" x14ac:dyDescent="0.35">
      <c r="M4694" s="46">
        <v>0.589243804718801</v>
      </c>
      <c r="N4694" s="46">
        <v>0</v>
      </c>
    </row>
    <row r="4695" spans="13:14" x14ac:dyDescent="0.35">
      <c r="M4695" s="46">
        <v>0.61029388633328385</v>
      </c>
      <c r="N4695" s="46">
        <v>0</v>
      </c>
    </row>
    <row r="4696" spans="13:14" x14ac:dyDescent="0.35">
      <c r="M4696" s="46">
        <v>0.60075723401098091</v>
      </c>
      <c r="N4696" s="46">
        <v>0</v>
      </c>
    </row>
    <row r="4697" spans="13:14" x14ac:dyDescent="0.35">
      <c r="M4697" s="46">
        <v>0.56504436860068252</v>
      </c>
      <c r="N4697" s="46">
        <v>0</v>
      </c>
    </row>
    <row r="4698" spans="13:14" x14ac:dyDescent="0.35">
      <c r="M4698" s="46">
        <v>0.50213266063214124</v>
      </c>
      <c r="N4698" s="46">
        <v>0</v>
      </c>
    </row>
    <row r="4699" spans="13:14" x14ac:dyDescent="0.35">
      <c r="M4699" s="46">
        <v>0.403839590443686</v>
      </c>
      <c r="N4699" s="46">
        <v>0</v>
      </c>
    </row>
    <row r="4700" spans="13:14" x14ac:dyDescent="0.35">
      <c r="M4700" s="46">
        <v>0.27653249740317554</v>
      </c>
      <c r="N4700" s="46">
        <v>0</v>
      </c>
    </row>
    <row r="4701" spans="13:14" x14ac:dyDescent="0.35">
      <c r="M4701" s="46">
        <v>0.1378352871345897</v>
      </c>
      <c r="N4701" s="46">
        <v>0</v>
      </c>
    </row>
    <row r="4702" spans="13:14" x14ac:dyDescent="0.35">
      <c r="M4702" s="46">
        <v>6.7419572636889746E-2</v>
      </c>
      <c r="N4702" s="46">
        <v>0</v>
      </c>
    </row>
    <row r="4703" spans="13:14" x14ac:dyDescent="0.35">
      <c r="M4703" s="46">
        <v>4.7591630805757533E-2</v>
      </c>
      <c r="N4703" s="46">
        <v>0</v>
      </c>
    </row>
    <row r="4704" spans="13:14" x14ac:dyDescent="0.35">
      <c r="M4704" s="46">
        <v>3.5554310728594746E-2</v>
      </c>
      <c r="N4704" s="46">
        <v>0</v>
      </c>
    </row>
    <row r="4705" spans="13:14" x14ac:dyDescent="0.35">
      <c r="M4705" s="46">
        <v>3.2328906365929659E-2</v>
      </c>
      <c r="N4705" s="46">
        <v>0</v>
      </c>
    </row>
    <row r="4706" spans="13:14" x14ac:dyDescent="0.35">
      <c r="M4706" s="46">
        <v>3.2477222139783352E-2</v>
      </c>
      <c r="N4706" s="46">
        <v>0</v>
      </c>
    </row>
    <row r="4707" spans="13:14" x14ac:dyDescent="0.35">
      <c r="M4707" s="46">
        <v>3.4286615224810801E-2</v>
      </c>
      <c r="N4707" s="46">
        <v>0</v>
      </c>
    </row>
    <row r="4708" spans="13:14" x14ac:dyDescent="0.35">
      <c r="M4708" s="46">
        <v>3.3014616411930556E-2</v>
      </c>
      <c r="N4708" s="46">
        <v>0</v>
      </c>
    </row>
    <row r="4709" spans="13:14" x14ac:dyDescent="0.35">
      <c r="M4709" s="46">
        <v>3.3603131028342483E-2</v>
      </c>
      <c r="N4709" s="46">
        <v>0</v>
      </c>
    </row>
    <row r="4710" spans="13:14" x14ac:dyDescent="0.35">
      <c r="M4710" s="46">
        <v>3.400942276302122E-2</v>
      </c>
      <c r="N4710" s="46">
        <v>0</v>
      </c>
    </row>
    <row r="4711" spans="13:14" x14ac:dyDescent="0.35">
      <c r="M4711" s="46">
        <v>3.3540362071523964E-2</v>
      </c>
      <c r="N4711" s="46">
        <v>0</v>
      </c>
    </row>
    <row r="4712" spans="13:14" x14ac:dyDescent="0.35">
      <c r="M4712" s="46">
        <v>4.0367413562843152E-2</v>
      </c>
      <c r="N4712" s="46">
        <v>0</v>
      </c>
    </row>
    <row r="4713" spans="13:14" x14ac:dyDescent="0.35">
      <c r="M4713" s="46">
        <v>0.10215469654251372</v>
      </c>
      <c r="N4713" s="46">
        <v>0</v>
      </c>
    </row>
    <row r="4714" spans="13:14" x14ac:dyDescent="0.35">
      <c r="M4714" s="46">
        <v>0.22523044962160557</v>
      </c>
      <c r="N4714" s="46">
        <v>0</v>
      </c>
    </row>
    <row r="4715" spans="13:14" x14ac:dyDescent="0.35">
      <c r="M4715" s="46">
        <v>0.36605334619379731</v>
      </c>
      <c r="N4715" s="46">
        <v>0</v>
      </c>
    </row>
    <row r="4716" spans="13:14" x14ac:dyDescent="0.35">
      <c r="M4716" s="46">
        <v>0.48005126873423359</v>
      </c>
      <c r="N4716" s="46">
        <v>0</v>
      </c>
    </row>
    <row r="4717" spans="13:14" x14ac:dyDescent="0.35">
      <c r="M4717" s="46">
        <v>0.55533536132957417</v>
      </c>
      <c r="N4717" s="46">
        <v>0</v>
      </c>
    </row>
    <row r="4718" spans="13:14" x14ac:dyDescent="0.35">
      <c r="M4718" s="46">
        <v>0.62466389672058165</v>
      </c>
      <c r="N4718" s="46">
        <v>0</v>
      </c>
    </row>
    <row r="4719" spans="13:14" x14ac:dyDescent="0.35">
      <c r="M4719" s="46">
        <v>0.66858428550230009</v>
      </c>
      <c r="N4719" s="46">
        <v>0</v>
      </c>
    </row>
    <row r="4720" spans="13:14" x14ac:dyDescent="0.35">
      <c r="M4720" s="46">
        <v>0.69018867784537763</v>
      </c>
      <c r="N4720" s="46">
        <v>0</v>
      </c>
    </row>
    <row r="4721" spans="13:14" x14ac:dyDescent="0.35">
      <c r="M4721" s="46">
        <v>0.65461210862145713</v>
      </c>
      <c r="N4721" s="46">
        <v>0</v>
      </c>
    </row>
    <row r="4722" spans="13:14" x14ac:dyDescent="0.35">
      <c r="M4722" s="46">
        <v>0.5946359252114557</v>
      </c>
      <c r="N4722" s="46">
        <v>0</v>
      </c>
    </row>
    <row r="4723" spans="13:14" x14ac:dyDescent="0.35">
      <c r="M4723" s="46">
        <v>0.50260468912301526</v>
      </c>
      <c r="N4723" s="46">
        <v>0</v>
      </c>
    </row>
    <row r="4724" spans="13:14" x14ac:dyDescent="0.35">
      <c r="M4724" s="46">
        <v>0.41834997774150467</v>
      </c>
      <c r="N4724" s="46">
        <v>0</v>
      </c>
    </row>
    <row r="4725" spans="13:14" x14ac:dyDescent="0.35">
      <c r="M4725" s="46">
        <v>0.32107004006529155</v>
      </c>
      <c r="N4725" s="46">
        <v>0</v>
      </c>
    </row>
    <row r="4726" spans="13:14" x14ac:dyDescent="0.35">
      <c r="M4726" s="46">
        <v>0.27257738536874904</v>
      </c>
      <c r="N4726" s="46">
        <v>0</v>
      </c>
    </row>
    <row r="4727" spans="13:14" x14ac:dyDescent="0.35">
      <c r="M4727" s="46">
        <v>0.26138759459860511</v>
      </c>
      <c r="N4727" s="46">
        <v>0</v>
      </c>
    </row>
    <row r="4728" spans="13:14" x14ac:dyDescent="0.35">
      <c r="M4728" s="46">
        <v>0.21886630063807688</v>
      </c>
      <c r="N4728" s="46">
        <v>0</v>
      </c>
    </row>
    <row r="4729" spans="13:14" x14ac:dyDescent="0.35">
      <c r="M4729" s="46">
        <v>0.21962167977444727</v>
      </c>
      <c r="N4729" s="46">
        <v>0</v>
      </c>
    </row>
    <row r="4730" spans="13:14" x14ac:dyDescent="0.35">
      <c r="M4730" s="46">
        <v>0.21680746401543255</v>
      </c>
      <c r="N4730" s="46">
        <v>0</v>
      </c>
    </row>
    <row r="4731" spans="13:14" x14ac:dyDescent="0.35">
      <c r="M4731" s="46">
        <v>0.21431703516842263</v>
      </c>
      <c r="N4731" s="46">
        <v>0</v>
      </c>
    </row>
    <row r="4732" spans="13:14" x14ac:dyDescent="0.35">
      <c r="M4732" s="46">
        <v>0.2097141267250334</v>
      </c>
      <c r="N4732" s="46">
        <v>0</v>
      </c>
    </row>
    <row r="4733" spans="13:14" x14ac:dyDescent="0.35">
      <c r="M4733" s="46">
        <v>0.19815061581837068</v>
      </c>
      <c r="N4733" s="46">
        <v>0</v>
      </c>
    </row>
    <row r="4734" spans="13:14" x14ac:dyDescent="0.35">
      <c r="M4734" s="46">
        <v>0.19382979670574271</v>
      </c>
      <c r="N4734" s="46">
        <v>0</v>
      </c>
    </row>
    <row r="4735" spans="13:14" x14ac:dyDescent="0.35">
      <c r="M4735" s="46">
        <v>0.18972933669683931</v>
      </c>
      <c r="N4735" s="46">
        <v>0</v>
      </c>
    </row>
    <row r="4736" spans="13:14" x14ac:dyDescent="0.35">
      <c r="M4736" s="46">
        <v>0.19497981896423802</v>
      </c>
      <c r="N4736" s="46">
        <v>0</v>
      </c>
    </row>
    <row r="4737" spans="13:14" x14ac:dyDescent="0.35">
      <c r="M4737" s="46">
        <v>0.25320885888113964</v>
      </c>
      <c r="N4737" s="46">
        <v>0</v>
      </c>
    </row>
    <row r="4738" spans="13:14" x14ac:dyDescent="0.35">
      <c r="M4738" s="46">
        <v>0.37656699807093041</v>
      </c>
      <c r="N4738" s="46">
        <v>0</v>
      </c>
    </row>
    <row r="4739" spans="13:14" x14ac:dyDescent="0.35">
      <c r="M4739" s="46">
        <v>0.51598820299747739</v>
      </c>
      <c r="N4739" s="46">
        <v>0</v>
      </c>
    </row>
    <row r="4740" spans="13:14" x14ac:dyDescent="0.35">
      <c r="M4740" s="46">
        <v>0.61488967205816891</v>
      </c>
      <c r="N4740" s="46">
        <v>0</v>
      </c>
    </row>
    <row r="4741" spans="13:14" x14ac:dyDescent="0.35">
      <c r="M4741" s="46">
        <v>0.67961426027600536</v>
      </c>
      <c r="N4741" s="46">
        <v>0</v>
      </c>
    </row>
    <row r="4742" spans="13:14" x14ac:dyDescent="0.35">
      <c r="M4742" s="46">
        <v>0.69617613889301078</v>
      </c>
      <c r="N4742" s="46">
        <v>0</v>
      </c>
    </row>
    <row r="4743" spans="13:14" x14ac:dyDescent="0.35">
      <c r="M4743" s="46">
        <v>0.69054154919127475</v>
      </c>
      <c r="N4743" s="46">
        <v>0</v>
      </c>
    </row>
    <row r="4744" spans="13:14" x14ac:dyDescent="0.35">
      <c r="M4744" s="46">
        <v>0.67803939753672648</v>
      </c>
      <c r="N4744" s="46">
        <v>0</v>
      </c>
    </row>
    <row r="4745" spans="13:14" x14ac:dyDescent="0.35">
      <c r="M4745" s="46">
        <v>0.71939390117228075</v>
      </c>
      <c r="N4745" s="46">
        <v>0</v>
      </c>
    </row>
    <row r="4746" spans="13:14" x14ac:dyDescent="0.35">
      <c r="M4746" s="46">
        <v>0.72844739575604678</v>
      </c>
      <c r="N4746" s="46">
        <v>0</v>
      </c>
    </row>
    <row r="4747" spans="13:14" x14ac:dyDescent="0.35">
      <c r="M4747" s="46">
        <v>0.69610609882771923</v>
      </c>
      <c r="N4747" s="46">
        <v>0</v>
      </c>
    </row>
    <row r="4748" spans="13:14" x14ac:dyDescent="0.35">
      <c r="M4748" s="46">
        <v>0.62012909927288917</v>
      </c>
      <c r="N4748" s="46">
        <v>0</v>
      </c>
    </row>
    <row r="4749" spans="13:14" x14ac:dyDescent="0.35">
      <c r="M4749" s="46">
        <v>0.52157775634367121</v>
      </c>
      <c r="N4749" s="46">
        <v>0</v>
      </c>
    </row>
    <row r="4750" spans="13:14" x14ac:dyDescent="0.35">
      <c r="M4750" s="46">
        <v>0.46591786615224806</v>
      </c>
      <c r="N4750" s="46">
        <v>0</v>
      </c>
    </row>
    <row r="4751" spans="13:14" x14ac:dyDescent="0.35">
      <c r="M4751" s="46">
        <v>0.43649666122570113</v>
      </c>
      <c r="N4751" s="46">
        <v>0</v>
      </c>
    </row>
    <row r="4752" spans="13:14" x14ac:dyDescent="0.35">
      <c r="M4752" s="46">
        <v>0.38350920017806794</v>
      </c>
      <c r="N4752" s="46">
        <v>0</v>
      </c>
    </row>
    <row r="4753" spans="13:14" x14ac:dyDescent="0.35">
      <c r="M4753" s="46">
        <v>0.37556692387594598</v>
      </c>
      <c r="N4753" s="46">
        <v>0</v>
      </c>
    </row>
    <row r="4754" spans="13:14" x14ac:dyDescent="0.35">
      <c r="M4754" s="46">
        <v>0.37539464312212495</v>
      </c>
      <c r="N4754" s="46">
        <v>0</v>
      </c>
    </row>
    <row r="4755" spans="13:14" x14ac:dyDescent="0.35">
      <c r="M4755" s="46">
        <v>0.37300853242320814</v>
      </c>
      <c r="N4755" s="46">
        <v>0</v>
      </c>
    </row>
    <row r="4756" spans="13:14" x14ac:dyDescent="0.35">
      <c r="M4756" s="46">
        <v>0.37283862590888855</v>
      </c>
      <c r="N4756" s="46">
        <v>0</v>
      </c>
    </row>
    <row r="4757" spans="13:14" x14ac:dyDescent="0.35">
      <c r="M4757" s="46">
        <v>0.37082007716278376</v>
      </c>
      <c r="N4757" s="46">
        <v>0</v>
      </c>
    </row>
    <row r="4758" spans="13:14" x14ac:dyDescent="0.35">
      <c r="M4758" s="46">
        <v>0.36263102834248406</v>
      </c>
      <c r="N4758" s="46">
        <v>0</v>
      </c>
    </row>
    <row r="4759" spans="13:14" x14ac:dyDescent="0.35">
      <c r="M4759" s="46">
        <v>0.35328735717465498</v>
      </c>
      <c r="N4759" s="46">
        <v>0</v>
      </c>
    </row>
    <row r="4760" spans="13:14" x14ac:dyDescent="0.35">
      <c r="M4760" s="46">
        <v>0.35613696394123756</v>
      </c>
      <c r="N4760" s="46">
        <v>0</v>
      </c>
    </row>
    <row r="4761" spans="13:14" x14ac:dyDescent="0.35">
      <c r="M4761" s="46">
        <v>0.40187052975218873</v>
      </c>
      <c r="N4761" s="46">
        <v>0</v>
      </c>
    </row>
    <row r="4762" spans="13:14" x14ac:dyDescent="0.35">
      <c r="M4762" s="46">
        <v>0.50364445763466392</v>
      </c>
      <c r="N4762" s="46">
        <v>0</v>
      </c>
    </row>
    <row r="4763" spans="13:14" x14ac:dyDescent="0.35">
      <c r="M4763" s="46">
        <v>0.61396980264134138</v>
      </c>
      <c r="N4763" s="46">
        <v>0</v>
      </c>
    </row>
    <row r="4764" spans="13:14" x14ac:dyDescent="0.35">
      <c r="M4764" s="46">
        <v>0.67673349161596674</v>
      </c>
      <c r="N4764" s="46">
        <v>0</v>
      </c>
    </row>
    <row r="4765" spans="13:14" x14ac:dyDescent="0.35">
      <c r="M4765" s="46">
        <v>0.71840829499925807</v>
      </c>
      <c r="N4765" s="46">
        <v>0</v>
      </c>
    </row>
    <row r="4766" spans="13:14" x14ac:dyDescent="0.35">
      <c r="M4766" s="46">
        <v>0.76373490132067079</v>
      </c>
      <c r="N4766" s="46">
        <v>0</v>
      </c>
    </row>
    <row r="4767" spans="13:14" x14ac:dyDescent="0.35">
      <c r="M4767" s="46">
        <v>0.79916886778453777</v>
      </c>
      <c r="N4767" s="46">
        <v>0</v>
      </c>
    </row>
    <row r="4768" spans="13:14" x14ac:dyDescent="0.35">
      <c r="M4768" s="46">
        <v>0.83470425879210564</v>
      </c>
      <c r="N4768" s="46">
        <v>0</v>
      </c>
    </row>
    <row r="4769" spans="13:14" x14ac:dyDescent="0.35">
      <c r="M4769" s="46">
        <v>0.87446052826828902</v>
      </c>
      <c r="N4769" s="46">
        <v>0</v>
      </c>
    </row>
    <row r="4770" spans="13:14" x14ac:dyDescent="0.35">
      <c r="M4770" s="46">
        <v>0.87834033239353027</v>
      </c>
      <c r="N4770" s="46">
        <v>0</v>
      </c>
    </row>
    <row r="4771" spans="13:14" x14ac:dyDescent="0.35">
      <c r="M4771" s="46">
        <v>0.82533105802047779</v>
      </c>
      <c r="N4771" s="46">
        <v>0</v>
      </c>
    </row>
    <row r="4772" spans="13:14" x14ac:dyDescent="0.35">
      <c r="M4772" s="46">
        <v>0.72120893307612399</v>
      </c>
      <c r="N4772" s="46">
        <v>0</v>
      </c>
    </row>
    <row r="4773" spans="13:14" x14ac:dyDescent="0.35">
      <c r="M4773" s="46">
        <v>0.60772369787802338</v>
      </c>
      <c r="N4773" s="46">
        <v>0</v>
      </c>
    </row>
    <row r="4774" spans="13:14" x14ac:dyDescent="0.35">
      <c r="M4774" s="46">
        <v>0.55783461937972989</v>
      </c>
      <c r="N4774" s="46">
        <v>0</v>
      </c>
    </row>
    <row r="4775" spans="13:14" x14ac:dyDescent="0.35">
      <c r="M4775" s="46">
        <v>0.54298627392788246</v>
      </c>
      <c r="N4775" s="46">
        <v>0</v>
      </c>
    </row>
    <row r="4776" spans="13:14" x14ac:dyDescent="0.35">
      <c r="M4776" s="46">
        <v>0.49309793737943314</v>
      </c>
      <c r="N4776" s="46">
        <v>0</v>
      </c>
    </row>
    <row r="4777" spans="13:14" x14ac:dyDescent="0.35">
      <c r="M4777" s="46">
        <v>0.46844309244695059</v>
      </c>
      <c r="N4777" s="46">
        <v>0</v>
      </c>
    </row>
    <row r="4778" spans="13:14" x14ac:dyDescent="0.35">
      <c r="M4778" s="46">
        <v>0.42920277489241726</v>
      </c>
      <c r="N4778" s="46">
        <v>0</v>
      </c>
    </row>
    <row r="4779" spans="13:14" x14ac:dyDescent="0.35">
      <c r="M4779" s="46">
        <v>0.37893485680368005</v>
      </c>
      <c r="N4779" s="46">
        <v>0</v>
      </c>
    </row>
    <row r="4780" spans="13:14" x14ac:dyDescent="0.35">
      <c r="M4780" s="46">
        <v>0.33498612553791363</v>
      </c>
      <c r="N4780" s="46">
        <v>0</v>
      </c>
    </row>
    <row r="4781" spans="13:14" x14ac:dyDescent="0.35">
      <c r="M4781" s="46">
        <v>0.30077949250630659</v>
      </c>
      <c r="N4781" s="46">
        <v>0</v>
      </c>
    </row>
    <row r="4782" spans="13:14" x14ac:dyDescent="0.35">
      <c r="M4782" s="46">
        <v>0.26475189197210269</v>
      </c>
      <c r="N4782" s="46">
        <v>0</v>
      </c>
    </row>
    <row r="4783" spans="13:14" x14ac:dyDescent="0.35">
      <c r="M4783" s="46">
        <v>0.23667391304347826</v>
      </c>
      <c r="N4783" s="46">
        <v>0</v>
      </c>
    </row>
    <row r="4784" spans="13:14" x14ac:dyDescent="0.35">
      <c r="M4784" s="46">
        <v>0.22545718949399021</v>
      </c>
      <c r="N4784" s="46">
        <v>0</v>
      </c>
    </row>
    <row r="4785" spans="13:14" x14ac:dyDescent="0.35">
      <c r="M4785" s="46">
        <v>0.2707154622347529</v>
      </c>
      <c r="N4785" s="46">
        <v>0</v>
      </c>
    </row>
    <row r="4786" spans="13:14" x14ac:dyDescent="0.35">
      <c r="M4786" s="46">
        <v>0.38481043181480934</v>
      </c>
      <c r="N4786" s="46">
        <v>0</v>
      </c>
    </row>
    <row r="4787" spans="13:14" x14ac:dyDescent="0.35">
      <c r="M4787" s="46">
        <v>0.51806462383142904</v>
      </c>
      <c r="N4787" s="46">
        <v>0</v>
      </c>
    </row>
    <row r="4788" spans="13:14" x14ac:dyDescent="0.35">
      <c r="M4788" s="46">
        <v>0.61963407033684526</v>
      </c>
      <c r="N4788" s="46">
        <v>0</v>
      </c>
    </row>
    <row r="4789" spans="13:14" x14ac:dyDescent="0.35">
      <c r="M4789" s="46">
        <v>0.68821983973883361</v>
      </c>
      <c r="N4789" s="46">
        <v>0</v>
      </c>
    </row>
    <row r="4790" spans="13:14" x14ac:dyDescent="0.35">
      <c r="M4790" s="46">
        <v>0.74283654844932479</v>
      </c>
      <c r="N4790" s="46">
        <v>0</v>
      </c>
    </row>
    <row r="4791" spans="13:14" x14ac:dyDescent="0.35">
      <c r="M4791" s="46">
        <v>0.77590235940050445</v>
      </c>
      <c r="N4791" s="46">
        <v>0</v>
      </c>
    </row>
    <row r="4792" spans="13:14" x14ac:dyDescent="0.35">
      <c r="M4792" s="46">
        <v>0.79948197061878612</v>
      </c>
      <c r="N4792" s="46">
        <v>0</v>
      </c>
    </row>
    <row r="4793" spans="13:14" x14ac:dyDescent="0.35">
      <c r="M4793" s="46">
        <v>0.81610127615373207</v>
      </c>
      <c r="N4793" s="46">
        <v>0</v>
      </c>
    </row>
    <row r="4794" spans="13:14" x14ac:dyDescent="0.35">
      <c r="M4794" s="46">
        <v>0.803026561804422</v>
      </c>
      <c r="N4794" s="46">
        <v>0</v>
      </c>
    </row>
    <row r="4795" spans="13:14" x14ac:dyDescent="0.35">
      <c r="M4795" s="46">
        <v>0.74076888262353469</v>
      </c>
      <c r="N4795" s="46">
        <v>0</v>
      </c>
    </row>
    <row r="4796" spans="13:14" x14ac:dyDescent="0.35">
      <c r="M4796" s="46">
        <v>0.62863926398575454</v>
      </c>
      <c r="N4796" s="46">
        <v>0</v>
      </c>
    </row>
    <row r="4797" spans="13:14" x14ac:dyDescent="0.35">
      <c r="M4797" s="46">
        <v>0.50986526190829495</v>
      </c>
      <c r="N4797" s="46">
        <v>0</v>
      </c>
    </row>
    <row r="4798" spans="13:14" x14ac:dyDescent="0.35">
      <c r="M4798" s="46">
        <v>0.45432044813770589</v>
      </c>
      <c r="N4798" s="46">
        <v>0</v>
      </c>
    </row>
    <row r="4799" spans="13:14" x14ac:dyDescent="0.35">
      <c r="M4799" s="46">
        <v>0.43454370084582278</v>
      </c>
      <c r="N4799" s="46">
        <v>0</v>
      </c>
    </row>
    <row r="4800" spans="13:14" x14ac:dyDescent="0.35">
      <c r="M4800" s="46">
        <v>0.36497432853539097</v>
      </c>
      <c r="N4800" s="46">
        <v>0</v>
      </c>
    </row>
    <row r="4801" spans="13:14" x14ac:dyDescent="0.35">
      <c r="M4801" s="46">
        <v>0.33068667458079831</v>
      </c>
      <c r="N4801" s="46">
        <v>0</v>
      </c>
    </row>
    <row r="4802" spans="13:14" x14ac:dyDescent="0.35">
      <c r="M4802" s="46">
        <v>0.28498664490280456</v>
      </c>
      <c r="N4802" s="46">
        <v>0</v>
      </c>
    </row>
    <row r="4803" spans="13:14" x14ac:dyDescent="0.35">
      <c r="M4803" s="46">
        <v>0.23942906959489541</v>
      </c>
      <c r="N4803" s="46">
        <v>0</v>
      </c>
    </row>
    <row r="4804" spans="13:14" x14ac:dyDescent="0.35">
      <c r="M4804" s="46">
        <v>0.20253190384330019</v>
      </c>
      <c r="N4804" s="46">
        <v>0</v>
      </c>
    </row>
    <row r="4805" spans="13:14" x14ac:dyDescent="0.35">
      <c r="M4805" s="46">
        <v>0.17485309393085027</v>
      </c>
      <c r="N4805" s="46">
        <v>0</v>
      </c>
    </row>
    <row r="4806" spans="13:14" x14ac:dyDescent="0.35">
      <c r="M4806" s="46">
        <v>0.14409534055497847</v>
      </c>
      <c r="N4806" s="46">
        <v>0</v>
      </c>
    </row>
    <row r="4807" spans="13:14" x14ac:dyDescent="0.35">
      <c r="M4807" s="46">
        <v>0.13568162932185784</v>
      </c>
      <c r="N4807" s="46">
        <v>0</v>
      </c>
    </row>
    <row r="4808" spans="13:14" x14ac:dyDescent="0.35">
      <c r="M4808" s="46">
        <v>0.12992788247514467</v>
      </c>
      <c r="N4808" s="46">
        <v>0</v>
      </c>
    </row>
    <row r="4809" spans="13:14" x14ac:dyDescent="0.35">
      <c r="M4809" s="46">
        <v>0.17702700697432852</v>
      </c>
      <c r="N4809" s="46">
        <v>0</v>
      </c>
    </row>
    <row r="4810" spans="13:14" x14ac:dyDescent="0.35">
      <c r="M4810" s="46">
        <v>0.29405764950289359</v>
      </c>
      <c r="N4810" s="46">
        <v>0</v>
      </c>
    </row>
    <row r="4811" spans="13:14" x14ac:dyDescent="0.35">
      <c r="M4811" s="46">
        <v>0.43295533461937974</v>
      </c>
      <c r="N4811" s="46">
        <v>0</v>
      </c>
    </row>
    <row r="4812" spans="13:14" x14ac:dyDescent="0.35">
      <c r="M4812" s="46">
        <v>0.54002196171538808</v>
      </c>
      <c r="N4812" s="46">
        <v>0</v>
      </c>
    </row>
    <row r="4813" spans="13:14" x14ac:dyDescent="0.35">
      <c r="M4813" s="46">
        <v>0.612292847603502</v>
      </c>
      <c r="N4813" s="46">
        <v>0</v>
      </c>
    </row>
    <row r="4814" spans="13:14" x14ac:dyDescent="0.35">
      <c r="M4814" s="46">
        <v>0.65998768363258642</v>
      </c>
      <c r="N4814" s="46">
        <v>0</v>
      </c>
    </row>
    <row r="4815" spans="13:14" x14ac:dyDescent="0.35">
      <c r="M4815" s="46">
        <v>0.6808371420092002</v>
      </c>
      <c r="N4815" s="46">
        <v>0</v>
      </c>
    </row>
    <row r="4816" spans="13:14" x14ac:dyDescent="0.35">
      <c r="M4816" s="46">
        <v>0.67959326309541479</v>
      </c>
      <c r="N4816" s="46">
        <v>0</v>
      </c>
    </row>
    <row r="4817" spans="13:14" x14ac:dyDescent="0.35">
      <c r="M4817" s="46">
        <v>0.65863050897759323</v>
      </c>
      <c r="N4817" s="46">
        <v>0</v>
      </c>
    </row>
    <row r="4818" spans="13:14" x14ac:dyDescent="0.35">
      <c r="M4818" s="46">
        <v>0.60380227036652323</v>
      </c>
      <c r="N4818" s="46">
        <v>0</v>
      </c>
    </row>
    <row r="4819" spans="13:14" x14ac:dyDescent="0.35">
      <c r="M4819" s="46">
        <v>0.51822785279715089</v>
      </c>
      <c r="N4819" s="46">
        <v>0</v>
      </c>
    </row>
    <row r="4820" spans="13:14" x14ac:dyDescent="0.35">
      <c r="M4820" s="46">
        <v>0.40442098234159374</v>
      </c>
      <c r="N4820" s="46">
        <v>0</v>
      </c>
    </row>
    <row r="4821" spans="13:14" x14ac:dyDescent="0.35">
      <c r="M4821" s="46">
        <v>0.29751862294108922</v>
      </c>
      <c r="N4821" s="46">
        <v>0</v>
      </c>
    </row>
    <row r="4822" spans="13:14" x14ac:dyDescent="0.35">
      <c r="M4822" s="46">
        <v>0.25466679032497402</v>
      </c>
      <c r="N4822" s="46">
        <v>0</v>
      </c>
    </row>
    <row r="4823" spans="13:14" x14ac:dyDescent="0.35">
      <c r="M4823" s="46">
        <v>0.24144442795667015</v>
      </c>
      <c r="N4823" s="46">
        <v>0</v>
      </c>
    </row>
    <row r="4824" spans="13:14" x14ac:dyDescent="0.35">
      <c r="M4824" s="46">
        <v>0.19534700994212792</v>
      </c>
      <c r="N4824" s="46">
        <v>0</v>
      </c>
    </row>
    <row r="4825" spans="13:14" x14ac:dyDescent="0.35">
      <c r="M4825" s="46">
        <v>0.17816968392936638</v>
      </c>
      <c r="N4825" s="46">
        <v>0</v>
      </c>
    </row>
    <row r="4826" spans="13:14" x14ac:dyDescent="0.35">
      <c r="M4826" s="46">
        <v>0.16692988573972398</v>
      </c>
      <c r="N4826" s="46">
        <v>0</v>
      </c>
    </row>
    <row r="4827" spans="13:14" x14ac:dyDescent="0.35">
      <c r="M4827" s="46">
        <v>0.15251751001632288</v>
      </c>
      <c r="N4827" s="46">
        <v>0</v>
      </c>
    </row>
    <row r="4828" spans="13:14" x14ac:dyDescent="0.35">
      <c r="M4828" s="46">
        <v>0.13242068556165604</v>
      </c>
      <c r="N4828" s="46">
        <v>0</v>
      </c>
    </row>
    <row r="4829" spans="13:14" x14ac:dyDescent="0.35">
      <c r="M4829" s="46">
        <v>0.10843018251966167</v>
      </c>
      <c r="N4829" s="46">
        <v>0</v>
      </c>
    </row>
    <row r="4830" spans="13:14" x14ac:dyDescent="0.35">
      <c r="M4830" s="46">
        <v>9.0986199732898052E-2</v>
      </c>
      <c r="N4830" s="46">
        <v>0</v>
      </c>
    </row>
    <row r="4831" spans="13:14" x14ac:dyDescent="0.35">
      <c r="M4831" s="46">
        <v>7.8820819112627991E-2</v>
      </c>
      <c r="N4831" s="46">
        <v>0</v>
      </c>
    </row>
    <row r="4832" spans="13:14" x14ac:dyDescent="0.35">
      <c r="M4832" s="46">
        <v>7.4147499629025074E-2</v>
      </c>
      <c r="N4832" s="46">
        <v>0</v>
      </c>
    </row>
    <row r="4833" spans="13:14" x14ac:dyDescent="0.35">
      <c r="M4833" s="46">
        <v>0.1283645199584508</v>
      </c>
      <c r="N4833" s="46">
        <v>0</v>
      </c>
    </row>
    <row r="4834" spans="13:14" x14ac:dyDescent="0.35">
      <c r="M4834" s="46">
        <v>0.25025233714200917</v>
      </c>
      <c r="N4834" s="46">
        <v>0</v>
      </c>
    </row>
    <row r="4835" spans="13:14" x14ac:dyDescent="0.35">
      <c r="M4835" s="46">
        <v>0.39583016768066476</v>
      </c>
      <c r="N4835" s="46">
        <v>0</v>
      </c>
    </row>
    <row r="4836" spans="13:14" x14ac:dyDescent="0.35">
      <c r="M4836" s="46">
        <v>0.51368400356135924</v>
      </c>
      <c r="N4836" s="46">
        <v>0</v>
      </c>
    </row>
    <row r="4837" spans="13:14" x14ac:dyDescent="0.35">
      <c r="M4837" s="46">
        <v>0.59318749072562693</v>
      </c>
      <c r="N4837" s="46">
        <v>0</v>
      </c>
    </row>
    <row r="4838" spans="13:14" x14ac:dyDescent="0.35">
      <c r="M4838" s="46">
        <v>0.6388778750556463</v>
      </c>
      <c r="N4838" s="46">
        <v>0</v>
      </c>
    </row>
    <row r="4839" spans="13:14" x14ac:dyDescent="0.35">
      <c r="M4839" s="46">
        <v>0.65360869565217394</v>
      </c>
      <c r="N4839" s="46">
        <v>0</v>
      </c>
    </row>
    <row r="4840" spans="13:14" x14ac:dyDescent="0.35">
      <c r="M4840" s="46">
        <v>0.6368408517584212</v>
      </c>
      <c r="N4840" s="46">
        <v>0</v>
      </c>
    </row>
    <row r="4841" spans="13:14" x14ac:dyDescent="0.35">
      <c r="M4841" s="46">
        <v>0.59708428550230008</v>
      </c>
      <c r="N4841" s="46">
        <v>0</v>
      </c>
    </row>
    <row r="4842" spans="13:14" x14ac:dyDescent="0.35">
      <c r="M4842" s="46">
        <v>0.53028327645051199</v>
      </c>
      <c r="N4842" s="46">
        <v>0</v>
      </c>
    </row>
    <row r="4843" spans="13:14" x14ac:dyDescent="0.35">
      <c r="M4843" s="46">
        <v>0.42589813028639267</v>
      </c>
      <c r="N4843" s="46">
        <v>0</v>
      </c>
    </row>
    <row r="4844" spans="13:14" x14ac:dyDescent="0.35">
      <c r="M4844" s="46">
        <v>0.28677244398278678</v>
      </c>
      <c r="N4844" s="46">
        <v>0</v>
      </c>
    </row>
    <row r="4845" spans="13:14" x14ac:dyDescent="0.35">
      <c r="M4845" s="46">
        <v>0.15319580056388188</v>
      </c>
      <c r="N4845" s="46">
        <v>0</v>
      </c>
    </row>
    <row r="4846" spans="13:14" x14ac:dyDescent="0.35">
      <c r="M4846" s="46">
        <v>9.1315773853687485E-2</v>
      </c>
      <c r="N4846" s="46">
        <v>0</v>
      </c>
    </row>
    <row r="4847" spans="13:14" x14ac:dyDescent="0.35">
      <c r="M4847" s="46">
        <v>8.0841222733343224E-2</v>
      </c>
      <c r="N4847" s="46">
        <v>0</v>
      </c>
    </row>
    <row r="4848" spans="13:14" x14ac:dyDescent="0.35">
      <c r="M4848" s="46">
        <v>6.4148093188900426E-2</v>
      </c>
      <c r="N4848" s="46">
        <v>0</v>
      </c>
    </row>
    <row r="4849" spans="13:14" x14ac:dyDescent="0.35">
      <c r="M4849" s="46">
        <v>6.4066701290992734E-2</v>
      </c>
      <c r="N4849" s="46">
        <v>0</v>
      </c>
    </row>
    <row r="4850" spans="13:14" x14ac:dyDescent="0.35">
      <c r="M4850" s="46">
        <v>6.4734233565810956E-2</v>
      </c>
      <c r="N4850" s="46">
        <v>0</v>
      </c>
    </row>
    <row r="4851" spans="13:14" x14ac:dyDescent="0.35">
      <c r="M4851" s="46">
        <v>5.5066256121086211E-2</v>
      </c>
      <c r="N4851" s="46">
        <v>0</v>
      </c>
    </row>
    <row r="4852" spans="13:14" x14ac:dyDescent="0.35">
      <c r="M4852" s="46">
        <v>4.3382846119602317E-2</v>
      </c>
      <c r="N4852" s="46">
        <v>0</v>
      </c>
    </row>
    <row r="4853" spans="13:14" x14ac:dyDescent="0.35">
      <c r="M4853" s="46">
        <v>3.4392417272592374E-2</v>
      </c>
      <c r="N4853" s="46">
        <v>0</v>
      </c>
    </row>
    <row r="4854" spans="13:14" x14ac:dyDescent="0.35">
      <c r="M4854" s="46">
        <v>3.2002522629470245E-2</v>
      </c>
      <c r="N4854" s="46">
        <v>0</v>
      </c>
    </row>
    <row r="4855" spans="13:14" x14ac:dyDescent="0.35">
      <c r="M4855" s="46">
        <v>3.1774966612257011E-2</v>
      </c>
      <c r="N4855" s="46">
        <v>0</v>
      </c>
    </row>
    <row r="4856" spans="13:14" x14ac:dyDescent="0.35">
      <c r="M4856" s="46">
        <v>4.0066923875945987E-2</v>
      </c>
      <c r="N4856" s="46">
        <v>0</v>
      </c>
    </row>
    <row r="4857" spans="13:14" x14ac:dyDescent="0.35">
      <c r="M4857" s="46">
        <v>0.10222636889746253</v>
      </c>
      <c r="N4857" s="46">
        <v>0</v>
      </c>
    </row>
    <row r="4858" spans="13:14" x14ac:dyDescent="0.35">
      <c r="M4858" s="46">
        <v>0.23162932185784241</v>
      </c>
      <c r="N4858" s="46">
        <v>0</v>
      </c>
    </row>
    <row r="4859" spans="13:14" x14ac:dyDescent="0.35">
      <c r="M4859" s="46">
        <v>0.38265907404659449</v>
      </c>
      <c r="N4859" s="46">
        <v>0</v>
      </c>
    </row>
    <row r="4860" spans="13:14" x14ac:dyDescent="0.35">
      <c r="M4860" s="46">
        <v>0.50528646683484202</v>
      </c>
      <c r="N4860" s="46">
        <v>0</v>
      </c>
    </row>
    <row r="4861" spans="13:14" x14ac:dyDescent="0.35">
      <c r="M4861" s="46">
        <v>0.58801216797744471</v>
      </c>
      <c r="N4861" s="46">
        <v>0</v>
      </c>
    </row>
    <row r="4862" spans="13:14" x14ac:dyDescent="0.35">
      <c r="M4862" s="46">
        <v>0.6407740020774596</v>
      </c>
      <c r="N4862" s="46">
        <v>0</v>
      </c>
    </row>
    <row r="4863" spans="13:14" x14ac:dyDescent="0.35">
      <c r="M4863" s="46">
        <v>0.65914646089924323</v>
      </c>
      <c r="N4863" s="46">
        <v>0</v>
      </c>
    </row>
    <row r="4864" spans="13:14" x14ac:dyDescent="0.35">
      <c r="M4864" s="46">
        <v>0.65080998664490286</v>
      </c>
      <c r="N4864" s="46">
        <v>0</v>
      </c>
    </row>
    <row r="4865" spans="13:14" x14ac:dyDescent="0.35">
      <c r="M4865" s="46">
        <v>0.61983298709007273</v>
      </c>
      <c r="N4865" s="46">
        <v>0</v>
      </c>
    </row>
    <row r="4866" spans="13:14" x14ac:dyDescent="0.35">
      <c r="M4866" s="46">
        <v>0.55294516990651432</v>
      </c>
      <c r="N4866" s="46">
        <v>0</v>
      </c>
    </row>
    <row r="4867" spans="13:14" x14ac:dyDescent="0.35">
      <c r="M4867" s="46">
        <v>0.44467673245288619</v>
      </c>
      <c r="N4867" s="46">
        <v>0</v>
      </c>
    </row>
    <row r="4868" spans="13:14" x14ac:dyDescent="0.35">
      <c r="M4868" s="46">
        <v>0.30028936043923432</v>
      </c>
      <c r="N4868" s="46">
        <v>0</v>
      </c>
    </row>
    <row r="4869" spans="13:14" x14ac:dyDescent="0.35">
      <c r="M4869" s="46">
        <v>0.15788870752337142</v>
      </c>
      <c r="N4869" s="46">
        <v>0</v>
      </c>
    </row>
    <row r="4870" spans="13:14" x14ac:dyDescent="0.35">
      <c r="M4870" s="46">
        <v>9.3242172429143802E-2</v>
      </c>
      <c r="N4870" s="46">
        <v>0</v>
      </c>
    </row>
    <row r="4871" spans="13:14" x14ac:dyDescent="0.35">
      <c r="M4871" s="46">
        <v>7.2163674135628422E-2</v>
      </c>
      <c r="N4871" s="46">
        <v>0</v>
      </c>
    </row>
    <row r="4872" spans="13:14" x14ac:dyDescent="0.35">
      <c r="M4872" s="46">
        <v>5.043648909333729E-2</v>
      </c>
      <c r="N4872" s="46">
        <v>0</v>
      </c>
    </row>
    <row r="4873" spans="13:14" x14ac:dyDescent="0.35">
      <c r="M4873" s="46">
        <v>4.1876762130879951E-2</v>
      </c>
      <c r="N4873" s="46">
        <v>0</v>
      </c>
    </row>
    <row r="4874" spans="13:14" x14ac:dyDescent="0.35">
      <c r="M4874" s="46">
        <v>3.4079685413266066E-2</v>
      </c>
      <c r="N4874" s="46">
        <v>0</v>
      </c>
    </row>
    <row r="4875" spans="13:14" x14ac:dyDescent="0.35">
      <c r="M4875" s="46">
        <v>2.6147054459118566E-2</v>
      </c>
      <c r="N4875" s="46">
        <v>0</v>
      </c>
    </row>
    <row r="4876" spans="13:14" x14ac:dyDescent="0.35">
      <c r="M4876" s="46">
        <v>2.1510387297818664E-2</v>
      </c>
      <c r="N4876" s="46">
        <v>0</v>
      </c>
    </row>
    <row r="4877" spans="13:14" x14ac:dyDescent="0.35">
      <c r="M4877" s="46">
        <v>2.1898575456299155E-2</v>
      </c>
      <c r="N4877" s="46">
        <v>0</v>
      </c>
    </row>
    <row r="4878" spans="13:14" x14ac:dyDescent="0.35">
      <c r="M4878" s="46">
        <v>2.6256492061136668E-2</v>
      </c>
      <c r="N4878" s="46">
        <v>0</v>
      </c>
    </row>
    <row r="4879" spans="13:14" x14ac:dyDescent="0.35">
      <c r="M4879" s="46">
        <v>2.8910891823712717E-2</v>
      </c>
      <c r="N4879" s="46">
        <v>0</v>
      </c>
    </row>
    <row r="4880" spans="13:14" x14ac:dyDescent="0.35">
      <c r="M4880" s="46">
        <v>3.0680590592075972E-2</v>
      </c>
      <c r="N4880" s="46">
        <v>0</v>
      </c>
    </row>
    <row r="4881" spans="13:14" x14ac:dyDescent="0.35">
      <c r="M4881" s="46">
        <v>8.1410298263837375E-2</v>
      </c>
      <c r="N4881" s="46">
        <v>0</v>
      </c>
    </row>
    <row r="4882" spans="13:14" x14ac:dyDescent="0.35">
      <c r="M4882" s="46">
        <v>0.20397915120937826</v>
      </c>
      <c r="N4882" s="46">
        <v>0</v>
      </c>
    </row>
    <row r="4883" spans="13:14" x14ac:dyDescent="0.35">
      <c r="M4883" s="46">
        <v>0.35305416233862591</v>
      </c>
      <c r="N4883" s="46">
        <v>0</v>
      </c>
    </row>
    <row r="4884" spans="13:14" x14ac:dyDescent="0.35">
      <c r="M4884" s="46">
        <v>0.47860862145718946</v>
      </c>
      <c r="N4884" s="46">
        <v>0</v>
      </c>
    </row>
    <row r="4885" spans="13:14" x14ac:dyDescent="0.35">
      <c r="M4885" s="46">
        <v>0.56500289360439238</v>
      </c>
      <c r="N4885" s="46">
        <v>0</v>
      </c>
    </row>
    <row r="4886" spans="13:14" x14ac:dyDescent="0.35">
      <c r="M4886" s="46">
        <v>0.62314349309986639</v>
      </c>
      <c r="N4886" s="46">
        <v>0</v>
      </c>
    </row>
    <row r="4887" spans="13:14" x14ac:dyDescent="0.35">
      <c r="M4887" s="46">
        <v>0.65445459266953554</v>
      </c>
      <c r="N4887" s="46">
        <v>0</v>
      </c>
    </row>
    <row r="4888" spans="13:14" x14ac:dyDescent="0.35">
      <c r="M4888" s="46">
        <v>0.66028357323044962</v>
      </c>
      <c r="N4888" s="46">
        <v>0</v>
      </c>
    </row>
    <row r="4889" spans="13:14" x14ac:dyDescent="0.35">
      <c r="M4889" s="46">
        <v>0.64640822080427374</v>
      </c>
      <c r="N4889" s="46">
        <v>0</v>
      </c>
    </row>
    <row r="4890" spans="13:14" x14ac:dyDescent="0.35">
      <c r="M4890" s="46">
        <v>0.59567599050304199</v>
      </c>
      <c r="N4890" s="46">
        <v>0</v>
      </c>
    </row>
    <row r="4891" spans="13:14" x14ac:dyDescent="0.35">
      <c r="M4891" s="46">
        <v>0.50370848790621758</v>
      </c>
      <c r="N4891" s="46">
        <v>0</v>
      </c>
    </row>
    <row r="4892" spans="13:14" x14ac:dyDescent="0.35">
      <c r="M4892" s="46">
        <v>0.37380605431072861</v>
      </c>
      <c r="N4892" s="46">
        <v>0</v>
      </c>
    </row>
    <row r="4893" spans="13:14" x14ac:dyDescent="0.35">
      <c r="M4893" s="46">
        <v>0.24574758866300639</v>
      </c>
      <c r="N4893" s="46">
        <v>0</v>
      </c>
    </row>
    <row r="4894" spans="13:14" x14ac:dyDescent="0.35">
      <c r="M4894" s="46">
        <v>0.18747692535984567</v>
      </c>
      <c r="N4894" s="46">
        <v>0</v>
      </c>
    </row>
    <row r="4895" spans="13:14" x14ac:dyDescent="0.35">
      <c r="M4895" s="46">
        <v>0.17330894791512094</v>
      </c>
      <c r="N4895" s="46">
        <v>0</v>
      </c>
    </row>
    <row r="4896" spans="13:14" x14ac:dyDescent="0.35">
      <c r="M4896" s="46">
        <v>0.14400593559875352</v>
      </c>
      <c r="N4896" s="46">
        <v>0</v>
      </c>
    </row>
    <row r="4897" spans="13:14" x14ac:dyDescent="0.35">
      <c r="M4897" s="46">
        <v>0.14922162041845971</v>
      </c>
      <c r="N4897" s="46">
        <v>0</v>
      </c>
    </row>
    <row r="4898" spans="13:14" x14ac:dyDescent="0.35">
      <c r="M4898" s="46">
        <v>0.15947588663006382</v>
      </c>
      <c r="N4898" s="46">
        <v>0</v>
      </c>
    </row>
    <row r="4899" spans="13:14" x14ac:dyDescent="0.35">
      <c r="M4899" s="46">
        <v>0.16806521739130434</v>
      </c>
      <c r="N4899" s="46">
        <v>0</v>
      </c>
    </row>
    <row r="4900" spans="13:14" x14ac:dyDescent="0.35">
      <c r="M4900" s="46">
        <v>0.1781573675619528</v>
      </c>
      <c r="N4900" s="46">
        <v>0</v>
      </c>
    </row>
    <row r="4901" spans="13:14" x14ac:dyDescent="0.35">
      <c r="M4901" s="46">
        <v>0.18360468912301528</v>
      </c>
      <c r="N4901" s="46">
        <v>0</v>
      </c>
    </row>
    <row r="4902" spans="13:14" x14ac:dyDescent="0.35">
      <c r="M4902" s="46">
        <v>0.18289152693277935</v>
      </c>
      <c r="N4902" s="46">
        <v>0</v>
      </c>
    </row>
    <row r="4903" spans="13:14" x14ac:dyDescent="0.35">
      <c r="M4903" s="46">
        <v>0.17732512242172427</v>
      </c>
      <c r="N4903" s="46">
        <v>0</v>
      </c>
    </row>
    <row r="4904" spans="13:14" x14ac:dyDescent="0.35">
      <c r="M4904" s="46">
        <v>0.17718481970618788</v>
      </c>
      <c r="N4904" s="46">
        <v>0</v>
      </c>
    </row>
    <row r="4905" spans="13:14" x14ac:dyDescent="0.35">
      <c r="M4905" s="46">
        <v>0.2301179700252263</v>
      </c>
      <c r="N4905" s="46">
        <v>0</v>
      </c>
    </row>
    <row r="4906" spans="13:14" x14ac:dyDescent="0.35">
      <c r="M4906" s="46">
        <v>0.3571985457783054</v>
      </c>
      <c r="N4906" s="46">
        <v>0</v>
      </c>
    </row>
    <row r="4907" spans="13:14" x14ac:dyDescent="0.35">
      <c r="M4907" s="46">
        <v>0.52619728446357028</v>
      </c>
      <c r="N4907" s="46">
        <v>0</v>
      </c>
    </row>
    <row r="4908" spans="13:14" x14ac:dyDescent="0.35">
      <c r="M4908" s="46">
        <v>0.67839212049265474</v>
      </c>
      <c r="N4908" s="46">
        <v>0</v>
      </c>
    </row>
    <row r="4909" spans="13:14" x14ac:dyDescent="0.35">
      <c r="M4909" s="46">
        <v>0.79840005935598746</v>
      </c>
      <c r="N4909" s="46">
        <v>0</v>
      </c>
    </row>
    <row r="4910" spans="13:14" x14ac:dyDescent="0.35">
      <c r="M4910" s="46">
        <v>0.91122458821783647</v>
      </c>
      <c r="N4910" s="46">
        <v>0</v>
      </c>
    </row>
    <row r="4911" spans="13:14" x14ac:dyDescent="0.35">
      <c r="M4911" s="46">
        <v>0.98903108769847159</v>
      </c>
      <c r="N4911" s="46">
        <v>0</v>
      </c>
    </row>
    <row r="4912" spans="13:14" x14ac:dyDescent="0.35">
      <c r="M4912" s="46">
        <v>1</v>
      </c>
      <c r="N4912" s="46">
        <v>4.5143839137719341E-2</v>
      </c>
    </row>
    <row r="4913" spans="13:14" x14ac:dyDescent="0.35">
      <c r="M4913" s="46">
        <v>1</v>
      </c>
      <c r="N4913" s="46">
        <v>5.6034739764295537E-2</v>
      </c>
    </row>
    <row r="4914" spans="13:14" x14ac:dyDescent="0.35">
      <c r="M4914" s="46">
        <v>1</v>
      </c>
      <c r="N4914" s="46">
        <v>2.1035480479837589E-2</v>
      </c>
    </row>
    <row r="4915" spans="13:14" x14ac:dyDescent="0.35">
      <c r="M4915" s="46">
        <v>0.94211715388039763</v>
      </c>
      <c r="N4915" s="46">
        <v>0</v>
      </c>
    </row>
    <row r="4916" spans="13:14" x14ac:dyDescent="0.35">
      <c r="M4916" s="46">
        <v>0.82313280902211006</v>
      </c>
      <c r="N4916" s="46">
        <v>0</v>
      </c>
    </row>
    <row r="4917" spans="13:14" x14ac:dyDescent="0.35">
      <c r="M4917" s="46">
        <v>0.70217020329425739</v>
      </c>
      <c r="N4917" s="46">
        <v>0</v>
      </c>
    </row>
    <row r="4918" spans="13:14" x14ac:dyDescent="0.35">
      <c r="M4918" s="46">
        <v>0.64756343671167838</v>
      </c>
      <c r="N4918" s="46">
        <v>0</v>
      </c>
    </row>
    <row r="4919" spans="13:14" x14ac:dyDescent="0.35">
      <c r="M4919" s="46">
        <v>0.63555950437750408</v>
      </c>
      <c r="N4919" s="46">
        <v>0</v>
      </c>
    </row>
    <row r="4920" spans="13:14" x14ac:dyDescent="0.35">
      <c r="M4920" s="46">
        <v>0.61325033387743</v>
      </c>
      <c r="N4920" s="46">
        <v>0</v>
      </c>
    </row>
    <row r="4921" spans="13:14" x14ac:dyDescent="0.35">
      <c r="M4921" s="46">
        <v>0.6091574417569372</v>
      </c>
      <c r="N4921" s="46">
        <v>0</v>
      </c>
    </row>
    <row r="4922" spans="13:14" x14ac:dyDescent="0.35">
      <c r="M4922" s="46">
        <v>0.59831792550823559</v>
      </c>
      <c r="N4922" s="46">
        <v>0</v>
      </c>
    </row>
    <row r="4923" spans="13:14" x14ac:dyDescent="0.35">
      <c r="M4923" s="46">
        <v>0.58863503487164259</v>
      </c>
      <c r="N4923" s="46">
        <v>0</v>
      </c>
    </row>
    <row r="4924" spans="13:14" x14ac:dyDescent="0.35">
      <c r="M4924" s="46">
        <v>0.57831184151951331</v>
      </c>
      <c r="N4924" s="46">
        <v>0</v>
      </c>
    </row>
    <row r="4925" spans="13:14" x14ac:dyDescent="0.35">
      <c r="M4925" s="46">
        <v>0.5671028342484048</v>
      </c>
      <c r="N4925" s="46">
        <v>0</v>
      </c>
    </row>
    <row r="4926" spans="13:14" x14ac:dyDescent="0.35">
      <c r="M4926" s="46">
        <v>0.55345852500370973</v>
      </c>
      <c r="N4926" s="46">
        <v>0</v>
      </c>
    </row>
    <row r="4927" spans="13:14" x14ac:dyDescent="0.35">
      <c r="M4927" s="46">
        <v>0.53704206855616554</v>
      </c>
      <c r="N4927" s="46">
        <v>0</v>
      </c>
    </row>
    <row r="4928" spans="13:14" x14ac:dyDescent="0.35">
      <c r="M4928" s="46">
        <v>0.52405431072859476</v>
      </c>
      <c r="N4928" s="46">
        <v>0</v>
      </c>
    </row>
    <row r="4929" spans="13:14" x14ac:dyDescent="0.35">
      <c r="M4929" s="46">
        <v>0.56344516990651428</v>
      </c>
      <c r="N4929" s="46">
        <v>0</v>
      </c>
    </row>
    <row r="4930" spans="13:14" x14ac:dyDescent="0.35">
      <c r="M4930" s="46">
        <v>0.65856380768660039</v>
      </c>
      <c r="N4930" s="46">
        <v>0</v>
      </c>
    </row>
    <row r="4931" spans="13:14" x14ac:dyDescent="0.35">
      <c r="M4931" s="46">
        <v>0.78159296631547703</v>
      </c>
      <c r="N4931" s="46">
        <v>0</v>
      </c>
    </row>
    <row r="4932" spans="13:14" x14ac:dyDescent="0.35">
      <c r="M4932" s="46">
        <v>0.86697032200623236</v>
      </c>
      <c r="N4932" s="46">
        <v>0</v>
      </c>
    </row>
    <row r="4933" spans="13:14" x14ac:dyDescent="0.35">
      <c r="M4933" s="46">
        <v>0.91370826532126426</v>
      </c>
      <c r="N4933" s="46">
        <v>0</v>
      </c>
    </row>
    <row r="4934" spans="13:14" x14ac:dyDescent="0.35">
      <c r="M4934" s="46">
        <v>0.9819846416382253</v>
      </c>
      <c r="N4934" s="46">
        <v>0</v>
      </c>
    </row>
    <row r="4935" spans="13:14" x14ac:dyDescent="0.35">
      <c r="M4935" s="46">
        <v>1</v>
      </c>
      <c r="N4935" s="46">
        <v>3.8753208490266026E-2</v>
      </c>
    </row>
    <row r="4936" spans="13:14" x14ac:dyDescent="0.35">
      <c r="M4936" s="46">
        <v>1</v>
      </c>
      <c r="N4936" s="46">
        <v>8.3456475111549397E-2</v>
      </c>
    </row>
    <row r="4937" spans="13:14" x14ac:dyDescent="0.35">
      <c r="M4937" s="46">
        <v>1</v>
      </c>
      <c r="N4937" s="46">
        <v>9.6869431292396238E-2</v>
      </c>
    </row>
    <row r="4938" spans="13:14" x14ac:dyDescent="0.35">
      <c r="M4938" s="46">
        <v>1</v>
      </c>
      <c r="N4938" s="46">
        <v>4.5102151147414359E-2</v>
      </c>
    </row>
    <row r="4939" spans="13:14" x14ac:dyDescent="0.35">
      <c r="M4939" s="46">
        <v>0.94051187119750701</v>
      </c>
      <c r="N4939" s="46">
        <v>0</v>
      </c>
    </row>
    <row r="4940" spans="13:14" x14ac:dyDescent="0.35">
      <c r="M4940" s="46">
        <v>0.80678579907998227</v>
      </c>
      <c r="N4940" s="46">
        <v>0</v>
      </c>
    </row>
    <row r="4941" spans="13:14" x14ac:dyDescent="0.35">
      <c r="M4941" s="46">
        <v>0.67579729930256716</v>
      </c>
      <c r="N4941" s="46">
        <v>0</v>
      </c>
    </row>
    <row r="4942" spans="13:14" x14ac:dyDescent="0.35">
      <c r="M4942" s="46">
        <v>0.61224373052381653</v>
      </c>
      <c r="N4942" s="46">
        <v>0</v>
      </c>
    </row>
    <row r="4943" spans="13:14" x14ac:dyDescent="0.35">
      <c r="M4943" s="46">
        <v>0.59268355839145281</v>
      </c>
      <c r="N4943" s="46">
        <v>0</v>
      </c>
    </row>
    <row r="4944" spans="13:14" x14ac:dyDescent="0.35">
      <c r="M4944" s="46">
        <v>0.54826554384923576</v>
      </c>
      <c r="N4944" s="46">
        <v>0</v>
      </c>
    </row>
    <row r="4945" spans="13:14" x14ac:dyDescent="0.35">
      <c r="M4945" s="46">
        <v>0.53994019884255828</v>
      </c>
      <c r="N4945" s="46">
        <v>0</v>
      </c>
    </row>
    <row r="4946" spans="13:14" x14ac:dyDescent="0.35">
      <c r="M4946" s="46">
        <v>0.5316650838403324</v>
      </c>
      <c r="N4946" s="46">
        <v>0</v>
      </c>
    </row>
    <row r="4947" spans="13:14" x14ac:dyDescent="0.35">
      <c r="M4947" s="46">
        <v>0.52263985754562992</v>
      </c>
      <c r="N4947" s="46">
        <v>0</v>
      </c>
    </row>
    <row r="4948" spans="13:14" x14ac:dyDescent="0.35">
      <c r="M4948" s="46">
        <v>0.51034226146312511</v>
      </c>
      <c r="N4948" s="46">
        <v>0</v>
      </c>
    </row>
    <row r="4949" spans="13:14" x14ac:dyDescent="0.35">
      <c r="M4949" s="46">
        <v>0.4926713162190236</v>
      </c>
      <c r="N4949" s="46">
        <v>0</v>
      </c>
    </row>
    <row r="4950" spans="13:14" x14ac:dyDescent="0.35">
      <c r="M4950" s="46">
        <v>0.46397514468021966</v>
      </c>
      <c r="N4950" s="46">
        <v>0</v>
      </c>
    </row>
    <row r="4951" spans="13:14" x14ac:dyDescent="0.35">
      <c r="M4951" s="46">
        <v>0.42951246475738242</v>
      </c>
      <c r="N4951" s="46">
        <v>0</v>
      </c>
    </row>
    <row r="4952" spans="13:14" x14ac:dyDescent="0.35">
      <c r="M4952" s="46">
        <v>0.39390080130583172</v>
      </c>
      <c r="N4952" s="46">
        <v>0</v>
      </c>
    </row>
    <row r="4953" spans="13:14" x14ac:dyDescent="0.35">
      <c r="M4953" s="46">
        <v>0.4099986644902805</v>
      </c>
      <c r="N4953" s="46">
        <v>0</v>
      </c>
    </row>
    <row r="4954" spans="13:14" x14ac:dyDescent="0.35">
      <c r="M4954" s="46">
        <v>0.50186526190829506</v>
      </c>
      <c r="N4954" s="46">
        <v>0</v>
      </c>
    </row>
    <row r="4955" spans="13:14" x14ac:dyDescent="0.35">
      <c r="M4955" s="46">
        <v>0.62352470692981155</v>
      </c>
      <c r="N4955" s="46">
        <v>0</v>
      </c>
    </row>
    <row r="4956" spans="13:14" x14ac:dyDescent="0.35">
      <c r="M4956" s="46">
        <v>0.73092639857545627</v>
      </c>
      <c r="N4956" s="46">
        <v>0</v>
      </c>
    </row>
    <row r="4957" spans="13:14" x14ac:dyDescent="0.35">
      <c r="M4957" s="46">
        <v>0.80117190977889896</v>
      </c>
      <c r="N4957" s="46">
        <v>0</v>
      </c>
    </row>
    <row r="4958" spans="13:14" x14ac:dyDescent="0.35">
      <c r="M4958" s="46">
        <v>0.88424343374387893</v>
      </c>
      <c r="N4958" s="46">
        <v>0</v>
      </c>
    </row>
    <row r="4959" spans="13:14" x14ac:dyDescent="0.35">
      <c r="M4959" s="46">
        <v>0.94369357471434934</v>
      </c>
      <c r="N4959" s="46">
        <v>0</v>
      </c>
    </row>
    <row r="4960" spans="13:14" x14ac:dyDescent="0.35">
      <c r="M4960" s="46">
        <v>0.98157204332987091</v>
      </c>
      <c r="N4960" s="46">
        <v>0</v>
      </c>
    </row>
    <row r="4961" spans="13:14" x14ac:dyDescent="0.35">
      <c r="M4961" s="46">
        <v>0.99421679774447247</v>
      </c>
      <c r="N4961" s="46">
        <v>0</v>
      </c>
    </row>
    <row r="4962" spans="13:14" x14ac:dyDescent="0.35">
      <c r="M4962" s="46">
        <v>0.95224528861848934</v>
      </c>
      <c r="N4962" s="46">
        <v>0</v>
      </c>
    </row>
    <row r="4963" spans="13:14" x14ac:dyDescent="0.35">
      <c r="M4963" s="46">
        <v>0.85517673245288617</v>
      </c>
      <c r="N4963" s="46">
        <v>0</v>
      </c>
    </row>
    <row r="4964" spans="13:14" x14ac:dyDescent="0.35">
      <c r="M4964" s="46">
        <v>0.72058413711233116</v>
      </c>
      <c r="N4964" s="46">
        <v>0</v>
      </c>
    </row>
    <row r="4965" spans="13:14" x14ac:dyDescent="0.35">
      <c r="M4965" s="46">
        <v>0.5886631547707375</v>
      </c>
      <c r="N4965" s="46">
        <v>0</v>
      </c>
    </row>
    <row r="4966" spans="13:14" x14ac:dyDescent="0.35">
      <c r="M4966" s="46">
        <v>0.51924959192758569</v>
      </c>
      <c r="N4966" s="46">
        <v>0</v>
      </c>
    </row>
    <row r="4967" spans="13:14" x14ac:dyDescent="0.35">
      <c r="M4967" s="46">
        <v>0.48514742543404066</v>
      </c>
      <c r="N4967" s="46">
        <v>0</v>
      </c>
    </row>
    <row r="4968" spans="13:14" x14ac:dyDescent="0.35">
      <c r="M4968" s="46">
        <v>0.41917324528861849</v>
      </c>
      <c r="N4968" s="46">
        <v>0</v>
      </c>
    </row>
    <row r="4969" spans="13:14" x14ac:dyDescent="0.35">
      <c r="M4969" s="46">
        <v>0.4038508680813177</v>
      </c>
      <c r="N4969" s="46">
        <v>0</v>
      </c>
    </row>
    <row r="4970" spans="13:14" x14ac:dyDescent="0.35">
      <c r="M4970" s="46">
        <v>0.38429262501854877</v>
      </c>
      <c r="N4970" s="46">
        <v>0</v>
      </c>
    </row>
    <row r="4971" spans="13:14" x14ac:dyDescent="0.35">
      <c r="M4971" s="46">
        <v>0.35933090963050895</v>
      </c>
      <c r="N4971" s="46">
        <v>0</v>
      </c>
    </row>
    <row r="4972" spans="13:14" x14ac:dyDescent="0.35">
      <c r="M4972" s="46">
        <v>0.33751810357619827</v>
      </c>
      <c r="N4972" s="46">
        <v>0</v>
      </c>
    </row>
    <row r="4973" spans="13:14" x14ac:dyDescent="0.35">
      <c r="M4973" s="46">
        <v>0.3195317554533314</v>
      </c>
      <c r="N4973" s="46">
        <v>0</v>
      </c>
    </row>
    <row r="4974" spans="13:14" x14ac:dyDescent="0.35">
      <c r="M4974" s="46">
        <v>0.2886542513726072</v>
      </c>
      <c r="N4974" s="46">
        <v>0</v>
      </c>
    </row>
    <row r="4975" spans="13:14" x14ac:dyDescent="0.35">
      <c r="M4975" s="46">
        <v>0.25753398130286392</v>
      </c>
      <c r="N4975" s="46">
        <v>0</v>
      </c>
    </row>
    <row r="4976" spans="13:14" x14ac:dyDescent="0.35">
      <c r="M4976" s="46">
        <v>0.2343372162041846</v>
      </c>
      <c r="N4976" s="46">
        <v>0</v>
      </c>
    </row>
    <row r="4977" spans="13:14" x14ac:dyDescent="0.35">
      <c r="M4977" s="46">
        <v>0.26939182371271703</v>
      </c>
      <c r="N4977" s="46">
        <v>0</v>
      </c>
    </row>
    <row r="4978" spans="13:14" x14ac:dyDescent="0.35">
      <c r="M4978" s="46">
        <v>0.37904192016619676</v>
      </c>
      <c r="N4978" s="46">
        <v>0</v>
      </c>
    </row>
    <row r="4979" spans="13:14" x14ac:dyDescent="0.35">
      <c r="M4979" s="46">
        <v>0.50503435227778604</v>
      </c>
      <c r="N4979" s="46">
        <v>0</v>
      </c>
    </row>
    <row r="4980" spans="13:14" x14ac:dyDescent="0.35">
      <c r="M4980" s="46">
        <v>0.59307797892862446</v>
      </c>
      <c r="N4980" s="46">
        <v>0</v>
      </c>
    </row>
    <row r="4981" spans="13:14" x14ac:dyDescent="0.35">
      <c r="M4981" s="46">
        <v>0.65301572933669683</v>
      </c>
      <c r="N4981" s="46">
        <v>0</v>
      </c>
    </row>
    <row r="4982" spans="13:14" x14ac:dyDescent="0.35">
      <c r="M4982" s="46">
        <v>0.7023425582430628</v>
      </c>
      <c r="N4982" s="46">
        <v>0</v>
      </c>
    </row>
    <row r="4983" spans="13:14" x14ac:dyDescent="0.35">
      <c r="M4983" s="46">
        <v>0.73642120492654706</v>
      </c>
      <c r="N4983" s="46">
        <v>0</v>
      </c>
    </row>
    <row r="4984" spans="13:14" x14ac:dyDescent="0.35">
      <c r="M4984" s="46">
        <v>0.75678327645051191</v>
      </c>
      <c r="N4984" s="46">
        <v>0</v>
      </c>
    </row>
    <row r="4985" spans="13:14" x14ac:dyDescent="0.35">
      <c r="M4985" s="46">
        <v>0.76904674284018393</v>
      </c>
      <c r="N4985" s="46">
        <v>0</v>
      </c>
    </row>
    <row r="4986" spans="13:14" x14ac:dyDescent="0.35">
      <c r="M4986" s="46">
        <v>0.7459424988870752</v>
      </c>
      <c r="N4986" s="46">
        <v>0</v>
      </c>
    </row>
    <row r="4987" spans="13:14" x14ac:dyDescent="0.35">
      <c r="M4987" s="46">
        <v>0.67807716278379582</v>
      </c>
      <c r="N4987" s="46">
        <v>0</v>
      </c>
    </row>
    <row r="4988" spans="13:14" x14ac:dyDescent="0.35">
      <c r="M4988" s="46">
        <v>0.56093366968392933</v>
      </c>
      <c r="N4988" s="46">
        <v>0</v>
      </c>
    </row>
    <row r="4989" spans="13:14" x14ac:dyDescent="0.35">
      <c r="M4989" s="46">
        <v>0.4430732304496216</v>
      </c>
      <c r="N4989" s="46">
        <v>0</v>
      </c>
    </row>
    <row r="4990" spans="13:14" x14ac:dyDescent="0.35">
      <c r="M4990" s="46">
        <v>0.39167317109363403</v>
      </c>
      <c r="N4990" s="46">
        <v>0</v>
      </c>
    </row>
    <row r="4991" spans="13:14" x14ac:dyDescent="0.35">
      <c r="M4991" s="46">
        <v>0.37621575901469062</v>
      </c>
      <c r="N4991" s="46">
        <v>0</v>
      </c>
    </row>
    <row r="4992" spans="13:14" x14ac:dyDescent="0.35">
      <c r="M4992" s="46">
        <v>0.3370264876094376</v>
      </c>
      <c r="N4992" s="46">
        <v>0</v>
      </c>
    </row>
    <row r="4993" spans="13:14" x14ac:dyDescent="0.35">
      <c r="M4993" s="46">
        <v>0.32832705149131919</v>
      </c>
      <c r="N4993" s="46">
        <v>0</v>
      </c>
    </row>
    <row r="4994" spans="13:14" x14ac:dyDescent="0.35">
      <c r="M4994" s="46">
        <v>0.30455156551417123</v>
      </c>
      <c r="N4994" s="46">
        <v>0</v>
      </c>
    </row>
    <row r="4995" spans="13:14" x14ac:dyDescent="0.35">
      <c r="M4995" s="46">
        <v>0.27841163377355688</v>
      </c>
      <c r="N4995" s="46">
        <v>0</v>
      </c>
    </row>
    <row r="4996" spans="13:14" x14ac:dyDescent="0.35">
      <c r="M4996" s="46">
        <v>0.2522594598605134</v>
      </c>
      <c r="N4996" s="46">
        <v>0</v>
      </c>
    </row>
    <row r="4997" spans="13:14" x14ac:dyDescent="0.35">
      <c r="M4997" s="46">
        <v>0.23246972844635702</v>
      </c>
      <c r="N4997" s="46">
        <v>0</v>
      </c>
    </row>
    <row r="4998" spans="13:14" x14ac:dyDescent="0.35">
      <c r="M4998" s="46">
        <v>0.21458777266656773</v>
      </c>
      <c r="N4998" s="46">
        <v>0</v>
      </c>
    </row>
    <row r="4999" spans="13:14" x14ac:dyDescent="0.35">
      <c r="M4999" s="46">
        <v>0.19918838106543998</v>
      </c>
      <c r="N4999" s="46">
        <v>0</v>
      </c>
    </row>
    <row r="5000" spans="13:14" x14ac:dyDescent="0.35">
      <c r="M5000" s="46">
        <v>0.18705653657812732</v>
      </c>
      <c r="N5000" s="46">
        <v>0</v>
      </c>
    </row>
    <row r="5001" spans="13:14" x14ac:dyDescent="0.35">
      <c r="M5001" s="46">
        <v>0.2289364890933373</v>
      </c>
      <c r="N5001" s="46">
        <v>0</v>
      </c>
    </row>
    <row r="5002" spans="13:14" x14ac:dyDescent="0.35">
      <c r="M5002" s="46">
        <v>0.33451209378246033</v>
      </c>
      <c r="N5002" s="46">
        <v>0</v>
      </c>
    </row>
    <row r="5003" spans="13:14" x14ac:dyDescent="0.35">
      <c r="M5003" s="46">
        <v>0.44866382252559728</v>
      </c>
      <c r="N5003" s="46">
        <v>0</v>
      </c>
    </row>
    <row r="5004" spans="13:14" x14ac:dyDescent="0.35">
      <c r="M5004" s="46">
        <v>0.53658413711233122</v>
      </c>
      <c r="N5004" s="46">
        <v>0</v>
      </c>
    </row>
    <row r="5005" spans="13:14" x14ac:dyDescent="0.35">
      <c r="M5005" s="46">
        <v>0.60194108918237132</v>
      </c>
      <c r="N5005" s="46">
        <v>0</v>
      </c>
    </row>
    <row r="5006" spans="13:14" x14ac:dyDescent="0.35">
      <c r="M5006" s="46">
        <v>0.65198389968838111</v>
      </c>
      <c r="N5006" s="46">
        <v>0</v>
      </c>
    </row>
    <row r="5007" spans="13:14" x14ac:dyDescent="0.35">
      <c r="M5007" s="46">
        <v>0.67399658703071674</v>
      </c>
      <c r="N5007" s="46">
        <v>0</v>
      </c>
    </row>
    <row r="5008" spans="13:14" x14ac:dyDescent="0.35">
      <c r="M5008" s="46">
        <v>0.66950089033981297</v>
      </c>
      <c r="N5008" s="46">
        <v>0</v>
      </c>
    </row>
    <row r="5009" spans="13:14" x14ac:dyDescent="0.35">
      <c r="M5009" s="46">
        <v>0.64635598753524259</v>
      </c>
      <c r="N5009" s="46">
        <v>0</v>
      </c>
    </row>
    <row r="5010" spans="13:14" x14ac:dyDescent="0.35">
      <c r="M5010" s="46">
        <v>0.58500474847900286</v>
      </c>
      <c r="N5010" s="46">
        <v>0</v>
      </c>
    </row>
    <row r="5011" spans="13:14" x14ac:dyDescent="0.35">
      <c r="M5011" s="46">
        <v>0.47707775634367117</v>
      </c>
      <c r="N5011" s="46">
        <v>0</v>
      </c>
    </row>
    <row r="5012" spans="13:14" x14ac:dyDescent="0.35">
      <c r="M5012" s="46">
        <v>0.33189798189642378</v>
      </c>
      <c r="N5012" s="46">
        <v>0</v>
      </c>
    </row>
    <row r="5013" spans="13:14" x14ac:dyDescent="0.35">
      <c r="M5013" s="46">
        <v>0.19978498293515359</v>
      </c>
      <c r="N5013" s="46">
        <v>0</v>
      </c>
    </row>
    <row r="5014" spans="13:14" x14ac:dyDescent="0.35">
      <c r="M5014" s="46">
        <v>0.13765610624721769</v>
      </c>
      <c r="N5014" s="46">
        <v>0</v>
      </c>
    </row>
    <row r="5015" spans="13:14" x14ac:dyDescent="0.35">
      <c r="M5015" s="46">
        <v>0.11924024335954889</v>
      </c>
      <c r="N5015" s="46">
        <v>0</v>
      </c>
    </row>
    <row r="5016" spans="13:14" x14ac:dyDescent="0.35">
      <c r="M5016" s="46">
        <v>9.6725107582727413E-2</v>
      </c>
      <c r="N5016" s="46">
        <v>0</v>
      </c>
    </row>
    <row r="5017" spans="13:14" x14ac:dyDescent="0.35">
      <c r="M5017" s="46">
        <v>8.8563585101647135E-2</v>
      </c>
      <c r="N5017" s="46">
        <v>0</v>
      </c>
    </row>
    <row r="5018" spans="13:14" x14ac:dyDescent="0.35">
      <c r="M5018" s="46">
        <v>7.9725775337587193E-2</v>
      </c>
      <c r="N5018" s="46">
        <v>0</v>
      </c>
    </row>
    <row r="5019" spans="13:14" x14ac:dyDescent="0.35">
      <c r="M5019" s="46">
        <v>6.910876984715833E-2</v>
      </c>
      <c r="N5019" s="46">
        <v>0</v>
      </c>
    </row>
    <row r="5020" spans="13:14" x14ac:dyDescent="0.35">
      <c r="M5020" s="46">
        <v>5.8949399020626202E-2</v>
      </c>
      <c r="N5020" s="46">
        <v>0</v>
      </c>
    </row>
    <row r="5021" spans="13:14" x14ac:dyDescent="0.35">
      <c r="M5021" s="46">
        <v>5.3443092446950592E-2</v>
      </c>
      <c r="N5021" s="46">
        <v>0</v>
      </c>
    </row>
    <row r="5022" spans="13:14" x14ac:dyDescent="0.35">
      <c r="M5022" s="46">
        <v>4.8250333877429885E-2</v>
      </c>
      <c r="N5022" s="46">
        <v>0</v>
      </c>
    </row>
    <row r="5023" spans="13:14" x14ac:dyDescent="0.35">
      <c r="M5023" s="46">
        <v>4.178438937527823E-2</v>
      </c>
      <c r="N5023" s="46">
        <v>0</v>
      </c>
    </row>
    <row r="5024" spans="13:14" x14ac:dyDescent="0.35">
      <c r="M5024" s="46">
        <v>3.7716204184597119E-2</v>
      </c>
      <c r="N5024" s="46">
        <v>0</v>
      </c>
    </row>
    <row r="5025" spans="13:14" x14ac:dyDescent="0.35">
      <c r="M5025" s="46">
        <v>8.6494954741059504E-2</v>
      </c>
      <c r="N5025" s="46">
        <v>0</v>
      </c>
    </row>
    <row r="5026" spans="13:14" x14ac:dyDescent="0.35">
      <c r="M5026" s="46">
        <v>0.20804933966463868</v>
      </c>
      <c r="N5026" s="46">
        <v>0</v>
      </c>
    </row>
    <row r="5027" spans="13:14" x14ac:dyDescent="0.35">
      <c r="M5027" s="46">
        <v>0.35044346342187266</v>
      </c>
      <c r="N5027" s="46">
        <v>0</v>
      </c>
    </row>
    <row r="5028" spans="13:14" x14ac:dyDescent="0.35">
      <c r="M5028" s="46">
        <v>0.47005119453924915</v>
      </c>
      <c r="N5028" s="46">
        <v>0</v>
      </c>
    </row>
    <row r="5029" spans="13:14" x14ac:dyDescent="0.35">
      <c r="M5029" s="46">
        <v>0.55105119453924911</v>
      </c>
      <c r="N5029" s="46">
        <v>0</v>
      </c>
    </row>
    <row r="5030" spans="13:14" x14ac:dyDescent="0.35">
      <c r="M5030" s="46">
        <v>0.60253353613295746</v>
      </c>
      <c r="N5030" s="46">
        <v>0</v>
      </c>
    </row>
    <row r="5031" spans="13:14" x14ac:dyDescent="0.35">
      <c r="M5031" s="46">
        <v>0.62300920017806793</v>
      </c>
      <c r="N5031" s="46">
        <v>0</v>
      </c>
    </row>
    <row r="5032" spans="13:14" x14ac:dyDescent="0.35">
      <c r="M5032" s="46">
        <v>0.61548256417866154</v>
      </c>
      <c r="N5032" s="46">
        <v>0</v>
      </c>
    </row>
    <row r="5033" spans="13:14" x14ac:dyDescent="0.35">
      <c r="M5033" s="46">
        <v>0.5861492803086511</v>
      </c>
      <c r="N5033" s="46">
        <v>0</v>
      </c>
    </row>
    <row r="5034" spans="13:14" x14ac:dyDescent="0.35">
      <c r="M5034" s="46">
        <v>0.51956306573675626</v>
      </c>
      <c r="N5034" s="46">
        <v>0</v>
      </c>
    </row>
    <row r="5035" spans="13:14" x14ac:dyDescent="0.35">
      <c r="M5035" s="46">
        <v>0.40986956521739126</v>
      </c>
      <c r="N5035" s="46">
        <v>0</v>
      </c>
    </row>
    <row r="5036" spans="13:14" x14ac:dyDescent="0.35">
      <c r="M5036" s="46">
        <v>0.26253472325270816</v>
      </c>
      <c r="N5036" s="46">
        <v>0</v>
      </c>
    </row>
    <row r="5037" spans="13:14" x14ac:dyDescent="0.35">
      <c r="M5037" s="46">
        <v>0.1236904585250037</v>
      </c>
      <c r="N5037" s="46">
        <v>0</v>
      </c>
    </row>
    <row r="5038" spans="13:14" x14ac:dyDescent="0.35">
      <c r="M5038" s="46">
        <v>5.8144828609585995E-2</v>
      </c>
      <c r="N5038" s="46">
        <v>0</v>
      </c>
    </row>
    <row r="5039" spans="13:14" x14ac:dyDescent="0.35">
      <c r="M5039" s="46">
        <v>3.7869936192313401E-2</v>
      </c>
      <c r="N5039" s="46">
        <v>0</v>
      </c>
    </row>
    <row r="5040" spans="13:14" x14ac:dyDescent="0.35">
      <c r="M5040" s="46">
        <v>2.8875204036207153E-2</v>
      </c>
      <c r="N5040" s="46">
        <v>0</v>
      </c>
    </row>
    <row r="5041" spans="13:14" x14ac:dyDescent="0.35">
      <c r="M5041" s="46">
        <v>2.4589775931147053E-2</v>
      </c>
      <c r="N5041" s="46">
        <v>0</v>
      </c>
    </row>
    <row r="5042" spans="13:14" x14ac:dyDescent="0.35">
      <c r="M5042" s="46">
        <v>1.9954963644457632E-2</v>
      </c>
      <c r="N5042" s="46">
        <v>0</v>
      </c>
    </row>
    <row r="5043" spans="13:14" x14ac:dyDescent="0.35">
      <c r="M5043" s="46">
        <v>1.6913191868229708E-2</v>
      </c>
      <c r="N5043" s="46">
        <v>0</v>
      </c>
    </row>
    <row r="5044" spans="13:14" x14ac:dyDescent="0.35">
      <c r="M5044" s="46">
        <v>1.4412449918385518E-2</v>
      </c>
      <c r="N5044" s="46">
        <v>0</v>
      </c>
    </row>
    <row r="5045" spans="13:14" x14ac:dyDescent="0.35">
      <c r="M5045" s="46">
        <v>1.267079685413266E-2</v>
      </c>
      <c r="N5045" s="46">
        <v>0</v>
      </c>
    </row>
    <row r="5046" spans="13:14" x14ac:dyDescent="0.35">
      <c r="M5046" s="46">
        <v>1.1045852500370976E-2</v>
      </c>
      <c r="N5046" s="46">
        <v>0</v>
      </c>
    </row>
    <row r="5047" spans="13:14" x14ac:dyDescent="0.35">
      <c r="M5047" s="46">
        <v>9.3478260869565219E-3</v>
      </c>
      <c r="N5047" s="46">
        <v>0</v>
      </c>
    </row>
    <row r="5048" spans="13:14" x14ac:dyDescent="0.35">
      <c r="M5048" s="46">
        <v>1.156662709600831E-2</v>
      </c>
      <c r="N5048" s="46">
        <v>0</v>
      </c>
    </row>
    <row r="5049" spans="13:14" x14ac:dyDescent="0.35">
      <c r="M5049" s="46">
        <v>6.16491319186823E-2</v>
      </c>
      <c r="N5049" s="46">
        <v>0</v>
      </c>
    </row>
    <row r="5050" spans="13:14" x14ac:dyDescent="0.35">
      <c r="M5050" s="46">
        <v>0.18092350497106396</v>
      </c>
      <c r="N5050" s="46">
        <v>0</v>
      </c>
    </row>
    <row r="5051" spans="13:14" x14ac:dyDescent="0.35">
      <c r="M5051" s="46">
        <v>0.32541111440866594</v>
      </c>
      <c r="N5051" s="46">
        <v>0</v>
      </c>
    </row>
    <row r="5052" spans="13:14" x14ac:dyDescent="0.35">
      <c r="M5052" s="46">
        <v>0.44843782460305681</v>
      </c>
      <c r="N5052" s="46">
        <v>0</v>
      </c>
    </row>
    <row r="5053" spans="13:14" x14ac:dyDescent="0.35">
      <c r="M5053" s="46">
        <v>0.53360320522332694</v>
      </c>
      <c r="N5053" s="46">
        <v>0</v>
      </c>
    </row>
    <row r="5054" spans="13:14" x14ac:dyDescent="0.35">
      <c r="M5054" s="46">
        <v>0.5863864074788544</v>
      </c>
      <c r="N5054" s="46">
        <v>0</v>
      </c>
    </row>
    <row r="5055" spans="13:14" x14ac:dyDescent="0.35">
      <c r="M5055" s="46">
        <v>0.60743166641935009</v>
      </c>
      <c r="N5055" s="46">
        <v>0</v>
      </c>
    </row>
    <row r="5056" spans="13:14" x14ac:dyDescent="0.35">
      <c r="M5056" s="46">
        <v>0.59789991096601869</v>
      </c>
      <c r="N5056" s="46">
        <v>0</v>
      </c>
    </row>
    <row r="5057" spans="13:14" x14ac:dyDescent="0.35">
      <c r="M5057" s="46">
        <v>0.55893522777860216</v>
      </c>
      <c r="N5057" s="46">
        <v>0</v>
      </c>
    </row>
    <row r="5058" spans="13:14" x14ac:dyDescent="0.35">
      <c r="M5058" s="46">
        <v>0.48634278082801602</v>
      </c>
      <c r="N5058" s="46">
        <v>0</v>
      </c>
    </row>
    <row r="5059" spans="13:14" x14ac:dyDescent="0.35">
      <c r="M5059" s="46">
        <v>0.37537015877726665</v>
      </c>
      <c r="N5059" s="46">
        <v>0</v>
      </c>
    </row>
    <row r="5060" spans="13:14" x14ac:dyDescent="0.35">
      <c r="M5060" s="46">
        <v>0.23212346045407331</v>
      </c>
      <c r="N5060" s="46">
        <v>0</v>
      </c>
    </row>
    <row r="5061" spans="13:14" x14ac:dyDescent="0.35">
      <c r="M5061" s="46">
        <v>0.10293374387891378</v>
      </c>
      <c r="N5061" s="46">
        <v>0</v>
      </c>
    </row>
    <row r="5062" spans="13:14" x14ac:dyDescent="0.35">
      <c r="M5062" s="46">
        <v>4.7677326012761541E-2</v>
      </c>
      <c r="N5062" s="46">
        <v>0</v>
      </c>
    </row>
    <row r="5063" spans="13:14" x14ac:dyDescent="0.35">
      <c r="M5063" s="46">
        <v>3.8395162487015876E-2</v>
      </c>
      <c r="N5063" s="46">
        <v>0</v>
      </c>
    </row>
    <row r="5064" spans="13:14" x14ac:dyDescent="0.35">
      <c r="M5064" s="46">
        <v>3.3743136963941239E-2</v>
      </c>
      <c r="N5064" s="46">
        <v>0</v>
      </c>
    </row>
    <row r="5065" spans="13:14" x14ac:dyDescent="0.35">
      <c r="M5065" s="46">
        <v>3.2919721026858584E-2</v>
      </c>
      <c r="N5065" s="46">
        <v>0</v>
      </c>
    </row>
    <row r="5066" spans="13:14" x14ac:dyDescent="0.35">
      <c r="M5066" s="46">
        <v>3.3211010535687785E-2</v>
      </c>
      <c r="N5066" s="46">
        <v>0</v>
      </c>
    </row>
    <row r="5067" spans="13:14" x14ac:dyDescent="0.35">
      <c r="M5067" s="46">
        <v>3.6092743730523819E-2</v>
      </c>
      <c r="N5067" s="46">
        <v>0</v>
      </c>
    </row>
    <row r="5068" spans="13:14" x14ac:dyDescent="0.35">
      <c r="M5068" s="46">
        <v>3.9584359697284466E-2</v>
      </c>
      <c r="N5068" s="46">
        <v>0</v>
      </c>
    </row>
    <row r="5069" spans="13:14" x14ac:dyDescent="0.35">
      <c r="M5069" s="46">
        <v>4.3618786170054907E-2</v>
      </c>
      <c r="N5069" s="46">
        <v>0</v>
      </c>
    </row>
    <row r="5070" spans="13:14" x14ac:dyDescent="0.35">
      <c r="M5070" s="46">
        <v>4.5211084730672209E-2</v>
      </c>
      <c r="N5070" s="46">
        <v>0</v>
      </c>
    </row>
    <row r="5071" spans="13:14" x14ac:dyDescent="0.35">
      <c r="M5071" s="46">
        <v>4.1823935301973585E-2</v>
      </c>
      <c r="N5071" s="46">
        <v>0</v>
      </c>
    </row>
    <row r="5072" spans="13:14" x14ac:dyDescent="0.35">
      <c r="M5072" s="46">
        <v>3.9039991096601875E-2</v>
      </c>
      <c r="N5072" s="46">
        <v>0</v>
      </c>
    </row>
    <row r="5073" spans="13:14" x14ac:dyDescent="0.35">
      <c r="M5073" s="46">
        <v>7.9525374684671316E-2</v>
      </c>
      <c r="N5073" s="46">
        <v>0</v>
      </c>
    </row>
    <row r="5074" spans="13:14" x14ac:dyDescent="0.35">
      <c r="M5074" s="46">
        <v>0.18394917643567293</v>
      </c>
      <c r="N5074" s="46">
        <v>0</v>
      </c>
    </row>
    <row r="5075" spans="13:14" x14ac:dyDescent="0.35">
      <c r="M5075" s="46">
        <v>0.32005460750853243</v>
      </c>
      <c r="N5075" s="46">
        <v>0</v>
      </c>
    </row>
    <row r="5076" spans="13:14" x14ac:dyDescent="0.35">
      <c r="M5076" s="46">
        <v>0.44784270663303161</v>
      </c>
      <c r="N5076" s="46">
        <v>0</v>
      </c>
    </row>
    <row r="5077" spans="13:14" x14ac:dyDescent="0.35">
      <c r="M5077" s="46">
        <v>0.54490829499925808</v>
      </c>
      <c r="N5077" s="46">
        <v>0</v>
      </c>
    </row>
    <row r="5078" spans="13:14" x14ac:dyDescent="0.35">
      <c r="M5078" s="46">
        <v>0.61224098530939308</v>
      </c>
      <c r="N5078" s="46">
        <v>0</v>
      </c>
    </row>
    <row r="5079" spans="13:14" x14ac:dyDescent="0.35">
      <c r="M5079" s="46">
        <v>0.64573720136518764</v>
      </c>
      <c r="N5079" s="46">
        <v>0</v>
      </c>
    </row>
    <row r="5080" spans="13:14" x14ac:dyDescent="0.35">
      <c r="M5080" s="46">
        <v>0.64793723104318146</v>
      </c>
      <c r="N5080" s="46">
        <v>0</v>
      </c>
    </row>
    <row r="5081" spans="13:14" x14ac:dyDescent="0.35">
      <c r="M5081" s="46">
        <v>0.62674321115892573</v>
      </c>
      <c r="N5081" s="46">
        <v>0</v>
      </c>
    </row>
    <row r="5082" spans="13:14" x14ac:dyDescent="0.35">
      <c r="M5082" s="46">
        <v>0.56047380917050005</v>
      </c>
      <c r="N5082" s="46">
        <v>0</v>
      </c>
    </row>
    <row r="5083" spans="13:14" x14ac:dyDescent="0.35">
      <c r="M5083" s="46">
        <v>0.44794294405698176</v>
      </c>
      <c r="N5083" s="46">
        <v>0</v>
      </c>
    </row>
    <row r="5084" spans="13:14" x14ac:dyDescent="0.35">
      <c r="M5084" s="46">
        <v>0.29261937972993024</v>
      </c>
      <c r="N5084" s="46">
        <v>0</v>
      </c>
    </row>
    <row r="5085" spans="13:14" x14ac:dyDescent="0.35">
      <c r="M5085" s="46">
        <v>0.15123861106989167</v>
      </c>
      <c r="N5085" s="46">
        <v>0</v>
      </c>
    </row>
    <row r="5086" spans="13:14" x14ac:dyDescent="0.35">
      <c r="M5086" s="46">
        <v>8.7682890636592958E-2</v>
      </c>
      <c r="N5086" s="46">
        <v>0</v>
      </c>
    </row>
    <row r="5087" spans="13:14" x14ac:dyDescent="0.35">
      <c r="M5087" s="46">
        <v>7.1773482712568629E-2</v>
      </c>
      <c r="N5087" s="46">
        <v>0</v>
      </c>
    </row>
    <row r="5088" spans="13:14" x14ac:dyDescent="0.35">
      <c r="M5088" s="46">
        <v>5.7825345006677548E-2</v>
      </c>
      <c r="N5088" s="46">
        <v>0</v>
      </c>
    </row>
    <row r="5089" spans="13:14" x14ac:dyDescent="0.35">
      <c r="M5089" s="46">
        <v>5.4032719988128808E-2</v>
      </c>
      <c r="N5089" s="46">
        <v>0</v>
      </c>
    </row>
    <row r="5090" spans="13:14" x14ac:dyDescent="0.35">
      <c r="M5090" s="46">
        <v>4.6135405846564774E-2</v>
      </c>
      <c r="N5090" s="46">
        <v>0</v>
      </c>
    </row>
    <row r="5091" spans="13:14" x14ac:dyDescent="0.35">
      <c r="M5091" s="46">
        <v>4.7591482415788693E-2</v>
      </c>
      <c r="N5091" s="46">
        <v>0</v>
      </c>
    </row>
    <row r="5092" spans="13:14" x14ac:dyDescent="0.35">
      <c r="M5092" s="46">
        <v>4.9685264876094377E-2</v>
      </c>
      <c r="N5092" s="46">
        <v>0</v>
      </c>
    </row>
    <row r="5093" spans="13:14" x14ac:dyDescent="0.35">
      <c r="M5093" s="46">
        <v>5.0928698619973289E-2</v>
      </c>
      <c r="N5093" s="46">
        <v>0</v>
      </c>
    </row>
    <row r="5094" spans="13:14" x14ac:dyDescent="0.35">
      <c r="M5094" s="46">
        <v>5.5770737498145123E-2</v>
      </c>
      <c r="N5094" s="46">
        <v>0</v>
      </c>
    </row>
    <row r="5095" spans="13:14" x14ac:dyDescent="0.35">
      <c r="M5095" s="46">
        <v>5.9923579166048374E-2</v>
      </c>
      <c r="N5095" s="46">
        <v>0</v>
      </c>
    </row>
    <row r="5096" spans="13:14" x14ac:dyDescent="0.35">
      <c r="M5096" s="46">
        <v>6.9345526042439529E-2</v>
      </c>
      <c r="N5096" s="46">
        <v>0</v>
      </c>
    </row>
    <row r="5097" spans="13:14" x14ac:dyDescent="0.35">
      <c r="M5097" s="46">
        <v>0.12611767324528864</v>
      </c>
      <c r="N5097" s="46">
        <v>0</v>
      </c>
    </row>
    <row r="5098" spans="13:14" x14ac:dyDescent="0.35">
      <c r="M5098" s="46">
        <v>0.23424328535391006</v>
      </c>
      <c r="N5098" s="46">
        <v>0</v>
      </c>
    </row>
    <row r="5099" spans="13:14" x14ac:dyDescent="0.35">
      <c r="M5099" s="46">
        <v>0.36325003709749221</v>
      </c>
      <c r="N5099" s="46">
        <v>0</v>
      </c>
    </row>
    <row r="5100" spans="13:14" x14ac:dyDescent="0.35">
      <c r="M5100" s="46">
        <v>0.47608354355245591</v>
      </c>
      <c r="N5100" s="46">
        <v>0</v>
      </c>
    </row>
    <row r="5101" spans="13:14" x14ac:dyDescent="0.35">
      <c r="M5101" s="46">
        <v>0.55209059207597566</v>
      </c>
      <c r="N5101" s="46">
        <v>0</v>
      </c>
    </row>
    <row r="5102" spans="13:14" x14ac:dyDescent="0.35">
      <c r="M5102" s="46">
        <v>0.64753056833358058</v>
      </c>
      <c r="N5102" s="46">
        <v>0</v>
      </c>
    </row>
    <row r="5103" spans="13:14" x14ac:dyDescent="0.35">
      <c r="M5103" s="46">
        <v>0.72897952218430029</v>
      </c>
      <c r="N5103" s="46">
        <v>0</v>
      </c>
    </row>
    <row r="5104" spans="13:14" x14ac:dyDescent="0.35">
      <c r="M5104" s="46">
        <v>0.79369298115447395</v>
      </c>
      <c r="N5104" s="46">
        <v>0</v>
      </c>
    </row>
    <row r="5105" spans="13:14" x14ac:dyDescent="0.35">
      <c r="M5105" s="46">
        <v>0.83204132660632146</v>
      </c>
      <c r="N5105" s="46">
        <v>0</v>
      </c>
    </row>
    <row r="5106" spans="13:14" x14ac:dyDescent="0.35">
      <c r="M5106" s="46">
        <v>0.84570381362219915</v>
      </c>
      <c r="N5106" s="46">
        <v>0</v>
      </c>
    </row>
    <row r="5107" spans="13:14" x14ac:dyDescent="0.35">
      <c r="M5107" s="46">
        <v>0.80848456744324082</v>
      </c>
      <c r="N5107" s="46">
        <v>0</v>
      </c>
    </row>
    <row r="5108" spans="13:14" x14ac:dyDescent="0.35">
      <c r="M5108" s="46">
        <v>0.72100163228965719</v>
      </c>
      <c r="N5108" s="46">
        <v>0</v>
      </c>
    </row>
    <row r="5109" spans="13:14" x14ac:dyDescent="0.35">
      <c r="M5109" s="46">
        <v>0.63304533313547995</v>
      </c>
      <c r="N5109" s="46">
        <v>0</v>
      </c>
    </row>
    <row r="5110" spans="13:14" x14ac:dyDescent="0.35">
      <c r="M5110" s="46">
        <v>0.60407471434931004</v>
      </c>
      <c r="N5110" s="46">
        <v>0</v>
      </c>
    </row>
    <row r="5111" spans="13:14" x14ac:dyDescent="0.35">
      <c r="M5111" s="46">
        <v>0.60447069298115441</v>
      </c>
      <c r="N5111" s="46">
        <v>0</v>
      </c>
    </row>
    <row r="5112" spans="13:14" x14ac:dyDescent="0.35">
      <c r="M5112" s="46">
        <v>0.58536652322303007</v>
      </c>
      <c r="N5112" s="46">
        <v>0</v>
      </c>
    </row>
    <row r="5113" spans="13:14" x14ac:dyDescent="0.35">
      <c r="M5113" s="46">
        <v>0.58211967650986796</v>
      </c>
      <c r="N5113" s="46">
        <v>0</v>
      </c>
    </row>
    <row r="5114" spans="13:14" x14ac:dyDescent="0.35">
      <c r="M5114" s="46">
        <v>0.57185339071078789</v>
      </c>
      <c r="N5114" s="46">
        <v>0</v>
      </c>
    </row>
    <row r="5115" spans="13:14" x14ac:dyDescent="0.35">
      <c r="M5115" s="46">
        <v>0.56444657961121825</v>
      </c>
      <c r="N5115" s="46">
        <v>0</v>
      </c>
    </row>
    <row r="5116" spans="13:14" x14ac:dyDescent="0.35">
      <c r="M5116" s="46">
        <v>0.56505905920759758</v>
      </c>
      <c r="N5116" s="46">
        <v>0</v>
      </c>
    </row>
    <row r="5117" spans="13:14" x14ac:dyDescent="0.35">
      <c r="M5117" s="46">
        <v>0.57291215313844779</v>
      </c>
      <c r="N5117" s="46">
        <v>0</v>
      </c>
    </row>
    <row r="5118" spans="13:14" x14ac:dyDescent="0.35">
      <c r="M5118" s="46">
        <v>0.58393159222436564</v>
      </c>
      <c r="N5118" s="46">
        <v>0</v>
      </c>
    </row>
    <row r="5119" spans="13:14" x14ac:dyDescent="0.35">
      <c r="M5119" s="46">
        <v>0.5892506306573676</v>
      </c>
      <c r="N5119" s="46">
        <v>0</v>
      </c>
    </row>
    <row r="5120" spans="13:14" x14ac:dyDescent="0.35">
      <c r="M5120" s="46">
        <v>0.59184381955779786</v>
      </c>
      <c r="N5120" s="46">
        <v>0</v>
      </c>
    </row>
    <row r="5121" spans="13:14" x14ac:dyDescent="0.35">
      <c r="M5121" s="46">
        <v>0.63673875945986047</v>
      </c>
      <c r="N5121" s="46">
        <v>0</v>
      </c>
    </row>
    <row r="5122" spans="13:14" x14ac:dyDescent="0.35">
      <c r="M5122" s="46">
        <v>0.74626368897462525</v>
      </c>
      <c r="N5122" s="46">
        <v>0</v>
      </c>
    </row>
    <row r="5123" spans="13:14" x14ac:dyDescent="0.35">
      <c r="M5123" s="46">
        <v>0.89583224514022852</v>
      </c>
      <c r="N5123" s="46">
        <v>0</v>
      </c>
    </row>
    <row r="5124" spans="13:14" x14ac:dyDescent="0.35">
      <c r="M5124" s="46">
        <v>1</v>
      </c>
      <c r="N5124" s="46">
        <v>2.8627414308294588E-2</v>
      </c>
    </row>
    <row r="5125" spans="13:14" x14ac:dyDescent="0.35">
      <c r="M5125" s="46">
        <v>1</v>
      </c>
      <c r="N5125" s="46">
        <v>0.16661341913279173</v>
      </c>
    </row>
    <row r="5126" spans="13:14" x14ac:dyDescent="0.35">
      <c r="M5126" s="46">
        <v>1</v>
      </c>
      <c r="N5126" s="46">
        <v>0.26314766491071934</v>
      </c>
    </row>
    <row r="5127" spans="13:14" x14ac:dyDescent="0.35">
      <c r="M5127" s="46">
        <v>1</v>
      </c>
      <c r="N5127" s="46">
        <v>0.31638915487239172</v>
      </c>
    </row>
    <row r="5128" spans="13:14" x14ac:dyDescent="0.35">
      <c r="M5128" s="46">
        <v>1</v>
      </c>
      <c r="N5128" s="46">
        <v>0.31933102249530126</v>
      </c>
    </row>
    <row r="5129" spans="13:14" x14ac:dyDescent="0.35">
      <c r="M5129" s="46">
        <v>1</v>
      </c>
      <c r="N5129" s="46">
        <v>0.29669024583354631</v>
      </c>
    </row>
    <row r="5130" spans="13:14" x14ac:dyDescent="0.35">
      <c r="M5130" s="46">
        <v>1</v>
      </c>
      <c r="N5130" s="46">
        <v>0.2056988304814979</v>
      </c>
    </row>
    <row r="5131" spans="13:14" x14ac:dyDescent="0.35">
      <c r="M5131" s="46">
        <v>1</v>
      </c>
      <c r="N5131" s="46">
        <v>3.154418259042524E-2</v>
      </c>
    </row>
    <row r="5132" spans="13:14" x14ac:dyDescent="0.35">
      <c r="M5132" s="46">
        <v>0.8669271405253004</v>
      </c>
      <c r="N5132" s="46">
        <v>0</v>
      </c>
    </row>
    <row r="5133" spans="13:14" x14ac:dyDescent="0.35">
      <c r="M5133" s="46">
        <v>0.72298901914230596</v>
      </c>
      <c r="N5133" s="46">
        <v>0</v>
      </c>
    </row>
    <row r="5134" spans="13:14" x14ac:dyDescent="0.35">
      <c r="M5134" s="46">
        <v>0.66020626205668498</v>
      </c>
      <c r="N5134" s="46">
        <v>0</v>
      </c>
    </row>
    <row r="5135" spans="13:14" x14ac:dyDescent="0.35">
      <c r="M5135" s="46">
        <v>0.64926591482415796</v>
      </c>
      <c r="N5135" s="46">
        <v>0</v>
      </c>
    </row>
    <row r="5136" spans="13:14" x14ac:dyDescent="0.35">
      <c r="M5136" s="46">
        <v>0.6357058910817629</v>
      </c>
      <c r="N5136" s="46">
        <v>0</v>
      </c>
    </row>
    <row r="5137" spans="13:14" x14ac:dyDescent="0.35">
      <c r="M5137" s="46">
        <v>0.62347907701439387</v>
      </c>
      <c r="N5137" s="46">
        <v>0</v>
      </c>
    </row>
    <row r="5138" spans="13:14" x14ac:dyDescent="0.35">
      <c r="M5138" s="46">
        <v>0.60786348122866896</v>
      </c>
      <c r="N5138" s="46">
        <v>0</v>
      </c>
    </row>
    <row r="5139" spans="13:14" x14ac:dyDescent="0.35">
      <c r="M5139" s="46">
        <v>0.59186726517287436</v>
      </c>
      <c r="N5139" s="46">
        <v>0</v>
      </c>
    </row>
    <row r="5140" spans="13:14" x14ac:dyDescent="0.35">
      <c r="M5140" s="46">
        <v>0.57520960083098382</v>
      </c>
      <c r="N5140" s="46">
        <v>0</v>
      </c>
    </row>
    <row r="5141" spans="13:14" x14ac:dyDescent="0.35">
      <c r="M5141" s="46">
        <v>0.55666449028045706</v>
      </c>
      <c r="N5141" s="46">
        <v>0</v>
      </c>
    </row>
    <row r="5142" spans="13:14" x14ac:dyDescent="0.35">
      <c r="M5142" s="46">
        <v>0.53676680516397091</v>
      </c>
      <c r="N5142" s="46">
        <v>0</v>
      </c>
    </row>
    <row r="5143" spans="13:14" x14ac:dyDescent="0.35">
      <c r="M5143" s="46">
        <v>0.51141497254785573</v>
      </c>
      <c r="N5143" s="46">
        <v>0</v>
      </c>
    </row>
    <row r="5144" spans="13:14" x14ac:dyDescent="0.35">
      <c r="M5144" s="46">
        <v>0.47876361477964091</v>
      </c>
      <c r="N5144" s="46">
        <v>0</v>
      </c>
    </row>
    <row r="5145" spans="13:14" x14ac:dyDescent="0.35">
      <c r="M5145" s="46">
        <v>0.49435094227630211</v>
      </c>
      <c r="N5145" s="46">
        <v>0</v>
      </c>
    </row>
    <row r="5146" spans="13:14" x14ac:dyDescent="0.35">
      <c r="M5146" s="46">
        <v>0.58997002522629471</v>
      </c>
      <c r="N5146" s="46">
        <v>0</v>
      </c>
    </row>
    <row r="5147" spans="13:14" x14ac:dyDescent="0.35">
      <c r="M5147" s="46">
        <v>0.71208962754117822</v>
      </c>
      <c r="N5147" s="46">
        <v>0</v>
      </c>
    </row>
    <row r="5148" spans="13:14" x14ac:dyDescent="0.35">
      <c r="M5148" s="46">
        <v>0.787330909630509</v>
      </c>
      <c r="N5148" s="46">
        <v>0</v>
      </c>
    </row>
    <row r="5149" spans="13:14" x14ac:dyDescent="0.35">
      <c r="M5149" s="46">
        <v>0.81217502596824465</v>
      </c>
      <c r="N5149" s="46">
        <v>0</v>
      </c>
    </row>
    <row r="5150" spans="13:14" x14ac:dyDescent="0.35">
      <c r="M5150" s="46">
        <v>0.84416278379581544</v>
      </c>
      <c r="N5150" s="46">
        <v>0</v>
      </c>
    </row>
    <row r="5151" spans="13:14" x14ac:dyDescent="0.35">
      <c r="M5151" s="46">
        <v>0.86111804422021065</v>
      </c>
      <c r="N5151" s="46">
        <v>0</v>
      </c>
    </row>
    <row r="5152" spans="13:14" x14ac:dyDescent="0.35">
      <c r="M5152" s="46">
        <v>0.8763988722362368</v>
      </c>
      <c r="N5152" s="46">
        <v>0</v>
      </c>
    </row>
    <row r="5153" spans="13:14" x14ac:dyDescent="0.35">
      <c r="M5153" s="46">
        <v>0.87833944205371717</v>
      </c>
      <c r="N5153" s="46">
        <v>0</v>
      </c>
    </row>
    <row r="5154" spans="13:14" x14ac:dyDescent="0.35">
      <c r="M5154" s="46">
        <v>0.84724840480783503</v>
      </c>
      <c r="N5154" s="46">
        <v>0</v>
      </c>
    </row>
    <row r="5155" spans="13:14" x14ac:dyDescent="0.35">
      <c r="M5155" s="46">
        <v>0.76660127615373208</v>
      </c>
      <c r="N5155" s="46">
        <v>0</v>
      </c>
    </row>
    <row r="5156" spans="13:14" x14ac:dyDescent="0.35">
      <c r="M5156" s="46">
        <v>0.63608591779195722</v>
      </c>
      <c r="N5156" s="46">
        <v>0</v>
      </c>
    </row>
    <row r="5157" spans="13:14" x14ac:dyDescent="0.35">
      <c r="M5157" s="46">
        <v>0.51186941682742249</v>
      </c>
      <c r="N5157" s="46">
        <v>0</v>
      </c>
    </row>
    <row r="5158" spans="13:14" x14ac:dyDescent="0.35">
      <c r="M5158" s="46">
        <v>0.45270143938269775</v>
      </c>
      <c r="N5158" s="46">
        <v>0</v>
      </c>
    </row>
    <row r="5159" spans="13:14" x14ac:dyDescent="0.35">
      <c r="M5159" s="46">
        <v>0.43508888559133402</v>
      </c>
      <c r="N5159" s="46">
        <v>0</v>
      </c>
    </row>
    <row r="5160" spans="13:14" x14ac:dyDescent="0.35">
      <c r="M5160" s="46">
        <v>0.38682564178661527</v>
      </c>
      <c r="N5160" s="46">
        <v>0</v>
      </c>
    </row>
    <row r="5161" spans="13:14" x14ac:dyDescent="0.35">
      <c r="M5161" s="46">
        <v>0.37105149131918685</v>
      </c>
      <c r="N5161" s="46">
        <v>0</v>
      </c>
    </row>
    <row r="5162" spans="13:14" x14ac:dyDescent="0.35">
      <c r="M5162" s="46">
        <v>0.34938418162932183</v>
      </c>
      <c r="N5162" s="46">
        <v>0</v>
      </c>
    </row>
    <row r="5163" spans="13:14" x14ac:dyDescent="0.35">
      <c r="M5163" s="46">
        <v>0.31689263985754562</v>
      </c>
      <c r="N5163" s="46">
        <v>0</v>
      </c>
    </row>
    <row r="5164" spans="13:14" x14ac:dyDescent="0.35">
      <c r="M5164" s="46">
        <v>0.294163599940644</v>
      </c>
      <c r="N5164" s="46">
        <v>0</v>
      </c>
    </row>
    <row r="5165" spans="13:14" x14ac:dyDescent="0.35">
      <c r="M5165" s="46">
        <v>0.26011084730672207</v>
      </c>
      <c r="N5165" s="46">
        <v>0</v>
      </c>
    </row>
    <row r="5166" spans="13:14" x14ac:dyDescent="0.35">
      <c r="M5166" s="46">
        <v>0.23603568778750558</v>
      </c>
      <c r="N5166" s="46">
        <v>0</v>
      </c>
    </row>
    <row r="5167" spans="13:14" x14ac:dyDescent="0.35">
      <c r="M5167" s="46">
        <v>0.21951884552604245</v>
      </c>
      <c r="N5167" s="46">
        <v>0</v>
      </c>
    </row>
    <row r="5168" spans="13:14" x14ac:dyDescent="0.35">
      <c r="M5168" s="46">
        <v>0.21021353316515803</v>
      </c>
      <c r="N5168" s="46">
        <v>0</v>
      </c>
    </row>
    <row r="5169" spans="13:14" x14ac:dyDescent="0.35">
      <c r="M5169" s="46">
        <v>0.25174165306425289</v>
      </c>
      <c r="N5169" s="46">
        <v>0</v>
      </c>
    </row>
    <row r="5170" spans="13:14" x14ac:dyDescent="0.35">
      <c r="M5170" s="46">
        <v>0.354142528565069</v>
      </c>
      <c r="N5170" s="46">
        <v>0</v>
      </c>
    </row>
    <row r="5171" spans="13:14" x14ac:dyDescent="0.35">
      <c r="M5171" s="46">
        <v>0.47127734085175843</v>
      </c>
      <c r="N5171" s="46">
        <v>0</v>
      </c>
    </row>
    <row r="5172" spans="13:14" x14ac:dyDescent="0.35">
      <c r="M5172" s="46">
        <v>0.55777051491319185</v>
      </c>
      <c r="N5172" s="46">
        <v>0</v>
      </c>
    </row>
    <row r="5173" spans="13:14" x14ac:dyDescent="0.35">
      <c r="M5173" s="46">
        <v>0.6142958154028787</v>
      </c>
      <c r="N5173" s="46">
        <v>0</v>
      </c>
    </row>
    <row r="5174" spans="13:14" x14ac:dyDescent="0.35">
      <c r="M5174" s="46">
        <v>0.65089456892714048</v>
      </c>
      <c r="N5174" s="46">
        <v>0</v>
      </c>
    </row>
    <row r="5175" spans="13:14" x14ac:dyDescent="0.35">
      <c r="M5175" s="46">
        <v>0.66668912301528416</v>
      </c>
      <c r="N5175" s="46">
        <v>0</v>
      </c>
    </row>
    <row r="5176" spans="13:14" x14ac:dyDescent="0.35">
      <c r="M5176" s="46">
        <v>0.66124788544294411</v>
      </c>
      <c r="N5176" s="46">
        <v>0</v>
      </c>
    </row>
    <row r="5177" spans="13:14" x14ac:dyDescent="0.35">
      <c r="M5177" s="46">
        <v>0.64535991986941688</v>
      </c>
      <c r="N5177" s="46">
        <v>0</v>
      </c>
    </row>
    <row r="5178" spans="13:14" x14ac:dyDescent="0.35">
      <c r="M5178" s="46">
        <v>0.59083046446060239</v>
      </c>
      <c r="N5178" s="46">
        <v>0</v>
      </c>
    </row>
    <row r="5179" spans="13:14" x14ac:dyDescent="0.35">
      <c r="M5179" s="46">
        <v>0.49136318444873123</v>
      </c>
      <c r="N5179" s="46">
        <v>0</v>
      </c>
    </row>
    <row r="5180" spans="13:14" x14ac:dyDescent="0.35">
      <c r="M5180" s="46">
        <v>0.3540961566998071</v>
      </c>
      <c r="N5180" s="46">
        <v>0</v>
      </c>
    </row>
    <row r="5181" spans="13:14" x14ac:dyDescent="0.35">
      <c r="M5181" s="46">
        <v>0.23325619528119901</v>
      </c>
      <c r="N5181" s="46">
        <v>0</v>
      </c>
    </row>
    <row r="5182" spans="13:14" x14ac:dyDescent="0.35">
      <c r="M5182" s="46">
        <v>0.18222852055201069</v>
      </c>
      <c r="N5182" s="46">
        <v>0</v>
      </c>
    </row>
    <row r="5183" spans="13:14" x14ac:dyDescent="0.35">
      <c r="M5183" s="46">
        <v>0.16256262056684967</v>
      </c>
      <c r="N5183" s="46">
        <v>0</v>
      </c>
    </row>
    <row r="5184" spans="13:14" x14ac:dyDescent="0.35">
      <c r="M5184" s="46">
        <v>0.12617947766730969</v>
      </c>
      <c r="N5184" s="46">
        <v>0</v>
      </c>
    </row>
    <row r="5185" spans="13:14" x14ac:dyDescent="0.35">
      <c r="M5185" s="46">
        <v>0.11389249146757678</v>
      </c>
      <c r="N5185" s="46">
        <v>0</v>
      </c>
    </row>
    <row r="5186" spans="13:14" x14ac:dyDescent="0.35">
      <c r="M5186" s="46">
        <v>9.9984196468318742E-2</v>
      </c>
      <c r="N5186" s="46">
        <v>0</v>
      </c>
    </row>
    <row r="5187" spans="13:14" x14ac:dyDescent="0.35">
      <c r="M5187" s="46">
        <v>8.1799302567146459E-2</v>
      </c>
      <c r="N5187" s="46">
        <v>0</v>
      </c>
    </row>
    <row r="5188" spans="13:14" x14ac:dyDescent="0.35">
      <c r="M5188" s="46">
        <v>6.4543255675916303E-2</v>
      </c>
      <c r="N5188" s="46">
        <v>0</v>
      </c>
    </row>
    <row r="5189" spans="13:14" x14ac:dyDescent="0.35">
      <c r="M5189" s="46">
        <v>5.1990799821932034E-2</v>
      </c>
      <c r="N5189" s="46">
        <v>0</v>
      </c>
    </row>
    <row r="5190" spans="13:14" x14ac:dyDescent="0.35">
      <c r="M5190" s="46">
        <v>4.6695058614037693E-2</v>
      </c>
      <c r="N5190" s="46">
        <v>0</v>
      </c>
    </row>
    <row r="5191" spans="13:14" x14ac:dyDescent="0.35">
      <c r="M5191" s="46">
        <v>4.619906514319632E-2</v>
      </c>
      <c r="N5191" s="46">
        <v>0</v>
      </c>
    </row>
    <row r="5192" spans="13:14" x14ac:dyDescent="0.35">
      <c r="M5192" s="46">
        <v>4.827593114705446E-2</v>
      </c>
      <c r="N5192" s="46">
        <v>0</v>
      </c>
    </row>
    <row r="5193" spans="13:14" x14ac:dyDescent="0.35">
      <c r="M5193" s="46">
        <v>9.5320893307612398E-2</v>
      </c>
      <c r="N5193" s="46">
        <v>0</v>
      </c>
    </row>
    <row r="5194" spans="13:14" x14ac:dyDescent="0.35">
      <c r="M5194" s="46">
        <v>0.21639775931147054</v>
      </c>
      <c r="N5194" s="46">
        <v>0</v>
      </c>
    </row>
    <row r="5195" spans="13:14" x14ac:dyDescent="0.35">
      <c r="M5195" s="46">
        <v>0.37054933966463866</v>
      </c>
      <c r="N5195" s="46">
        <v>0</v>
      </c>
    </row>
    <row r="5196" spans="13:14" x14ac:dyDescent="0.35">
      <c r="M5196" s="46">
        <v>0.49853583617747438</v>
      </c>
      <c r="N5196" s="46">
        <v>0</v>
      </c>
    </row>
    <row r="5197" spans="13:14" x14ac:dyDescent="0.35">
      <c r="M5197" s="46">
        <v>0.58194398278676363</v>
      </c>
      <c r="N5197" s="46">
        <v>0</v>
      </c>
    </row>
    <row r="5198" spans="13:14" x14ac:dyDescent="0.35">
      <c r="M5198" s="46">
        <v>0.63609726962457336</v>
      </c>
      <c r="N5198" s="46">
        <v>0</v>
      </c>
    </row>
    <row r="5199" spans="13:14" x14ac:dyDescent="0.35">
      <c r="M5199" s="46">
        <v>0.66154652025523075</v>
      </c>
      <c r="N5199" s="46">
        <v>0</v>
      </c>
    </row>
    <row r="5200" spans="13:14" x14ac:dyDescent="0.35">
      <c r="M5200" s="46">
        <v>0.65661084730672203</v>
      </c>
      <c r="N5200" s="46">
        <v>0</v>
      </c>
    </row>
    <row r="5201" spans="13:14" x14ac:dyDescent="0.35">
      <c r="M5201" s="46">
        <v>0.61747343819557798</v>
      </c>
      <c r="N5201" s="46">
        <v>0</v>
      </c>
    </row>
    <row r="5202" spans="13:14" x14ac:dyDescent="0.35">
      <c r="M5202" s="46">
        <v>0.54447811247959632</v>
      </c>
      <c r="N5202" s="46">
        <v>0</v>
      </c>
    </row>
    <row r="5203" spans="13:14" x14ac:dyDescent="0.35">
      <c r="M5203" s="46">
        <v>0.44291623386259088</v>
      </c>
      <c r="N5203" s="46">
        <v>0</v>
      </c>
    </row>
    <row r="5204" spans="13:14" x14ac:dyDescent="0.35">
      <c r="M5204" s="46">
        <v>0.32179054755898501</v>
      </c>
      <c r="N5204" s="46">
        <v>0</v>
      </c>
    </row>
    <row r="5205" spans="13:14" x14ac:dyDescent="0.35">
      <c r="M5205" s="46">
        <v>0.21784901320670721</v>
      </c>
      <c r="N5205" s="46">
        <v>0</v>
      </c>
    </row>
    <row r="5206" spans="13:14" x14ac:dyDescent="0.35">
      <c r="M5206" s="46">
        <v>0.18701483899688379</v>
      </c>
      <c r="N5206" s="46">
        <v>0</v>
      </c>
    </row>
    <row r="5207" spans="13:14" x14ac:dyDescent="0.35">
      <c r="M5207" s="46">
        <v>0.19357582727407627</v>
      </c>
      <c r="N5207" s="46">
        <v>0</v>
      </c>
    </row>
    <row r="5208" spans="13:14" x14ac:dyDescent="0.35">
      <c r="M5208" s="46">
        <v>0.17463147351239056</v>
      </c>
      <c r="N5208" s="46">
        <v>0</v>
      </c>
    </row>
    <row r="5209" spans="13:14" x14ac:dyDescent="0.35">
      <c r="M5209" s="46">
        <v>0.18914853835880696</v>
      </c>
      <c r="N5209" s="46">
        <v>0</v>
      </c>
    </row>
    <row r="5210" spans="13:14" x14ac:dyDescent="0.35">
      <c r="M5210" s="46">
        <v>0.20217116782905475</v>
      </c>
      <c r="N5210" s="46">
        <v>0</v>
      </c>
    </row>
    <row r="5211" spans="13:14" x14ac:dyDescent="0.35">
      <c r="M5211" s="46">
        <v>0.20675715981599643</v>
      </c>
      <c r="N5211" s="46">
        <v>0</v>
      </c>
    </row>
    <row r="5212" spans="13:14" x14ac:dyDescent="0.35">
      <c r="M5212" s="46">
        <v>0.22146698323193351</v>
      </c>
      <c r="N5212" s="46">
        <v>0</v>
      </c>
    </row>
    <row r="5213" spans="13:14" x14ac:dyDescent="0.35">
      <c r="M5213" s="46">
        <v>0.23424298857397238</v>
      </c>
      <c r="N5213" s="46">
        <v>0</v>
      </c>
    </row>
    <row r="5214" spans="13:14" x14ac:dyDescent="0.35">
      <c r="M5214" s="46">
        <v>0.24329811544739577</v>
      </c>
      <c r="N5214" s="46">
        <v>0</v>
      </c>
    </row>
    <row r="5215" spans="13:14" x14ac:dyDescent="0.35">
      <c r="M5215" s="46">
        <v>0.25549109660186969</v>
      </c>
      <c r="N5215" s="46">
        <v>0</v>
      </c>
    </row>
    <row r="5216" spans="13:14" x14ac:dyDescent="0.35">
      <c r="M5216" s="46">
        <v>0.26542595340554981</v>
      </c>
      <c r="N5216" s="46">
        <v>0</v>
      </c>
    </row>
    <row r="5217" spans="13:14" x14ac:dyDescent="0.35">
      <c r="M5217" s="46">
        <v>0.32602129396052826</v>
      </c>
      <c r="N5217" s="46">
        <v>0</v>
      </c>
    </row>
    <row r="5218" spans="13:14" x14ac:dyDescent="0.35">
      <c r="M5218" s="46">
        <v>0.45467984864223182</v>
      </c>
      <c r="N5218" s="46">
        <v>0</v>
      </c>
    </row>
    <row r="5219" spans="13:14" x14ac:dyDescent="0.35">
      <c r="M5219" s="46">
        <v>0.60322273334322596</v>
      </c>
      <c r="N5219" s="46">
        <v>0</v>
      </c>
    </row>
    <row r="5220" spans="13:14" x14ac:dyDescent="0.35">
      <c r="M5220" s="46">
        <v>0.72495511203442642</v>
      </c>
      <c r="N5220" s="46">
        <v>0</v>
      </c>
    </row>
    <row r="5221" spans="13:14" x14ac:dyDescent="0.35">
      <c r="M5221" s="46">
        <v>0.80488210416975803</v>
      </c>
      <c r="N5221" s="46">
        <v>0</v>
      </c>
    </row>
    <row r="5222" spans="13:14" x14ac:dyDescent="0.35">
      <c r="M5222" s="46">
        <v>0.87909541474996289</v>
      </c>
      <c r="N5222" s="46">
        <v>0</v>
      </c>
    </row>
    <row r="5223" spans="13:14" x14ac:dyDescent="0.35">
      <c r="M5223" s="46">
        <v>0.93885799079982191</v>
      </c>
      <c r="N5223" s="46">
        <v>0</v>
      </c>
    </row>
    <row r="5224" spans="13:14" x14ac:dyDescent="0.35">
      <c r="M5224" s="46">
        <v>0.98057834990354653</v>
      </c>
      <c r="N5224" s="46">
        <v>0</v>
      </c>
    </row>
    <row r="5225" spans="13:14" x14ac:dyDescent="0.35">
      <c r="M5225" s="46">
        <v>0.98975827274076267</v>
      </c>
      <c r="N5225" s="46">
        <v>0</v>
      </c>
    </row>
    <row r="5226" spans="13:14" x14ac:dyDescent="0.35">
      <c r="M5226" s="46">
        <v>0.93626450511945392</v>
      </c>
      <c r="N5226" s="46">
        <v>0</v>
      </c>
    </row>
    <row r="5227" spans="13:14" x14ac:dyDescent="0.35">
      <c r="M5227" s="46">
        <v>0.83570381362219914</v>
      </c>
      <c r="N5227" s="46">
        <v>0</v>
      </c>
    </row>
    <row r="5228" spans="13:14" x14ac:dyDescent="0.35">
      <c r="M5228" s="46">
        <v>0.69528817331948356</v>
      </c>
      <c r="N5228" s="46">
        <v>0</v>
      </c>
    </row>
    <row r="5229" spans="13:14" x14ac:dyDescent="0.35">
      <c r="M5229" s="46">
        <v>0.56976124054013955</v>
      </c>
      <c r="N5229" s="46">
        <v>0</v>
      </c>
    </row>
    <row r="5230" spans="13:14" x14ac:dyDescent="0.35">
      <c r="M5230" s="46">
        <v>0.52273312064104471</v>
      </c>
      <c r="N5230" s="46">
        <v>0</v>
      </c>
    </row>
    <row r="5231" spans="13:14" x14ac:dyDescent="0.35">
      <c r="M5231" s="46">
        <v>0.52432653212642821</v>
      </c>
      <c r="N5231" s="46">
        <v>0</v>
      </c>
    </row>
    <row r="5232" spans="13:14" x14ac:dyDescent="0.35">
      <c r="M5232" s="46">
        <v>0.52043233417420975</v>
      </c>
      <c r="N5232" s="46">
        <v>0</v>
      </c>
    </row>
    <row r="5233" spans="13:14" x14ac:dyDescent="0.35">
      <c r="M5233" s="46">
        <v>0.52799747737052982</v>
      </c>
      <c r="N5233" s="46">
        <v>0</v>
      </c>
    </row>
    <row r="5234" spans="13:14" x14ac:dyDescent="0.35">
      <c r="M5234" s="46">
        <v>0.53349851610031163</v>
      </c>
      <c r="N5234" s="46">
        <v>0</v>
      </c>
    </row>
    <row r="5235" spans="13:14" x14ac:dyDescent="0.35">
      <c r="M5235" s="46">
        <v>0.54203064252856503</v>
      </c>
      <c r="N5235" s="46">
        <v>0</v>
      </c>
    </row>
    <row r="5236" spans="13:14" x14ac:dyDescent="0.35">
      <c r="M5236" s="46">
        <v>0.54872673987238463</v>
      </c>
      <c r="N5236" s="46">
        <v>0</v>
      </c>
    </row>
    <row r="5237" spans="13:14" x14ac:dyDescent="0.35">
      <c r="M5237" s="46">
        <v>0.55526042439531087</v>
      </c>
      <c r="N5237" s="46">
        <v>0</v>
      </c>
    </row>
    <row r="5238" spans="13:14" x14ac:dyDescent="0.35">
      <c r="M5238" s="46">
        <v>0.56244368600682593</v>
      </c>
      <c r="N5238" s="46">
        <v>0</v>
      </c>
    </row>
    <row r="5239" spans="13:14" x14ac:dyDescent="0.35">
      <c r="M5239" s="46">
        <v>0.56874929514764805</v>
      </c>
      <c r="N5239" s="46">
        <v>0</v>
      </c>
    </row>
    <row r="5240" spans="13:14" x14ac:dyDescent="0.35">
      <c r="M5240" s="46">
        <v>0.57379440569817475</v>
      </c>
      <c r="N5240" s="46">
        <v>0</v>
      </c>
    </row>
    <row r="5241" spans="13:14" x14ac:dyDescent="0.35">
      <c r="M5241" s="46">
        <v>0.62164468021961716</v>
      </c>
      <c r="N5241" s="46">
        <v>0</v>
      </c>
    </row>
    <row r="5242" spans="13:14" x14ac:dyDescent="0.35">
      <c r="M5242" s="46">
        <v>0.74936170054904294</v>
      </c>
      <c r="N5242" s="46">
        <v>0</v>
      </c>
    </row>
    <row r="5243" spans="13:14" x14ac:dyDescent="0.35">
      <c r="M5243" s="46">
        <v>0.91715959341148545</v>
      </c>
      <c r="N5243" s="46">
        <v>0</v>
      </c>
    </row>
    <row r="5244" spans="13:14" x14ac:dyDescent="0.35">
      <c r="M5244" s="46">
        <v>1</v>
      </c>
      <c r="N5244" s="46">
        <v>9.0359345857224091E-2</v>
      </c>
    </row>
    <row r="5245" spans="13:14" x14ac:dyDescent="0.35">
      <c r="M5245" s="46">
        <v>1</v>
      </c>
      <c r="N5245" s="46">
        <v>0.24343746888289086</v>
      </c>
    </row>
    <row r="5246" spans="13:14" x14ac:dyDescent="0.35">
      <c r="M5246" s="46">
        <v>1</v>
      </c>
      <c r="N5246" s="46">
        <v>0.356970569875113</v>
      </c>
    </row>
    <row r="5247" spans="13:14" x14ac:dyDescent="0.35">
      <c r="M5247" s="46">
        <v>1</v>
      </c>
      <c r="N5247" s="46">
        <v>0.41709203040170284</v>
      </c>
    </row>
    <row r="5248" spans="13:14" x14ac:dyDescent="0.35">
      <c r="M5248" s="46">
        <v>1</v>
      </c>
      <c r="N5248" s="46">
        <v>0.42181281305188423</v>
      </c>
    </row>
    <row r="5249" spans="13:14" x14ac:dyDescent="0.35">
      <c r="M5249" s="46">
        <v>1</v>
      </c>
      <c r="N5249" s="46">
        <v>0.38257956434345103</v>
      </c>
    </row>
    <row r="5250" spans="13:14" x14ac:dyDescent="0.35">
      <c r="M5250" s="46">
        <v>1</v>
      </c>
      <c r="N5250" s="46">
        <v>0.26985222771115491</v>
      </c>
    </row>
    <row r="5251" spans="13:14" x14ac:dyDescent="0.35">
      <c r="M5251" s="46">
        <v>1</v>
      </c>
      <c r="N5251" s="46">
        <v>7.0319189982789451E-2</v>
      </c>
    </row>
    <row r="5252" spans="13:14" x14ac:dyDescent="0.35">
      <c r="M5252" s="46">
        <v>0.88193611811841521</v>
      </c>
      <c r="N5252" s="46">
        <v>0</v>
      </c>
    </row>
    <row r="5253" spans="13:14" x14ac:dyDescent="0.35">
      <c r="M5253" s="46">
        <v>0.7375755304941386</v>
      </c>
      <c r="N5253" s="46">
        <v>0</v>
      </c>
    </row>
    <row r="5254" spans="13:14" x14ac:dyDescent="0.35">
      <c r="M5254" s="46">
        <v>0.67579544442795658</v>
      </c>
      <c r="N5254" s="46">
        <v>0</v>
      </c>
    </row>
    <row r="5255" spans="13:14" x14ac:dyDescent="0.35">
      <c r="M5255" s="46">
        <v>0.66451038729781875</v>
      </c>
      <c r="N5255" s="46">
        <v>0</v>
      </c>
    </row>
    <row r="5256" spans="13:14" x14ac:dyDescent="0.35">
      <c r="M5256" s="46">
        <v>0.66290020774595637</v>
      </c>
      <c r="N5256" s="46">
        <v>0</v>
      </c>
    </row>
    <row r="5257" spans="13:14" x14ac:dyDescent="0.35">
      <c r="M5257" s="46">
        <v>0.66107285947469951</v>
      </c>
      <c r="N5257" s="46">
        <v>0</v>
      </c>
    </row>
    <row r="5258" spans="13:14" x14ac:dyDescent="0.35">
      <c r="M5258" s="46">
        <v>0.65971650096453482</v>
      </c>
      <c r="N5258" s="46">
        <v>0</v>
      </c>
    </row>
    <row r="5259" spans="13:14" x14ac:dyDescent="0.35">
      <c r="M5259" s="46">
        <v>0.66214905772369781</v>
      </c>
      <c r="N5259" s="46">
        <v>0</v>
      </c>
    </row>
    <row r="5260" spans="13:14" x14ac:dyDescent="0.35">
      <c r="M5260" s="46">
        <v>0.66426917940347241</v>
      </c>
      <c r="N5260" s="46">
        <v>0</v>
      </c>
    </row>
    <row r="5261" spans="13:14" x14ac:dyDescent="0.35">
      <c r="M5261" s="46">
        <v>0.66300252262947024</v>
      </c>
      <c r="N5261" s="46">
        <v>0</v>
      </c>
    </row>
    <row r="5262" spans="13:14" x14ac:dyDescent="0.35">
      <c r="M5262" s="46">
        <v>0.66492602760053421</v>
      </c>
      <c r="N5262" s="46">
        <v>0</v>
      </c>
    </row>
    <row r="5263" spans="13:14" x14ac:dyDescent="0.35">
      <c r="M5263" s="46">
        <v>0.66500163228965725</v>
      </c>
      <c r="N5263" s="46">
        <v>0</v>
      </c>
    </row>
    <row r="5264" spans="13:14" x14ac:dyDescent="0.35">
      <c r="M5264" s="46">
        <v>0.6595416233862591</v>
      </c>
      <c r="N5264" s="46">
        <v>0</v>
      </c>
    </row>
    <row r="5265" spans="13:14" x14ac:dyDescent="0.35">
      <c r="M5265" s="46">
        <v>0.69451647128654093</v>
      </c>
      <c r="N5265" s="46">
        <v>0</v>
      </c>
    </row>
    <row r="5266" spans="13:14" x14ac:dyDescent="0.35">
      <c r="M5266" s="46">
        <v>0.80659675025968247</v>
      </c>
      <c r="N5266" s="46">
        <v>0</v>
      </c>
    </row>
    <row r="5267" spans="13:14" x14ac:dyDescent="0.35">
      <c r="M5267" s="46">
        <v>0.94849807093040506</v>
      </c>
      <c r="N5267" s="46">
        <v>0</v>
      </c>
    </row>
    <row r="5268" spans="13:14" x14ac:dyDescent="0.35">
      <c r="M5268" s="46">
        <v>1</v>
      </c>
      <c r="N5268" s="46">
        <v>7.4542739881597542E-2</v>
      </c>
    </row>
    <row r="5269" spans="13:14" x14ac:dyDescent="0.35">
      <c r="M5269" s="46">
        <v>1</v>
      </c>
      <c r="N5269" s="46">
        <v>0.14457001412322185</v>
      </c>
    </row>
    <row r="5270" spans="13:14" x14ac:dyDescent="0.35">
      <c r="M5270" s="46">
        <v>1</v>
      </c>
      <c r="N5270" s="46">
        <v>0.21130350644484755</v>
      </c>
    </row>
    <row r="5271" spans="13:14" x14ac:dyDescent="0.35">
      <c r="M5271" s="46">
        <v>1</v>
      </c>
      <c r="N5271" s="46">
        <v>0.25730370290477361</v>
      </c>
    </row>
    <row r="5272" spans="13:14" x14ac:dyDescent="0.35">
      <c r="M5272" s="46">
        <v>1</v>
      </c>
      <c r="N5272" s="46">
        <v>0.27219938308603675</v>
      </c>
    </row>
    <row r="5273" spans="13:14" x14ac:dyDescent="0.35">
      <c r="M5273" s="46">
        <v>1</v>
      </c>
      <c r="N5273" s="46">
        <v>0.24828171030620022</v>
      </c>
    </row>
    <row r="5274" spans="13:14" x14ac:dyDescent="0.35">
      <c r="M5274" s="46">
        <v>1</v>
      </c>
      <c r="N5274" s="46">
        <v>0.15466514267283343</v>
      </c>
    </row>
    <row r="5275" spans="13:14" x14ac:dyDescent="0.35">
      <c r="M5275" s="46">
        <v>0.98327808280160256</v>
      </c>
      <c r="N5275" s="46">
        <v>0</v>
      </c>
    </row>
    <row r="5276" spans="13:14" x14ac:dyDescent="0.35">
      <c r="M5276" s="46">
        <v>0.82653301676806656</v>
      </c>
      <c r="N5276" s="46">
        <v>0</v>
      </c>
    </row>
    <row r="5277" spans="13:14" x14ac:dyDescent="0.35">
      <c r="M5277" s="46">
        <v>0.6893016026116634</v>
      </c>
      <c r="N5277" s="46">
        <v>0</v>
      </c>
    </row>
    <row r="5278" spans="13:14" x14ac:dyDescent="0.35">
      <c r="M5278" s="46">
        <v>0.62686362961863784</v>
      </c>
      <c r="N5278" s="46">
        <v>0</v>
      </c>
    </row>
    <row r="5279" spans="13:14" x14ac:dyDescent="0.35">
      <c r="M5279" s="46">
        <v>0.60839241727259241</v>
      </c>
      <c r="N5279" s="46">
        <v>0</v>
      </c>
    </row>
    <row r="5280" spans="13:14" x14ac:dyDescent="0.35">
      <c r="M5280" s="46">
        <v>0.55268051639709159</v>
      </c>
      <c r="N5280" s="46">
        <v>0</v>
      </c>
    </row>
    <row r="5281" spans="13:14" x14ac:dyDescent="0.35">
      <c r="M5281" s="46">
        <v>0.52909081466092889</v>
      </c>
      <c r="N5281" s="46">
        <v>0</v>
      </c>
    </row>
    <row r="5282" spans="13:14" x14ac:dyDescent="0.35">
      <c r="M5282" s="46">
        <v>0.51324758866300646</v>
      </c>
      <c r="N5282" s="46">
        <v>0</v>
      </c>
    </row>
    <row r="5283" spans="13:14" x14ac:dyDescent="0.35">
      <c r="M5283" s="46">
        <v>0.48622162041845973</v>
      </c>
      <c r="N5283" s="46">
        <v>0</v>
      </c>
    </row>
    <row r="5284" spans="13:14" x14ac:dyDescent="0.35">
      <c r="M5284" s="46">
        <v>0.4489117079685413</v>
      </c>
      <c r="N5284" s="46">
        <v>0</v>
      </c>
    </row>
    <row r="5285" spans="13:14" x14ac:dyDescent="0.35">
      <c r="M5285" s="46">
        <v>0.39248479002819409</v>
      </c>
      <c r="N5285" s="46">
        <v>0</v>
      </c>
    </row>
    <row r="5286" spans="13:14" x14ac:dyDescent="0.35">
      <c r="M5286" s="46">
        <v>0.33785183261611518</v>
      </c>
      <c r="N5286" s="46">
        <v>0</v>
      </c>
    </row>
    <row r="5287" spans="13:14" x14ac:dyDescent="0.35">
      <c r="M5287" s="46">
        <v>0.28110409556313992</v>
      </c>
      <c r="N5287" s="46">
        <v>0</v>
      </c>
    </row>
    <row r="5288" spans="13:14" x14ac:dyDescent="0.35">
      <c r="M5288" s="46">
        <v>0.24291653064252858</v>
      </c>
      <c r="N5288" s="46">
        <v>0</v>
      </c>
    </row>
    <row r="5289" spans="13:14" x14ac:dyDescent="0.35">
      <c r="M5289" s="46">
        <v>0.26056365929663156</v>
      </c>
      <c r="N5289" s="46">
        <v>0</v>
      </c>
    </row>
    <row r="5290" spans="13:14" x14ac:dyDescent="0.35">
      <c r="M5290" s="46">
        <v>0.36074098530939308</v>
      </c>
      <c r="N5290" s="46">
        <v>0</v>
      </c>
    </row>
    <row r="5291" spans="13:14" x14ac:dyDescent="0.35">
      <c r="M5291" s="46">
        <v>0.50918689716575161</v>
      </c>
      <c r="N5291" s="46">
        <v>0</v>
      </c>
    </row>
    <row r="5292" spans="13:14" x14ac:dyDescent="0.35">
      <c r="M5292" s="46">
        <v>0.63392335658109511</v>
      </c>
      <c r="N5292" s="46">
        <v>0</v>
      </c>
    </row>
    <row r="5293" spans="13:14" x14ac:dyDescent="0.35">
      <c r="M5293" s="46">
        <v>0.71619847158332106</v>
      </c>
      <c r="N5293" s="46">
        <v>0</v>
      </c>
    </row>
    <row r="5294" spans="13:14" x14ac:dyDescent="0.35">
      <c r="M5294" s="46">
        <v>0.77794108918237126</v>
      </c>
      <c r="N5294" s="46">
        <v>0</v>
      </c>
    </row>
    <row r="5295" spans="13:14" x14ac:dyDescent="0.35">
      <c r="M5295" s="46">
        <v>0.8098601424543701</v>
      </c>
      <c r="N5295" s="46">
        <v>0</v>
      </c>
    </row>
    <row r="5296" spans="13:14" x14ac:dyDescent="0.35">
      <c r="M5296" s="46">
        <v>0.82083365484493243</v>
      </c>
      <c r="N5296" s="46">
        <v>0</v>
      </c>
    </row>
    <row r="5297" spans="13:14" x14ac:dyDescent="0.35">
      <c r="M5297" s="46">
        <v>0.82359170500074197</v>
      </c>
      <c r="N5297" s="46">
        <v>0</v>
      </c>
    </row>
    <row r="5298" spans="13:14" x14ac:dyDescent="0.35">
      <c r="M5298" s="46">
        <v>0.78538047188010096</v>
      </c>
      <c r="N5298" s="46">
        <v>0</v>
      </c>
    </row>
    <row r="5299" spans="13:14" x14ac:dyDescent="0.35">
      <c r="M5299" s="46">
        <v>0.71455186229410883</v>
      </c>
      <c r="N5299" s="46">
        <v>0</v>
      </c>
    </row>
    <row r="5300" spans="13:14" x14ac:dyDescent="0.35">
      <c r="M5300" s="46">
        <v>0.59488410743433739</v>
      </c>
      <c r="N5300" s="46">
        <v>0</v>
      </c>
    </row>
    <row r="5301" spans="13:14" x14ac:dyDescent="0.35">
      <c r="M5301" s="46">
        <v>0.49789004303309098</v>
      </c>
      <c r="N5301" s="46">
        <v>0</v>
      </c>
    </row>
    <row r="5302" spans="13:14" x14ac:dyDescent="0.35">
      <c r="M5302" s="46">
        <v>0.45960023742395018</v>
      </c>
      <c r="N5302" s="46">
        <v>0</v>
      </c>
    </row>
    <row r="5303" spans="13:14" x14ac:dyDescent="0.35">
      <c r="M5303" s="46">
        <v>0.4506204926546965</v>
      </c>
      <c r="N5303" s="46">
        <v>0</v>
      </c>
    </row>
    <row r="5304" spans="13:14" x14ac:dyDescent="0.35">
      <c r="M5304" s="46">
        <v>0.39129870900727109</v>
      </c>
      <c r="N5304" s="46">
        <v>0</v>
      </c>
    </row>
    <row r="5305" spans="13:14" x14ac:dyDescent="0.35">
      <c r="M5305" s="46">
        <v>0.38446972844635702</v>
      </c>
      <c r="N5305" s="46">
        <v>0</v>
      </c>
    </row>
    <row r="5306" spans="13:14" x14ac:dyDescent="0.35">
      <c r="M5306" s="46">
        <v>0.37808361774744026</v>
      </c>
      <c r="N5306" s="46">
        <v>0</v>
      </c>
    </row>
    <row r="5307" spans="13:14" x14ac:dyDescent="0.35">
      <c r="M5307" s="46">
        <v>0.36591385962308948</v>
      </c>
      <c r="N5307" s="46">
        <v>0</v>
      </c>
    </row>
    <row r="5308" spans="13:14" x14ac:dyDescent="0.35">
      <c r="M5308" s="46">
        <v>0.36707953702329721</v>
      </c>
      <c r="N5308" s="46">
        <v>0</v>
      </c>
    </row>
    <row r="5309" spans="13:14" x14ac:dyDescent="0.35">
      <c r="M5309" s="46">
        <v>0.36829677993767623</v>
      </c>
      <c r="N5309" s="46">
        <v>0</v>
      </c>
    </row>
    <row r="5310" spans="13:14" x14ac:dyDescent="0.35">
      <c r="M5310" s="46">
        <v>0.37031555126873428</v>
      </c>
      <c r="N5310" s="46">
        <v>0</v>
      </c>
    </row>
    <row r="5311" spans="13:14" x14ac:dyDescent="0.35">
      <c r="M5311" s="46">
        <v>0.3763948657070782</v>
      </c>
      <c r="N5311" s="46">
        <v>0</v>
      </c>
    </row>
    <row r="5312" spans="13:14" x14ac:dyDescent="0.35">
      <c r="M5312" s="46">
        <v>0.36658302418756489</v>
      </c>
      <c r="N5312" s="46">
        <v>0</v>
      </c>
    </row>
    <row r="5313" spans="13:14" x14ac:dyDescent="0.35">
      <c r="M5313" s="46">
        <v>0.3690284908740169</v>
      </c>
      <c r="N5313" s="46">
        <v>0</v>
      </c>
    </row>
    <row r="5314" spans="13:14" x14ac:dyDescent="0.35">
      <c r="M5314" s="46">
        <v>0.41533484196468318</v>
      </c>
      <c r="N5314" s="46">
        <v>0</v>
      </c>
    </row>
    <row r="5315" spans="13:14" x14ac:dyDescent="0.35">
      <c r="M5315" s="46">
        <v>0.49788358806944655</v>
      </c>
      <c r="N5315" s="46">
        <v>0</v>
      </c>
    </row>
    <row r="5316" spans="13:14" x14ac:dyDescent="0.35">
      <c r="M5316" s="46">
        <v>0.57496267992283723</v>
      </c>
      <c r="N5316" s="46">
        <v>0</v>
      </c>
    </row>
    <row r="5317" spans="13:14" x14ac:dyDescent="0.35">
      <c r="M5317" s="46">
        <v>0.62418815848048681</v>
      </c>
      <c r="N5317" s="46">
        <v>0</v>
      </c>
    </row>
    <row r="5318" spans="13:14" x14ac:dyDescent="0.35">
      <c r="M5318" s="46">
        <v>0.69209066627096005</v>
      </c>
      <c r="N5318" s="46">
        <v>0</v>
      </c>
    </row>
    <row r="5319" spans="13:14" x14ac:dyDescent="0.35">
      <c r="M5319" s="46">
        <v>0.73764898352871344</v>
      </c>
      <c r="N5319" s="46">
        <v>0</v>
      </c>
    </row>
    <row r="5320" spans="13:14" x14ac:dyDescent="0.35">
      <c r="M5320" s="46">
        <v>0.76057122718504222</v>
      </c>
      <c r="N5320" s="46">
        <v>0</v>
      </c>
    </row>
    <row r="5321" spans="13:14" x14ac:dyDescent="0.35">
      <c r="M5321" s="46">
        <v>0.74661700549042886</v>
      </c>
      <c r="N5321" s="46">
        <v>0</v>
      </c>
    </row>
    <row r="5322" spans="13:14" x14ac:dyDescent="0.35">
      <c r="M5322" s="46">
        <v>0.69594865707078191</v>
      </c>
      <c r="N5322" s="46">
        <v>0</v>
      </c>
    </row>
    <row r="5323" spans="13:14" x14ac:dyDescent="0.35">
      <c r="M5323" s="46">
        <v>0.60240198842558246</v>
      </c>
      <c r="N5323" s="46">
        <v>0</v>
      </c>
    </row>
    <row r="5324" spans="13:14" x14ac:dyDescent="0.35">
      <c r="M5324" s="46">
        <v>0.47763651877133106</v>
      </c>
      <c r="N5324" s="46">
        <v>0</v>
      </c>
    </row>
    <row r="5325" spans="13:14" x14ac:dyDescent="0.35">
      <c r="M5325" s="46">
        <v>0.36653101350348716</v>
      </c>
      <c r="N5325" s="46">
        <v>0</v>
      </c>
    </row>
    <row r="5326" spans="13:14" x14ac:dyDescent="0.35">
      <c r="M5326" s="46">
        <v>0.32218704555572042</v>
      </c>
      <c r="N5326" s="46">
        <v>0</v>
      </c>
    </row>
    <row r="5327" spans="13:14" x14ac:dyDescent="0.35">
      <c r="M5327" s="46">
        <v>0.30562657664341886</v>
      </c>
      <c r="N5327" s="46">
        <v>0</v>
      </c>
    </row>
    <row r="5328" spans="13:14" x14ac:dyDescent="0.35">
      <c r="M5328" s="46">
        <v>0.26603613295741207</v>
      </c>
      <c r="N5328" s="46">
        <v>0</v>
      </c>
    </row>
    <row r="5329" spans="13:14" x14ac:dyDescent="0.35">
      <c r="M5329" s="46">
        <v>0.26518281644160857</v>
      </c>
      <c r="N5329" s="46">
        <v>0</v>
      </c>
    </row>
    <row r="5330" spans="13:14" x14ac:dyDescent="0.35">
      <c r="M5330" s="46">
        <v>0.26342031458673393</v>
      </c>
      <c r="N5330" s="46">
        <v>0</v>
      </c>
    </row>
    <row r="5331" spans="13:14" x14ac:dyDescent="0.35">
      <c r="M5331" s="46">
        <v>0.25651305831725774</v>
      </c>
      <c r="N5331" s="46">
        <v>0</v>
      </c>
    </row>
    <row r="5332" spans="13:14" x14ac:dyDescent="0.35">
      <c r="M5332" s="46">
        <v>0.24590228520552013</v>
      </c>
      <c r="N5332" s="46">
        <v>0</v>
      </c>
    </row>
    <row r="5333" spans="13:14" x14ac:dyDescent="0.35">
      <c r="M5333" s="46">
        <v>0.23514037691052087</v>
      </c>
      <c r="N5333" s="46">
        <v>0</v>
      </c>
    </row>
    <row r="5334" spans="13:14" x14ac:dyDescent="0.35">
      <c r="M5334" s="46">
        <v>0.22480538655586885</v>
      </c>
      <c r="N5334" s="46">
        <v>0</v>
      </c>
    </row>
    <row r="5335" spans="13:14" x14ac:dyDescent="0.35">
      <c r="M5335" s="46">
        <v>0.21641920166196765</v>
      </c>
      <c r="N5335" s="46">
        <v>0</v>
      </c>
    </row>
    <row r="5336" spans="13:14" x14ac:dyDescent="0.35">
      <c r="M5336" s="46">
        <v>0.21146149280308651</v>
      </c>
      <c r="N5336" s="46">
        <v>0</v>
      </c>
    </row>
    <row r="5337" spans="13:14" x14ac:dyDescent="0.35">
      <c r="M5337" s="46">
        <v>0.24456699807093041</v>
      </c>
      <c r="N5337" s="46">
        <v>0</v>
      </c>
    </row>
    <row r="5338" spans="13:14" x14ac:dyDescent="0.35">
      <c r="M5338" s="46">
        <v>0.3375107582727408</v>
      </c>
      <c r="N5338" s="46">
        <v>0</v>
      </c>
    </row>
    <row r="5339" spans="13:14" x14ac:dyDescent="0.35">
      <c r="M5339" s="46">
        <v>0.467965647722214</v>
      </c>
      <c r="N5339" s="46">
        <v>0</v>
      </c>
    </row>
    <row r="5340" spans="13:14" x14ac:dyDescent="0.35">
      <c r="M5340" s="46">
        <v>0.59502492951476482</v>
      </c>
      <c r="N5340" s="46">
        <v>0</v>
      </c>
    </row>
    <row r="5341" spans="13:14" x14ac:dyDescent="0.35">
      <c r="M5341" s="46">
        <v>0.68983773556907557</v>
      </c>
      <c r="N5341" s="46">
        <v>0</v>
      </c>
    </row>
    <row r="5342" spans="13:14" x14ac:dyDescent="0.35">
      <c r="M5342" s="46">
        <v>0.76412494435376166</v>
      </c>
      <c r="N5342" s="46">
        <v>0</v>
      </c>
    </row>
    <row r="5343" spans="13:14" x14ac:dyDescent="0.35">
      <c r="M5343" s="46">
        <v>0.81312798634812289</v>
      </c>
      <c r="N5343" s="46">
        <v>0</v>
      </c>
    </row>
    <row r="5344" spans="13:14" x14ac:dyDescent="0.35">
      <c r="M5344" s="46">
        <v>0.84478379581540286</v>
      </c>
      <c r="N5344" s="46">
        <v>0</v>
      </c>
    </row>
    <row r="5345" spans="13:14" x14ac:dyDescent="0.35">
      <c r="M5345" s="46">
        <v>0.87195014097047041</v>
      </c>
      <c r="N5345" s="46">
        <v>0</v>
      </c>
    </row>
    <row r="5346" spans="13:14" x14ac:dyDescent="0.35">
      <c r="M5346" s="46">
        <v>0.86680479299599345</v>
      </c>
      <c r="N5346" s="46">
        <v>0</v>
      </c>
    </row>
    <row r="5347" spans="13:14" x14ac:dyDescent="0.35">
      <c r="M5347" s="46">
        <v>0.81376739872384629</v>
      </c>
      <c r="N5347" s="46">
        <v>0</v>
      </c>
    </row>
    <row r="5348" spans="13:14" x14ac:dyDescent="0.35">
      <c r="M5348" s="46">
        <v>0.70707486273927878</v>
      </c>
      <c r="N5348" s="46">
        <v>0</v>
      </c>
    </row>
    <row r="5349" spans="13:14" x14ac:dyDescent="0.35">
      <c r="M5349" s="46">
        <v>0.60923853687490714</v>
      </c>
      <c r="N5349" s="46">
        <v>0</v>
      </c>
    </row>
    <row r="5350" spans="13:14" x14ac:dyDescent="0.35">
      <c r="M5350" s="46">
        <v>0.57255690755304933</v>
      </c>
      <c r="N5350" s="46">
        <v>0</v>
      </c>
    </row>
    <row r="5351" spans="13:14" x14ac:dyDescent="0.35">
      <c r="M5351" s="46">
        <v>0.56575983083543546</v>
      </c>
      <c r="N5351" s="46">
        <v>0</v>
      </c>
    </row>
    <row r="5352" spans="13:14" x14ac:dyDescent="0.35">
      <c r="M5352" s="46">
        <v>0.52009504377504079</v>
      </c>
      <c r="N5352" s="46">
        <v>0</v>
      </c>
    </row>
    <row r="5353" spans="13:14" x14ac:dyDescent="0.35">
      <c r="M5353" s="46">
        <v>0.51646742840184001</v>
      </c>
      <c r="N5353" s="46">
        <v>0</v>
      </c>
    </row>
    <row r="5354" spans="13:14" x14ac:dyDescent="0.35">
      <c r="M5354" s="46">
        <v>0.49970025226294701</v>
      </c>
      <c r="N5354" s="46">
        <v>0</v>
      </c>
    </row>
    <row r="5355" spans="13:14" x14ac:dyDescent="0.35">
      <c r="M5355" s="46">
        <v>0.47453279418311323</v>
      </c>
      <c r="N5355" s="46">
        <v>0</v>
      </c>
    </row>
    <row r="5356" spans="13:14" x14ac:dyDescent="0.35">
      <c r="M5356" s="46">
        <v>0.45498256417866151</v>
      </c>
      <c r="N5356" s="46">
        <v>0</v>
      </c>
    </row>
    <row r="5357" spans="13:14" x14ac:dyDescent="0.35">
      <c r="M5357" s="46">
        <v>0.42844561507642087</v>
      </c>
      <c r="N5357" s="46">
        <v>0</v>
      </c>
    </row>
    <row r="5358" spans="13:14" x14ac:dyDescent="0.35">
      <c r="M5358" s="46">
        <v>0.39259645347974476</v>
      </c>
      <c r="N5358" s="46">
        <v>0</v>
      </c>
    </row>
    <row r="5359" spans="13:14" x14ac:dyDescent="0.35">
      <c r="M5359" s="46">
        <v>0.35586259088885591</v>
      </c>
      <c r="N5359" s="46">
        <v>0</v>
      </c>
    </row>
    <row r="5360" spans="13:14" x14ac:dyDescent="0.35">
      <c r="M5360" s="46">
        <v>0.32582586437156846</v>
      </c>
      <c r="N5360" s="46">
        <v>0</v>
      </c>
    </row>
    <row r="5361" spans="13:14" x14ac:dyDescent="0.35">
      <c r="M5361" s="46">
        <v>0.33345785724885002</v>
      </c>
      <c r="N5361" s="46">
        <v>0</v>
      </c>
    </row>
    <row r="5362" spans="13:14" x14ac:dyDescent="0.35">
      <c r="M5362" s="46">
        <v>0.43005386555868819</v>
      </c>
      <c r="N5362" s="46">
        <v>0</v>
      </c>
    </row>
    <row r="5363" spans="13:14" x14ac:dyDescent="0.35">
      <c r="M5363" s="46">
        <v>0.56291445318296485</v>
      </c>
      <c r="N5363" s="46">
        <v>0</v>
      </c>
    </row>
    <row r="5364" spans="13:14" x14ac:dyDescent="0.35">
      <c r="M5364" s="46">
        <v>0.67512687342335664</v>
      </c>
      <c r="N5364" s="46">
        <v>0</v>
      </c>
    </row>
    <row r="5365" spans="13:14" x14ac:dyDescent="0.35">
      <c r="M5365" s="46">
        <v>0.75311700549042893</v>
      </c>
      <c r="N5365" s="46">
        <v>0</v>
      </c>
    </row>
    <row r="5366" spans="13:14" x14ac:dyDescent="0.35">
      <c r="M5366" s="46">
        <v>0.81811010535687778</v>
      </c>
      <c r="N5366" s="46">
        <v>0</v>
      </c>
    </row>
    <row r="5367" spans="13:14" x14ac:dyDescent="0.35">
      <c r="M5367" s="46">
        <v>0.85723601424543694</v>
      </c>
      <c r="N5367" s="46">
        <v>0</v>
      </c>
    </row>
    <row r="5368" spans="13:14" x14ac:dyDescent="0.35">
      <c r="M5368" s="46">
        <v>0.87686570707820155</v>
      </c>
      <c r="N5368" s="46">
        <v>0</v>
      </c>
    </row>
    <row r="5369" spans="13:14" x14ac:dyDescent="0.35">
      <c r="M5369" s="46">
        <v>0.87369535539397536</v>
      </c>
      <c r="N5369" s="46">
        <v>0</v>
      </c>
    </row>
    <row r="5370" spans="13:14" x14ac:dyDescent="0.35">
      <c r="M5370" s="46">
        <v>0.83183016768066476</v>
      </c>
      <c r="N5370" s="46">
        <v>0</v>
      </c>
    </row>
    <row r="5371" spans="13:14" x14ac:dyDescent="0.35">
      <c r="M5371" s="46">
        <v>0.73403516842261451</v>
      </c>
      <c r="N5371" s="46">
        <v>0</v>
      </c>
    </row>
    <row r="5372" spans="13:14" x14ac:dyDescent="0.35">
      <c r="M5372" s="46">
        <v>0.60876814067369056</v>
      </c>
      <c r="N5372" s="46">
        <v>0</v>
      </c>
    </row>
    <row r="5373" spans="13:14" x14ac:dyDescent="0.35">
      <c r="M5373" s="46">
        <v>0.50198820299747737</v>
      </c>
      <c r="N5373" s="46">
        <v>0</v>
      </c>
    </row>
    <row r="5374" spans="13:14" x14ac:dyDescent="0.35">
      <c r="M5374" s="46">
        <v>0.4679490280457041</v>
      </c>
      <c r="N5374" s="46">
        <v>0</v>
      </c>
    </row>
    <row r="5375" spans="13:14" x14ac:dyDescent="0.35">
      <c r="M5375" s="46">
        <v>0.47334738091704998</v>
      </c>
      <c r="N5375" s="46">
        <v>0</v>
      </c>
    </row>
    <row r="5376" spans="13:14" x14ac:dyDescent="0.35">
      <c r="M5376" s="46">
        <v>0.4359836029084434</v>
      </c>
      <c r="N5376" s="46">
        <v>0</v>
      </c>
    </row>
    <row r="5377" spans="13:14" x14ac:dyDescent="0.35">
      <c r="M5377" s="46">
        <v>0.45885813918979074</v>
      </c>
      <c r="N5377" s="46">
        <v>0</v>
      </c>
    </row>
    <row r="5378" spans="13:14" x14ac:dyDescent="0.35">
      <c r="M5378" s="46">
        <v>0.47618526487609436</v>
      </c>
      <c r="N5378" s="46">
        <v>0</v>
      </c>
    </row>
    <row r="5379" spans="13:14" x14ac:dyDescent="0.35">
      <c r="M5379" s="46">
        <v>0.4789224662412821</v>
      </c>
      <c r="N5379" s="46">
        <v>0</v>
      </c>
    </row>
    <row r="5380" spans="13:14" x14ac:dyDescent="0.35">
      <c r="M5380" s="46">
        <v>0.47926428253450071</v>
      </c>
      <c r="N5380" s="46">
        <v>0</v>
      </c>
    </row>
    <row r="5381" spans="13:14" x14ac:dyDescent="0.35">
      <c r="M5381" s="46">
        <v>0.46073549488054605</v>
      </c>
      <c r="N5381" s="46">
        <v>0</v>
      </c>
    </row>
    <row r="5382" spans="13:14" x14ac:dyDescent="0.35">
      <c r="M5382" s="46">
        <v>0.44282586437156851</v>
      </c>
      <c r="N5382" s="46">
        <v>0</v>
      </c>
    </row>
    <row r="5383" spans="13:14" x14ac:dyDescent="0.35">
      <c r="M5383" s="46">
        <v>0.4257262205074937</v>
      </c>
      <c r="N5383" s="46">
        <v>0</v>
      </c>
    </row>
    <row r="5384" spans="13:14" x14ac:dyDescent="0.35">
      <c r="M5384" s="46">
        <v>0.40859593411485379</v>
      </c>
      <c r="N5384" s="46">
        <v>0</v>
      </c>
    </row>
    <row r="5385" spans="13:14" x14ac:dyDescent="0.35">
      <c r="M5385" s="46">
        <v>0.43723660780531237</v>
      </c>
      <c r="N5385" s="46">
        <v>0</v>
      </c>
    </row>
    <row r="5386" spans="13:14" x14ac:dyDescent="0.35">
      <c r="M5386" s="46">
        <v>0.54321687193945689</v>
      </c>
      <c r="N5386" s="46">
        <v>0</v>
      </c>
    </row>
    <row r="5387" spans="13:14" x14ac:dyDescent="0.35">
      <c r="M5387" s="46">
        <v>0.68736043923430779</v>
      </c>
      <c r="N5387" s="46">
        <v>0</v>
      </c>
    </row>
    <row r="5388" spans="13:14" x14ac:dyDescent="0.35">
      <c r="M5388" s="46">
        <v>0.79126754711381508</v>
      </c>
      <c r="N5388" s="46">
        <v>0</v>
      </c>
    </row>
    <row r="5389" spans="13:14" x14ac:dyDescent="0.35">
      <c r="M5389" s="46">
        <v>0.85584048078349906</v>
      </c>
      <c r="N5389" s="46">
        <v>0</v>
      </c>
    </row>
    <row r="5390" spans="13:14" x14ac:dyDescent="0.35">
      <c r="M5390" s="46">
        <v>0.92817777118266798</v>
      </c>
      <c r="N5390" s="46">
        <v>0</v>
      </c>
    </row>
    <row r="5391" spans="13:14" x14ac:dyDescent="0.35">
      <c r="M5391" s="46">
        <v>0.97358584359697287</v>
      </c>
      <c r="N5391" s="46">
        <v>0</v>
      </c>
    </row>
    <row r="5392" spans="13:14" x14ac:dyDescent="0.35">
      <c r="M5392" s="46">
        <v>1</v>
      </c>
      <c r="N5392" s="46">
        <v>6.9911054646215251E-4</v>
      </c>
    </row>
    <row r="5393" spans="13:14" x14ac:dyDescent="0.35">
      <c r="M5393" s="46">
        <v>1</v>
      </c>
      <c r="N5393" s="46">
        <v>9.7533596802698349E-3</v>
      </c>
    </row>
    <row r="5394" spans="13:14" x14ac:dyDescent="0.35">
      <c r="M5394" s="46">
        <v>0.96921902359400502</v>
      </c>
      <c r="N5394" s="46">
        <v>0</v>
      </c>
    </row>
    <row r="5395" spans="13:14" x14ac:dyDescent="0.35">
      <c r="M5395" s="46">
        <v>0.88884589701736161</v>
      </c>
      <c r="N5395" s="46">
        <v>0</v>
      </c>
    </row>
    <row r="5396" spans="13:14" x14ac:dyDescent="0.35">
      <c r="M5396" s="46">
        <v>0.75532000296779933</v>
      </c>
      <c r="N5396" s="46">
        <v>0</v>
      </c>
    </row>
    <row r="5397" spans="13:14" x14ac:dyDescent="0.35">
      <c r="M5397" s="46">
        <v>0.64324432408369203</v>
      </c>
      <c r="N5397" s="46">
        <v>0</v>
      </c>
    </row>
    <row r="5398" spans="13:14" x14ac:dyDescent="0.35">
      <c r="M5398" s="46">
        <v>0.60099146757679178</v>
      </c>
      <c r="N5398" s="46">
        <v>0</v>
      </c>
    </row>
    <row r="5399" spans="13:14" x14ac:dyDescent="0.35">
      <c r="M5399" s="46">
        <v>0.60300905178809916</v>
      </c>
      <c r="N5399" s="46">
        <v>0</v>
      </c>
    </row>
    <row r="5400" spans="13:14" x14ac:dyDescent="0.35">
      <c r="M5400" s="46">
        <v>0.59162316367413559</v>
      </c>
      <c r="N5400" s="46">
        <v>0</v>
      </c>
    </row>
    <row r="5401" spans="13:14" x14ac:dyDescent="0.35">
      <c r="M5401" s="46">
        <v>0.60453657812731865</v>
      </c>
      <c r="N5401" s="46">
        <v>0</v>
      </c>
    </row>
    <row r="5402" spans="13:14" x14ac:dyDescent="0.35">
      <c r="M5402" s="46">
        <v>0.61355846564772221</v>
      </c>
      <c r="N5402" s="46">
        <v>0</v>
      </c>
    </row>
    <row r="5403" spans="13:14" x14ac:dyDescent="0.35">
      <c r="M5403" s="46">
        <v>0.59982541920166199</v>
      </c>
      <c r="N5403" s="46">
        <v>0</v>
      </c>
    </row>
    <row r="5404" spans="13:14" x14ac:dyDescent="0.35">
      <c r="M5404" s="46">
        <v>0.57999013206707228</v>
      </c>
      <c r="N5404" s="46">
        <v>0</v>
      </c>
    </row>
    <row r="5405" spans="13:14" x14ac:dyDescent="0.35">
      <c r="M5405" s="46">
        <v>0.55650007419498437</v>
      </c>
      <c r="N5405" s="46">
        <v>0</v>
      </c>
    </row>
    <row r="5406" spans="13:14" x14ac:dyDescent="0.35">
      <c r="M5406" s="46">
        <v>0.54187023297225112</v>
      </c>
      <c r="N5406" s="46">
        <v>0</v>
      </c>
    </row>
    <row r="5407" spans="13:14" x14ac:dyDescent="0.35">
      <c r="M5407" s="46">
        <v>0.54114156403027158</v>
      </c>
      <c r="N5407" s="46">
        <v>0</v>
      </c>
    </row>
    <row r="5408" spans="13:14" x14ac:dyDescent="0.35">
      <c r="M5408" s="46">
        <v>0.54610201810357617</v>
      </c>
      <c r="N5408" s="46">
        <v>0</v>
      </c>
    </row>
    <row r="5409" spans="13:14" x14ac:dyDescent="0.35">
      <c r="M5409" s="46">
        <v>0.59077941831132208</v>
      </c>
      <c r="N5409" s="46">
        <v>0</v>
      </c>
    </row>
    <row r="5410" spans="13:14" x14ac:dyDescent="0.35">
      <c r="M5410" s="46">
        <v>0.69844034723252701</v>
      </c>
      <c r="N5410" s="46">
        <v>0</v>
      </c>
    </row>
    <row r="5411" spans="13:14" x14ac:dyDescent="0.35">
      <c r="M5411" s="46">
        <v>0.83473779492506306</v>
      </c>
      <c r="N5411" s="46">
        <v>0</v>
      </c>
    </row>
    <row r="5412" spans="13:14" x14ac:dyDescent="0.35">
      <c r="M5412" s="46">
        <v>0.94645073453034578</v>
      </c>
      <c r="N5412" s="46">
        <v>0</v>
      </c>
    </row>
    <row r="5413" spans="13:14" x14ac:dyDescent="0.35">
      <c r="M5413" s="46">
        <v>1</v>
      </c>
      <c r="N5413" s="46">
        <v>1.4053407071544427E-2</v>
      </c>
    </row>
    <row r="5414" spans="13:14" x14ac:dyDescent="0.35">
      <c r="M5414" s="46">
        <v>1</v>
      </c>
      <c r="N5414" s="46">
        <v>0.12512748589777917</v>
      </c>
    </row>
    <row r="5415" spans="13:14" x14ac:dyDescent="0.35">
      <c r="M5415" s="46">
        <v>1</v>
      </c>
      <c r="N5415" s="46">
        <v>0.20392469974955343</v>
      </c>
    </row>
    <row r="5416" spans="13:14" x14ac:dyDescent="0.35">
      <c r="M5416" s="46">
        <v>1</v>
      </c>
      <c r="N5416" s="46">
        <v>0.24892192791381129</v>
      </c>
    </row>
    <row r="5417" spans="13:14" x14ac:dyDescent="0.35">
      <c r="M5417" s="46">
        <v>1</v>
      </c>
      <c r="N5417" s="46">
        <v>0.2411739259433732</v>
      </c>
    </row>
    <row r="5418" spans="13:14" x14ac:dyDescent="0.35">
      <c r="M5418" s="46">
        <v>1</v>
      </c>
      <c r="N5418" s="46">
        <v>0.1598331760337573</v>
      </c>
    </row>
    <row r="5419" spans="13:14" x14ac:dyDescent="0.35">
      <c r="M5419" s="46">
        <v>0.99498241578869262</v>
      </c>
      <c r="N5419" s="46">
        <v>0</v>
      </c>
    </row>
    <row r="5420" spans="13:14" x14ac:dyDescent="0.35">
      <c r="M5420" s="46">
        <v>0.83690903694910224</v>
      </c>
      <c r="N5420" s="46">
        <v>0</v>
      </c>
    </row>
    <row r="5421" spans="13:14" x14ac:dyDescent="0.35">
      <c r="M5421" s="46">
        <v>0.70106417866152237</v>
      </c>
      <c r="N5421" s="46">
        <v>0</v>
      </c>
    </row>
    <row r="5422" spans="13:14" x14ac:dyDescent="0.35">
      <c r="M5422" s="46">
        <v>0.65034203887817177</v>
      </c>
      <c r="N5422" s="46">
        <v>0</v>
      </c>
    </row>
    <row r="5423" spans="13:14" x14ac:dyDescent="0.35">
      <c r="M5423" s="46">
        <v>0.64630828016026109</v>
      </c>
      <c r="N5423" s="46">
        <v>0</v>
      </c>
    </row>
    <row r="5424" spans="13:14" x14ac:dyDescent="0.35">
      <c r="M5424" s="46">
        <v>0.6372235494880546</v>
      </c>
      <c r="N5424" s="46">
        <v>0</v>
      </c>
    </row>
    <row r="5425" spans="13:14" x14ac:dyDescent="0.35">
      <c r="M5425" s="46">
        <v>0.63162316367413562</v>
      </c>
      <c r="N5425" s="46">
        <v>0</v>
      </c>
    </row>
    <row r="5426" spans="13:14" x14ac:dyDescent="0.35">
      <c r="M5426" s="46">
        <v>0.62781184151951319</v>
      </c>
      <c r="N5426" s="46">
        <v>0</v>
      </c>
    </row>
    <row r="5427" spans="13:14" x14ac:dyDescent="0.35">
      <c r="M5427" s="46">
        <v>0.62000437750408066</v>
      </c>
      <c r="N5427" s="46">
        <v>0</v>
      </c>
    </row>
    <row r="5428" spans="13:14" x14ac:dyDescent="0.35">
      <c r="M5428" s="46">
        <v>0.60238299450957111</v>
      </c>
      <c r="N5428" s="46">
        <v>0</v>
      </c>
    </row>
    <row r="5429" spans="13:14" x14ac:dyDescent="0.35">
      <c r="M5429" s="46">
        <v>0.58513065736756198</v>
      </c>
      <c r="N5429" s="46">
        <v>0</v>
      </c>
    </row>
    <row r="5430" spans="13:14" x14ac:dyDescent="0.35">
      <c r="M5430" s="46">
        <v>0.56451075827274078</v>
      </c>
      <c r="N5430" s="46">
        <v>0</v>
      </c>
    </row>
    <row r="5431" spans="13:14" x14ac:dyDescent="0.35">
      <c r="M5431" s="46">
        <v>0.5432943315031904</v>
      </c>
      <c r="N5431" s="46">
        <v>0</v>
      </c>
    </row>
    <row r="5432" spans="13:14" x14ac:dyDescent="0.35">
      <c r="M5432" s="46">
        <v>0.53340332393530199</v>
      </c>
      <c r="N5432" s="46">
        <v>0</v>
      </c>
    </row>
    <row r="5433" spans="13:14" x14ac:dyDescent="0.35">
      <c r="M5433" s="46">
        <v>0.56196423801751005</v>
      </c>
      <c r="N5433" s="46">
        <v>0</v>
      </c>
    </row>
    <row r="5434" spans="13:14" x14ac:dyDescent="0.35">
      <c r="M5434" s="46">
        <v>0.64463622199139337</v>
      </c>
      <c r="N5434" s="46">
        <v>0</v>
      </c>
    </row>
    <row r="5435" spans="13:14" x14ac:dyDescent="0.35">
      <c r="M5435" s="46">
        <v>0.7610698916753228</v>
      </c>
      <c r="N5435" s="46">
        <v>0</v>
      </c>
    </row>
    <row r="5436" spans="13:14" x14ac:dyDescent="0.35">
      <c r="M5436" s="46">
        <v>0.84749258050155807</v>
      </c>
      <c r="N5436" s="46">
        <v>0</v>
      </c>
    </row>
    <row r="5437" spans="13:14" x14ac:dyDescent="0.35">
      <c r="M5437" s="46">
        <v>0.88713726072117516</v>
      </c>
      <c r="N5437" s="46">
        <v>0</v>
      </c>
    </row>
    <row r="5438" spans="13:14" x14ac:dyDescent="0.35">
      <c r="M5438" s="46">
        <v>0.93736689419795227</v>
      </c>
      <c r="N5438" s="46">
        <v>0</v>
      </c>
    </row>
    <row r="5439" spans="13:14" x14ac:dyDescent="0.35">
      <c r="M5439" s="46">
        <v>0.96241675322748177</v>
      </c>
      <c r="N5439" s="46">
        <v>0</v>
      </c>
    </row>
    <row r="5440" spans="13:14" x14ac:dyDescent="0.35">
      <c r="M5440" s="46">
        <v>0.96329010238907853</v>
      </c>
      <c r="N5440" s="46">
        <v>0</v>
      </c>
    </row>
    <row r="5441" spans="13:14" x14ac:dyDescent="0.35">
      <c r="M5441" s="46">
        <v>0.94024744027303764</v>
      </c>
      <c r="N5441" s="46">
        <v>0</v>
      </c>
    </row>
    <row r="5442" spans="13:14" x14ac:dyDescent="0.35">
      <c r="M5442" s="46">
        <v>0.89402619082949986</v>
      </c>
      <c r="N5442" s="46">
        <v>0</v>
      </c>
    </row>
    <row r="5443" spans="13:14" x14ac:dyDescent="0.35">
      <c r="M5443" s="46">
        <v>0.82289916901617455</v>
      </c>
      <c r="N5443" s="46">
        <v>0</v>
      </c>
    </row>
    <row r="5444" spans="13:14" x14ac:dyDescent="0.35">
      <c r="M5444" s="46">
        <v>0.7095796854132661</v>
      </c>
      <c r="N5444" s="46">
        <v>0</v>
      </c>
    </row>
    <row r="5445" spans="13:14" x14ac:dyDescent="0.35">
      <c r="M5445" s="46">
        <v>0.62195028936043928</v>
      </c>
      <c r="N5445" s="46">
        <v>0</v>
      </c>
    </row>
    <row r="5446" spans="13:14" x14ac:dyDescent="0.35">
      <c r="M5446" s="46">
        <v>0.59144257308205961</v>
      </c>
      <c r="N5446" s="46">
        <v>0</v>
      </c>
    </row>
    <row r="5447" spans="13:14" x14ac:dyDescent="0.35">
      <c r="M5447" s="46">
        <v>0.59234982935153579</v>
      </c>
      <c r="N5447" s="46">
        <v>0</v>
      </c>
    </row>
    <row r="5448" spans="13:14" x14ac:dyDescent="0.35">
      <c r="M5448" s="46">
        <v>0.57298300934856805</v>
      </c>
      <c r="N5448" s="46">
        <v>0</v>
      </c>
    </row>
    <row r="5449" spans="13:14" x14ac:dyDescent="0.35">
      <c r="M5449" s="46">
        <v>0.56819965870307165</v>
      </c>
      <c r="N5449" s="46">
        <v>0</v>
      </c>
    </row>
    <row r="5450" spans="13:14" x14ac:dyDescent="0.35">
      <c r="M5450" s="46">
        <v>0.56390695948953851</v>
      </c>
      <c r="N5450" s="46">
        <v>0</v>
      </c>
    </row>
    <row r="5451" spans="13:14" x14ac:dyDescent="0.35">
      <c r="M5451" s="46">
        <v>0.54378824751446797</v>
      </c>
      <c r="N5451" s="46">
        <v>0</v>
      </c>
    </row>
    <row r="5452" spans="13:14" x14ac:dyDescent="0.35">
      <c r="M5452" s="46">
        <v>0.52792610179551858</v>
      </c>
      <c r="N5452" s="46">
        <v>0</v>
      </c>
    </row>
    <row r="5453" spans="13:14" x14ac:dyDescent="0.35">
      <c r="M5453" s="46">
        <v>0.51532252559726965</v>
      </c>
      <c r="N5453" s="46">
        <v>0</v>
      </c>
    </row>
    <row r="5454" spans="13:14" x14ac:dyDescent="0.35">
      <c r="M5454" s="46">
        <v>0.50545214423504969</v>
      </c>
      <c r="N5454" s="46">
        <v>0</v>
      </c>
    </row>
    <row r="5455" spans="13:14" x14ac:dyDescent="0.35">
      <c r="M5455" s="46">
        <v>0.50216842261463124</v>
      </c>
      <c r="N5455" s="46">
        <v>0</v>
      </c>
    </row>
    <row r="5456" spans="13:14" x14ac:dyDescent="0.35">
      <c r="M5456" s="46">
        <v>0.50910238907849825</v>
      </c>
      <c r="N5456" s="46">
        <v>0</v>
      </c>
    </row>
    <row r="5457" spans="13:14" x14ac:dyDescent="0.35">
      <c r="M5457" s="46">
        <v>0.54497603502003267</v>
      </c>
      <c r="N5457" s="46">
        <v>0</v>
      </c>
    </row>
    <row r="5458" spans="13:14" x14ac:dyDescent="0.35">
      <c r="M5458" s="46">
        <v>0.65186051342929219</v>
      </c>
      <c r="N5458" s="46">
        <v>0</v>
      </c>
    </row>
    <row r="5459" spans="13:14" x14ac:dyDescent="0.35">
      <c r="M5459" s="46">
        <v>0.79215840629173462</v>
      </c>
      <c r="N5459" s="46">
        <v>0</v>
      </c>
    </row>
    <row r="5460" spans="13:14" x14ac:dyDescent="0.35">
      <c r="M5460" s="46">
        <v>0.90224239501409709</v>
      </c>
      <c r="N5460" s="46">
        <v>0</v>
      </c>
    </row>
    <row r="5461" spans="13:14" x14ac:dyDescent="0.35">
      <c r="M5461" s="46">
        <v>0.97357664341890493</v>
      </c>
      <c r="N5461" s="46">
        <v>0</v>
      </c>
    </row>
    <row r="5462" spans="13:14" x14ac:dyDescent="0.35">
      <c r="M5462" s="46">
        <v>1</v>
      </c>
      <c r="N5462" s="46">
        <v>7.5872918258242952E-2</v>
      </c>
    </row>
    <row r="5463" spans="13:14" x14ac:dyDescent="0.35">
      <c r="M5463" s="46">
        <v>1</v>
      </c>
      <c r="N5463" s="46">
        <v>0.197791102481266</v>
      </c>
    </row>
    <row r="5464" spans="13:14" x14ac:dyDescent="0.35">
      <c r="M5464" s="46">
        <v>1</v>
      </c>
      <c r="N5464" s="46">
        <v>0.27456787507912772</v>
      </c>
    </row>
    <row r="5465" spans="13:14" x14ac:dyDescent="0.35">
      <c r="M5465" s="46">
        <v>1</v>
      </c>
      <c r="N5465" s="46">
        <v>0.27407727675322313</v>
      </c>
    </row>
    <row r="5466" spans="13:14" x14ac:dyDescent="0.35">
      <c r="M5466" s="46">
        <v>1</v>
      </c>
      <c r="N5466" s="46">
        <v>0.18409220740898469</v>
      </c>
    </row>
    <row r="5467" spans="13:14" x14ac:dyDescent="0.35">
      <c r="M5467" s="46">
        <v>0.99634040658851453</v>
      </c>
      <c r="N5467" s="46">
        <v>0</v>
      </c>
    </row>
    <row r="5468" spans="13:14" x14ac:dyDescent="0.35">
      <c r="M5468" s="46">
        <v>0.84239924321115889</v>
      </c>
      <c r="N5468" s="46">
        <v>0</v>
      </c>
    </row>
    <row r="5469" spans="13:14" x14ac:dyDescent="0.35">
      <c r="M5469" s="46">
        <v>0.71337156848197059</v>
      </c>
      <c r="N5469" s="46">
        <v>0</v>
      </c>
    </row>
    <row r="5470" spans="13:14" x14ac:dyDescent="0.35">
      <c r="M5470" s="46">
        <v>0.66135183261611519</v>
      </c>
      <c r="N5470" s="46">
        <v>0</v>
      </c>
    </row>
    <row r="5471" spans="13:14" x14ac:dyDescent="0.35">
      <c r="M5471" s="46">
        <v>0.65603368452292632</v>
      </c>
      <c r="N5471" s="46">
        <v>0</v>
      </c>
    </row>
    <row r="5472" spans="13:14" x14ac:dyDescent="0.35">
      <c r="M5472" s="46">
        <v>0.65304273631102527</v>
      </c>
      <c r="N5472" s="46">
        <v>0</v>
      </c>
    </row>
    <row r="5473" spans="13:14" x14ac:dyDescent="0.35">
      <c r="M5473" s="46">
        <v>0.64702181332541919</v>
      </c>
      <c r="N5473" s="46">
        <v>0</v>
      </c>
    </row>
    <row r="5474" spans="13:14" x14ac:dyDescent="0.35">
      <c r="M5474" s="46">
        <v>0.6449758124350794</v>
      </c>
      <c r="N5474" s="46">
        <v>0</v>
      </c>
    </row>
    <row r="5475" spans="13:14" x14ac:dyDescent="0.35">
      <c r="M5475" s="46">
        <v>0.6414163822525597</v>
      </c>
      <c r="N5475" s="46">
        <v>0</v>
      </c>
    </row>
    <row r="5476" spans="13:14" x14ac:dyDescent="0.35">
      <c r="M5476" s="46">
        <v>0.63789397536726511</v>
      </c>
      <c r="N5476" s="46">
        <v>0</v>
      </c>
    </row>
    <row r="5477" spans="13:14" x14ac:dyDescent="0.35">
      <c r="M5477" s="46">
        <v>0.6310336845229263</v>
      </c>
      <c r="N5477" s="46">
        <v>0</v>
      </c>
    </row>
    <row r="5478" spans="13:14" x14ac:dyDescent="0.35">
      <c r="M5478" s="46">
        <v>0.62215759014690608</v>
      </c>
      <c r="N5478" s="46">
        <v>0</v>
      </c>
    </row>
    <row r="5479" spans="13:14" x14ac:dyDescent="0.35">
      <c r="M5479" s="46">
        <v>0.61364141564030272</v>
      </c>
      <c r="N5479" s="46">
        <v>0</v>
      </c>
    </row>
    <row r="5480" spans="13:14" x14ac:dyDescent="0.35">
      <c r="M5480" s="46">
        <v>0.60601387446208632</v>
      </c>
      <c r="N5480" s="46">
        <v>0</v>
      </c>
    </row>
    <row r="5481" spans="13:14" x14ac:dyDescent="0.35">
      <c r="M5481" s="46">
        <v>0.63080353168125824</v>
      </c>
      <c r="N5481" s="46">
        <v>0</v>
      </c>
    </row>
    <row r="5482" spans="13:14" x14ac:dyDescent="0.35">
      <c r="M5482" s="46">
        <v>0.73392313399614195</v>
      </c>
      <c r="N5482" s="46">
        <v>0</v>
      </c>
    </row>
    <row r="5483" spans="13:14" x14ac:dyDescent="0.35">
      <c r="M5483" s="46">
        <v>0.87568830687045551</v>
      </c>
      <c r="N5483" s="46">
        <v>0</v>
      </c>
    </row>
    <row r="5484" spans="13:14" x14ac:dyDescent="0.35">
      <c r="M5484" s="46">
        <v>0.97511693129544441</v>
      </c>
      <c r="N5484" s="46">
        <v>0</v>
      </c>
    </row>
    <row r="5485" spans="13:14" x14ac:dyDescent="0.35">
      <c r="M5485" s="46">
        <v>1</v>
      </c>
      <c r="N5485" s="46">
        <v>1.6933287216420175E-2</v>
      </c>
    </row>
    <row r="5486" spans="13:14" x14ac:dyDescent="0.35">
      <c r="M5486" s="46">
        <v>1</v>
      </c>
      <c r="N5486" s="46">
        <v>6.9222929782516443E-2</v>
      </c>
    </row>
    <row r="5487" spans="13:14" x14ac:dyDescent="0.35">
      <c r="M5487" s="46">
        <v>1</v>
      </c>
      <c r="N5487" s="46">
        <v>0.10627367927978003</v>
      </c>
    </row>
    <row r="5488" spans="13:14" x14ac:dyDescent="0.35">
      <c r="M5488" s="46">
        <v>1</v>
      </c>
      <c r="N5488" s="46">
        <v>0.1184307374435683</v>
      </c>
    </row>
    <row r="5489" spans="13:14" x14ac:dyDescent="0.35">
      <c r="M5489" s="46">
        <v>1</v>
      </c>
      <c r="N5489" s="46">
        <v>9.806180295002126E-2</v>
      </c>
    </row>
    <row r="5490" spans="13:14" x14ac:dyDescent="0.35">
      <c r="M5490" s="46">
        <v>1</v>
      </c>
      <c r="N5490" s="46">
        <v>9.4274829685567236E-3</v>
      </c>
    </row>
    <row r="5491" spans="13:14" x14ac:dyDescent="0.35">
      <c r="M5491" s="46">
        <v>0.89305260424395316</v>
      </c>
      <c r="N5491" s="46">
        <v>0</v>
      </c>
    </row>
    <row r="5492" spans="13:14" x14ac:dyDescent="0.35">
      <c r="M5492" s="46">
        <v>0.74164809318890046</v>
      </c>
      <c r="N5492" s="46">
        <v>0</v>
      </c>
    </row>
    <row r="5493" spans="13:14" x14ac:dyDescent="0.35">
      <c r="M5493" s="46">
        <v>0.60945600237423947</v>
      </c>
      <c r="N5493" s="46">
        <v>0</v>
      </c>
    </row>
    <row r="5494" spans="13:14" x14ac:dyDescent="0.35">
      <c r="M5494" s="46">
        <v>0.54028602166493545</v>
      </c>
      <c r="N5494" s="46">
        <v>0</v>
      </c>
    </row>
    <row r="5495" spans="13:14" x14ac:dyDescent="0.35">
      <c r="M5495" s="46">
        <v>0.4929961418608102</v>
      </c>
      <c r="N5495" s="46">
        <v>0</v>
      </c>
    </row>
    <row r="5496" spans="13:14" x14ac:dyDescent="0.35">
      <c r="M5496" s="46">
        <v>0.3868254933966464</v>
      </c>
      <c r="N5496" s="46">
        <v>0</v>
      </c>
    </row>
    <row r="5497" spans="13:14" x14ac:dyDescent="0.35">
      <c r="M5497" s="46">
        <v>0.32744368600682594</v>
      </c>
      <c r="N5497" s="46">
        <v>0</v>
      </c>
    </row>
    <row r="5498" spans="13:14" x14ac:dyDescent="0.35">
      <c r="M5498" s="46">
        <v>0.27031117376465352</v>
      </c>
      <c r="N5498" s="46">
        <v>0</v>
      </c>
    </row>
    <row r="5499" spans="13:14" x14ac:dyDescent="0.35">
      <c r="M5499" s="46">
        <v>0.22334307760795369</v>
      </c>
      <c r="N5499" s="46">
        <v>0</v>
      </c>
    </row>
    <row r="5500" spans="13:14" x14ac:dyDescent="0.35">
      <c r="M5500" s="46">
        <v>0.18088878171835582</v>
      </c>
      <c r="N5500" s="46">
        <v>0</v>
      </c>
    </row>
    <row r="5501" spans="13:14" x14ac:dyDescent="0.35">
      <c r="M5501" s="46">
        <v>0.14092765989019143</v>
      </c>
      <c r="N5501" s="46">
        <v>0</v>
      </c>
    </row>
    <row r="5502" spans="13:14" x14ac:dyDescent="0.35">
      <c r="M5502" s="46">
        <v>0.11055675916308058</v>
      </c>
      <c r="N5502" s="46">
        <v>0</v>
      </c>
    </row>
    <row r="5503" spans="13:14" x14ac:dyDescent="0.35">
      <c r="M5503" s="46">
        <v>8.5370900727110843E-2</v>
      </c>
      <c r="N5503" s="46">
        <v>0</v>
      </c>
    </row>
    <row r="5504" spans="13:14" x14ac:dyDescent="0.35">
      <c r="M5504" s="46">
        <v>6.7537913637038136E-2</v>
      </c>
      <c r="N5504" s="46">
        <v>0</v>
      </c>
    </row>
    <row r="5505" spans="13:14" x14ac:dyDescent="0.35">
      <c r="M5505" s="46">
        <v>9.1586733936785875E-2</v>
      </c>
      <c r="N5505" s="46">
        <v>0</v>
      </c>
    </row>
    <row r="5506" spans="13:14" x14ac:dyDescent="0.35">
      <c r="M5506" s="46">
        <v>0.20498041252411336</v>
      </c>
      <c r="N5506" s="46">
        <v>0</v>
      </c>
    </row>
    <row r="5507" spans="13:14" x14ac:dyDescent="0.35">
      <c r="M5507" s="46">
        <v>0.35664787060394715</v>
      </c>
      <c r="N5507" s="46">
        <v>0</v>
      </c>
    </row>
    <row r="5508" spans="13:14" x14ac:dyDescent="0.35">
      <c r="M5508" s="46">
        <v>0.48735621012019592</v>
      </c>
      <c r="N5508" s="46">
        <v>0</v>
      </c>
    </row>
    <row r="5509" spans="13:14" x14ac:dyDescent="0.35">
      <c r="M5509" s="46">
        <v>0.57521983973883362</v>
      </c>
      <c r="N5509" s="46">
        <v>0</v>
      </c>
    </row>
    <row r="5510" spans="13:14" x14ac:dyDescent="0.35">
      <c r="M5510" s="46">
        <v>0.63808747588663006</v>
      </c>
      <c r="N5510" s="46">
        <v>0</v>
      </c>
    </row>
    <row r="5511" spans="13:14" x14ac:dyDescent="0.35">
      <c r="M5511" s="46">
        <v>0.67110261166345153</v>
      </c>
      <c r="N5511" s="46">
        <v>0</v>
      </c>
    </row>
    <row r="5512" spans="13:14" x14ac:dyDescent="0.35">
      <c r="M5512" s="46">
        <v>0.6749035465202553</v>
      </c>
      <c r="N5512" s="46">
        <v>0</v>
      </c>
    </row>
    <row r="5513" spans="13:14" x14ac:dyDescent="0.35">
      <c r="M5513" s="46">
        <v>0.65157864668348431</v>
      </c>
      <c r="N5513" s="46">
        <v>0</v>
      </c>
    </row>
    <row r="5514" spans="13:14" x14ac:dyDescent="0.35">
      <c r="M5514" s="46">
        <v>0.58623007864668342</v>
      </c>
      <c r="N5514" s="46">
        <v>0</v>
      </c>
    </row>
    <row r="5515" spans="13:14" x14ac:dyDescent="0.35">
      <c r="M5515" s="46">
        <v>0.47957271108473065</v>
      </c>
      <c r="N5515" s="46">
        <v>0</v>
      </c>
    </row>
    <row r="5516" spans="13:14" x14ac:dyDescent="0.35">
      <c r="M5516" s="46">
        <v>0.33720574269179404</v>
      </c>
      <c r="N5516" s="46">
        <v>0</v>
      </c>
    </row>
    <row r="5517" spans="13:14" x14ac:dyDescent="0.35">
      <c r="M5517" s="46">
        <v>0.21457174654993322</v>
      </c>
      <c r="N5517" s="46">
        <v>0</v>
      </c>
    </row>
    <row r="5518" spans="13:14" x14ac:dyDescent="0.35">
      <c r="M5518" s="46">
        <v>0.16845548300934859</v>
      </c>
      <c r="N5518" s="46">
        <v>0</v>
      </c>
    </row>
    <row r="5519" spans="13:14" x14ac:dyDescent="0.35">
      <c r="M5519" s="46">
        <v>0.15742573082059655</v>
      </c>
      <c r="N5519" s="46">
        <v>0</v>
      </c>
    </row>
    <row r="5520" spans="13:14" x14ac:dyDescent="0.35">
      <c r="M5520" s="46">
        <v>0.13575159519216501</v>
      </c>
      <c r="N5520" s="46">
        <v>0</v>
      </c>
    </row>
    <row r="5521" spans="13:14" x14ac:dyDescent="0.35">
      <c r="M5521" s="46">
        <v>0.141362961863778</v>
      </c>
      <c r="N5521" s="46">
        <v>0</v>
      </c>
    </row>
    <row r="5522" spans="13:14" x14ac:dyDescent="0.35">
      <c r="M5522" s="46">
        <v>0.15899821932037395</v>
      </c>
      <c r="N5522" s="46">
        <v>0</v>
      </c>
    </row>
    <row r="5523" spans="13:14" x14ac:dyDescent="0.35">
      <c r="M5523" s="46">
        <v>0.17006521739130437</v>
      </c>
      <c r="N5523" s="46">
        <v>0</v>
      </c>
    </row>
    <row r="5524" spans="13:14" x14ac:dyDescent="0.35">
      <c r="M5524" s="46">
        <v>0.18025693723104319</v>
      </c>
      <c r="N5524" s="46">
        <v>0</v>
      </c>
    </row>
    <row r="5525" spans="13:14" x14ac:dyDescent="0.35">
      <c r="M5525" s="46">
        <v>0.18669416827422466</v>
      </c>
      <c r="N5525" s="46">
        <v>0</v>
      </c>
    </row>
    <row r="5526" spans="13:14" x14ac:dyDescent="0.35">
      <c r="M5526" s="46">
        <v>0.18790087550081613</v>
      </c>
      <c r="N5526" s="46">
        <v>0</v>
      </c>
    </row>
    <row r="5527" spans="13:14" x14ac:dyDescent="0.35">
      <c r="M5527" s="46">
        <v>0.18659994064401247</v>
      </c>
      <c r="N5527" s="46">
        <v>0</v>
      </c>
    </row>
    <row r="5528" spans="13:14" x14ac:dyDescent="0.35">
      <c r="M5528" s="46">
        <v>0.17793085027452143</v>
      </c>
      <c r="N5528" s="46">
        <v>0</v>
      </c>
    </row>
    <row r="5529" spans="13:14" x14ac:dyDescent="0.35">
      <c r="M5529" s="46">
        <v>0.19632378691200475</v>
      </c>
      <c r="N5529" s="46">
        <v>0</v>
      </c>
    </row>
    <row r="5530" spans="13:14" x14ac:dyDescent="0.35">
      <c r="M5530" s="46">
        <v>0.28055557204332987</v>
      </c>
      <c r="N5530" s="46">
        <v>0</v>
      </c>
    </row>
    <row r="5531" spans="13:14" x14ac:dyDescent="0.35">
      <c r="M5531" s="46">
        <v>0.40248931592224368</v>
      </c>
      <c r="N5531" s="46">
        <v>0</v>
      </c>
    </row>
    <row r="5532" spans="13:14" x14ac:dyDescent="0.35">
      <c r="M5532" s="46">
        <v>0.51184181629321857</v>
      </c>
      <c r="N5532" s="46">
        <v>0</v>
      </c>
    </row>
    <row r="5533" spans="13:14" x14ac:dyDescent="0.35">
      <c r="M5533" s="46">
        <v>0.58566426769550373</v>
      </c>
      <c r="N5533" s="46">
        <v>0</v>
      </c>
    </row>
    <row r="5534" spans="13:14" x14ac:dyDescent="0.35">
      <c r="M5534" s="46">
        <v>0.64108792105653667</v>
      </c>
      <c r="N5534" s="46">
        <v>0</v>
      </c>
    </row>
    <row r="5535" spans="13:14" x14ac:dyDescent="0.35">
      <c r="M5535" s="46">
        <v>0.66843099866449018</v>
      </c>
      <c r="N5535" s="46">
        <v>0</v>
      </c>
    </row>
    <row r="5536" spans="13:14" x14ac:dyDescent="0.35">
      <c r="M5536" s="46">
        <v>0.66747566404511049</v>
      </c>
      <c r="N5536" s="46">
        <v>0</v>
      </c>
    </row>
    <row r="5537" spans="13:14" x14ac:dyDescent="0.35">
      <c r="M5537" s="46">
        <v>0.65028067962605729</v>
      </c>
      <c r="N5537" s="46">
        <v>0</v>
      </c>
    </row>
    <row r="5538" spans="13:14" x14ac:dyDescent="0.35">
      <c r="M5538" s="46">
        <v>0.59917413562843147</v>
      </c>
      <c r="N5538" s="46">
        <v>0</v>
      </c>
    </row>
    <row r="5539" spans="13:14" x14ac:dyDescent="0.35">
      <c r="M5539" s="46">
        <v>0.51664319631992872</v>
      </c>
      <c r="N5539" s="46">
        <v>0</v>
      </c>
    </row>
    <row r="5540" spans="13:14" x14ac:dyDescent="0.35">
      <c r="M5540" s="46">
        <v>0.42011589256566256</v>
      </c>
      <c r="N5540" s="46">
        <v>0</v>
      </c>
    </row>
    <row r="5541" spans="13:14" x14ac:dyDescent="0.35">
      <c r="M5541" s="46">
        <v>0.36157367561952813</v>
      </c>
      <c r="N5541" s="46">
        <v>0</v>
      </c>
    </row>
    <row r="5542" spans="13:14" x14ac:dyDescent="0.35">
      <c r="M5542" s="46">
        <v>0.39127147944798929</v>
      </c>
      <c r="N5542" s="46">
        <v>0</v>
      </c>
    </row>
    <row r="5543" spans="13:14" x14ac:dyDescent="0.35">
      <c r="M5543" s="46">
        <v>0.44738047188010088</v>
      </c>
      <c r="N5543" s="46">
        <v>0</v>
      </c>
    </row>
    <row r="5544" spans="13:14" x14ac:dyDescent="0.35">
      <c r="M5544" s="46">
        <v>0.43652403917495175</v>
      </c>
      <c r="N5544" s="46">
        <v>0</v>
      </c>
    </row>
    <row r="5545" spans="13:14" x14ac:dyDescent="0.35">
      <c r="M5545" s="46">
        <v>0.47882386110698916</v>
      </c>
      <c r="N5545" s="46">
        <v>0</v>
      </c>
    </row>
    <row r="5546" spans="13:14" x14ac:dyDescent="0.35">
      <c r="M5546" s="46">
        <v>0.51849243211158924</v>
      </c>
      <c r="N5546" s="46">
        <v>0</v>
      </c>
    </row>
    <row r="5547" spans="13:14" x14ac:dyDescent="0.35">
      <c r="M5547" s="46">
        <v>0.52604281050600976</v>
      </c>
      <c r="N5547" s="46">
        <v>0</v>
      </c>
    </row>
    <row r="5548" spans="13:14" x14ac:dyDescent="0.35">
      <c r="M5548" s="46">
        <v>0.5371227185042291</v>
      </c>
      <c r="N5548" s="46">
        <v>0</v>
      </c>
    </row>
    <row r="5549" spans="13:14" x14ac:dyDescent="0.35">
      <c r="M5549" s="46">
        <v>0.5433262353464906</v>
      </c>
      <c r="N5549" s="46">
        <v>0</v>
      </c>
    </row>
    <row r="5550" spans="13:14" x14ac:dyDescent="0.35">
      <c r="M5550" s="46">
        <v>0.5480755304941386</v>
      </c>
      <c r="N5550" s="46">
        <v>0</v>
      </c>
    </row>
    <row r="5551" spans="13:14" x14ac:dyDescent="0.35">
      <c r="M5551" s="46">
        <v>0.55825575011129247</v>
      </c>
      <c r="N5551" s="46">
        <v>0</v>
      </c>
    </row>
    <row r="5552" spans="13:14" x14ac:dyDescent="0.35">
      <c r="M5552" s="46">
        <v>0.57219869416827418</v>
      </c>
      <c r="N5552" s="46">
        <v>0</v>
      </c>
    </row>
    <row r="5553" spans="13:14" x14ac:dyDescent="0.35">
      <c r="M5553" s="46">
        <v>0.61736362961863778</v>
      </c>
      <c r="N5553" s="46">
        <v>0</v>
      </c>
    </row>
    <row r="5554" spans="13:14" x14ac:dyDescent="0.35">
      <c r="M5554" s="46">
        <v>0.74158205965276747</v>
      </c>
      <c r="N5554" s="46">
        <v>0</v>
      </c>
    </row>
    <row r="5555" spans="13:14" x14ac:dyDescent="0.35">
      <c r="M5555" s="46">
        <v>0.903516471286541</v>
      </c>
      <c r="N5555" s="46">
        <v>0</v>
      </c>
    </row>
    <row r="5556" spans="13:14" x14ac:dyDescent="0.35">
      <c r="M5556" s="46">
        <v>1</v>
      </c>
      <c r="N5556" s="46">
        <v>6.0274293711207745E-2</v>
      </c>
    </row>
    <row r="5557" spans="13:14" x14ac:dyDescent="0.35">
      <c r="M5557" s="46">
        <v>1</v>
      </c>
      <c r="N5557" s="46">
        <v>0.16917648794431775</v>
      </c>
    </row>
    <row r="5558" spans="13:14" x14ac:dyDescent="0.35">
      <c r="M5558" s="46">
        <v>1</v>
      </c>
      <c r="N5558" s="46">
        <v>0.25303805797216949</v>
      </c>
    </row>
    <row r="5559" spans="13:14" x14ac:dyDescent="0.35">
      <c r="M5559" s="46">
        <v>1</v>
      </c>
      <c r="N5559" s="46">
        <v>0.300175299464984</v>
      </c>
    </row>
    <row r="5560" spans="13:14" x14ac:dyDescent="0.35">
      <c r="M5560" s="46">
        <v>1</v>
      </c>
      <c r="N5560" s="46">
        <v>0.30312836131535598</v>
      </c>
    </row>
    <row r="5561" spans="13:14" x14ac:dyDescent="0.35">
      <c r="M5561" s="46">
        <v>1</v>
      </c>
      <c r="N5561" s="46">
        <v>0.27130102840502168</v>
      </c>
    </row>
    <row r="5562" spans="13:14" x14ac:dyDescent="0.35">
      <c r="M5562" s="46">
        <v>1</v>
      </c>
      <c r="N5562" s="46">
        <v>0.17080303349828888</v>
      </c>
    </row>
    <row r="5563" spans="13:14" x14ac:dyDescent="0.35">
      <c r="M5563" s="46">
        <v>0.9924818964238018</v>
      </c>
      <c r="N5563" s="46">
        <v>0</v>
      </c>
    </row>
    <row r="5564" spans="13:14" x14ac:dyDescent="0.35">
      <c r="M5564" s="46">
        <v>0.82740710787950733</v>
      </c>
      <c r="N5564" s="46">
        <v>0</v>
      </c>
    </row>
    <row r="5565" spans="13:14" x14ac:dyDescent="0.35">
      <c r="M5565" s="46">
        <v>0.69456944650541619</v>
      </c>
      <c r="N5565" s="46">
        <v>0</v>
      </c>
    </row>
    <row r="5566" spans="13:14" x14ac:dyDescent="0.35">
      <c r="M5566" s="46">
        <v>0.64531198990948213</v>
      </c>
      <c r="N5566" s="46">
        <v>0</v>
      </c>
    </row>
    <row r="5567" spans="13:14" x14ac:dyDescent="0.35">
      <c r="M5567" s="46">
        <v>0.64656210120195867</v>
      </c>
      <c r="N5567" s="46">
        <v>0</v>
      </c>
    </row>
    <row r="5568" spans="13:14" x14ac:dyDescent="0.35">
      <c r="M5568" s="46">
        <v>0.64347737052975218</v>
      </c>
      <c r="N5568" s="46">
        <v>0</v>
      </c>
    </row>
    <row r="5569" spans="13:14" x14ac:dyDescent="0.35">
      <c r="M5569" s="46">
        <v>0.64503450066775481</v>
      </c>
      <c r="N5569" s="46">
        <v>0</v>
      </c>
    </row>
    <row r="5570" spans="13:14" x14ac:dyDescent="0.35">
      <c r="M5570" s="46">
        <v>0.64613421872681409</v>
      </c>
      <c r="N5570" s="46">
        <v>0</v>
      </c>
    </row>
    <row r="5571" spans="13:14" x14ac:dyDescent="0.35">
      <c r="M5571" s="46">
        <v>0.64415158035316811</v>
      </c>
      <c r="N5571" s="46">
        <v>0</v>
      </c>
    </row>
    <row r="5572" spans="13:14" x14ac:dyDescent="0.35">
      <c r="M5572" s="46">
        <v>0.64279284760350197</v>
      </c>
      <c r="N5572" s="46">
        <v>0</v>
      </c>
    </row>
    <row r="5573" spans="13:14" x14ac:dyDescent="0.35">
      <c r="M5573" s="46">
        <v>0.64122369787802347</v>
      </c>
      <c r="N5573" s="46">
        <v>0</v>
      </c>
    </row>
    <row r="5574" spans="13:14" x14ac:dyDescent="0.35">
      <c r="M5574" s="46">
        <v>0.64127815699658708</v>
      </c>
      <c r="N5574" s="46">
        <v>0</v>
      </c>
    </row>
    <row r="5575" spans="13:14" x14ac:dyDescent="0.35">
      <c r="M5575" s="46">
        <v>0.6389629767027748</v>
      </c>
      <c r="N5575" s="46">
        <v>0</v>
      </c>
    </row>
    <row r="5576" spans="13:14" x14ac:dyDescent="0.35">
      <c r="M5576" s="46">
        <v>0.63941823712717016</v>
      </c>
      <c r="N5576" s="46">
        <v>0</v>
      </c>
    </row>
    <row r="5577" spans="13:14" x14ac:dyDescent="0.35">
      <c r="M5577" s="46">
        <v>0.67379796705742701</v>
      </c>
      <c r="N5577" s="46">
        <v>0</v>
      </c>
    </row>
    <row r="5578" spans="13:14" x14ac:dyDescent="0.35">
      <c r="M5578" s="46">
        <v>0.79637342335658112</v>
      </c>
      <c r="N5578" s="46">
        <v>0</v>
      </c>
    </row>
    <row r="5579" spans="13:14" x14ac:dyDescent="0.35">
      <c r="M5579" s="46">
        <v>0.95724076272443992</v>
      </c>
      <c r="N5579" s="46">
        <v>0</v>
      </c>
    </row>
    <row r="5580" spans="13:14" x14ac:dyDescent="0.35">
      <c r="M5580" s="46">
        <v>1</v>
      </c>
      <c r="N5580" s="46">
        <v>0.12002654257030498</v>
      </c>
    </row>
    <row r="5581" spans="13:14" x14ac:dyDescent="0.35">
      <c r="M5581" s="46">
        <v>1</v>
      </c>
      <c r="N5581" s="46">
        <v>0.22530963658490236</v>
      </c>
    </row>
    <row r="5582" spans="13:14" x14ac:dyDescent="0.35">
      <c r="M5582" s="46">
        <v>1</v>
      </c>
      <c r="N5582" s="46">
        <v>0.30637717009231669</v>
      </c>
    </row>
    <row r="5583" spans="13:14" x14ac:dyDescent="0.35">
      <c r="M5583" s="46">
        <v>1</v>
      </c>
      <c r="N5583" s="46">
        <v>0.35879384934034619</v>
      </c>
    </row>
    <row r="5584" spans="13:14" x14ac:dyDescent="0.35">
      <c r="M5584" s="46">
        <v>1</v>
      </c>
      <c r="N5584" s="46">
        <v>0.36503181129329126</v>
      </c>
    </row>
    <row r="5585" spans="13:14" x14ac:dyDescent="0.35">
      <c r="M5585" s="46">
        <v>1</v>
      </c>
      <c r="N5585" s="46">
        <v>0.31153501968505276</v>
      </c>
    </row>
    <row r="5586" spans="13:14" x14ac:dyDescent="0.35">
      <c r="M5586" s="46">
        <v>1</v>
      </c>
      <c r="N5586" s="46">
        <v>0.1900098089299036</v>
      </c>
    </row>
    <row r="5587" spans="13:14" x14ac:dyDescent="0.35">
      <c r="M5587" s="46">
        <v>0.9938113963496068</v>
      </c>
      <c r="N5587" s="46">
        <v>0</v>
      </c>
    </row>
    <row r="5588" spans="13:14" x14ac:dyDescent="0.35">
      <c r="M5588" s="46">
        <v>0.8292637631696097</v>
      </c>
      <c r="N5588" s="46">
        <v>0</v>
      </c>
    </row>
    <row r="5589" spans="13:14" x14ac:dyDescent="0.35">
      <c r="M5589" s="46">
        <v>0.70175537913637043</v>
      </c>
      <c r="N5589" s="46">
        <v>0</v>
      </c>
    </row>
    <row r="5590" spans="13:14" x14ac:dyDescent="0.35">
      <c r="M5590" s="46">
        <v>0.65223178513132518</v>
      </c>
      <c r="N5590" s="46">
        <v>0</v>
      </c>
    </row>
    <row r="5591" spans="13:14" x14ac:dyDescent="0.35">
      <c r="M5591" s="46">
        <v>0.65152121976554378</v>
      </c>
      <c r="N5591" s="46">
        <v>0</v>
      </c>
    </row>
    <row r="5592" spans="13:14" x14ac:dyDescent="0.35">
      <c r="M5592" s="46">
        <v>0.65059645347974471</v>
      </c>
      <c r="N5592" s="46">
        <v>0</v>
      </c>
    </row>
    <row r="5593" spans="13:14" x14ac:dyDescent="0.35">
      <c r="M5593" s="46">
        <v>0.64805193648909332</v>
      </c>
      <c r="N5593" s="46">
        <v>0</v>
      </c>
    </row>
    <row r="5594" spans="13:14" x14ac:dyDescent="0.35">
      <c r="M5594" s="46">
        <v>0.6432482564178662</v>
      </c>
      <c r="N5594" s="46">
        <v>0</v>
      </c>
    </row>
    <row r="5595" spans="13:14" x14ac:dyDescent="0.35">
      <c r="M5595" s="46">
        <v>0.64200059355987538</v>
      </c>
      <c r="N5595" s="46">
        <v>0</v>
      </c>
    </row>
    <row r="5596" spans="13:14" x14ac:dyDescent="0.35">
      <c r="M5596" s="46">
        <v>0.63989827867636151</v>
      </c>
      <c r="N5596" s="46">
        <v>0</v>
      </c>
    </row>
    <row r="5597" spans="13:14" x14ac:dyDescent="0.35">
      <c r="M5597" s="46">
        <v>0.63497180590592073</v>
      </c>
      <c r="N5597" s="46">
        <v>0</v>
      </c>
    </row>
    <row r="5598" spans="13:14" x14ac:dyDescent="0.35">
      <c r="M5598" s="46">
        <v>0.62856848197061876</v>
      </c>
      <c r="N5598" s="46">
        <v>0</v>
      </c>
    </row>
    <row r="5599" spans="13:14" x14ac:dyDescent="0.35">
      <c r="M5599" s="46">
        <v>0.62412665083840324</v>
      </c>
      <c r="N5599" s="46">
        <v>0</v>
      </c>
    </row>
    <row r="5600" spans="13:14" x14ac:dyDescent="0.35">
      <c r="M5600" s="46">
        <v>0.61729781866745814</v>
      </c>
      <c r="N5600" s="46">
        <v>0</v>
      </c>
    </row>
    <row r="5601" spans="13:14" x14ac:dyDescent="0.35">
      <c r="M5601" s="46">
        <v>0.64541408220804275</v>
      </c>
      <c r="N5601" s="46">
        <v>0</v>
      </c>
    </row>
    <row r="5602" spans="13:14" x14ac:dyDescent="0.35">
      <c r="M5602" s="46">
        <v>0.76109600830983826</v>
      </c>
      <c r="N5602" s="46">
        <v>0</v>
      </c>
    </row>
    <row r="5603" spans="13:14" x14ac:dyDescent="0.35">
      <c r="M5603" s="46">
        <v>0.91273312064104462</v>
      </c>
      <c r="N5603" s="46">
        <v>0</v>
      </c>
    </row>
    <row r="5604" spans="13:14" x14ac:dyDescent="0.35">
      <c r="M5604" s="46">
        <v>1</v>
      </c>
      <c r="N5604" s="46">
        <v>5.0361684165294948E-2</v>
      </c>
    </row>
    <row r="5605" spans="13:14" x14ac:dyDescent="0.35">
      <c r="M5605" s="46">
        <v>1</v>
      </c>
      <c r="N5605" s="46">
        <v>0.14339374932157237</v>
      </c>
    </row>
    <row r="5606" spans="13:14" x14ac:dyDescent="0.35">
      <c r="M5606" s="46">
        <v>1</v>
      </c>
      <c r="N5606" s="46">
        <v>0.22985059701378907</v>
      </c>
    </row>
    <row r="5607" spans="13:14" x14ac:dyDescent="0.35">
      <c r="M5607" s="46">
        <v>1</v>
      </c>
      <c r="N5607" s="46">
        <v>0.29178277319694135</v>
      </c>
    </row>
    <row r="5608" spans="13:14" x14ac:dyDescent="0.35">
      <c r="M5608" s="46">
        <v>1</v>
      </c>
      <c r="N5608" s="46">
        <v>0.31620725175816489</v>
      </c>
    </row>
    <row r="5609" spans="13:14" x14ac:dyDescent="0.35">
      <c r="M5609" s="46">
        <v>1</v>
      </c>
      <c r="N5609" s="46">
        <v>0.28119276847372993</v>
      </c>
    </row>
    <row r="5610" spans="13:14" x14ac:dyDescent="0.35">
      <c r="M5610" s="46">
        <v>1</v>
      </c>
      <c r="N5610" s="46">
        <v>0.16752966290435817</v>
      </c>
    </row>
    <row r="5611" spans="13:14" x14ac:dyDescent="0.35">
      <c r="M5611" s="46">
        <v>0.97963577682148695</v>
      </c>
      <c r="N5611" s="46">
        <v>0</v>
      </c>
    </row>
    <row r="5612" spans="13:14" x14ac:dyDescent="0.35">
      <c r="M5612" s="46">
        <v>0.82068363258643717</v>
      </c>
      <c r="N5612" s="46">
        <v>0</v>
      </c>
    </row>
    <row r="5613" spans="13:14" x14ac:dyDescent="0.35">
      <c r="M5613" s="46">
        <v>0.69546757679180893</v>
      </c>
      <c r="N5613" s="46">
        <v>0</v>
      </c>
    </row>
    <row r="5614" spans="13:14" x14ac:dyDescent="0.35">
      <c r="M5614" s="46">
        <v>0.65546112182816441</v>
      </c>
      <c r="N5614" s="46">
        <v>0</v>
      </c>
    </row>
    <row r="5615" spans="13:14" x14ac:dyDescent="0.35">
      <c r="M5615" s="46">
        <v>0.6563751298412227</v>
      </c>
      <c r="N5615" s="46">
        <v>0</v>
      </c>
    </row>
    <row r="5616" spans="13:14" x14ac:dyDescent="0.35">
      <c r="M5616" s="46">
        <v>0.65478861848939007</v>
      </c>
      <c r="N5616" s="46">
        <v>0</v>
      </c>
    </row>
    <row r="5617" spans="13:14" x14ac:dyDescent="0.35">
      <c r="M5617" s="46">
        <v>0.6530865113518326</v>
      </c>
      <c r="N5617" s="46">
        <v>0</v>
      </c>
    </row>
    <row r="5618" spans="13:14" x14ac:dyDescent="0.35">
      <c r="M5618" s="46">
        <v>0.6527978928624425</v>
      </c>
      <c r="N5618" s="46">
        <v>0</v>
      </c>
    </row>
    <row r="5619" spans="13:14" x14ac:dyDescent="0.35">
      <c r="M5619" s="46">
        <v>0.65080590592075971</v>
      </c>
      <c r="N5619" s="46">
        <v>0</v>
      </c>
    </row>
    <row r="5620" spans="13:14" x14ac:dyDescent="0.35">
      <c r="M5620" s="46">
        <v>0.64980019290695945</v>
      </c>
      <c r="N5620" s="46">
        <v>0</v>
      </c>
    </row>
    <row r="5621" spans="13:14" x14ac:dyDescent="0.35">
      <c r="M5621" s="46">
        <v>0.64847069298115445</v>
      </c>
      <c r="N5621" s="46">
        <v>0</v>
      </c>
    </row>
    <row r="5622" spans="13:14" x14ac:dyDescent="0.35">
      <c r="M5622" s="46">
        <v>0.64658947915120935</v>
      </c>
      <c r="N5622" s="46">
        <v>0</v>
      </c>
    </row>
    <row r="5623" spans="13:14" x14ac:dyDescent="0.35">
      <c r="M5623" s="46">
        <v>0.64309326309541481</v>
      </c>
      <c r="N5623" s="46">
        <v>0</v>
      </c>
    </row>
    <row r="5624" spans="13:14" x14ac:dyDescent="0.35">
      <c r="M5624" s="46">
        <v>0.64323987238462677</v>
      </c>
      <c r="N5624" s="46">
        <v>0</v>
      </c>
    </row>
    <row r="5625" spans="13:14" x14ac:dyDescent="0.35">
      <c r="M5625" s="46">
        <v>0.67271872681406741</v>
      </c>
      <c r="N5625" s="46">
        <v>0</v>
      </c>
    </row>
    <row r="5626" spans="13:14" x14ac:dyDescent="0.35">
      <c r="M5626" s="46">
        <v>0.78566122570114261</v>
      </c>
      <c r="N5626" s="46">
        <v>0</v>
      </c>
    </row>
    <row r="5627" spans="13:14" x14ac:dyDescent="0.35">
      <c r="M5627" s="46">
        <v>0.94145667012909928</v>
      </c>
      <c r="N5627" s="46">
        <v>0</v>
      </c>
    </row>
    <row r="5628" spans="13:14" x14ac:dyDescent="0.35">
      <c r="M5628" s="46">
        <v>1</v>
      </c>
      <c r="N5628" s="46">
        <v>0.10651421844551708</v>
      </c>
    </row>
    <row r="5629" spans="13:14" x14ac:dyDescent="0.35">
      <c r="M5629" s="46">
        <v>1</v>
      </c>
      <c r="N5629" s="46">
        <v>0.22465096394371406</v>
      </c>
    </row>
    <row r="5630" spans="13:14" x14ac:dyDescent="0.35">
      <c r="M5630" s="46">
        <v>1</v>
      </c>
      <c r="N5630" s="46">
        <v>0.30063824683584472</v>
      </c>
    </row>
    <row r="5631" spans="13:14" x14ac:dyDescent="0.35">
      <c r="M5631" s="46">
        <v>1</v>
      </c>
      <c r="N5631" s="46">
        <v>0.34473245116732493</v>
      </c>
    </row>
    <row r="5632" spans="13:14" x14ac:dyDescent="0.35">
      <c r="M5632" s="46">
        <v>1</v>
      </c>
      <c r="N5632" s="46">
        <v>0.34905933035234782</v>
      </c>
    </row>
    <row r="5633" spans="13:14" x14ac:dyDescent="0.35">
      <c r="M5633" s="46">
        <v>1</v>
      </c>
      <c r="N5633" s="46">
        <v>0.3058824865247648</v>
      </c>
    </row>
    <row r="5634" spans="13:14" x14ac:dyDescent="0.35">
      <c r="M5634" s="46">
        <v>1</v>
      </c>
      <c r="N5634" s="46">
        <v>0.1860732973296032</v>
      </c>
    </row>
    <row r="5635" spans="13:14" x14ac:dyDescent="0.35">
      <c r="M5635" s="46">
        <v>0.98174187564920612</v>
      </c>
      <c r="N5635" s="46">
        <v>0</v>
      </c>
    </row>
    <row r="5636" spans="13:14" x14ac:dyDescent="0.35">
      <c r="M5636" s="46">
        <v>0.82283921946876393</v>
      </c>
      <c r="N5636" s="46">
        <v>0</v>
      </c>
    </row>
    <row r="5637" spans="13:14" x14ac:dyDescent="0.35">
      <c r="M5637" s="46">
        <v>0.70036563288321707</v>
      </c>
      <c r="N5637" s="46">
        <v>0</v>
      </c>
    </row>
    <row r="5638" spans="13:14" x14ac:dyDescent="0.35">
      <c r="M5638" s="46">
        <v>0.65850853242320828</v>
      </c>
      <c r="N5638" s="46">
        <v>0</v>
      </c>
    </row>
    <row r="5639" spans="13:14" x14ac:dyDescent="0.35">
      <c r="M5639" s="46">
        <v>0.65440629173467868</v>
      </c>
      <c r="N5639" s="46">
        <v>0</v>
      </c>
    </row>
    <row r="5640" spans="13:14" x14ac:dyDescent="0.35">
      <c r="M5640" s="46">
        <v>0.62887245882178355</v>
      </c>
      <c r="N5640" s="46">
        <v>0</v>
      </c>
    </row>
    <row r="5641" spans="13:14" x14ac:dyDescent="0.35">
      <c r="M5641" s="46">
        <v>0.60821501706484649</v>
      </c>
      <c r="N5641" s="46">
        <v>0</v>
      </c>
    </row>
    <row r="5642" spans="13:14" x14ac:dyDescent="0.35">
      <c r="M5642" s="46">
        <v>0.59664341890488204</v>
      </c>
      <c r="N5642" s="46">
        <v>0</v>
      </c>
    </row>
    <row r="5643" spans="13:14" x14ac:dyDescent="0.35">
      <c r="M5643" s="46">
        <v>0.58043760201810357</v>
      </c>
      <c r="N5643" s="46">
        <v>0</v>
      </c>
    </row>
    <row r="5644" spans="13:14" x14ac:dyDescent="0.35">
      <c r="M5644" s="46">
        <v>0.57093886333283872</v>
      </c>
      <c r="N5644" s="46">
        <v>0</v>
      </c>
    </row>
    <row r="5645" spans="13:14" x14ac:dyDescent="0.35">
      <c r="M5645" s="46">
        <v>0.5625591334025819</v>
      </c>
      <c r="N5645" s="46">
        <v>0</v>
      </c>
    </row>
    <row r="5646" spans="13:14" x14ac:dyDescent="0.35">
      <c r="M5646" s="46">
        <v>0.55319246178958303</v>
      </c>
      <c r="N5646" s="46">
        <v>0</v>
      </c>
    </row>
    <row r="5647" spans="13:14" x14ac:dyDescent="0.35">
      <c r="M5647" s="46">
        <v>0.53909905030419947</v>
      </c>
      <c r="N5647" s="46">
        <v>0</v>
      </c>
    </row>
    <row r="5648" spans="13:14" x14ac:dyDescent="0.35">
      <c r="M5648" s="46">
        <v>0.52074150467428404</v>
      </c>
      <c r="N5648" s="46">
        <v>0</v>
      </c>
    </row>
    <row r="5649" spans="13:14" x14ac:dyDescent="0.35">
      <c r="M5649" s="46">
        <v>0.5210630657367562</v>
      </c>
      <c r="N5649" s="46">
        <v>0</v>
      </c>
    </row>
    <row r="5650" spans="13:14" x14ac:dyDescent="0.35">
      <c r="M5650" s="46">
        <v>0.58721405253004888</v>
      </c>
      <c r="N5650" s="46">
        <v>0</v>
      </c>
    </row>
    <row r="5651" spans="13:14" x14ac:dyDescent="0.35">
      <c r="M5651" s="46">
        <v>0.68366315477073747</v>
      </c>
      <c r="N5651" s="46">
        <v>0</v>
      </c>
    </row>
    <row r="5652" spans="13:14" x14ac:dyDescent="0.35">
      <c r="M5652" s="46">
        <v>0.7666854874610477</v>
      </c>
      <c r="N5652" s="46">
        <v>0</v>
      </c>
    </row>
    <row r="5653" spans="13:14" x14ac:dyDescent="0.35">
      <c r="M5653" s="46">
        <v>0.82375968244546671</v>
      </c>
      <c r="N5653" s="46">
        <v>0</v>
      </c>
    </row>
    <row r="5654" spans="13:14" x14ac:dyDescent="0.35">
      <c r="M5654" s="46">
        <v>0.86301595192165004</v>
      </c>
      <c r="N5654" s="46">
        <v>0</v>
      </c>
    </row>
    <row r="5655" spans="13:14" x14ac:dyDescent="0.35">
      <c r="M5655" s="46">
        <v>0.87774254340406588</v>
      </c>
      <c r="N5655" s="46">
        <v>0</v>
      </c>
    </row>
    <row r="5656" spans="13:14" x14ac:dyDescent="0.35">
      <c r="M5656" s="46">
        <v>0.89391935005193657</v>
      </c>
      <c r="N5656" s="46">
        <v>0</v>
      </c>
    </row>
    <row r="5657" spans="13:14" x14ac:dyDescent="0.35">
      <c r="M5657" s="46">
        <v>0.92779514764801907</v>
      </c>
      <c r="N5657" s="46">
        <v>0</v>
      </c>
    </row>
    <row r="5658" spans="13:14" x14ac:dyDescent="0.35">
      <c r="M5658" s="46">
        <v>0.92278312806054319</v>
      </c>
      <c r="N5658" s="46">
        <v>0</v>
      </c>
    </row>
    <row r="5659" spans="13:14" x14ac:dyDescent="0.35">
      <c r="M5659" s="46">
        <v>0.86435643270514917</v>
      </c>
      <c r="N5659" s="46">
        <v>0</v>
      </c>
    </row>
    <row r="5660" spans="13:14" x14ac:dyDescent="0.35">
      <c r="M5660" s="46">
        <v>0.77075211455705595</v>
      </c>
      <c r="N5660" s="46">
        <v>0</v>
      </c>
    </row>
    <row r="5661" spans="13:14" x14ac:dyDescent="0.35">
      <c r="M5661" s="46">
        <v>0.68245845080872525</v>
      </c>
      <c r="N5661" s="46">
        <v>0</v>
      </c>
    </row>
    <row r="5662" spans="13:14" x14ac:dyDescent="0.35">
      <c r="M5662" s="46">
        <v>0.65492580501558095</v>
      </c>
      <c r="N5662" s="46">
        <v>0</v>
      </c>
    </row>
    <row r="5663" spans="13:14" x14ac:dyDescent="0.35">
      <c r="M5663" s="46">
        <v>0.65288878171835585</v>
      </c>
      <c r="N5663" s="46">
        <v>0</v>
      </c>
    </row>
    <row r="5664" spans="13:14" x14ac:dyDescent="0.35">
      <c r="M5664" s="46">
        <v>0.64110587624276605</v>
      </c>
      <c r="N5664" s="46">
        <v>0</v>
      </c>
    </row>
    <row r="5665" spans="13:14" x14ac:dyDescent="0.35">
      <c r="M5665" s="46">
        <v>0.64448983528713455</v>
      </c>
      <c r="N5665" s="46">
        <v>0</v>
      </c>
    </row>
    <row r="5666" spans="13:14" x14ac:dyDescent="0.35">
      <c r="M5666" s="46">
        <v>0.65010758272740765</v>
      </c>
      <c r="N5666" s="46">
        <v>0</v>
      </c>
    </row>
    <row r="5667" spans="13:14" x14ac:dyDescent="0.35">
      <c r="M5667" s="46">
        <v>0.65311759905030409</v>
      </c>
      <c r="N5667" s="46">
        <v>0</v>
      </c>
    </row>
    <row r="5668" spans="13:14" x14ac:dyDescent="0.35">
      <c r="M5668" s="46">
        <v>0.65728676361477967</v>
      </c>
      <c r="N5668" s="46">
        <v>0</v>
      </c>
    </row>
    <row r="5669" spans="13:14" x14ac:dyDescent="0.35">
      <c r="M5669" s="46">
        <v>0.66379856061730225</v>
      </c>
      <c r="N5669" s="46">
        <v>0</v>
      </c>
    </row>
    <row r="5670" spans="13:14" x14ac:dyDescent="0.35">
      <c r="M5670" s="46">
        <v>0.66202515209971802</v>
      </c>
      <c r="N5670" s="46">
        <v>0</v>
      </c>
    </row>
    <row r="5671" spans="13:14" x14ac:dyDescent="0.35">
      <c r="M5671" s="46">
        <v>0.65962279269921353</v>
      </c>
      <c r="N5671" s="46">
        <v>0</v>
      </c>
    </row>
    <row r="5672" spans="13:14" x14ac:dyDescent="0.35">
      <c r="M5672" s="46">
        <v>0.6552325270811693</v>
      </c>
      <c r="N5672" s="46">
        <v>0</v>
      </c>
    </row>
    <row r="5673" spans="13:14" x14ac:dyDescent="0.35">
      <c r="M5673" s="46">
        <v>0.6761602611663452</v>
      </c>
      <c r="N5673" s="46">
        <v>0</v>
      </c>
    </row>
    <row r="5674" spans="13:14" x14ac:dyDescent="0.35">
      <c r="M5674" s="46">
        <v>0.7648838106543997</v>
      </c>
      <c r="N5674" s="46">
        <v>0</v>
      </c>
    </row>
    <row r="5675" spans="13:14" x14ac:dyDescent="0.35">
      <c r="M5675" s="46">
        <v>0.88482015135776815</v>
      </c>
      <c r="N5675" s="46">
        <v>0</v>
      </c>
    </row>
    <row r="5676" spans="13:14" x14ac:dyDescent="0.35">
      <c r="M5676" s="46">
        <v>0.9934882771924618</v>
      </c>
      <c r="N5676" s="46">
        <v>0</v>
      </c>
    </row>
    <row r="5677" spans="13:14" x14ac:dyDescent="0.35">
      <c r="M5677" s="46">
        <v>1</v>
      </c>
      <c r="N5677" s="46">
        <v>9.1793630982246188E-2</v>
      </c>
    </row>
    <row r="5678" spans="13:14" x14ac:dyDescent="0.35">
      <c r="M5678" s="46">
        <v>1</v>
      </c>
      <c r="N5678" s="46">
        <v>0.20934032889046458</v>
      </c>
    </row>
    <row r="5679" spans="13:14" x14ac:dyDescent="0.35">
      <c r="M5679" s="46">
        <v>1</v>
      </c>
      <c r="N5679" s="46">
        <v>0.29328642945410505</v>
      </c>
    </row>
    <row r="5680" spans="13:14" x14ac:dyDescent="0.35">
      <c r="M5680" s="46">
        <v>1</v>
      </c>
      <c r="N5680" s="46">
        <v>0.32884147449082901</v>
      </c>
    </row>
    <row r="5681" spans="13:14" x14ac:dyDescent="0.35">
      <c r="M5681" s="46">
        <v>1</v>
      </c>
      <c r="N5681" s="46">
        <v>0.28376814956842611</v>
      </c>
    </row>
    <row r="5682" spans="13:14" x14ac:dyDescent="0.35">
      <c r="M5682" s="46">
        <v>1</v>
      </c>
      <c r="N5682" s="46">
        <v>0.16999924507629152</v>
      </c>
    </row>
    <row r="5683" spans="13:14" x14ac:dyDescent="0.35">
      <c r="M5683" s="46">
        <v>0.98432935153583612</v>
      </c>
      <c r="N5683" s="46">
        <v>0</v>
      </c>
    </row>
    <row r="5684" spans="13:14" x14ac:dyDescent="0.35">
      <c r="M5684" s="46">
        <v>0.82260832467725176</v>
      </c>
      <c r="N5684" s="46">
        <v>0</v>
      </c>
    </row>
    <row r="5685" spans="13:14" x14ac:dyDescent="0.35">
      <c r="M5685" s="46">
        <v>0.69986800712271846</v>
      </c>
      <c r="N5685" s="46">
        <v>0</v>
      </c>
    </row>
    <row r="5686" spans="13:14" x14ac:dyDescent="0.35">
      <c r="M5686" s="46">
        <v>0.66168014542216946</v>
      </c>
      <c r="N5686" s="46">
        <v>0</v>
      </c>
    </row>
    <row r="5687" spans="13:14" x14ac:dyDescent="0.35">
      <c r="M5687" s="46">
        <v>0.66221954295889596</v>
      </c>
      <c r="N5687" s="46">
        <v>0</v>
      </c>
    </row>
    <row r="5688" spans="13:14" x14ac:dyDescent="0.35">
      <c r="M5688" s="46">
        <v>0.66235109066627096</v>
      </c>
      <c r="N5688" s="46">
        <v>0</v>
      </c>
    </row>
    <row r="5689" spans="13:14" x14ac:dyDescent="0.35">
      <c r="M5689" s="46">
        <v>0.66401290992728901</v>
      </c>
      <c r="N5689" s="46">
        <v>0</v>
      </c>
    </row>
    <row r="5690" spans="13:14" x14ac:dyDescent="0.35">
      <c r="M5690" s="46">
        <v>0.6635535687787506</v>
      </c>
      <c r="N5690" s="46">
        <v>0</v>
      </c>
    </row>
    <row r="5691" spans="13:14" x14ac:dyDescent="0.35">
      <c r="M5691" s="46">
        <v>0.66622006232378694</v>
      </c>
      <c r="N5691" s="46">
        <v>0</v>
      </c>
    </row>
    <row r="5692" spans="13:14" x14ac:dyDescent="0.35">
      <c r="M5692" s="46">
        <v>0.66898338032349025</v>
      </c>
      <c r="N5692" s="46">
        <v>0</v>
      </c>
    </row>
    <row r="5693" spans="13:14" x14ac:dyDescent="0.35">
      <c r="M5693" s="46">
        <v>0.67095652173913045</v>
      </c>
      <c r="N5693" s="46">
        <v>0</v>
      </c>
    </row>
    <row r="5694" spans="13:14" x14ac:dyDescent="0.35">
      <c r="M5694" s="46">
        <v>0.66993975367265179</v>
      </c>
      <c r="N5694" s="46">
        <v>0</v>
      </c>
    </row>
    <row r="5695" spans="13:14" x14ac:dyDescent="0.35">
      <c r="M5695" s="46">
        <v>0.66526680516397096</v>
      </c>
      <c r="N5695" s="46">
        <v>0</v>
      </c>
    </row>
    <row r="5696" spans="13:14" x14ac:dyDescent="0.35">
      <c r="M5696" s="46">
        <v>0.6567633921946876</v>
      </c>
      <c r="N5696" s="46">
        <v>0</v>
      </c>
    </row>
    <row r="5697" spans="13:14" x14ac:dyDescent="0.35">
      <c r="M5697" s="46">
        <v>0.66992832764505117</v>
      </c>
      <c r="N5697" s="46">
        <v>0</v>
      </c>
    </row>
    <row r="5698" spans="13:14" x14ac:dyDescent="0.35">
      <c r="M5698" s="46">
        <v>0.76108873720136516</v>
      </c>
      <c r="N5698" s="46">
        <v>0</v>
      </c>
    </row>
    <row r="5699" spans="13:14" x14ac:dyDescent="0.35">
      <c r="M5699" s="46">
        <v>0.88919669090369502</v>
      </c>
      <c r="N5699" s="46">
        <v>0</v>
      </c>
    </row>
    <row r="5700" spans="13:14" x14ac:dyDescent="0.35">
      <c r="M5700" s="46">
        <v>0.98481681258346943</v>
      </c>
      <c r="N5700" s="46">
        <v>0</v>
      </c>
    </row>
    <row r="5701" spans="13:14" x14ac:dyDescent="0.35">
      <c r="M5701" s="46">
        <v>1</v>
      </c>
      <c r="N5701" s="46">
        <v>3.921604843707658E-2</v>
      </c>
    </row>
    <row r="5702" spans="13:14" x14ac:dyDescent="0.35">
      <c r="M5702" s="46">
        <v>1</v>
      </c>
      <c r="N5702" s="46">
        <v>0.11710588083835995</v>
      </c>
    </row>
    <row r="5703" spans="13:14" x14ac:dyDescent="0.35">
      <c r="M5703" s="46">
        <v>1</v>
      </c>
      <c r="N5703" s="46">
        <v>0.17032502964768365</v>
      </c>
    </row>
    <row r="5704" spans="13:14" x14ac:dyDescent="0.35">
      <c r="M5704" s="46">
        <v>1</v>
      </c>
      <c r="N5704" s="46">
        <v>0.19513579899031389</v>
      </c>
    </row>
    <row r="5705" spans="13:14" x14ac:dyDescent="0.35">
      <c r="M5705" s="46">
        <v>1</v>
      </c>
      <c r="N5705" s="46">
        <v>0.17199767177821426</v>
      </c>
    </row>
    <row r="5706" spans="13:14" x14ac:dyDescent="0.35">
      <c r="M5706" s="46">
        <v>1</v>
      </c>
      <c r="N5706" s="46">
        <v>8.5048366364759334E-2</v>
      </c>
    </row>
    <row r="5707" spans="13:14" x14ac:dyDescent="0.35">
      <c r="M5707" s="46">
        <v>0.94113421872681402</v>
      </c>
      <c r="N5707" s="46">
        <v>0</v>
      </c>
    </row>
    <row r="5708" spans="13:14" x14ac:dyDescent="0.35">
      <c r="M5708" s="46">
        <v>0.78813065736756194</v>
      </c>
      <c r="N5708" s="46">
        <v>0</v>
      </c>
    </row>
    <row r="5709" spans="13:14" x14ac:dyDescent="0.35">
      <c r="M5709" s="46">
        <v>0.67087468467131628</v>
      </c>
      <c r="N5709" s="46">
        <v>0</v>
      </c>
    </row>
    <row r="5710" spans="13:14" x14ac:dyDescent="0.35">
      <c r="M5710" s="46">
        <v>0.63189249146757687</v>
      </c>
      <c r="N5710" s="46">
        <v>0</v>
      </c>
    </row>
    <row r="5711" spans="13:14" x14ac:dyDescent="0.35">
      <c r="M5711" s="46">
        <v>0.62317814215759015</v>
      </c>
      <c r="N5711" s="46">
        <v>0</v>
      </c>
    </row>
    <row r="5712" spans="13:14" x14ac:dyDescent="0.35">
      <c r="M5712" s="46">
        <v>0.59799035465202555</v>
      </c>
      <c r="N5712" s="46">
        <v>0</v>
      </c>
    </row>
    <row r="5713" spans="13:14" x14ac:dyDescent="0.35">
      <c r="M5713" s="46">
        <v>0.58387609437602017</v>
      </c>
      <c r="N5713" s="46">
        <v>0</v>
      </c>
    </row>
    <row r="5714" spans="13:14" x14ac:dyDescent="0.35">
      <c r="M5714" s="46">
        <v>0.57488410743433738</v>
      </c>
      <c r="N5714" s="46">
        <v>0</v>
      </c>
    </row>
    <row r="5715" spans="13:14" x14ac:dyDescent="0.35">
      <c r="M5715" s="46">
        <v>0.57050986793292779</v>
      </c>
      <c r="N5715" s="46">
        <v>0</v>
      </c>
    </row>
    <row r="5716" spans="13:14" x14ac:dyDescent="0.35">
      <c r="M5716" s="46">
        <v>0.56690540139486567</v>
      </c>
      <c r="N5716" s="46">
        <v>0</v>
      </c>
    </row>
    <row r="5717" spans="13:14" x14ac:dyDescent="0.35">
      <c r="M5717" s="46">
        <v>0.56202693277934412</v>
      </c>
      <c r="N5717" s="46">
        <v>0</v>
      </c>
    </row>
    <row r="5718" spans="13:14" x14ac:dyDescent="0.35">
      <c r="M5718" s="46">
        <v>0.55086548449324824</v>
      </c>
      <c r="N5718" s="46">
        <v>0</v>
      </c>
    </row>
    <row r="5719" spans="13:14" x14ac:dyDescent="0.35">
      <c r="M5719" s="46">
        <v>0.53172013651877137</v>
      </c>
      <c r="N5719" s="46">
        <v>0</v>
      </c>
    </row>
    <row r="5720" spans="13:14" x14ac:dyDescent="0.35">
      <c r="M5720" s="46">
        <v>0.50444353761685712</v>
      </c>
      <c r="N5720" s="46">
        <v>0</v>
      </c>
    </row>
    <row r="5721" spans="13:14" x14ac:dyDescent="0.35">
      <c r="M5721" s="46">
        <v>0.50715083840332398</v>
      </c>
      <c r="N5721" s="46">
        <v>0</v>
      </c>
    </row>
    <row r="5722" spans="13:14" x14ac:dyDescent="0.35">
      <c r="M5722" s="46">
        <v>0.59162405401394869</v>
      </c>
      <c r="N5722" s="46">
        <v>0</v>
      </c>
    </row>
    <row r="5723" spans="13:14" x14ac:dyDescent="0.35">
      <c r="M5723" s="46">
        <v>0.72424202403917504</v>
      </c>
      <c r="N5723" s="46">
        <v>0</v>
      </c>
    </row>
    <row r="5724" spans="13:14" x14ac:dyDescent="0.35">
      <c r="M5724" s="46">
        <v>0.82668444873126579</v>
      </c>
      <c r="N5724" s="46">
        <v>0</v>
      </c>
    </row>
    <row r="5725" spans="13:14" x14ac:dyDescent="0.35">
      <c r="M5725" s="46">
        <v>0.89380768660038579</v>
      </c>
      <c r="N5725" s="46">
        <v>0</v>
      </c>
    </row>
    <row r="5726" spans="13:14" x14ac:dyDescent="0.35">
      <c r="M5726" s="46">
        <v>0.95739931740614326</v>
      </c>
      <c r="N5726" s="46">
        <v>0</v>
      </c>
    </row>
    <row r="5727" spans="13:14" x14ac:dyDescent="0.35">
      <c r="M5727" s="46">
        <v>0.99475604689123021</v>
      </c>
      <c r="N5727" s="46">
        <v>0</v>
      </c>
    </row>
    <row r="5728" spans="13:14" x14ac:dyDescent="0.35">
      <c r="M5728" s="46">
        <v>1</v>
      </c>
      <c r="N5728" s="46">
        <v>1.0848608545376733E-2</v>
      </c>
    </row>
    <row r="5729" spans="13:14" x14ac:dyDescent="0.35">
      <c r="M5729" s="46">
        <v>0.98664245437008458</v>
      </c>
      <c r="N5729" s="46">
        <v>0</v>
      </c>
    </row>
    <row r="5730" spans="13:14" x14ac:dyDescent="0.35">
      <c r="M5730" s="46">
        <v>0.91337639115595781</v>
      </c>
      <c r="N5730" s="46">
        <v>0</v>
      </c>
    </row>
    <row r="5731" spans="13:14" x14ac:dyDescent="0.35">
      <c r="M5731" s="46">
        <v>0.79274417569372313</v>
      </c>
      <c r="N5731" s="46">
        <v>0</v>
      </c>
    </row>
    <row r="5732" spans="13:14" x14ac:dyDescent="0.35">
      <c r="M5732" s="46">
        <v>0.64542083395162486</v>
      </c>
      <c r="N5732" s="46">
        <v>0</v>
      </c>
    </row>
    <row r="5733" spans="13:14" x14ac:dyDescent="0.35">
      <c r="M5733" s="46">
        <v>0.53764260276005338</v>
      </c>
      <c r="N5733" s="46">
        <v>0</v>
      </c>
    </row>
    <row r="5734" spans="13:14" x14ac:dyDescent="0.35">
      <c r="M5734" s="46">
        <v>0.50577504080724145</v>
      </c>
      <c r="N5734" s="46">
        <v>0</v>
      </c>
    </row>
    <row r="5735" spans="13:14" x14ac:dyDescent="0.35">
      <c r="M5735" s="46">
        <v>0.49960862145718954</v>
      </c>
      <c r="N5735" s="46">
        <v>0</v>
      </c>
    </row>
    <row r="5736" spans="13:14" x14ac:dyDescent="0.35">
      <c r="M5736" s="46">
        <v>0.46956306573675616</v>
      </c>
      <c r="N5736" s="46">
        <v>0</v>
      </c>
    </row>
    <row r="5737" spans="13:14" x14ac:dyDescent="0.35">
      <c r="M5737" s="46">
        <v>0.46506091408220807</v>
      </c>
      <c r="N5737" s="46">
        <v>0</v>
      </c>
    </row>
    <row r="5738" spans="13:14" x14ac:dyDescent="0.35">
      <c r="M5738" s="46">
        <v>0.46765499332245142</v>
      </c>
      <c r="N5738" s="46">
        <v>0</v>
      </c>
    </row>
    <row r="5739" spans="13:14" x14ac:dyDescent="0.35">
      <c r="M5739" s="46">
        <v>0.47438907849829348</v>
      </c>
      <c r="N5739" s="46">
        <v>0</v>
      </c>
    </row>
    <row r="5740" spans="13:14" x14ac:dyDescent="0.35">
      <c r="M5740" s="46">
        <v>0.47840473364000596</v>
      </c>
      <c r="N5740" s="46">
        <v>0</v>
      </c>
    </row>
    <row r="5741" spans="13:14" x14ac:dyDescent="0.35">
      <c r="M5741" s="46">
        <v>0.47564423504971065</v>
      </c>
      <c r="N5741" s="46">
        <v>0</v>
      </c>
    </row>
    <row r="5742" spans="13:14" x14ac:dyDescent="0.35">
      <c r="M5742" s="46">
        <v>0.47065358361774745</v>
      </c>
      <c r="N5742" s="46">
        <v>0</v>
      </c>
    </row>
    <row r="5743" spans="13:14" x14ac:dyDescent="0.35">
      <c r="M5743" s="46">
        <v>0.46640094969580059</v>
      </c>
      <c r="N5743" s="46">
        <v>0</v>
      </c>
    </row>
    <row r="5744" spans="13:14" x14ac:dyDescent="0.35">
      <c r="M5744" s="46">
        <v>0.45954318148093187</v>
      </c>
      <c r="N5744" s="46">
        <v>0</v>
      </c>
    </row>
    <row r="5745" spans="13:14" x14ac:dyDescent="0.35">
      <c r="M5745" s="46">
        <v>0.48157968541326607</v>
      </c>
      <c r="N5745" s="46">
        <v>0</v>
      </c>
    </row>
    <row r="5746" spans="13:14" x14ac:dyDescent="0.35">
      <c r="M5746" s="46">
        <v>0.59741556610773106</v>
      </c>
      <c r="N5746" s="46">
        <v>0</v>
      </c>
    </row>
    <row r="5747" spans="13:14" x14ac:dyDescent="0.35">
      <c r="M5747" s="46">
        <v>0.75657582727407635</v>
      </c>
      <c r="N5747" s="46">
        <v>0</v>
      </c>
    </row>
    <row r="5748" spans="13:14" x14ac:dyDescent="0.35">
      <c r="M5748" s="46">
        <v>0.88902062620566846</v>
      </c>
      <c r="N5748" s="46">
        <v>0</v>
      </c>
    </row>
    <row r="5749" spans="13:14" x14ac:dyDescent="0.35">
      <c r="M5749" s="46">
        <v>0.97986199732898061</v>
      </c>
      <c r="N5749" s="46">
        <v>0</v>
      </c>
    </row>
    <row r="5750" spans="13:14" x14ac:dyDescent="0.35">
      <c r="M5750" s="46">
        <v>1</v>
      </c>
      <c r="N5750" s="46">
        <v>5.6426411462220619E-2</v>
      </c>
    </row>
    <row r="5751" spans="13:14" x14ac:dyDescent="0.35">
      <c r="M5751" s="46">
        <v>1</v>
      </c>
      <c r="N5751" s="46">
        <v>9.4902321045244029E-2</v>
      </c>
    </row>
    <row r="5752" spans="13:14" x14ac:dyDescent="0.35">
      <c r="M5752" s="46">
        <v>1</v>
      </c>
      <c r="N5752" s="46">
        <v>0.1013294578618494</v>
      </c>
    </row>
    <row r="5753" spans="13:14" x14ac:dyDescent="0.35">
      <c r="M5753" s="46">
        <v>1</v>
      </c>
      <c r="N5753" s="46">
        <v>7.0616095112329871E-2</v>
      </c>
    </row>
    <row r="5754" spans="13:14" x14ac:dyDescent="0.35">
      <c r="M5754" s="46">
        <v>0.99433499035465212</v>
      </c>
      <c r="N5754" s="46">
        <v>0</v>
      </c>
    </row>
    <row r="5755" spans="13:14" x14ac:dyDescent="0.35">
      <c r="M5755" s="46">
        <v>0.89366137409111146</v>
      </c>
      <c r="N5755" s="46">
        <v>0</v>
      </c>
    </row>
    <row r="5756" spans="13:14" x14ac:dyDescent="0.35">
      <c r="M5756" s="46">
        <v>0.75752804570411036</v>
      </c>
      <c r="N5756" s="46">
        <v>0</v>
      </c>
    </row>
    <row r="5757" spans="13:14" x14ac:dyDescent="0.35">
      <c r="M5757" s="46">
        <v>0.65912323786912008</v>
      </c>
      <c r="N5757" s="46">
        <v>0</v>
      </c>
    </row>
    <row r="5758" spans="13:14" x14ac:dyDescent="0.35">
      <c r="M5758" s="46">
        <v>0.64066560320522326</v>
      </c>
      <c r="N5758" s="46">
        <v>0</v>
      </c>
    </row>
    <row r="5759" spans="13:14" x14ac:dyDescent="0.35">
      <c r="M5759" s="46">
        <v>0.6500758272740762</v>
      </c>
      <c r="N5759" s="46">
        <v>0</v>
      </c>
    </row>
    <row r="5760" spans="13:14" x14ac:dyDescent="0.35">
      <c r="M5760" s="46">
        <v>0.65075664045110548</v>
      </c>
      <c r="N5760" s="46">
        <v>0</v>
      </c>
    </row>
    <row r="5761" spans="13:14" x14ac:dyDescent="0.35">
      <c r="M5761" s="46">
        <v>0.64614386407478863</v>
      </c>
      <c r="N5761" s="46">
        <v>0</v>
      </c>
    </row>
    <row r="5762" spans="13:14" x14ac:dyDescent="0.35">
      <c r="M5762" s="46">
        <v>0.63559511797002521</v>
      </c>
      <c r="N5762" s="46">
        <v>0</v>
      </c>
    </row>
    <row r="5763" spans="13:14" x14ac:dyDescent="0.35">
      <c r="M5763" s="46">
        <v>0.61737238462679922</v>
      </c>
      <c r="N5763" s="46">
        <v>0</v>
      </c>
    </row>
    <row r="5764" spans="13:14" x14ac:dyDescent="0.35">
      <c r="M5764" s="46">
        <v>0.59858732749666121</v>
      </c>
      <c r="N5764" s="46">
        <v>0</v>
      </c>
    </row>
    <row r="5765" spans="13:14" x14ac:dyDescent="0.35">
      <c r="M5765" s="46">
        <v>0.57830494138596233</v>
      </c>
      <c r="N5765" s="46">
        <v>0</v>
      </c>
    </row>
    <row r="5766" spans="13:14" x14ac:dyDescent="0.35">
      <c r="M5766" s="46">
        <v>0.56865217391304346</v>
      </c>
      <c r="N5766" s="46">
        <v>0</v>
      </c>
    </row>
    <row r="5767" spans="13:14" x14ac:dyDescent="0.35">
      <c r="M5767" s="46">
        <v>0.55816233862590892</v>
      </c>
      <c r="N5767" s="46">
        <v>0</v>
      </c>
    </row>
    <row r="5768" spans="13:14" x14ac:dyDescent="0.35">
      <c r="M5768" s="46">
        <v>0.55795080872533009</v>
      </c>
      <c r="N5768" s="46">
        <v>0</v>
      </c>
    </row>
    <row r="5769" spans="13:14" x14ac:dyDescent="0.35">
      <c r="M5769" s="46">
        <v>0.58514779640896275</v>
      </c>
      <c r="N5769" s="46">
        <v>0</v>
      </c>
    </row>
    <row r="5770" spans="13:14" x14ac:dyDescent="0.35">
      <c r="M5770" s="46">
        <v>0.69744962160557955</v>
      </c>
      <c r="N5770" s="46">
        <v>0</v>
      </c>
    </row>
    <row r="5771" spans="13:14" x14ac:dyDescent="0.35">
      <c r="M5771" s="46">
        <v>0.84803783944205369</v>
      </c>
      <c r="N5771" s="46">
        <v>0</v>
      </c>
    </row>
    <row r="5772" spans="13:14" x14ac:dyDescent="0.35">
      <c r="M5772" s="46">
        <v>0.963459637928476</v>
      </c>
      <c r="N5772" s="46">
        <v>0</v>
      </c>
    </row>
    <row r="5773" spans="13:14" x14ac:dyDescent="0.35">
      <c r="M5773" s="46">
        <v>1</v>
      </c>
      <c r="N5773" s="46">
        <v>3.9425551271799461E-2</v>
      </c>
    </row>
    <row r="5774" spans="13:14" x14ac:dyDescent="0.35">
      <c r="M5774" s="46">
        <v>1</v>
      </c>
      <c r="N5774" s="46">
        <v>0.11780602597748009</v>
      </c>
    </row>
    <row r="5775" spans="13:14" x14ac:dyDescent="0.35">
      <c r="M5775" s="46">
        <v>1</v>
      </c>
      <c r="N5775" s="46">
        <v>0.17288610773406782</v>
      </c>
    </row>
    <row r="5776" spans="13:14" x14ac:dyDescent="0.35">
      <c r="M5776" s="46">
        <v>1</v>
      </c>
      <c r="N5776" s="46">
        <v>0.19376214870422737</v>
      </c>
    </row>
    <row r="5777" spans="13:14" x14ac:dyDescent="0.35">
      <c r="M5777" s="46">
        <v>1</v>
      </c>
      <c r="N5777" s="46">
        <v>0.16659743784743841</v>
      </c>
    </row>
    <row r="5778" spans="13:14" x14ac:dyDescent="0.35">
      <c r="M5778" s="46">
        <v>1</v>
      </c>
      <c r="N5778" s="46">
        <v>7.2814907723467687E-2</v>
      </c>
    </row>
    <row r="5779" spans="13:14" x14ac:dyDescent="0.35">
      <c r="M5779" s="46">
        <v>0.92326480189939164</v>
      </c>
      <c r="N5779" s="46">
        <v>0</v>
      </c>
    </row>
    <row r="5780" spans="13:14" x14ac:dyDescent="0.35">
      <c r="M5780" s="46">
        <v>0.76923208191126269</v>
      </c>
      <c r="N5780" s="46">
        <v>0</v>
      </c>
    </row>
    <row r="5781" spans="13:14" x14ac:dyDescent="0.35">
      <c r="M5781" s="46">
        <v>0.65482222881733188</v>
      </c>
      <c r="N5781" s="46">
        <v>0</v>
      </c>
    </row>
    <row r="5782" spans="13:14" x14ac:dyDescent="0.35">
      <c r="M5782" s="46">
        <v>0.62306017213236387</v>
      </c>
      <c r="N5782" s="46">
        <v>0</v>
      </c>
    </row>
    <row r="5783" spans="13:14" x14ac:dyDescent="0.35">
      <c r="M5783" s="46">
        <v>0.61316322896572195</v>
      </c>
      <c r="N5783" s="46">
        <v>0</v>
      </c>
    </row>
    <row r="5784" spans="13:14" x14ac:dyDescent="0.35">
      <c r="M5784" s="46">
        <v>0.56653220062323784</v>
      </c>
      <c r="N5784" s="46">
        <v>0</v>
      </c>
    </row>
    <row r="5785" spans="13:14" x14ac:dyDescent="0.35">
      <c r="M5785" s="46">
        <v>0.5407694019884256</v>
      </c>
      <c r="N5785" s="46">
        <v>0</v>
      </c>
    </row>
    <row r="5786" spans="13:14" x14ac:dyDescent="0.35">
      <c r="M5786" s="46">
        <v>0.50980308651135187</v>
      </c>
      <c r="N5786" s="46">
        <v>0</v>
      </c>
    </row>
    <row r="5787" spans="13:14" x14ac:dyDescent="0.35">
      <c r="M5787" s="46">
        <v>0.47200400652915864</v>
      </c>
      <c r="N5787" s="46">
        <v>0</v>
      </c>
    </row>
    <row r="5788" spans="13:14" x14ac:dyDescent="0.35">
      <c r="M5788" s="46">
        <v>0.43476791808873716</v>
      </c>
      <c r="N5788" s="46">
        <v>0</v>
      </c>
    </row>
    <row r="5789" spans="13:14" x14ac:dyDescent="0.35">
      <c r="M5789" s="46">
        <v>0.40361863778008605</v>
      </c>
      <c r="N5789" s="46">
        <v>0</v>
      </c>
    </row>
    <row r="5790" spans="13:14" x14ac:dyDescent="0.35">
      <c r="M5790" s="46">
        <v>0.37023386259088886</v>
      </c>
      <c r="N5790" s="46">
        <v>0</v>
      </c>
    </row>
    <row r="5791" spans="13:14" x14ac:dyDescent="0.35">
      <c r="M5791" s="46">
        <v>0.33479477667309687</v>
      </c>
      <c r="N5791" s="46">
        <v>0</v>
      </c>
    </row>
    <row r="5792" spans="13:14" x14ac:dyDescent="0.35">
      <c r="M5792" s="46">
        <v>0.30654481377058912</v>
      </c>
      <c r="N5792" s="46">
        <v>0</v>
      </c>
    </row>
    <row r="5793" spans="13:14" x14ac:dyDescent="0.35">
      <c r="M5793" s="46">
        <v>0.29995355393975365</v>
      </c>
      <c r="N5793" s="46">
        <v>0</v>
      </c>
    </row>
    <row r="5794" spans="13:14" x14ac:dyDescent="0.35">
      <c r="M5794" s="46">
        <v>0.37518919721026861</v>
      </c>
      <c r="N5794" s="46">
        <v>0</v>
      </c>
    </row>
    <row r="5795" spans="13:14" x14ac:dyDescent="0.35">
      <c r="M5795" s="46">
        <v>0.48356262056684973</v>
      </c>
      <c r="N5795" s="46">
        <v>0</v>
      </c>
    </row>
    <row r="5796" spans="13:14" x14ac:dyDescent="0.35">
      <c r="M5796" s="46">
        <v>0.56927919572636887</v>
      </c>
      <c r="N5796" s="46">
        <v>0</v>
      </c>
    </row>
    <row r="5797" spans="13:14" x14ac:dyDescent="0.35">
      <c r="M5797" s="46">
        <v>0.62587972993025676</v>
      </c>
      <c r="N5797" s="46">
        <v>0</v>
      </c>
    </row>
    <row r="5798" spans="13:14" x14ac:dyDescent="0.35">
      <c r="M5798" s="46">
        <v>0.66727096008309827</v>
      </c>
      <c r="N5798" s="46">
        <v>0</v>
      </c>
    </row>
    <row r="5799" spans="13:14" x14ac:dyDescent="0.35">
      <c r="M5799" s="46">
        <v>0.69187869120047485</v>
      </c>
      <c r="N5799" s="46">
        <v>0</v>
      </c>
    </row>
    <row r="5800" spans="13:14" x14ac:dyDescent="0.35">
      <c r="M5800" s="46">
        <v>0.70432015135776815</v>
      </c>
      <c r="N5800" s="46">
        <v>0</v>
      </c>
    </row>
    <row r="5801" spans="13:14" x14ac:dyDescent="0.35">
      <c r="M5801" s="46">
        <v>0.7054971063956077</v>
      </c>
      <c r="N5801" s="46">
        <v>0</v>
      </c>
    </row>
    <row r="5802" spans="13:14" x14ac:dyDescent="0.35">
      <c r="M5802" s="46">
        <v>0.67621078795073442</v>
      </c>
      <c r="N5802" s="46">
        <v>0</v>
      </c>
    </row>
    <row r="5803" spans="13:14" x14ac:dyDescent="0.35">
      <c r="M5803" s="46">
        <v>0.58900333877429889</v>
      </c>
      <c r="N5803" s="46">
        <v>0</v>
      </c>
    </row>
    <row r="5804" spans="13:14" x14ac:dyDescent="0.35">
      <c r="M5804" s="46">
        <v>0.4529493990206262</v>
      </c>
      <c r="N5804" s="46">
        <v>0</v>
      </c>
    </row>
    <row r="5805" spans="13:14" x14ac:dyDescent="0.35">
      <c r="M5805" s="46">
        <v>0.34682883217094523</v>
      </c>
      <c r="N5805" s="46">
        <v>0</v>
      </c>
    </row>
    <row r="5806" spans="13:14" x14ac:dyDescent="0.35">
      <c r="M5806" s="46">
        <v>0.30493574714349309</v>
      </c>
      <c r="N5806" s="46">
        <v>0</v>
      </c>
    </row>
    <row r="5807" spans="13:14" x14ac:dyDescent="0.35">
      <c r="M5807" s="46">
        <v>0.27973185932630956</v>
      </c>
      <c r="N5807" s="46">
        <v>0</v>
      </c>
    </row>
    <row r="5808" spans="13:14" x14ac:dyDescent="0.35">
      <c r="M5808" s="46">
        <v>0.22220692981154475</v>
      </c>
      <c r="N5808" s="46">
        <v>0</v>
      </c>
    </row>
    <row r="5809" spans="13:14" x14ac:dyDescent="0.35">
      <c r="M5809" s="46">
        <v>0.19684841964683189</v>
      </c>
      <c r="N5809" s="46">
        <v>0</v>
      </c>
    </row>
    <row r="5810" spans="13:14" x14ac:dyDescent="0.35">
      <c r="M5810" s="46">
        <v>0.17526732452886187</v>
      </c>
      <c r="N5810" s="46">
        <v>0</v>
      </c>
    </row>
    <row r="5811" spans="13:14" x14ac:dyDescent="0.35">
      <c r="M5811" s="46">
        <v>0.1503691942424692</v>
      </c>
      <c r="N5811" s="46">
        <v>0</v>
      </c>
    </row>
    <row r="5812" spans="13:14" x14ac:dyDescent="0.35">
      <c r="M5812" s="46">
        <v>0.13034738091705</v>
      </c>
      <c r="N5812" s="46">
        <v>0</v>
      </c>
    </row>
    <row r="5813" spans="13:14" x14ac:dyDescent="0.35">
      <c r="M5813" s="46">
        <v>0.11073987238462679</v>
      </c>
      <c r="N5813" s="46">
        <v>0</v>
      </c>
    </row>
    <row r="5814" spans="13:14" x14ac:dyDescent="0.35">
      <c r="M5814" s="46">
        <v>9.424254340406589E-2</v>
      </c>
      <c r="N5814" s="46">
        <v>0</v>
      </c>
    </row>
    <row r="5815" spans="13:14" x14ac:dyDescent="0.35">
      <c r="M5815" s="46">
        <v>7.7570633625166946E-2</v>
      </c>
      <c r="N5815" s="46">
        <v>0</v>
      </c>
    </row>
    <row r="5816" spans="13:14" x14ac:dyDescent="0.35">
      <c r="M5816" s="46">
        <v>6.5690310135034874E-2</v>
      </c>
      <c r="N5816" s="46">
        <v>0</v>
      </c>
    </row>
    <row r="5817" spans="13:14" x14ac:dyDescent="0.35">
      <c r="M5817" s="46">
        <v>8.2976776969876848E-2</v>
      </c>
      <c r="N5817" s="46">
        <v>0</v>
      </c>
    </row>
    <row r="5818" spans="13:14" x14ac:dyDescent="0.35">
      <c r="M5818" s="46">
        <v>0.1862993767621309</v>
      </c>
      <c r="N5818" s="46">
        <v>0</v>
      </c>
    </row>
    <row r="5819" spans="13:14" x14ac:dyDescent="0.35">
      <c r="M5819" s="46">
        <v>0.33517072265914821</v>
      </c>
      <c r="N5819" s="46">
        <v>0</v>
      </c>
    </row>
    <row r="5820" spans="13:14" x14ac:dyDescent="0.35">
      <c r="M5820" s="46">
        <v>0.46526769550378394</v>
      </c>
      <c r="N5820" s="46">
        <v>0</v>
      </c>
    </row>
    <row r="5821" spans="13:14" x14ac:dyDescent="0.35">
      <c r="M5821" s="46">
        <v>0.55561559578572495</v>
      </c>
      <c r="N5821" s="46">
        <v>0</v>
      </c>
    </row>
    <row r="5822" spans="13:14" x14ac:dyDescent="0.35">
      <c r="M5822" s="46">
        <v>0.607885813918979</v>
      </c>
      <c r="N5822" s="46">
        <v>0</v>
      </c>
    </row>
    <row r="5823" spans="13:14" x14ac:dyDescent="0.35">
      <c r="M5823" s="46">
        <v>0.62427363110253742</v>
      </c>
      <c r="N5823" s="46">
        <v>0</v>
      </c>
    </row>
    <row r="5824" spans="13:14" x14ac:dyDescent="0.35">
      <c r="M5824" s="46">
        <v>0.6136010535687787</v>
      </c>
      <c r="N5824" s="46">
        <v>0</v>
      </c>
    </row>
    <row r="5825" spans="13:14" x14ac:dyDescent="0.35">
      <c r="M5825" s="46">
        <v>0.57843085027452146</v>
      </c>
      <c r="N5825" s="46">
        <v>0</v>
      </c>
    </row>
    <row r="5826" spans="13:14" x14ac:dyDescent="0.35">
      <c r="M5826" s="46">
        <v>0.50204236533610325</v>
      </c>
      <c r="N5826" s="46">
        <v>0</v>
      </c>
    </row>
    <row r="5827" spans="13:14" x14ac:dyDescent="0.35">
      <c r="M5827" s="46">
        <v>0.3813280160261166</v>
      </c>
      <c r="N5827" s="46">
        <v>0</v>
      </c>
    </row>
    <row r="5828" spans="13:14" x14ac:dyDescent="0.35">
      <c r="M5828" s="46">
        <v>0.23778171835583917</v>
      </c>
      <c r="N5828" s="46">
        <v>0</v>
      </c>
    </row>
    <row r="5829" spans="13:14" x14ac:dyDescent="0.35">
      <c r="M5829" s="46">
        <v>0.13155661077311173</v>
      </c>
      <c r="N5829" s="46">
        <v>0</v>
      </c>
    </row>
    <row r="5830" spans="13:14" x14ac:dyDescent="0.35">
      <c r="M5830" s="46">
        <v>9.5114037691052075E-2</v>
      </c>
      <c r="N5830" s="46">
        <v>0</v>
      </c>
    </row>
    <row r="5831" spans="13:14" x14ac:dyDescent="0.35">
      <c r="M5831" s="46">
        <v>9.0049191274669829E-2</v>
      </c>
      <c r="N5831" s="46">
        <v>0</v>
      </c>
    </row>
    <row r="5832" spans="13:14" x14ac:dyDescent="0.35">
      <c r="M5832" s="46">
        <v>6.9168571004600096E-2</v>
      </c>
      <c r="N5832" s="46">
        <v>0</v>
      </c>
    </row>
    <row r="5833" spans="13:14" x14ac:dyDescent="0.35">
      <c r="M5833" s="46">
        <v>6.5938492357916614E-2</v>
      </c>
      <c r="N5833" s="46">
        <v>0</v>
      </c>
    </row>
    <row r="5834" spans="13:14" x14ac:dyDescent="0.35">
      <c r="M5834" s="46">
        <v>6.6006529158628868E-2</v>
      </c>
      <c r="N5834" s="46">
        <v>0</v>
      </c>
    </row>
    <row r="5835" spans="13:14" x14ac:dyDescent="0.35">
      <c r="M5835" s="46">
        <v>5.8646609289212046E-2</v>
      </c>
      <c r="N5835" s="46">
        <v>0</v>
      </c>
    </row>
    <row r="5836" spans="13:14" x14ac:dyDescent="0.35">
      <c r="M5836" s="46">
        <v>5.5176213087995252E-2</v>
      </c>
      <c r="N5836" s="46">
        <v>0</v>
      </c>
    </row>
    <row r="5837" spans="13:14" x14ac:dyDescent="0.35">
      <c r="M5837" s="46">
        <v>5.3129247662857995E-2</v>
      </c>
      <c r="N5837" s="46">
        <v>0</v>
      </c>
    </row>
    <row r="5838" spans="13:14" x14ac:dyDescent="0.35">
      <c r="M5838" s="46">
        <v>5.1574417569372311E-2</v>
      </c>
      <c r="N5838" s="46">
        <v>0</v>
      </c>
    </row>
    <row r="5839" spans="13:14" x14ac:dyDescent="0.35">
      <c r="M5839" s="46">
        <v>5.1553939753672652E-2</v>
      </c>
      <c r="N5839" s="46">
        <v>0</v>
      </c>
    </row>
    <row r="5840" spans="13:14" x14ac:dyDescent="0.35">
      <c r="M5840" s="46">
        <v>4.8848864816738391E-2</v>
      </c>
      <c r="N5840" s="46">
        <v>0</v>
      </c>
    </row>
    <row r="5841" spans="13:14" x14ac:dyDescent="0.35">
      <c r="M5841" s="46">
        <v>6.9051936489093343E-2</v>
      </c>
      <c r="N5841" s="46">
        <v>0</v>
      </c>
    </row>
    <row r="5842" spans="13:14" x14ac:dyDescent="0.35">
      <c r="M5842" s="46">
        <v>0.17652700697432855</v>
      </c>
      <c r="N5842" s="46">
        <v>0</v>
      </c>
    </row>
    <row r="5843" spans="13:14" x14ac:dyDescent="0.35">
      <c r="M5843" s="46">
        <v>0.32419528119899094</v>
      </c>
      <c r="N5843" s="46">
        <v>0</v>
      </c>
    </row>
    <row r="5844" spans="13:14" x14ac:dyDescent="0.35">
      <c r="M5844" s="46">
        <v>0.45186333283870012</v>
      </c>
      <c r="N5844" s="46">
        <v>0</v>
      </c>
    </row>
    <row r="5845" spans="13:14" x14ac:dyDescent="0.35">
      <c r="M5845" s="46">
        <v>0.53710031161893457</v>
      </c>
      <c r="N5845" s="46">
        <v>0</v>
      </c>
    </row>
    <row r="5846" spans="13:14" x14ac:dyDescent="0.35">
      <c r="M5846" s="46">
        <v>0.59080761240540136</v>
      </c>
      <c r="N5846" s="46">
        <v>0</v>
      </c>
    </row>
    <row r="5847" spans="13:14" x14ac:dyDescent="0.35">
      <c r="M5847" s="46">
        <v>0.60953427808280158</v>
      </c>
      <c r="N5847" s="46">
        <v>0</v>
      </c>
    </row>
    <row r="5848" spans="13:14" x14ac:dyDescent="0.35">
      <c r="M5848" s="46">
        <v>0.59569268437453626</v>
      </c>
      <c r="N5848" s="46">
        <v>0</v>
      </c>
    </row>
    <row r="5849" spans="13:14" x14ac:dyDescent="0.35">
      <c r="M5849" s="46">
        <v>0.56123104318148098</v>
      </c>
      <c r="N5849" s="46">
        <v>0</v>
      </c>
    </row>
    <row r="5850" spans="13:14" x14ac:dyDescent="0.35">
      <c r="M5850" s="46">
        <v>0.47969676509867931</v>
      </c>
      <c r="N5850" s="46">
        <v>0</v>
      </c>
    </row>
    <row r="5851" spans="13:14" x14ac:dyDescent="0.35">
      <c r="M5851" s="46">
        <v>0.35077860216649354</v>
      </c>
      <c r="N5851" s="46">
        <v>0</v>
      </c>
    </row>
    <row r="5852" spans="13:14" x14ac:dyDescent="0.35">
      <c r="M5852" s="46">
        <v>0.19565432556759163</v>
      </c>
      <c r="N5852" s="46">
        <v>0</v>
      </c>
    </row>
    <row r="5853" spans="13:14" x14ac:dyDescent="0.35">
      <c r="M5853" s="46">
        <v>8.2615447395756048E-2</v>
      </c>
      <c r="N5853" s="46">
        <v>0</v>
      </c>
    </row>
    <row r="5854" spans="13:14" x14ac:dyDescent="0.35">
      <c r="M5854" s="46">
        <v>5.9489464312212491E-2</v>
      </c>
      <c r="N5854" s="46">
        <v>0</v>
      </c>
    </row>
    <row r="5855" spans="13:14" x14ac:dyDescent="0.35">
      <c r="M5855" s="46">
        <v>5.1181555126873425E-2</v>
      </c>
      <c r="N5855" s="46">
        <v>0</v>
      </c>
    </row>
    <row r="5856" spans="13:14" x14ac:dyDescent="0.35">
      <c r="M5856" s="46">
        <v>4.126487609437602E-2</v>
      </c>
      <c r="N5856" s="46">
        <v>0</v>
      </c>
    </row>
    <row r="5857" spans="13:14" x14ac:dyDescent="0.35">
      <c r="M5857" s="46">
        <v>3.8484790028194091E-2</v>
      </c>
      <c r="N5857" s="46">
        <v>0</v>
      </c>
    </row>
    <row r="5858" spans="13:14" x14ac:dyDescent="0.35">
      <c r="M5858" s="46">
        <v>3.3383291289508829E-2</v>
      </c>
      <c r="N5858" s="46">
        <v>0</v>
      </c>
    </row>
    <row r="5859" spans="13:14" x14ac:dyDescent="0.35">
      <c r="M5859" s="46">
        <v>2.8172577533758715E-2</v>
      </c>
      <c r="N5859" s="46">
        <v>0</v>
      </c>
    </row>
    <row r="5860" spans="13:14" x14ac:dyDescent="0.35">
      <c r="M5860" s="46">
        <v>2.4763540584656477E-2</v>
      </c>
      <c r="N5860" s="46">
        <v>0</v>
      </c>
    </row>
    <row r="5861" spans="13:14" x14ac:dyDescent="0.35">
      <c r="M5861" s="46">
        <v>2.4257234010980858E-2</v>
      </c>
      <c r="N5861" s="46">
        <v>0</v>
      </c>
    </row>
    <row r="5862" spans="13:14" x14ac:dyDescent="0.35">
      <c r="M5862" s="46">
        <v>2.3497403175545332E-2</v>
      </c>
      <c r="N5862" s="46">
        <v>0</v>
      </c>
    </row>
    <row r="5863" spans="13:14" x14ac:dyDescent="0.35">
      <c r="M5863" s="46">
        <v>2.0999703220062324E-2</v>
      </c>
      <c r="N5863" s="46">
        <v>0</v>
      </c>
    </row>
    <row r="5864" spans="13:14" x14ac:dyDescent="0.35">
      <c r="M5864" s="46">
        <v>2.0137409111144085E-2</v>
      </c>
      <c r="N5864" s="46">
        <v>0</v>
      </c>
    </row>
    <row r="5865" spans="13:14" x14ac:dyDescent="0.35">
      <c r="M5865" s="46">
        <v>4.1422021071375568E-2</v>
      </c>
      <c r="N5865" s="46">
        <v>0</v>
      </c>
    </row>
    <row r="5866" spans="13:14" x14ac:dyDescent="0.35">
      <c r="M5866" s="46">
        <v>0.15394991838551714</v>
      </c>
      <c r="N5866" s="46">
        <v>0</v>
      </c>
    </row>
    <row r="5867" spans="13:14" x14ac:dyDescent="0.35">
      <c r="M5867" s="46">
        <v>0.31346794776673098</v>
      </c>
      <c r="N5867" s="46">
        <v>0</v>
      </c>
    </row>
    <row r="5868" spans="13:14" x14ac:dyDescent="0.35">
      <c r="M5868" s="46">
        <v>0.45168830687045552</v>
      </c>
      <c r="N5868" s="46">
        <v>0</v>
      </c>
    </row>
    <row r="5869" spans="13:14" x14ac:dyDescent="0.35">
      <c r="M5869" s="46">
        <v>0.54135153583617746</v>
      </c>
      <c r="N5869" s="46">
        <v>0</v>
      </c>
    </row>
    <row r="5870" spans="13:14" x14ac:dyDescent="0.35">
      <c r="M5870" s="46">
        <v>0.59710602463273488</v>
      </c>
      <c r="N5870" s="46">
        <v>0</v>
      </c>
    </row>
    <row r="5871" spans="13:14" x14ac:dyDescent="0.35">
      <c r="M5871" s="46">
        <v>0.61384686155215906</v>
      </c>
      <c r="N5871" s="46">
        <v>0</v>
      </c>
    </row>
    <row r="5872" spans="13:14" x14ac:dyDescent="0.35">
      <c r="M5872" s="46">
        <v>0.59595615076420827</v>
      </c>
      <c r="N5872" s="46">
        <v>0</v>
      </c>
    </row>
    <row r="5873" spans="13:14" x14ac:dyDescent="0.35">
      <c r="M5873" s="46">
        <v>0.55445414749962907</v>
      </c>
      <c r="N5873" s="46">
        <v>0</v>
      </c>
    </row>
    <row r="5874" spans="13:14" x14ac:dyDescent="0.35">
      <c r="M5874" s="46">
        <v>0.46612390562397982</v>
      </c>
      <c r="N5874" s="46">
        <v>0</v>
      </c>
    </row>
    <row r="5875" spans="13:14" x14ac:dyDescent="0.35">
      <c r="M5875" s="46">
        <v>0.33173683039026564</v>
      </c>
      <c r="N5875" s="46">
        <v>0</v>
      </c>
    </row>
    <row r="5876" spans="13:14" x14ac:dyDescent="0.35">
      <c r="M5876" s="46">
        <v>0.16971976554384924</v>
      </c>
      <c r="N5876" s="46">
        <v>0</v>
      </c>
    </row>
    <row r="5877" spans="13:14" x14ac:dyDescent="0.35">
      <c r="M5877" s="46">
        <v>5.1449176435672948E-2</v>
      </c>
      <c r="N5877" s="46">
        <v>0</v>
      </c>
    </row>
    <row r="5878" spans="13:14" x14ac:dyDescent="0.35">
      <c r="M5878" s="46">
        <v>2.8125018548746106E-2</v>
      </c>
      <c r="N5878" s="46">
        <v>0</v>
      </c>
    </row>
    <row r="5879" spans="13:14" x14ac:dyDescent="0.35">
      <c r="M5879" s="46">
        <v>2.6060320522332689E-2</v>
      </c>
      <c r="N5879" s="46">
        <v>0</v>
      </c>
    </row>
    <row r="5880" spans="13:14" x14ac:dyDescent="0.35">
      <c r="M5880" s="46">
        <v>2.2876465350942277E-2</v>
      </c>
      <c r="N5880" s="46">
        <v>0</v>
      </c>
    </row>
    <row r="5881" spans="13:14" x14ac:dyDescent="0.35">
      <c r="M5881" s="46">
        <v>2.3503487164267693E-2</v>
      </c>
      <c r="N5881" s="46">
        <v>0</v>
      </c>
    </row>
    <row r="5882" spans="13:14" x14ac:dyDescent="0.35">
      <c r="M5882" s="46">
        <v>2.2218504229114113E-2</v>
      </c>
      <c r="N5882" s="46">
        <v>0</v>
      </c>
    </row>
    <row r="5883" spans="13:14" x14ac:dyDescent="0.35">
      <c r="M5883" s="46">
        <v>1.9710342780828016E-2</v>
      </c>
      <c r="N5883" s="46">
        <v>0</v>
      </c>
    </row>
    <row r="5884" spans="13:14" x14ac:dyDescent="0.35">
      <c r="M5884" s="46">
        <v>1.6684893901172278E-2</v>
      </c>
      <c r="N5884" s="46">
        <v>0</v>
      </c>
    </row>
    <row r="5885" spans="13:14" x14ac:dyDescent="0.35">
      <c r="M5885" s="46">
        <v>1.4773111737646534E-2</v>
      </c>
      <c r="N5885" s="46">
        <v>0</v>
      </c>
    </row>
    <row r="5886" spans="13:14" x14ac:dyDescent="0.35">
      <c r="M5886" s="46">
        <v>1.3188677845377653E-2</v>
      </c>
      <c r="N5886" s="46">
        <v>0</v>
      </c>
    </row>
    <row r="5887" spans="13:14" x14ac:dyDescent="0.35">
      <c r="M5887" s="46">
        <v>1.1656848197061878E-2</v>
      </c>
      <c r="N5887" s="46">
        <v>0</v>
      </c>
    </row>
    <row r="5888" spans="13:14" x14ac:dyDescent="0.35">
      <c r="M5888" s="46">
        <v>1.0245511203442647E-2</v>
      </c>
      <c r="N5888" s="46">
        <v>0</v>
      </c>
    </row>
    <row r="5889" spans="13:14" x14ac:dyDescent="0.35">
      <c r="M5889" s="46">
        <v>2.5581020922985608E-2</v>
      </c>
      <c r="N5889" s="46">
        <v>0</v>
      </c>
    </row>
    <row r="5890" spans="13:14" x14ac:dyDescent="0.35">
      <c r="M5890" s="46">
        <v>0.1116413414453183</v>
      </c>
      <c r="N5890" s="46">
        <v>0</v>
      </c>
    </row>
    <row r="5891" spans="13:14" x14ac:dyDescent="0.35">
      <c r="M5891" s="46">
        <v>0.2414018400356136</v>
      </c>
      <c r="N5891" s="46">
        <v>0</v>
      </c>
    </row>
    <row r="5892" spans="13:14" x14ac:dyDescent="0.35">
      <c r="M5892" s="46">
        <v>0.36970084582282242</v>
      </c>
      <c r="N5892" s="46">
        <v>0</v>
      </c>
    </row>
    <row r="5893" spans="13:14" x14ac:dyDescent="0.35">
      <c r="M5893" s="46">
        <v>0.46306365929663151</v>
      </c>
      <c r="N5893" s="46">
        <v>0</v>
      </c>
    </row>
    <row r="5894" spans="13:14" x14ac:dyDescent="0.35">
      <c r="M5894" s="46">
        <v>0.51100608398872238</v>
      </c>
      <c r="N5894" s="46">
        <v>0</v>
      </c>
    </row>
    <row r="5895" spans="13:14" x14ac:dyDescent="0.35">
      <c r="M5895" s="46">
        <v>0.52655980115744172</v>
      </c>
      <c r="N5895" s="46">
        <v>0</v>
      </c>
    </row>
    <row r="5896" spans="13:14" x14ac:dyDescent="0.35">
      <c r="M5896" s="46">
        <v>0.51364141564030275</v>
      </c>
      <c r="N5896" s="46">
        <v>0</v>
      </c>
    </row>
    <row r="5897" spans="13:14" x14ac:dyDescent="0.35">
      <c r="M5897" s="46">
        <v>0.47136362961863776</v>
      </c>
      <c r="N5897" s="46">
        <v>0</v>
      </c>
    </row>
    <row r="5898" spans="13:14" x14ac:dyDescent="0.35">
      <c r="M5898" s="46">
        <v>0.39456039471731713</v>
      </c>
      <c r="N5898" s="46">
        <v>0</v>
      </c>
    </row>
    <row r="5899" spans="13:14" x14ac:dyDescent="0.35">
      <c r="M5899" s="46">
        <v>0.28985465202552307</v>
      </c>
      <c r="N5899" s="46">
        <v>0</v>
      </c>
    </row>
    <row r="5900" spans="13:14" x14ac:dyDescent="0.35">
      <c r="M5900" s="46">
        <v>0.17979811544739574</v>
      </c>
      <c r="N5900" s="46">
        <v>0</v>
      </c>
    </row>
    <row r="5901" spans="13:14" x14ac:dyDescent="0.35">
      <c r="M5901" s="46">
        <v>9.2561433447098967E-2</v>
      </c>
      <c r="N5901" s="46">
        <v>0</v>
      </c>
    </row>
    <row r="5902" spans="13:14" x14ac:dyDescent="0.35">
      <c r="M5902" s="46">
        <v>7.3412078943463424E-2</v>
      </c>
      <c r="N5902" s="46">
        <v>0</v>
      </c>
    </row>
    <row r="5903" spans="13:14" x14ac:dyDescent="0.35">
      <c r="M5903" s="46">
        <v>6.7792773408517581E-2</v>
      </c>
      <c r="N5903" s="46">
        <v>0</v>
      </c>
    </row>
    <row r="5904" spans="13:14" x14ac:dyDescent="0.35">
      <c r="M5904" s="46">
        <v>6.2200103872978182E-2</v>
      </c>
      <c r="N5904" s="46">
        <v>0</v>
      </c>
    </row>
    <row r="5905" spans="13:14" x14ac:dyDescent="0.35">
      <c r="M5905" s="46">
        <v>6.5199287728149577E-2</v>
      </c>
      <c r="N5905" s="46">
        <v>0</v>
      </c>
    </row>
    <row r="5906" spans="13:14" x14ac:dyDescent="0.35">
      <c r="M5906" s="46">
        <v>7.035621012019587E-2</v>
      </c>
      <c r="N5906" s="46">
        <v>0</v>
      </c>
    </row>
    <row r="5907" spans="13:14" x14ac:dyDescent="0.35">
      <c r="M5907" s="46">
        <v>7.956321412672504E-2</v>
      </c>
      <c r="N5907" s="46">
        <v>0</v>
      </c>
    </row>
    <row r="5908" spans="13:14" x14ac:dyDescent="0.35">
      <c r="M5908" s="46">
        <v>8.5436711678290547E-2</v>
      </c>
      <c r="N5908" s="46">
        <v>0</v>
      </c>
    </row>
    <row r="5909" spans="13:14" x14ac:dyDescent="0.35">
      <c r="M5909" s="46">
        <v>8.8329870900727109E-2</v>
      </c>
      <c r="N5909" s="46">
        <v>0</v>
      </c>
    </row>
    <row r="5910" spans="13:14" x14ac:dyDescent="0.35">
      <c r="M5910" s="46">
        <v>8.4499851610031151E-2</v>
      </c>
      <c r="N5910" s="46">
        <v>0</v>
      </c>
    </row>
    <row r="5911" spans="13:14" x14ac:dyDescent="0.35">
      <c r="M5911" s="46">
        <v>8.2830464460602451E-2</v>
      </c>
      <c r="N5911" s="46">
        <v>0</v>
      </c>
    </row>
    <row r="5912" spans="13:14" x14ac:dyDescent="0.35">
      <c r="M5912" s="46">
        <v>8.3124573378839592E-2</v>
      </c>
      <c r="N5912" s="46">
        <v>0</v>
      </c>
    </row>
    <row r="5913" spans="13:14" x14ac:dyDescent="0.35">
      <c r="M5913" s="46">
        <v>9.8983157738536873E-2</v>
      </c>
      <c r="N5913" s="46">
        <v>0</v>
      </c>
    </row>
    <row r="5914" spans="13:14" x14ac:dyDescent="0.35">
      <c r="M5914" s="46">
        <v>0.19018927140525302</v>
      </c>
      <c r="N5914" s="46">
        <v>0</v>
      </c>
    </row>
    <row r="5915" spans="13:14" x14ac:dyDescent="0.35">
      <c r="M5915" s="46">
        <v>0.3319287728149577</v>
      </c>
      <c r="N5915" s="46">
        <v>0</v>
      </c>
    </row>
    <row r="5916" spans="13:14" x14ac:dyDescent="0.35">
      <c r="M5916" s="46">
        <v>0.4712121234604541</v>
      </c>
      <c r="N5916" s="46">
        <v>0</v>
      </c>
    </row>
    <row r="5917" spans="13:14" x14ac:dyDescent="0.35">
      <c r="M5917" s="46">
        <v>0.56930627689568181</v>
      </c>
      <c r="N5917" s="46">
        <v>0</v>
      </c>
    </row>
    <row r="5918" spans="13:14" x14ac:dyDescent="0.35">
      <c r="M5918" s="46">
        <v>0.62704889449473211</v>
      </c>
      <c r="N5918" s="46">
        <v>0</v>
      </c>
    </row>
    <row r="5919" spans="13:14" x14ac:dyDescent="0.35">
      <c r="M5919" s="46">
        <v>0.64813666716129981</v>
      </c>
      <c r="N5919" s="46">
        <v>0</v>
      </c>
    </row>
    <row r="5920" spans="13:14" x14ac:dyDescent="0.35">
      <c r="M5920" s="46">
        <v>0.63756699807093042</v>
      </c>
      <c r="N5920" s="46">
        <v>0</v>
      </c>
    </row>
    <row r="5921" spans="13:14" x14ac:dyDescent="0.35">
      <c r="M5921" s="46">
        <v>0.59746980264134142</v>
      </c>
      <c r="N5921" s="46">
        <v>0</v>
      </c>
    </row>
    <row r="5922" spans="13:14" x14ac:dyDescent="0.35">
      <c r="M5922" s="46">
        <v>0.5143789137854281</v>
      </c>
      <c r="N5922" s="46">
        <v>0</v>
      </c>
    </row>
    <row r="5923" spans="13:14" x14ac:dyDescent="0.35">
      <c r="M5923" s="46">
        <v>0.38905379136370383</v>
      </c>
      <c r="N5923" s="46">
        <v>0</v>
      </c>
    </row>
    <row r="5924" spans="13:14" x14ac:dyDescent="0.35">
      <c r="M5924" s="46">
        <v>0.25180145422169464</v>
      </c>
      <c r="N5924" s="46">
        <v>0</v>
      </c>
    </row>
    <row r="5925" spans="13:14" x14ac:dyDescent="0.35">
      <c r="M5925" s="46">
        <v>0.15344561507642082</v>
      </c>
      <c r="N5925" s="46">
        <v>0</v>
      </c>
    </row>
    <row r="5926" spans="13:14" x14ac:dyDescent="0.35">
      <c r="M5926" s="46">
        <v>0.13632111589256565</v>
      </c>
      <c r="N5926" s="46">
        <v>0</v>
      </c>
    </row>
    <row r="5927" spans="13:14" x14ac:dyDescent="0.35">
      <c r="M5927" s="46">
        <v>0.13137624276598903</v>
      </c>
      <c r="N5927" s="46">
        <v>0</v>
      </c>
    </row>
    <row r="5928" spans="13:14" x14ac:dyDescent="0.35">
      <c r="M5928" s="46">
        <v>0.1211230152841668</v>
      </c>
      <c r="N5928" s="46">
        <v>0</v>
      </c>
    </row>
    <row r="5929" spans="13:14" x14ac:dyDescent="0.35">
      <c r="M5929" s="46">
        <v>0.13256981748033833</v>
      </c>
      <c r="N5929" s="46">
        <v>0</v>
      </c>
    </row>
    <row r="5930" spans="13:14" x14ac:dyDescent="0.35">
      <c r="M5930" s="46">
        <v>0.14668036800712272</v>
      </c>
      <c r="N5930" s="46">
        <v>0</v>
      </c>
    </row>
    <row r="5931" spans="13:14" x14ac:dyDescent="0.35">
      <c r="M5931" s="46">
        <v>0.15954993322451405</v>
      </c>
      <c r="N5931" s="46">
        <v>0</v>
      </c>
    </row>
    <row r="5932" spans="13:14" x14ac:dyDescent="0.35">
      <c r="M5932" s="46">
        <v>0.16305564623831431</v>
      </c>
      <c r="N5932" s="46">
        <v>0</v>
      </c>
    </row>
    <row r="5933" spans="13:14" x14ac:dyDescent="0.35">
      <c r="M5933" s="46">
        <v>0.16955149131918684</v>
      </c>
      <c r="N5933" s="46">
        <v>0</v>
      </c>
    </row>
    <row r="5934" spans="13:14" x14ac:dyDescent="0.35">
      <c r="M5934" s="46">
        <v>0.16492513726072117</v>
      </c>
      <c r="N5934" s="46">
        <v>0</v>
      </c>
    </row>
    <row r="5935" spans="13:14" x14ac:dyDescent="0.35">
      <c r="M5935" s="46">
        <v>0.16259741801454219</v>
      </c>
      <c r="N5935" s="46">
        <v>0</v>
      </c>
    </row>
    <row r="5936" spans="13:14" x14ac:dyDescent="0.35">
      <c r="M5936" s="46">
        <v>0.1576643418904882</v>
      </c>
      <c r="N5936" s="46">
        <v>0</v>
      </c>
    </row>
    <row r="5937" spans="13:14" x14ac:dyDescent="0.35">
      <c r="M5937" s="46">
        <v>0.16024981451253897</v>
      </c>
      <c r="N5937" s="46">
        <v>0</v>
      </c>
    </row>
    <row r="5938" spans="13:14" x14ac:dyDescent="0.35">
      <c r="M5938" s="46">
        <v>0.21770596527674729</v>
      </c>
      <c r="N5938" s="46">
        <v>0</v>
      </c>
    </row>
    <row r="5939" spans="13:14" x14ac:dyDescent="0.35">
      <c r="M5939" s="46">
        <v>0.31974016916456444</v>
      </c>
      <c r="N5939" s="46">
        <v>0</v>
      </c>
    </row>
    <row r="5940" spans="13:14" x14ac:dyDescent="0.35">
      <c r="M5940" s="46">
        <v>0.43052537468467134</v>
      </c>
      <c r="N5940" s="46">
        <v>0</v>
      </c>
    </row>
    <row r="5941" spans="13:14" x14ac:dyDescent="0.35">
      <c r="M5941" s="46">
        <v>0.52048849977741507</v>
      </c>
      <c r="N5941" s="46">
        <v>0</v>
      </c>
    </row>
    <row r="5942" spans="13:14" x14ac:dyDescent="0.35">
      <c r="M5942" s="46">
        <v>0.59751854874610477</v>
      </c>
      <c r="N5942" s="46">
        <v>0</v>
      </c>
    </row>
    <row r="5943" spans="13:14" x14ac:dyDescent="0.35">
      <c r="M5943" s="46">
        <v>0.64871123312064105</v>
      </c>
      <c r="N5943" s="46">
        <v>0</v>
      </c>
    </row>
    <row r="5944" spans="13:14" x14ac:dyDescent="0.35">
      <c r="M5944" s="46">
        <v>0.67585346490577236</v>
      </c>
      <c r="N5944" s="46">
        <v>0</v>
      </c>
    </row>
    <row r="5945" spans="13:14" x14ac:dyDescent="0.35">
      <c r="M5945" s="46">
        <v>0.66874959192758565</v>
      </c>
      <c r="N5945" s="46">
        <v>0</v>
      </c>
    </row>
    <row r="5946" spans="13:14" x14ac:dyDescent="0.35">
      <c r="M5946" s="46">
        <v>0.61965054162338629</v>
      </c>
      <c r="N5946" s="46">
        <v>0</v>
      </c>
    </row>
    <row r="5947" spans="13:14" x14ac:dyDescent="0.35">
      <c r="M5947" s="46">
        <v>0.53905601721323637</v>
      </c>
      <c r="N5947" s="46">
        <v>0</v>
      </c>
    </row>
    <row r="5948" spans="13:14" x14ac:dyDescent="0.35">
      <c r="M5948" s="46">
        <v>0.43301639709155659</v>
      </c>
      <c r="N5948" s="46">
        <v>0</v>
      </c>
    </row>
    <row r="5949" spans="13:14" x14ac:dyDescent="0.35">
      <c r="M5949" s="46">
        <v>0.34421049117079688</v>
      </c>
      <c r="N5949" s="46">
        <v>0</v>
      </c>
    </row>
    <row r="5950" spans="13:14" x14ac:dyDescent="0.35">
      <c r="M5950" s="46">
        <v>0.33831406736904585</v>
      </c>
      <c r="N5950" s="46">
        <v>0</v>
      </c>
    </row>
    <row r="5951" spans="13:14" x14ac:dyDescent="0.35">
      <c r="M5951" s="46">
        <v>0.34017955186229409</v>
      </c>
      <c r="N5951" s="46">
        <v>0</v>
      </c>
    </row>
    <row r="5952" spans="13:14" x14ac:dyDescent="0.35">
      <c r="M5952" s="46">
        <v>0.31706143344709897</v>
      </c>
      <c r="N5952" s="46">
        <v>0</v>
      </c>
    </row>
    <row r="5953" spans="13:14" x14ac:dyDescent="0.35">
      <c r="M5953" s="46">
        <v>0.32796794776673094</v>
      </c>
      <c r="N5953" s="46">
        <v>0</v>
      </c>
    </row>
    <row r="5954" spans="13:14" x14ac:dyDescent="0.35">
      <c r="M5954" s="46">
        <v>0.33705171390414013</v>
      </c>
      <c r="N5954" s="46">
        <v>0</v>
      </c>
    </row>
    <row r="5955" spans="13:14" x14ac:dyDescent="0.35">
      <c r="M5955" s="46">
        <v>0.35184300341296931</v>
      </c>
      <c r="N5955" s="46">
        <v>0</v>
      </c>
    </row>
    <row r="5956" spans="13:14" x14ac:dyDescent="0.35">
      <c r="M5956" s="46">
        <v>0.36701090666270964</v>
      </c>
      <c r="N5956" s="46">
        <v>0</v>
      </c>
    </row>
    <row r="5957" spans="13:14" x14ac:dyDescent="0.35">
      <c r="M5957" s="46">
        <v>0.36804993322451401</v>
      </c>
      <c r="N5957" s="46">
        <v>0</v>
      </c>
    </row>
    <row r="5958" spans="13:14" x14ac:dyDescent="0.35">
      <c r="M5958" s="46">
        <v>0.36362271850422911</v>
      </c>
      <c r="N5958" s="46">
        <v>0</v>
      </c>
    </row>
    <row r="5959" spans="13:14" x14ac:dyDescent="0.35">
      <c r="M5959" s="46">
        <v>0.35523727556017215</v>
      </c>
      <c r="N5959" s="46">
        <v>0</v>
      </c>
    </row>
    <row r="5960" spans="13:14" x14ac:dyDescent="0.35">
      <c r="M5960" s="46">
        <v>0.33825775337587177</v>
      </c>
      <c r="N5960" s="46">
        <v>0</v>
      </c>
    </row>
    <row r="5961" spans="13:14" x14ac:dyDescent="0.35">
      <c r="M5961" s="46">
        <v>0.33917220655883662</v>
      </c>
      <c r="N5961" s="46">
        <v>0</v>
      </c>
    </row>
    <row r="5962" spans="13:14" x14ac:dyDescent="0.35">
      <c r="M5962" s="46">
        <v>0.41209541474996286</v>
      </c>
      <c r="N5962" s="46">
        <v>0</v>
      </c>
    </row>
    <row r="5963" spans="13:14" x14ac:dyDescent="0.35">
      <c r="M5963" s="46">
        <v>0.53864794479893163</v>
      </c>
      <c r="N5963" s="46">
        <v>0</v>
      </c>
    </row>
    <row r="5964" spans="13:14" x14ac:dyDescent="0.35">
      <c r="M5964" s="46">
        <v>0.65291037245882177</v>
      </c>
      <c r="N5964" s="46">
        <v>0</v>
      </c>
    </row>
    <row r="5965" spans="13:14" x14ac:dyDescent="0.35">
      <c r="M5965" s="46">
        <v>0.73858154028787659</v>
      </c>
      <c r="N5965" s="46">
        <v>0</v>
      </c>
    </row>
    <row r="5966" spans="13:14" x14ac:dyDescent="0.35">
      <c r="M5966" s="46">
        <v>0.81697959637928474</v>
      </c>
      <c r="N5966" s="46">
        <v>0</v>
      </c>
    </row>
    <row r="5967" spans="13:14" x14ac:dyDescent="0.35">
      <c r="M5967" s="46">
        <v>0.87325997922540444</v>
      </c>
      <c r="N5967" s="46">
        <v>0</v>
      </c>
    </row>
    <row r="5968" spans="13:14" x14ac:dyDescent="0.35">
      <c r="M5968" s="46">
        <v>0.90228468615521595</v>
      </c>
      <c r="N5968" s="46">
        <v>0</v>
      </c>
    </row>
    <row r="5969" spans="13:14" x14ac:dyDescent="0.35">
      <c r="M5969" s="46">
        <v>0.90978869268437446</v>
      </c>
      <c r="N5969" s="46">
        <v>0</v>
      </c>
    </row>
    <row r="5970" spans="13:14" x14ac:dyDescent="0.35">
      <c r="M5970" s="46">
        <v>0.8679297373497552</v>
      </c>
      <c r="N5970" s="46">
        <v>0</v>
      </c>
    </row>
    <row r="5971" spans="13:14" x14ac:dyDescent="0.35">
      <c r="M5971" s="46">
        <v>0.76764386407478857</v>
      </c>
      <c r="N5971" s="46">
        <v>0</v>
      </c>
    </row>
    <row r="5972" spans="13:14" x14ac:dyDescent="0.35">
      <c r="M5972" s="46">
        <v>0.64578505713013801</v>
      </c>
      <c r="N5972" s="46">
        <v>0</v>
      </c>
    </row>
    <row r="5973" spans="13:14" x14ac:dyDescent="0.35">
      <c r="M5973" s="46">
        <v>0.55502797150912597</v>
      </c>
      <c r="N5973" s="46">
        <v>0</v>
      </c>
    </row>
    <row r="5974" spans="13:14" x14ac:dyDescent="0.35">
      <c r="M5974" s="46">
        <v>0.54915580946728004</v>
      </c>
      <c r="N5974" s="46">
        <v>0</v>
      </c>
    </row>
    <row r="5975" spans="13:14" x14ac:dyDescent="0.35">
      <c r="M5975" s="46">
        <v>0.54802515209971814</v>
      </c>
      <c r="N5975" s="46">
        <v>0</v>
      </c>
    </row>
    <row r="5976" spans="13:14" x14ac:dyDescent="0.35">
      <c r="M5976" s="46">
        <v>0.50469157144977006</v>
      </c>
      <c r="N5976" s="46">
        <v>0</v>
      </c>
    </row>
    <row r="5977" spans="13:14" x14ac:dyDescent="0.35">
      <c r="M5977" s="46">
        <v>0.50301765840629176</v>
      </c>
      <c r="N5977" s="46">
        <v>0</v>
      </c>
    </row>
    <row r="5978" spans="13:14" x14ac:dyDescent="0.35">
      <c r="M5978" s="46">
        <v>0.48468904882029978</v>
      </c>
      <c r="N5978" s="46">
        <v>0</v>
      </c>
    </row>
    <row r="5979" spans="13:14" x14ac:dyDescent="0.35">
      <c r="M5979" s="46">
        <v>0.48061388930108323</v>
      </c>
      <c r="N5979" s="46">
        <v>0</v>
      </c>
    </row>
    <row r="5980" spans="13:14" x14ac:dyDescent="0.35">
      <c r="M5980" s="46">
        <v>0.47421242024039179</v>
      </c>
      <c r="N5980" s="46">
        <v>0</v>
      </c>
    </row>
    <row r="5981" spans="13:14" x14ac:dyDescent="0.35">
      <c r="M5981" s="46">
        <v>0.46190762724439832</v>
      </c>
      <c r="N5981" s="46">
        <v>0</v>
      </c>
    </row>
    <row r="5982" spans="13:14" x14ac:dyDescent="0.35">
      <c r="M5982" s="46">
        <v>0.44917851313251228</v>
      </c>
      <c r="N5982" s="46">
        <v>0</v>
      </c>
    </row>
    <row r="5983" spans="13:14" x14ac:dyDescent="0.35">
      <c r="M5983" s="46">
        <v>0.4321977296334768</v>
      </c>
      <c r="N5983" s="46">
        <v>0</v>
      </c>
    </row>
    <row r="5984" spans="13:14" x14ac:dyDescent="0.35">
      <c r="M5984" s="46">
        <v>0.40380776079537023</v>
      </c>
      <c r="N5984" s="46">
        <v>0</v>
      </c>
    </row>
    <row r="5985" spans="13:14" x14ac:dyDescent="0.35">
      <c r="M5985" s="46">
        <v>0.39310580204778156</v>
      </c>
      <c r="N5985" s="46">
        <v>0</v>
      </c>
    </row>
    <row r="5986" spans="13:14" x14ac:dyDescent="0.35">
      <c r="M5986" s="46">
        <v>0.44627170203294259</v>
      </c>
      <c r="N5986" s="46">
        <v>0</v>
      </c>
    </row>
    <row r="5987" spans="13:14" x14ac:dyDescent="0.35">
      <c r="M5987" s="46">
        <v>0.54720373942721479</v>
      </c>
      <c r="N5987" s="46">
        <v>0</v>
      </c>
    </row>
    <row r="5988" spans="13:14" x14ac:dyDescent="0.35">
      <c r="M5988" s="46">
        <v>0.64782860958599198</v>
      </c>
      <c r="N5988" s="46">
        <v>0</v>
      </c>
    </row>
    <row r="5989" spans="13:14" x14ac:dyDescent="0.35">
      <c r="M5989" s="46">
        <v>0.73724818222288169</v>
      </c>
      <c r="N5989" s="46">
        <v>0</v>
      </c>
    </row>
    <row r="5990" spans="13:14" x14ac:dyDescent="0.35">
      <c r="M5990" s="46">
        <v>0.82793359548894485</v>
      </c>
      <c r="N5990" s="46">
        <v>0</v>
      </c>
    </row>
    <row r="5991" spans="13:14" x14ac:dyDescent="0.35">
      <c r="M5991" s="46">
        <v>0.89488781718355848</v>
      </c>
      <c r="N5991" s="46">
        <v>0</v>
      </c>
    </row>
    <row r="5992" spans="13:14" x14ac:dyDescent="0.35">
      <c r="M5992" s="46">
        <v>0.92984292921798495</v>
      </c>
      <c r="N5992" s="46">
        <v>0</v>
      </c>
    </row>
    <row r="5993" spans="13:14" x14ac:dyDescent="0.35">
      <c r="M5993" s="46">
        <v>0.93349198694168267</v>
      </c>
      <c r="N5993" s="46">
        <v>0</v>
      </c>
    </row>
    <row r="5994" spans="13:14" x14ac:dyDescent="0.35">
      <c r="M5994" s="46">
        <v>0.88266589998516098</v>
      </c>
      <c r="N5994" s="46">
        <v>0</v>
      </c>
    </row>
    <row r="5995" spans="13:14" x14ac:dyDescent="0.35">
      <c r="M5995" s="46">
        <v>0.77708042736311023</v>
      </c>
      <c r="N5995" s="46">
        <v>0</v>
      </c>
    </row>
    <row r="5996" spans="13:14" x14ac:dyDescent="0.35">
      <c r="M5996" s="46">
        <v>0.63764401246475733</v>
      </c>
      <c r="N5996" s="46">
        <v>0</v>
      </c>
    </row>
    <row r="5997" spans="13:14" x14ac:dyDescent="0.35">
      <c r="M5997" s="46">
        <v>0.5188548746104763</v>
      </c>
      <c r="N5997" s="46">
        <v>0</v>
      </c>
    </row>
    <row r="5998" spans="13:14" x14ac:dyDescent="0.35">
      <c r="M5998" s="46">
        <v>0.49754006529158629</v>
      </c>
      <c r="N5998" s="46">
        <v>0</v>
      </c>
    </row>
    <row r="5999" spans="13:14" x14ac:dyDescent="0.35">
      <c r="M5999" s="46">
        <v>0.46139011722807538</v>
      </c>
      <c r="N5999" s="46">
        <v>0</v>
      </c>
    </row>
    <row r="6000" spans="13:14" x14ac:dyDescent="0.35">
      <c r="M6000" s="46">
        <v>0.39692291141118857</v>
      </c>
      <c r="N6000" s="46">
        <v>0</v>
      </c>
    </row>
    <row r="6001" spans="13:14" x14ac:dyDescent="0.35">
      <c r="M6001" s="46">
        <v>0.3741656032052233</v>
      </c>
      <c r="N6001" s="46">
        <v>0</v>
      </c>
    </row>
    <row r="6002" spans="13:14" x14ac:dyDescent="0.35">
      <c r="M6002" s="46">
        <v>0.34919921353316513</v>
      </c>
      <c r="N6002" s="46">
        <v>0</v>
      </c>
    </row>
    <row r="6003" spans="13:14" x14ac:dyDescent="0.35">
      <c r="M6003" s="46">
        <v>0.34624632734827121</v>
      </c>
      <c r="N6003" s="46">
        <v>0</v>
      </c>
    </row>
    <row r="6004" spans="13:14" x14ac:dyDescent="0.35">
      <c r="M6004" s="46">
        <v>0.34025619528119899</v>
      </c>
      <c r="N6004" s="46">
        <v>0</v>
      </c>
    </row>
    <row r="6005" spans="13:14" x14ac:dyDescent="0.35">
      <c r="M6005" s="46">
        <v>0.3260466686451996</v>
      </c>
      <c r="N6005" s="46">
        <v>0</v>
      </c>
    </row>
    <row r="6006" spans="13:14" x14ac:dyDescent="0.35">
      <c r="M6006" s="46">
        <v>0.30779292179848644</v>
      </c>
      <c r="N6006" s="46">
        <v>0</v>
      </c>
    </row>
    <row r="6007" spans="13:14" x14ac:dyDescent="0.35">
      <c r="M6007" s="46">
        <v>0.28582423208191127</v>
      </c>
      <c r="N6007" s="46">
        <v>0</v>
      </c>
    </row>
    <row r="6008" spans="13:14" x14ac:dyDescent="0.35">
      <c r="M6008" s="46">
        <v>0.25592083395162485</v>
      </c>
      <c r="N6008" s="46">
        <v>0</v>
      </c>
    </row>
    <row r="6009" spans="13:14" x14ac:dyDescent="0.35">
      <c r="M6009" s="46">
        <v>0.23165432556759163</v>
      </c>
      <c r="N6009" s="46">
        <v>0</v>
      </c>
    </row>
    <row r="6010" spans="13:14" x14ac:dyDescent="0.35">
      <c r="M6010" s="46">
        <v>0.27607382400949693</v>
      </c>
      <c r="N6010" s="46">
        <v>0</v>
      </c>
    </row>
    <row r="6011" spans="13:14" x14ac:dyDescent="0.35">
      <c r="M6011" s="46">
        <v>0.37301417124202402</v>
      </c>
      <c r="N6011" s="46">
        <v>0</v>
      </c>
    </row>
    <row r="6012" spans="13:14" x14ac:dyDescent="0.35">
      <c r="M6012" s="46">
        <v>0.47670648464163823</v>
      </c>
      <c r="N6012" s="46">
        <v>0</v>
      </c>
    </row>
    <row r="6013" spans="13:14" x14ac:dyDescent="0.35">
      <c r="M6013" s="46">
        <v>0.56461633773556907</v>
      </c>
      <c r="N6013" s="46">
        <v>0</v>
      </c>
    </row>
    <row r="6014" spans="13:14" x14ac:dyDescent="0.35">
      <c r="M6014" s="46">
        <v>0.62323764653509417</v>
      </c>
      <c r="N6014" s="46">
        <v>0</v>
      </c>
    </row>
    <row r="6015" spans="13:14" x14ac:dyDescent="0.35">
      <c r="M6015" s="46">
        <v>0.65248241578869259</v>
      </c>
      <c r="N6015" s="46">
        <v>0</v>
      </c>
    </row>
    <row r="6016" spans="13:14" x14ac:dyDescent="0.35">
      <c r="M6016" s="46">
        <v>0.65100230004451709</v>
      </c>
      <c r="N6016" s="46">
        <v>0</v>
      </c>
    </row>
    <row r="6017" spans="13:14" x14ac:dyDescent="0.35">
      <c r="M6017" s="46">
        <v>0.63218823267547108</v>
      </c>
      <c r="N6017" s="46">
        <v>0</v>
      </c>
    </row>
    <row r="6018" spans="13:14" x14ac:dyDescent="0.35">
      <c r="M6018" s="46">
        <v>0.57388893010832465</v>
      </c>
      <c r="N6018" s="46">
        <v>0</v>
      </c>
    </row>
    <row r="6019" spans="13:14" x14ac:dyDescent="0.35">
      <c r="M6019" s="46">
        <v>0.46813206707226596</v>
      </c>
      <c r="N6019" s="46">
        <v>0</v>
      </c>
    </row>
    <row r="6020" spans="13:14" x14ac:dyDescent="0.35">
      <c r="M6020" s="46">
        <v>0.34774974031755451</v>
      </c>
      <c r="N6020" s="46">
        <v>0</v>
      </c>
    </row>
    <row r="6021" spans="13:14" x14ac:dyDescent="0.35">
      <c r="M6021" s="46">
        <v>0.25356076569223923</v>
      </c>
      <c r="N6021" s="46">
        <v>0</v>
      </c>
    </row>
    <row r="6022" spans="13:14" x14ac:dyDescent="0.35">
      <c r="M6022" s="46">
        <v>0.23857018845526043</v>
      </c>
      <c r="N6022" s="46">
        <v>0</v>
      </c>
    </row>
    <row r="6023" spans="13:14" x14ac:dyDescent="0.35">
      <c r="M6023" s="46">
        <v>0.22286630063807686</v>
      </c>
      <c r="N6023" s="46">
        <v>0</v>
      </c>
    </row>
    <row r="6024" spans="13:14" x14ac:dyDescent="0.35">
      <c r="M6024" s="46">
        <v>0.18534092595340557</v>
      </c>
      <c r="N6024" s="46">
        <v>0</v>
      </c>
    </row>
    <row r="6025" spans="13:14" x14ac:dyDescent="0.35">
      <c r="M6025" s="46">
        <v>0.17064579314438344</v>
      </c>
      <c r="N6025" s="46">
        <v>0</v>
      </c>
    </row>
    <row r="6026" spans="13:14" x14ac:dyDescent="0.35">
      <c r="M6026" s="46">
        <v>0.15126072117524855</v>
      </c>
      <c r="N6026" s="46">
        <v>0</v>
      </c>
    </row>
    <row r="6027" spans="13:14" x14ac:dyDescent="0.35">
      <c r="M6027" s="46">
        <v>0.14954414601572935</v>
      </c>
      <c r="N6027" s="46">
        <v>0</v>
      </c>
    </row>
    <row r="6028" spans="13:14" x14ac:dyDescent="0.35">
      <c r="M6028" s="46">
        <v>0.14572392046297669</v>
      </c>
      <c r="N6028" s="46">
        <v>0</v>
      </c>
    </row>
    <row r="6029" spans="13:14" x14ac:dyDescent="0.35">
      <c r="M6029" s="46">
        <v>0.1361701290992729</v>
      </c>
      <c r="N6029" s="46">
        <v>0</v>
      </c>
    </row>
    <row r="6030" spans="13:14" x14ac:dyDescent="0.35">
      <c r="M6030" s="46">
        <v>0.12421078795073454</v>
      </c>
      <c r="N6030" s="46">
        <v>0</v>
      </c>
    </row>
    <row r="6031" spans="13:14" x14ac:dyDescent="0.35">
      <c r="M6031" s="46">
        <v>0.11277563436711678</v>
      </c>
      <c r="N6031" s="46">
        <v>0</v>
      </c>
    </row>
    <row r="6032" spans="13:14" x14ac:dyDescent="0.35">
      <c r="M6032" s="46">
        <v>0.10125916308057575</v>
      </c>
      <c r="N6032" s="46">
        <v>0</v>
      </c>
    </row>
    <row r="6033" spans="13:14" x14ac:dyDescent="0.35">
      <c r="M6033" s="46">
        <v>0.10449391601127764</v>
      </c>
      <c r="N6033" s="46">
        <v>0</v>
      </c>
    </row>
    <row r="6034" spans="13:14" x14ac:dyDescent="0.35">
      <c r="M6034" s="46">
        <v>0.18929997032200624</v>
      </c>
      <c r="N6034" s="46">
        <v>0</v>
      </c>
    </row>
    <row r="6035" spans="13:14" x14ac:dyDescent="0.35">
      <c r="M6035" s="46">
        <v>0.32632052233269032</v>
      </c>
      <c r="N6035" s="46">
        <v>0</v>
      </c>
    </row>
    <row r="6036" spans="13:14" x14ac:dyDescent="0.35">
      <c r="M6036" s="46">
        <v>0.45495807983380326</v>
      </c>
      <c r="N6036" s="46">
        <v>0</v>
      </c>
    </row>
    <row r="6037" spans="13:14" x14ac:dyDescent="0.35">
      <c r="M6037" s="46">
        <v>0.54794049562249592</v>
      </c>
      <c r="N6037" s="46">
        <v>0</v>
      </c>
    </row>
    <row r="6038" spans="13:14" x14ac:dyDescent="0.35">
      <c r="M6038" s="46">
        <v>0.60410498590295303</v>
      </c>
      <c r="N6038" s="46">
        <v>0</v>
      </c>
    </row>
    <row r="6039" spans="13:14" x14ac:dyDescent="0.35">
      <c r="M6039" s="46">
        <v>0.62746542513726067</v>
      </c>
      <c r="N6039" s="46">
        <v>0</v>
      </c>
    </row>
    <row r="6040" spans="13:14" x14ac:dyDescent="0.35">
      <c r="M6040" s="46">
        <v>0.62307627244398278</v>
      </c>
      <c r="N6040" s="46">
        <v>0</v>
      </c>
    </row>
    <row r="6041" spans="13:14" x14ac:dyDescent="0.35">
      <c r="M6041" s="46">
        <v>0.59101261314735121</v>
      </c>
      <c r="N6041" s="46">
        <v>0</v>
      </c>
    </row>
    <row r="6042" spans="13:14" x14ac:dyDescent="0.35">
      <c r="M6042" s="46">
        <v>0.50998404807834985</v>
      </c>
      <c r="N6042" s="46">
        <v>0</v>
      </c>
    </row>
    <row r="6043" spans="13:14" x14ac:dyDescent="0.35">
      <c r="M6043" s="46">
        <v>0.38985383588069444</v>
      </c>
      <c r="N6043" s="46">
        <v>0</v>
      </c>
    </row>
    <row r="6044" spans="13:14" x14ac:dyDescent="0.35">
      <c r="M6044" s="46">
        <v>0.25509311470544593</v>
      </c>
      <c r="N6044" s="46">
        <v>0</v>
      </c>
    </row>
    <row r="6045" spans="13:14" x14ac:dyDescent="0.35">
      <c r="M6045" s="46">
        <v>0.16218971657515951</v>
      </c>
      <c r="N6045" s="46">
        <v>0</v>
      </c>
    </row>
    <row r="6046" spans="13:14" x14ac:dyDescent="0.35">
      <c r="M6046" s="46">
        <v>0.14968786170054904</v>
      </c>
      <c r="N6046" s="46">
        <v>0</v>
      </c>
    </row>
    <row r="6047" spans="13:14" x14ac:dyDescent="0.35">
      <c r="M6047" s="46">
        <v>0.14068704555572042</v>
      </c>
      <c r="N6047" s="46">
        <v>0</v>
      </c>
    </row>
    <row r="6048" spans="13:14" x14ac:dyDescent="0.35">
      <c r="M6048" s="46">
        <v>0.1231522481080279</v>
      </c>
      <c r="N6048" s="46">
        <v>0</v>
      </c>
    </row>
    <row r="6049" spans="13:14" x14ac:dyDescent="0.35">
      <c r="M6049" s="46">
        <v>0.11950259682445466</v>
      </c>
      <c r="N6049" s="46">
        <v>0</v>
      </c>
    </row>
    <row r="6050" spans="13:14" x14ac:dyDescent="0.35">
      <c r="M6050" s="46">
        <v>0.11269498441905328</v>
      </c>
      <c r="N6050" s="46">
        <v>0</v>
      </c>
    </row>
    <row r="6051" spans="13:14" x14ac:dyDescent="0.35">
      <c r="M6051" s="46">
        <v>0.10648315773853688</v>
      </c>
      <c r="N6051" s="46">
        <v>0</v>
      </c>
    </row>
    <row r="6052" spans="13:14" x14ac:dyDescent="0.35">
      <c r="M6052" s="46">
        <v>0.10192075975664046</v>
      </c>
      <c r="N6052" s="46">
        <v>0</v>
      </c>
    </row>
    <row r="6053" spans="13:14" x14ac:dyDescent="0.35">
      <c r="M6053" s="46">
        <v>9.2592075975664032E-2</v>
      </c>
      <c r="N6053" s="46">
        <v>0</v>
      </c>
    </row>
    <row r="6054" spans="13:14" x14ac:dyDescent="0.35">
      <c r="M6054" s="46">
        <v>8.2551120344264733E-2</v>
      </c>
      <c r="N6054" s="46">
        <v>0</v>
      </c>
    </row>
    <row r="6055" spans="13:14" x14ac:dyDescent="0.35">
      <c r="M6055" s="46">
        <v>7.1736236830390265E-2</v>
      </c>
      <c r="N6055" s="46">
        <v>0</v>
      </c>
    </row>
    <row r="6056" spans="13:14" x14ac:dyDescent="0.35">
      <c r="M6056" s="46">
        <v>6.2553420388781714E-2</v>
      </c>
      <c r="N6056" s="46">
        <v>0</v>
      </c>
    </row>
    <row r="6057" spans="13:14" x14ac:dyDescent="0.35">
      <c r="M6057" s="46">
        <v>6.8650096453479748E-2</v>
      </c>
      <c r="N6057" s="46">
        <v>0</v>
      </c>
    </row>
    <row r="6058" spans="13:14" x14ac:dyDescent="0.35">
      <c r="M6058" s="46">
        <v>0.15148716426769548</v>
      </c>
      <c r="N6058" s="46">
        <v>0</v>
      </c>
    </row>
    <row r="6059" spans="13:14" x14ac:dyDescent="0.35">
      <c r="M6059" s="46">
        <v>0.2786771776227927</v>
      </c>
      <c r="N6059" s="46">
        <v>0</v>
      </c>
    </row>
    <row r="6060" spans="13:14" x14ac:dyDescent="0.35">
      <c r="M6060" s="46">
        <v>0.39782289657219172</v>
      </c>
      <c r="N6060" s="46">
        <v>0</v>
      </c>
    </row>
    <row r="6061" spans="13:14" x14ac:dyDescent="0.35">
      <c r="M6061" s="46">
        <v>0.48132208042736313</v>
      </c>
      <c r="N6061" s="46">
        <v>0</v>
      </c>
    </row>
    <row r="6062" spans="13:14" x14ac:dyDescent="0.35">
      <c r="M6062" s="46">
        <v>0.53682645793144379</v>
      </c>
      <c r="N6062" s="46">
        <v>0</v>
      </c>
    </row>
    <row r="6063" spans="13:14" x14ac:dyDescent="0.35">
      <c r="M6063" s="46">
        <v>0.56351350348716422</v>
      </c>
      <c r="N6063" s="46">
        <v>0</v>
      </c>
    </row>
    <row r="6064" spans="13:14" x14ac:dyDescent="0.35">
      <c r="M6064" s="46">
        <v>0.5608674135628432</v>
      </c>
      <c r="N6064" s="46">
        <v>0</v>
      </c>
    </row>
    <row r="6065" spans="13:14" x14ac:dyDescent="0.35">
      <c r="M6065" s="46">
        <v>0.54881777711826685</v>
      </c>
      <c r="N6065" s="46">
        <v>0</v>
      </c>
    </row>
    <row r="6066" spans="13:14" x14ac:dyDescent="0.35">
      <c r="M6066" s="46">
        <v>0.49519112627986345</v>
      </c>
      <c r="N6066" s="46">
        <v>0</v>
      </c>
    </row>
    <row r="6067" spans="13:14" x14ac:dyDescent="0.35">
      <c r="M6067" s="46">
        <v>0.3950245585398427</v>
      </c>
      <c r="N6067" s="46">
        <v>0</v>
      </c>
    </row>
    <row r="6068" spans="13:14" x14ac:dyDescent="0.35">
      <c r="M6068" s="46">
        <v>0.26593604392343079</v>
      </c>
      <c r="N6068" s="46">
        <v>0</v>
      </c>
    </row>
    <row r="6069" spans="13:14" x14ac:dyDescent="0.35">
      <c r="M6069" s="46">
        <v>0.18247536726517286</v>
      </c>
      <c r="N6069" s="46">
        <v>0</v>
      </c>
    </row>
    <row r="6070" spans="13:14" x14ac:dyDescent="0.35">
      <c r="M6070" s="46">
        <v>0.17110231488351388</v>
      </c>
      <c r="N6070" s="46">
        <v>0</v>
      </c>
    </row>
    <row r="6071" spans="13:14" x14ac:dyDescent="0.35">
      <c r="M6071" s="46">
        <v>0.16438922688826235</v>
      </c>
      <c r="N6071" s="46">
        <v>0</v>
      </c>
    </row>
    <row r="6072" spans="13:14" x14ac:dyDescent="0.35">
      <c r="M6072" s="46">
        <v>0.14643129544442796</v>
      </c>
      <c r="N6072" s="46">
        <v>0</v>
      </c>
    </row>
    <row r="6073" spans="13:14" x14ac:dyDescent="0.35">
      <c r="M6073" s="46">
        <v>0.14446742840184004</v>
      </c>
      <c r="N6073" s="46">
        <v>0</v>
      </c>
    </row>
    <row r="6074" spans="13:14" x14ac:dyDescent="0.35">
      <c r="M6074" s="46">
        <v>0.15100445169906515</v>
      </c>
      <c r="N6074" s="46">
        <v>0</v>
      </c>
    </row>
    <row r="6075" spans="13:14" x14ac:dyDescent="0.35">
      <c r="M6075" s="46">
        <v>0.16348968689716575</v>
      </c>
      <c r="N6075" s="46">
        <v>0</v>
      </c>
    </row>
    <row r="6076" spans="13:14" x14ac:dyDescent="0.35">
      <c r="M6076" s="46">
        <v>0.17098271256863037</v>
      </c>
      <c r="N6076" s="46">
        <v>0</v>
      </c>
    </row>
    <row r="6077" spans="13:14" x14ac:dyDescent="0.35">
      <c r="M6077" s="46">
        <v>0.17070351684226148</v>
      </c>
      <c r="N6077" s="46">
        <v>0</v>
      </c>
    </row>
    <row r="6078" spans="13:14" x14ac:dyDescent="0.35">
      <c r="M6078" s="46">
        <v>0.16594420537171686</v>
      </c>
      <c r="N6078" s="46">
        <v>0</v>
      </c>
    </row>
    <row r="6079" spans="13:14" x14ac:dyDescent="0.35">
      <c r="M6079" s="46">
        <v>0.15403138447840925</v>
      </c>
      <c r="N6079" s="46">
        <v>0</v>
      </c>
    </row>
    <row r="6080" spans="13:14" x14ac:dyDescent="0.35">
      <c r="M6080" s="46">
        <v>0.14784797447692535</v>
      </c>
      <c r="N6080" s="46">
        <v>0</v>
      </c>
    </row>
    <row r="6081" spans="13:14" x14ac:dyDescent="0.35">
      <c r="M6081" s="46">
        <v>0.15755742691794036</v>
      </c>
      <c r="N6081" s="46">
        <v>0</v>
      </c>
    </row>
    <row r="6082" spans="13:14" x14ac:dyDescent="0.35">
      <c r="M6082" s="46">
        <v>0.24275708562101203</v>
      </c>
      <c r="N6082" s="46">
        <v>0</v>
      </c>
    </row>
    <row r="6083" spans="13:14" x14ac:dyDescent="0.35">
      <c r="M6083" s="46">
        <v>0.37597855764950294</v>
      </c>
      <c r="N6083" s="46">
        <v>0</v>
      </c>
    </row>
    <row r="6084" spans="13:14" x14ac:dyDescent="0.35">
      <c r="M6084" s="46">
        <v>0.5010217391304348</v>
      </c>
      <c r="N6084" s="46">
        <v>0</v>
      </c>
    </row>
    <row r="6085" spans="13:14" x14ac:dyDescent="0.35">
      <c r="M6085" s="46">
        <v>0.58716315477073744</v>
      </c>
      <c r="N6085" s="46">
        <v>0</v>
      </c>
    </row>
    <row r="6086" spans="13:14" x14ac:dyDescent="0.35">
      <c r="M6086" s="46">
        <v>0.64085079388633337</v>
      </c>
      <c r="N6086" s="46">
        <v>0</v>
      </c>
    </row>
    <row r="6087" spans="13:14" x14ac:dyDescent="0.35">
      <c r="M6087" s="46">
        <v>0.6617191719839739</v>
      </c>
      <c r="N6087" s="46">
        <v>0</v>
      </c>
    </row>
    <row r="6088" spans="13:14" x14ac:dyDescent="0.35">
      <c r="M6088" s="46">
        <v>0.65237297818667461</v>
      </c>
      <c r="N6088" s="46">
        <v>0</v>
      </c>
    </row>
    <row r="6089" spans="13:14" x14ac:dyDescent="0.35">
      <c r="M6089" s="46">
        <v>0.62192090814660927</v>
      </c>
      <c r="N6089" s="46">
        <v>0</v>
      </c>
    </row>
    <row r="6090" spans="13:14" x14ac:dyDescent="0.35">
      <c r="M6090" s="46">
        <v>0.55439820448137711</v>
      </c>
      <c r="N6090" s="46">
        <v>0</v>
      </c>
    </row>
    <row r="6091" spans="13:14" x14ac:dyDescent="0.35">
      <c r="M6091" s="46">
        <v>0.45626354058465651</v>
      </c>
      <c r="N6091" s="46">
        <v>0</v>
      </c>
    </row>
    <row r="6092" spans="13:14" x14ac:dyDescent="0.35">
      <c r="M6092" s="46">
        <v>0.34038425582430626</v>
      </c>
      <c r="N6092" s="46">
        <v>0</v>
      </c>
    </row>
    <row r="6093" spans="13:14" x14ac:dyDescent="0.35">
      <c r="M6093" s="46">
        <v>0.26718051639709156</v>
      </c>
      <c r="N6093" s="46">
        <v>0</v>
      </c>
    </row>
    <row r="6094" spans="13:14" x14ac:dyDescent="0.35">
      <c r="M6094" s="46">
        <v>0.26744880546075089</v>
      </c>
      <c r="N6094" s="46">
        <v>0</v>
      </c>
    </row>
    <row r="6095" spans="13:14" x14ac:dyDescent="0.35">
      <c r="M6095" s="46">
        <v>0.26800534203887816</v>
      </c>
      <c r="N6095" s="46">
        <v>0</v>
      </c>
    </row>
    <row r="6096" spans="13:14" x14ac:dyDescent="0.35">
      <c r="M6096" s="46">
        <v>0.24485131325122422</v>
      </c>
      <c r="N6096" s="46">
        <v>0</v>
      </c>
    </row>
    <row r="6097" spans="13:14" x14ac:dyDescent="0.35">
      <c r="M6097" s="46">
        <v>0.24611092150170649</v>
      </c>
      <c r="N6097" s="46">
        <v>0</v>
      </c>
    </row>
    <row r="6098" spans="13:14" x14ac:dyDescent="0.35">
      <c r="M6098" s="46">
        <v>0.23343270514913192</v>
      </c>
      <c r="N6098" s="46">
        <v>0</v>
      </c>
    </row>
    <row r="6099" spans="13:14" x14ac:dyDescent="0.35">
      <c r="M6099" s="46">
        <v>0.22646920908146609</v>
      </c>
      <c r="N6099" s="46">
        <v>0</v>
      </c>
    </row>
    <row r="6100" spans="13:14" x14ac:dyDescent="0.35">
      <c r="M6100" s="46">
        <v>0.21705275263392193</v>
      </c>
      <c r="N6100" s="46">
        <v>0</v>
      </c>
    </row>
    <row r="6101" spans="13:14" x14ac:dyDescent="0.35">
      <c r="M6101" s="46">
        <v>0.21590554978483453</v>
      </c>
      <c r="N6101" s="46">
        <v>0</v>
      </c>
    </row>
    <row r="6102" spans="13:14" x14ac:dyDescent="0.35">
      <c r="M6102" s="46">
        <v>0.22706054310728596</v>
      </c>
      <c r="N6102" s="46">
        <v>0</v>
      </c>
    </row>
    <row r="6103" spans="13:14" x14ac:dyDescent="0.35">
      <c r="M6103" s="46">
        <v>0.24020462976702775</v>
      </c>
      <c r="N6103" s="46">
        <v>0</v>
      </c>
    </row>
    <row r="6104" spans="13:14" x14ac:dyDescent="0.35">
      <c r="M6104" s="46">
        <v>0.25237624276598902</v>
      </c>
      <c r="N6104" s="46">
        <v>0</v>
      </c>
    </row>
    <row r="6105" spans="13:14" x14ac:dyDescent="0.35">
      <c r="M6105" s="46">
        <v>0.28814371568481972</v>
      </c>
      <c r="N6105" s="46">
        <v>0</v>
      </c>
    </row>
    <row r="6106" spans="13:14" x14ac:dyDescent="0.35">
      <c r="M6106" s="46">
        <v>0.39686867487757826</v>
      </c>
      <c r="N6106" s="46">
        <v>0</v>
      </c>
    </row>
    <row r="6107" spans="13:14" x14ac:dyDescent="0.35">
      <c r="M6107" s="46">
        <v>0.54313844784092591</v>
      </c>
      <c r="N6107" s="46">
        <v>0</v>
      </c>
    </row>
    <row r="6108" spans="13:14" x14ac:dyDescent="0.35">
      <c r="M6108" s="46">
        <v>0.66019869416827415</v>
      </c>
      <c r="N6108" s="46">
        <v>0</v>
      </c>
    </row>
    <row r="6109" spans="13:14" x14ac:dyDescent="0.35">
      <c r="M6109" s="46">
        <v>0.74219031013503489</v>
      </c>
      <c r="N6109" s="46">
        <v>0</v>
      </c>
    </row>
    <row r="6110" spans="13:14" x14ac:dyDescent="0.35">
      <c r="M6110" s="46">
        <v>0.82623126576643413</v>
      </c>
      <c r="N6110" s="46">
        <v>0</v>
      </c>
    </row>
    <row r="6111" spans="13:14" x14ac:dyDescent="0.35">
      <c r="M6111" s="46">
        <v>0.89701773260127604</v>
      </c>
      <c r="N6111" s="46">
        <v>0</v>
      </c>
    </row>
    <row r="6112" spans="13:14" x14ac:dyDescent="0.35">
      <c r="M6112" s="46">
        <v>0.9561795518622942</v>
      </c>
      <c r="N6112" s="46">
        <v>0</v>
      </c>
    </row>
    <row r="6113" spans="13:14" x14ac:dyDescent="0.35">
      <c r="M6113" s="46">
        <v>0.98259118563585102</v>
      </c>
      <c r="N6113" s="46">
        <v>0</v>
      </c>
    </row>
    <row r="6114" spans="13:14" x14ac:dyDescent="0.35">
      <c r="M6114" s="46">
        <v>0.94531050600979372</v>
      </c>
      <c r="N6114" s="46">
        <v>0</v>
      </c>
    </row>
    <row r="6115" spans="13:14" x14ac:dyDescent="0.35">
      <c r="M6115" s="46">
        <v>0.84648248998367703</v>
      </c>
      <c r="N6115" s="46">
        <v>0</v>
      </c>
    </row>
    <row r="6116" spans="13:14" x14ac:dyDescent="0.35">
      <c r="M6116" s="46">
        <v>0.72352114557055947</v>
      </c>
      <c r="N6116" s="46">
        <v>0</v>
      </c>
    </row>
    <row r="6117" spans="13:14" x14ac:dyDescent="0.35">
      <c r="M6117" s="46">
        <v>0.64406224959192759</v>
      </c>
      <c r="N6117" s="46">
        <v>0</v>
      </c>
    </row>
    <row r="6118" spans="13:14" x14ac:dyDescent="0.35">
      <c r="M6118" s="46">
        <v>0.63958398872236233</v>
      </c>
      <c r="N6118" s="46">
        <v>0</v>
      </c>
    </row>
    <row r="6119" spans="13:14" x14ac:dyDescent="0.35">
      <c r="M6119" s="46">
        <v>0.64394865707078197</v>
      </c>
      <c r="N6119" s="46">
        <v>0</v>
      </c>
    </row>
    <row r="6120" spans="13:14" x14ac:dyDescent="0.35">
      <c r="M6120" s="46">
        <v>0.63391705000741949</v>
      </c>
      <c r="N6120" s="46">
        <v>0</v>
      </c>
    </row>
    <row r="6121" spans="13:14" x14ac:dyDescent="0.35">
      <c r="M6121" s="46">
        <v>0.62871516545481532</v>
      </c>
      <c r="N6121" s="46">
        <v>0</v>
      </c>
    </row>
    <row r="6122" spans="13:14" x14ac:dyDescent="0.35">
      <c r="M6122" s="46">
        <v>0.61972955928179252</v>
      </c>
      <c r="N6122" s="46">
        <v>0</v>
      </c>
    </row>
    <row r="6123" spans="13:14" x14ac:dyDescent="0.35">
      <c r="M6123" s="46">
        <v>0.61512019587475886</v>
      </c>
      <c r="N6123" s="46">
        <v>0</v>
      </c>
    </row>
    <row r="6124" spans="13:14" x14ac:dyDescent="0.35">
      <c r="M6124" s="46">
        <v>0.60884656477222132</v>
      </c>
      <c r="N6124" s="46">
        <v>0</v>
      </c>
    </row>
    <row r="6125" spans="13:14" x14ac:dyDescent="0.35">
      <c r="M6125" s="46">
        <v>0.59617420982341596</v>
      </c>
      <c r="N6125" s="46">
        <v>0</v>
      </c>
    </row>
    <row r="6126" spans="13:14" x14ac:dyDescent="0.35">
      <c r="M6126" s="46">
        <v>0.58220010387297816</v>
      </c>
      <c r="N6126" s="46">
        <v>0</v>
      </c>
    </row>
    <row r="6127" spans="13:14" x14ac:dyDescent="0.35">
      <c r="M6127" s="46">
        <v>0.56412182816441614</v>
      </c>
      <c r="N6127" s="46">
        <v>0</v>
      </c>
    </row>
    <row r="6128" spans="13:14" x14ac:dyDescent="0.35">
      <c r="M6128" s="46">
        <v>0.5368136963941238</v>
      </c>
      <c r="N6128" s="46">
        <v>0</v>
      </c>
    </row>
    <row r="6129" spans="13:14" x14ac:dyDescent="0.35">
      <c r="M6129" s="46">
        <v>0.51234849384181624</v>
      </c>
      <c r="N6129" s="46">
        <v>0</v>
      </c>
    </row>
    <row r="6130" spans="13:14" x14ac:dyDescent="0.35">
      <c r="M6130" s="46">
        <v>0.56016500964534799</v>
      </c>
      <c r="N6130" s="46">
        <v>0</v>
      </c>
    </row>
    <row r="6131" spans="13:14" x14ac:dyDescent="0.35">
      <c r="M6131" s="46">
        <v>0.64904978483454523</v>
      </c>
      <c r="N6131" s="46">
        <v>0</v>
      </c>
    </row>
    <row r="6132" spans="13:14" x14ac:dyDescent="0.35">
      <c r="M6132" s="46">
        <v>0.70777771182668048</v>
      </c>
      <c r="N6132" s="46">
        <v>0</v>
      </c>
    </row>
    <row r="6133" spans="13:14" x14ac:dyDescent="0.35">
      <c r="M6133" s="46">
        <v>0.73596483157738546</v>
      </c>
      <c r="N6133" s="46">
        <v>0</v>
      </c>
    </row>
    <row r="6134" spans="13:14" x14ac:dyDescent="0.35">
      <c r="M6134" s="46">
        <v>0.76243070188455253</v>
      </c>
      <c r="N6134" s="46">
        <v>0</v>
      </c>
    </row>
    <row r="6135" spans="13:14" x14ac:dyDescent="0.35">
      <c r="M6135" s="46">
        <v>0.77073942721472022</v>
      </c>
      <c r="N6135" s="46">
        <v>0</v>
      </c>
    </row>
    <row r="6136" spans="13:14" x14ac:dyDescent="0.35">
      <c r="M6136" s="46">
        <v>0.76360995696690903</v>
      </c>
      <c r="N6136" s="46">
        <v>0</v>
      </c>
    </row>
    <row r="6137" spans="13:14" x14ac:dyDescent="0.35">
      <c r="M6137" s="46">
        <v>0.73923490132067071</v>
      </c>
      <c r="N6137" s="46">
        <v>0</v>
      </c>
    </row>
    <row r="6138" spans="13:14" x14ac:dyDescent="0.35">
      <c r="M6138" s="46">
        <v>0.67288588811396355</v>
      </c>
      <c r="N6138" s="46">
        <v>0</v>
      </c>
    </row>
    <row r="6139" spans="13:14" x14ac:dyDescent="0.35">
      <c r="M6139" s="46">
        <v>0.5677720730078647</v>
      </c>
      <c r="N6139" s="46">
        <v>0</v>
      </c>
    </row>
    <row r="6140" spans="13:14" x14ac:dyDescent="0.35">
      <c r="M6140" s="46">
        <v>0.44042009200178067</v>
      </c>
      <c r="N6140" s="46">
        <v>0</v>
      </c>
    </row>
    <row r="6141" spans="13:14" x14ac:dyDescent="0.35">
      <c r="M6141" s="46">
        <v>0.35268237127170204</v>
      </c>
      <c r="N6141" s="46">
        <v>0</v>
      </c>
    </row>
    <row r="6142" spans="13:14" x14ac:dyDescent="0.35">
      <c r="M6142" s="46">
        <v>0.3401216055794628</v>
      </c>
      <c r="N6142" s="46">
        <v>0</v>
      </c>
    </row>
    <row r="6143" spans="13:14" x14ac:dyDescent="0.35">
      <c r="M6143" s="46">
        <v>0.31671175248553196</v>
      </c>
      <c r="N6143" s="46">
        <v>0</v>
      </c>
    </row>
    <row r="6144" spans="13:14" x14ac:dyDescent="0.35">
      <c r="M6144" s="46">
        <v>0.26770359103724589</v>
      </c>
      <c r="N6144" s="46">
        <v>0</v>
      </c>
    </row>
    <row r="6145" spans="13:14" x14ac:dyDescent="0.35">
      <c r="M6145" s="46">
        <v>0.23255275263392194</v>
      </c>
      <c r="N6145" s="46">
        <v>0</v>
      </c>
    </row>
    <row r="6146" spans="13:14" x14ac:dyDescent="0.35">
      <c r="M6146" s="46">
        <v>0.19753939753672653</v>
      </c>
      <c r="N6146" s="46">
        <v>0</v>
      </c>
    </row>
    <row r="6147" spans="13:14" x14ac:dyDescent="0.35">
      <c r="M6147" s="46">
        <v>0.17141979522184303</v>
      </c>
      <c r="N6147" s="46">
        <v>0</v>
      </c>
    </row>
    <row r="6148" spans="13:14" x14ac:dyDescent="0.35">
      <c r="M6148" s="46">
        <v>0.14781992877281497</v>
      </c>
      <c r="N6148" s="46">
        <v>0</v>
      </c>
    </row>
    <row r="6149" spans="13:14" x14ac:dyDescent="0.35">
      <c r="M6149" s="46">
        <v>0.12891222733343227</v>
      </c>
      <c r="N6149" s="46">
        <v>0</v>
      </c>
    </row>
    <row r="6150" spans="13:14" x14ac:dyDescent="0.35">
      <c r="M6150" s="46">
        <v>0.12110832467725181</v>
      </c>
      <c r="N6150" s="46">
        <v>0</v>
      </c>
    </row>
    <row r="6151" spans="13:14" x14ac:dyDescent="0.35">
      <c r="M6151" s="46">
        <v>0.1124104466538062</v>
      </c>
      <c r="N6151" s="46">
        <v>0</v>
      </c>
    </row>
    <row r="6152" spans="13:14" x14ac:dyDescent="0.35">
      <c r="M6152" s="46">
        <v>0.1094937676213088</v>
      </c>
      <c r="N6152" s="46">
        <v>0</v>
      </c>
    </row>
    <row r="6153" spans="13:14" x14ac:dyDescent="0.35">
      <c r="M6153" s="46">
        <v>0.12153041994361181</v>
      </c>
      <c r="N6153" s="46">
        <v>0</v>
      </c>
    </row>
    <row r="6154" spans="13:14" x14ac:dyDescent="0.35">
      <c r="M6154" s="46">
        <v>0.21873067220655884</v>
      </c>
      <c r="N6154" s="46">
        <v>0</v>
      </c>
    </row>
    <row r="6155" spans="13:14" x14ac:dyDescent="0.35">
      <c r="M6155" s="46">
        <v>0.36972169461344417</v>
      </c>
      <c r="N6155" s="46">
        <v>0</v>
      </c>
    </row>
    <row r="6156" spans="13:14" x14ac:dyDescent="0.35">
      <c r="M6156" s="46">
        <v>0.49519832319335216</v>
      </c>
      <c r="N6156" s="46">
        <v>0</v>
      </c>
    </row>
    <row r="6157" spans="13:14" x14ac:dyDescent="0.35">
      <c r="M6157" s="46">
        <v>0.57058636296186382</v>
      </c>
      <c r="N6157" s="46">
        <v>0</v>
      </c>
    </row>
    <row r="6158" spans="13:14" x14ac:dyDescent="0.35">
      <c r="M6158" s="46">
        <v>0.61236244249888705</v>
      </c>
      <c r="N6158" s="46">
        <v>0</v>
      </c>
    </row>
    <row r="6159" spans="13:14" x14ac:dyDescent="0.35">
      <c r="M6159" s="46">
        <v>0.61453375871791061</v>
      </c>
      <c r="N6159" s="46">
        <v>0</v>
      </c>
    </row>
    <row r="6160" spans="13:14" x14ac:dyDescent="0.35">
      <c r="M6160" s="46">
        <v>0.58856655290102389</v>
      </c>
      <c r="N6160" s="46">
        <v>0</v>
      </c>
    </row>
    <row r="6161" spans="13:14" x14ac:dyDescent="0.35">
      <c r="M6161" s="46">
        <v>0.53939931740614333</v>
      </c>
      <c r="N6161" s="46">
        <v>0</v>
      </c>
    </row>
    <row r="6162" spans="13:14" x14ac:dyDescent="0.35">
      <c r="M6162" s="46">
        <v>0.44085806499480634</v>
      </c>
      <c r="N6162" s="46">
        <v>0</v>
      </c>
    </row>
    <row r="6163" spans="13:14" x14ac:dyDescent="0.35">
      <c r="M6163" s="46">
        <v>0.30012880249295149</v>
      </c>
      <c r="N6163" s="46">
        <v>0</v>
      </c>
    </row>
    <row r="6164" spans="13:14" x14ac:dyDescent="0.35">
      <c r="M6164" s="46">
        <v>0.14533996141860811</v>
      </c>
      <c r="N6164" s="46">
        <v>0</v>
      </c>
    </row>
    <row r="6165" spans="13:14" x14ac:dyDescent="0.35">
      <c r="M6165" s="46">
        <v>4.8509125983083545E-2</v>
      </c>
      <c r="N6165" s="46">
        <v>0</v>
      </c>
    </row>
    <row r="6166" spans="13:14" x14ac:dyDescent="0.35">
      <c r="M6166" s="46">
        <v>3.4787802344561511E-2</v>
      </c>
      <c r="N6166" s="46">
        <v>0</v>
      </c>
    </row>
    <row r="6167" spans="13:14" x14ac:dyDescent="0.35">
      <c r="M6167" s="46">
        <v>3.6126873423356583E-2</v>
      </c>
      <c r="N6167" s="46">
        <v>0</v>
      </c>
    </row>
    <row r="6168" spans="13:14" x14ac:dyDescent="0.35">
      <c r="M6168" s="46">
        <v>3.5667309689864965E-2</v>
      </c>
      <c r="N6168" s="46">
        <v>0</v>
      </c>
    </row>
    <row r="6169" spans="13:14" x14ac:dyDescent="0.35">
      <c r="M6169" s="46">
        <v>3.4490132067072264E-2</v>
      </c>
      <c r="N6169" s="46">
        <v>0</v>
      </c>
    </row>
    <row r="6170" spans="13:14" x14ac:dyDescent="0.35">
      <c r="M6170" s="46">
        <v>3.3682890636592966E-2</v>
      </c>
      <c r="N6170" s="46">
        <v>0</v>
      </c>
    </row>
    <row r="6171" spans="13:14" x14ac:dyDescent="0.35">
      <c r="M6171" s="46">
        <v>3.1713755750111289E-2</v>
      </c>
      <c r="N6171" s="46">
        <v>0</v>
      </c>
    </row>
    <row r="6172" spans="13:14" x14ac:dyDescent="0.35">
      <c r="M6172" s="46">
        <v>3.1659074046594453E-2</v>
      </c>
      <c r="N6172" s="46">
        <v>0</v>
      </c>
    </row>
    <row r="6173" spans="13:14" x14ac:dyDescent="0.35">
      <c r="M6173" s="46">
        <v>3.2140376910520845E-2</v>
      </c>
      <c r="N6173" s="46">
        <v>0</v>
      </c>
    </row>
    <row r="6174" spans="13:14" x14ac:dyDescent="0.35">
      <c r="M6174" s="46">
        <v>3.0294183113221546E-2</v>
      </c>
      <c r="N6174" s="46">
        <v>0</v>
      </c>
    </row>
    <row r="6175" spans="13:14" x14ac:dyDescent="0.35">
      <c r="M6175" s="46">
        <v>2.9788915269327795E-2</v>
      </c>
      <c r="N6175" s="46">
        <v>0</v>
      </c>
    </row>
    <row r="6176" spans="13:14" x14ac:dyDescent="0.35">
      <c r="M6176" s="46">
        <v>2.9158183706781422E-2</v>
      </c>
      <c r="N6176" s="46">
        <v>0</v>
      </c>
    </row>
    <row r="6177" spans="13:14" x14ac:dyDescent="0.35">
      <c r="M6177" s="46">
        <v>4.3251150022258496E-2</v>
      </c>
      <c r="N6177" s="46">
        <v>0</v>
      </c>
    </row>
    <row r="6178" spans="13:14" x14ac:dyDescent="0.35">
      <c r="M6178" s="46">
        <v>0.1411642676955038</v>
      </c>
      <c r="N6178" s="46">
        <v>0</v>
      </c>
    </row>
    <row r="6179" spans="13:14" x14ac:dyDescent="0.35">
      <c r="M6179" s="46">
        <v>0.29302997477370529</v>
      </c>
      <c r="N6179" s="46">
        <v>0</v>
      </c>
    </row>
    <row r="6180" spans="13:14" x14ac:dyDescent="0.35">
      <c r="M6180" s="46">
        <v>0.43170678142157587</v>
      </c>
      <c r="N6180" s="46">
        <v>0</v>
      </c>
    </row>
    <row r="6181" spans="13:14" x14ac:dyDescent="0.35">
      <c r="M6181" s="46">
        <v>0.52687297818667456</v>
      </c>
      <c r="N6181" s="46">
        <v>0</v>
      </c>
    </row>
    <row r="6182" spans="13:14" x14ac:dyDescent="0.35">
      <c r="M6182" s="46">
        <v>0.58340451105505264</v>
      </c>
      <c r="N6182" s="46">
        <v>0</v>
      </c>
    </row>
    <row r="6183" spans="13:14" x14ac:dyDescent="0.35">
      <c r="M6183" s="46">
        <v>0.60047136073601426</v>
      </c>
      <c r="N6183" s="46">
        <v>0</v>
      </c>
    </row>
    <row r="6184" spans="13:14" x14ac:dyDescent="0.35">
      <c r="M6184" s="46">
        <v>0.5802455112034427</v>
      </c>
      <c r="N6184" s="46">
        <v>0</v>
      </c>
    </row>
    <row r="6185" spans="13:14" x14ac:dyDescent="0.35">
      <c r="M6185" s="46">
        <v>0.53402144235049709</v>
      </c>
      <c r="N6185" s="46">
        <v>0</v>
      </c>
    </row>
    <row r="6186" spans="13:14" x14ac:dyDescent="0.35">
      <c r="M6186" s="46">
        <v>0.44103702329722505</v>
      </c>
      <c r="N6186" s="46">
        <v>0</v>
      </c>
    </row>
    <row r="6187" spans="13:14" x14ac:dyDescent="0.35">
      <c r="M6187" s="46">
        <v>0.30557204332987092</v>
      </c>
      <c r="N6187" s="46">
        <v>0</v>
      </c>
    </row>
    <row r="6188" spans="13:14" x14ac:dyDescent="0.35">
      <c r="M6188" s="46">
        <v>0.1595408814364149</v>
      </c>
      <c r="N6188" s="46">
        <v>0</v>
      </c>
    </row>
    <row r="6189" spans="13:14" x14ac:dyDescent="0.35">
      <c r="M6189" s="46">
        <v>7.2109215017064854E-2</v>
      </c>
      <c r="N6189" s="46">
        <v>0</v>
      </c>
    </row>
    <row r="6190" spans="13:14" x14ac:dyDescent="0.35">
      <c r="M6190" s="46">
        <v>6.0437082653212647E-2</v>
      </c>
      <c r="N6190" s="46">
        <v>0</v>
      </c>
    </row>
    <row r="6191" spans="13:14" x14ac:dyDescent="0.35">
      <c r="M6191" s="46">
        <v>5.5831948360290845E-2</v>
      </c>
      <c r="N6191" s="46">
        <v>0</v>
      </c>
    </row>
    <row r="6192" spans="13:14" x14ac:dyDescent="0.35">
      <c r="M6192" s="46">
        <v>4.9733936785873276E-2</v>
      </c>
      <c r="N6192" s="46">
        <v>0</v>
      </c>
    </row>
    <row r="6193" spans="13:14" x14ac:dyDescent="0.35">
      <c r="M6193" s="46">
        <v>4.9479151209378243E-2</v>
      </c>
      <c r="N6193" s="46">
        <v>0</v>
      </c>
    </row>
    <row r="6194" spans="13:14" x14ac:dyDescent="0.35">
      <c r="M6194" s="46">
        <v>5.0721546223475293E-2</v>
      </c>
      <c r="N6194" s="46">
        <v>0</v>
      </c>
    </row>
    <row r="6195" spans="13:14" x14ac:dyDescent="0.35">
      <c r="M6195" s="46">
        <v>5.4612479596379285E-2</v>
      </c>
      <c r="N6195" s="46">
        <v>0</v>
      </c>
    </row>
    <row r="6196" spans="13:14" x14ac:dyDescent="0.35">
      <c r="M6196" s="46">
        <v>5.7058688232675472E-2</v>
      </c>
      <c r="N6196" s="46">
        <v>0</v>
      </c>
    </row>
    <row r="6197" spans="13:14" x14ac:dyDescent="0.35">
      <c r="M6197" s="46">
        <v>5.9562991541771776E-2</v>
      </c>
      <c r="N6197" s="46">
        <v>0</v>
      </c>
    </row>
    <row r="6198" spans="13:14" x14ac:dyDescent="0.35">
      <c r="M6198" s="46">
        <v>6.0016545481525449E-2</v>
      </c>
      <c r="N6198" s="46">
        <v>0</v>
      </c>
    </row>
    <row r="6199" spans="13:14" x14ac:dyDescent="0.35">
      <c r="M6199" s="46">
        <v>5.977422466241282E-2</v>
      </c>
      <c r="N6199" s="46">
        <v>0</v>
      </c>
    </row>
    <row r="6200" spans="13:14" x14ac:dyDescent="0.35">
      <c r="M6200" s="46">
        <v>5.8569149725478553E-2</v>
      </c>
      <c r="N6200" s="46">
        <v>0</v>
      </c>
    </row>
    <row r="6201" spans="13:14" x14ac:dyDescent="0.35">
      <c r="M6201" s="46">
        <v>7.1586066181926103E-2</v>
      </c>
      <c r="N6201" s="46">
        <v>0</v>
      </c>
    </row>
    <row r="6202" spans="13:14" x14ac:dyDescent="0.35">
      <c r="M6202" s="46">
        <v>0.16974870158777267</v>
      </c>
      <c r="N6202" s="46">
        <v>0</v>
      </c>
    </row>
    <row r="6203" spans="13:14" x14ac:dyDescent="0.35">
      <c r="M6203" s="46">
        <v>0.32732467725181774</v>
      </c>
      <c r="N6203" s="46">
        <v>0</v>
      </c>
    </row>
    <row r="6204" spans="13:14" x14ac:dyDescent="0.35">
      <c r="M6204" s="46">
        <v>0.47653383291289508</v>
      </c>
      <c r="N6204" s="46">
        <v>0</v>
      </c>
    </row>
    <row r="6205" spans="13:14" x14ac:dyDescent="0.35">
      <c r="M6205" s="46">
        <v>0.58354718801009053</v>
      </c>
      <c r="N6205" s="46">
        <v>0</v>
      </c>
    </row>
    <row r="6206" spans="13:14" x14ac:dyDescent="0.35">
      <c r="M6206" s="46">
        <v>0.65270626205668492</v>
      </c>
      <c r="N6206" s="46">
        <v>0</v>
      </c>
    </row>
    <row r="6207" spans="13:14" x14ac:dyDescent="0.35">
      <c r="M6207" s="46">
        <v>0.68007144976999556</v>
      </c>
      <c r="N6207" s="46">
        <v>0</v>
      </c>
    </row>
    <row r="6208" spans="13:14" x14ac:dyDescent="0.35">
      <c r="M6208" s="46">
        <v>0.67287320077162793</v>
      </c>
      <c r="N6208" s="46">
        <v>0</v>
      </c>
    </row>
    <row r="6209" spans="13:14" x14ac:dyDescent="0.35">
      <c r="M6209" s="46">
        <v>0.63430138002671022</v>
      </c>
      <c r="N6209" s="46">
        <v>0</v>
      </c>
    </row>
    <row r="6210" spans="13:14" x14ac:dyDescent="0.35">
      <c r="M6210" s="46">
        <v>0.5505063807686601</v>
      </c>
      <c r="N6210" s="46">
        <v>0</v>
      </c>
    </row>
    <row r="6211" spans="13:14" x14ac:dyDescent="0.35">
      <c r="M6211" s="46">
        <v>0.41916827422466241</v>
      </c>
      <c r="N6211" s="46">
        <v>0</v>
      </c>
    </row>
    <row r="6212" spans="13:14" x14ac:dyDescent="0.35">
      <c r="M6212" s="46">
        <v>0.27572540436266507</v>
      </c>
      <c r="N6212" s="46">
        <v>0</v>
      </c>
    </row>
    <row r="6213" spans="13:14" x14ac:dyDescent="0.35">
      <c r="M6213" s="46">
        <v>0.19062249591927585</v>
      </c>
      <c r="N6213" s="46">
        <v>0</v>
      </c>
    </row>
    <row r="6214" spans="13:14" x14ac:dyDescent="0.35">
      <c r="M6214" s="46">
        <v>0.17894301825196615</v>
      </c>
      <c r="N6214" s="46">
        <v>0</v>
      </c>
    </row>
    <row r="6215" spans="13:14" x14ac:dyDescent="0.35">
      <c r="M6215" s="46">
        <v>0.17078906365929664</v>
      </c>
      <c r="N6215" s="46">
        <v>0</v>
      </c>
    </row>
    <row r="6216" spans="13:14" x14ac:dyDescent="0.35">
      <c r="M6216" s="46">
        <v>0.1597336400059356</v>
      </c>
      <c r="N6216" s="46">
        <v>0</v>
      </c>
    </row>
    <row r="6217" spans="13:14" x14ac:dyDescent="0.35">
      <c r="M6217" s="46">
        <v>0.16588329128950885</v>
      </c>
      <c r="N6217" s="46">
        <v>0</v>
      </c>
    </row>
    <row r="6218" spans="13:14" x14ac:dyDescent="0.35">
      <c r="M6218" s="46">
        <v>0.1673056091408221</v>
      </c>
      <c r="N6218" s="46">
        <v>0</v>
      </c>
    </row>
    <row r="6219" spans="13:14" x14ac:dyDescent="0.35">
      <c r="M6219" s="46">
        <v>0.17791526932779345</v>
      </c>
      <c r="N6219" s="46">
        <v>0</v>
      </c>
    </row>
    <row r="6220" spans="13:14" x14ac:dyDescent="0.35">
      <c r="M6220" s="46">
        <v>0.18892268882623536</v>
      </c>
      <c r="N6220" s="46">
        <v>0</v>
      </c>
    </row>
    <row r="6221" spans="13:14" x14ac:dyDescent="0.35">
      <c r="M6221" s="46">
        <v>0.20120626205668499</v>
      </c>
      <c r="N6221" s="46">
        <v>0</v>
      </c>
    </row>
    <row r="6222" spans="13:14" x14ac:dyDescent="0.35">
      <c r="M6222" s="46">
        <v>0.20666411930553494</v>
      </c>
      <c r="N6222" s="46">
        <v>0</v>
      </c>
    </row>
    <row r="6223" spans="13:14" x14ac:dyDescent="0.35">
      <c r="M6223" s="46">
        <v>0.21195548300934855</v>
      </c>
      <c r="N6223" s="46">
        <v>0</v>
      </c>
    </row>
    <row r="6224" spans="13:14" x14ac:dyDescent="0.35">
      <c r="M6224" s="46">
        <v>0.2127068556165603</v>
      </c>
      <c r="N6224" s="46">
        <v>0</v>
      </c>
    </row>
    <row r="6225" spans="13:14" x14ac:dyDescent="0.35">
      <c r="M6225" s="46">
        <v>0.22254065885146163</v>
      </c>
      <c r="N6225" s="46">
        <v>0</v>
      </c>
    </row>
    <row r="6226" spans="13:14" x14ac:dyDescent="0.35">
      <c r="M6226" s="46">
        <v>0.30090154325567592</v>
      </c>
      <c r="N6226" s="46">
        <v>0</v>
      </c>
    </row>
    <row r="6227" spans="13:14" x14ac:dyDescent="0.35">
      <c r="M6227" s="46">
        <v>0.42598538358806942</v>
      </c>
      <c r="N6227" s="46">
        <v>0</v>
      </c>
    </row>
    <row r="6228" spans="13:14" x14ac:dyDescent="0.35">
      <c r="M6228" s="46">
        <v>0.54110587624276596</v>
      </c>
      <c r="N6228" s="46">
        <v>0</v>
      </c>
    </row>
    <row r="6229" spans="13:14" x14ac:dyDescent="0.35">
      <c r="M6229" s="46">
        <v>0.62580523816589995</v>
      </c>
      <c r="N6229" s="46">
        <v>0</v>
      </c>
    </row>
    <row r="6230" spans="13:14" x14ac:dyDescent="0.35">
      <c r="M6230" s="46">
        <v>0.68762301528416669</v>
      </c>
      <c r="N6230" s="46">
        <v>0</v>
      </c>
    </row>
    <row r="6231" spans="13:14" x14ac:dyDescent="0.35">
      <c r="M6231" s="46">
        <v>0.72988663006380772</v>
      </c>
      <c r="N6231" s="46">
        <v>0</v>
      </c>
    </row>
    <row r="6232" spans="13:14" x14ac:dyDescent="0.35">
      <c r="M6232" s="46">
        <v>0.75111017955186232</v>
      </c>
      <c r="N6232" s="46">
        <v>0</v>
      </c>
    </row>
    <row r="6233" spans="13:14" x14ac:dyDescent="0.35">
      <c r="M6233" s="46">
        <v>0.75934686155215914</v>
      </c>
      <c r="N6233" s="46">
        <v>0</v>
      </c>
    </row>
    <row r="6234" spans="13:14" x14ac:dyDescent="0.35">
      <c r="M6234" s="46">
        <v>0.72395718949399024</v>
      </c>
      <c r="N6234" s="46">
        <v>0</v>
      </c>
    </row>
    <row r="6235" spans="13:14" x14ac:dyDescent="0.35">
      <c r="M6235" s="46">
        <v>0.64958020477815692</v>
      </c>
      <c r="N6235" s="46">
        <v>0</v>
      </c>
    </row>
    <row r="6236" spans="13:14" x14ac:dyDescent="0.35">
      <c r="M6236" s="46">
        <v>0.55827236978780237</v>
      </c>
      <c r="N6236" s="46">
        <v>0</v>
      </c>
    </row>
    <row r="6237" spans="13:14" x14ac:dyDescent="0.35">
      <c r="M6237" s="46">
        <v>0.51077333432259986</v>
      </c>
      <c r="N6237" s="46">
        <v>0</v>
      </c>
    </row>
    <row r="6238" spans="13:14" x14ac:dyDescent="0.35">
      <c r="M6238" s="46">
        <v>0.52738915269327791</v>
      </c>
      <c r="N6238" s="46">
        <v>0</v>
      </c>
    </row>
    <row r="6239" spans="13:14" x14ac:dyDescent="0.35">
      <c r="M6239" s="46">
        <v>0.53288113963496064</v>
      </c>
      <c r="N6239" s="46">
        <v>0</v>
      </c>
    </row>
    <row r="6240" spans="13:14" x14ac:dyDescent="0.35">
      <c r="M6240" s="46">
        <v>0.48950764208339514</v>
      </c>
      <c r="N6240" s="46">
        <v>0</v>
      </c>
    </row>
    <row r="6241" spans="13:14" x14ac:dyDescent="0.35">
      <c r="M6241" s="46">
        <v>0.49472970767176139</v>
      </c>
      <c r="N6241" s="46">
        <v>0</v>
      </c>
    </row>
    <row r="6242" spans="13:14" x14ac:dyDescent="0.35">
      <c r="M6242" s="46">
        <v>0.47678780234456147</v>
      </c>
      <c r="N6242" s="46">
        <v>0</v>
      </c>
    </row>
    <row r="6243" spans="13:14" x14ac:dyDescent="0.35">
      <c r="M6243" s="46">
        <v>0.48338959786318447</v>
      </c>
      <c r="N6243" s="46">
        <v>0</v>
      </c>
    </row>
    <row r="6244" spans="13:14" x14ac:dyDescent="0.35">
      <c r="M6244" s="46">
        <v>0.49033580649948066</v>
      </c>
      <c r="N6244" s="46">
        <v>0</v>
      </c>
    </row>
    <row r="6245" spans="13:14" x14ac:dyDescent="0.35">
      <c r="M6245" s="46">
        <v>0.49147239946579607</v>
      </c>
      <c r="N6245" s="46">
        <v>0</v>
      </c>
    </row>
    <row r="6246" spans="13:14" x14ac:dyDescent="0.35">
      <c r="M6246" s="46">
        <v>0.49478297967057427</v>
      </c>
      <c r="N6246" s="46">
        <v>0</v>
      </c>
    </row>
    <row r="6247" spans="13:14" x14ac:dyDescent="0.35">
      <c r="M6247" s="46">
        <v>0.50242179848642232</v>
      </c>
      <c r="N6247" s="46">
        <v>0</v>
      </c>
    </row>
    <row r="6248" spans="13:14" x14ac:dyDescent="0.35">
      <c r="M6248" s="46">
        <v>0.49890703368452294</v>
      </c>
      <c r="N6248" s="46">
        <v>0</v>
      </c>
    </row>
    <row r="6249" spans="13:14" x14ac:dyDescent="0.35">
      <c r="M6249" s="46">
        <v>0.4944135628431518</v>
      </c>
      <c r="N6249" s="46">
        <v>0</v>
      </c>
    </row>
    <row r="6250" spans="13:14" x14ac:dyDescent="0.35">
      <c r="M6250" s="46">
        <v>0.5628435969728447</v>
      </c>
      <c r="N6250" s="46">
        <v>0</v>
      </c>
    </row>
    <row r="6251" spans="13:14" x14ac:dyDescent="0.35">
      <c r="M6251" s="46">
        <v>0.70249480635109074</v>
      </c>
      <c r="N6251" s="46">
        <v>0</v>
      </c>
    </row>
    <row r="6252" spans="13:14" x14ac:dyDescent="0.35">
      <c r="M6252" s="46">
        <v>0.81325589850126134</v>
      </c>
      <c r="N6252" s="46">
        <v>0</v>
      </c>
    </row>
    <row r="6253" spans="13:14" x14ac:dyDescent="0.35">
      <c r="M6253" s="46">
        <v>0.9021844487312658</v>
      </c>
      <c r="N6253" s="46">
        <v>0</v>
      </c>
    </row>
    <row r="6254" spans="13:14" x14ac:dyDescent="0.35">
      <c r="M6254" s="46">
        <v>0.96802485531978044</v>
      </c>
      <c r="N6254" s="46">
        <v>0</v>
      </c>
    </row>
    <row r="6255" spans="13:14" x14ac:dyDescent="0.35">
      <c r="M6255" s="46">
        <v>1</v>
      </c>
      <c r="N6255" s="46">
        <v>1.946375400322555E-3</v>
      </c>
    </row>
    <row r="6256" spans="13:14" x14ac:dyDescent="0.35">
      <c r="M6256" s="46">
        <v>0.99959318890043036</v>
      </c>
      <c r="N6256" s="46">
        <v>0</v>
      </c>
    </row>
    <row r="6257" spans="13:14" x14ac:dyDescent="0.35">
      <c r="M6257" s="46">
        <v>0.97049547410595038</v>
      </c>
      <c r="N6257" s="46">
        <v>0</v>
      </c>
    </row>
    <row r="6258" spans="13:14" x14ac:dyDescent="0.35">
      <c r="M6258" s="46">
        <v>0.90175107582727398</v>
      </c>
      <c r="N6258" s="46">
        <v>0</v>
      </c>
    </row>
    <row r="6259" spans="13:14" x14ac:dyDescent="0.35">
      <c r="M6259" s="46">
        <v>0.79104815254488792</v>
      </c>
      <c r="N6259" s="46">
        <v>0</v>
      </c>
    </row>
    <row r="6260" spans="13:14" x14ac:dyDescent="0.35">
      <c r="M6260" s="46">
        <v>0.66901209378246029</v>
      </c>
      <c r="N6260" s="46">
        <v>0</v>
      </c>
    </row>
    <row r="6261" spans="13:14" x14ac:dyDescent="0.35">
      <c r="M6261" s="46">
        <v>0.59722748182222885</v>
      </c>
      <c r="N6261" s="46">
        <v>0</v>
      </c>
    </row>
    <row r="6262" spans="13:14" x14ac:dyDescent="0.35">
      <c r="M6262" s="46">
        <v>0.5912582727407627</v>
      </c>
      <c r="N6262" s="46">
        <v>0</v>
      </c>
    </row>
    <row r="6263" spans="13:14" x14ac:dyDescent="0.35">
      <c r="M6263" s="46">
        <v>0.58019290695948955</v>
      </c>
      <c r="N6263" s="46">
        <v>0</v>
      </c>
    </row>
    <row r="6264" spans="13:14" x14ac:dyDescent="0.35">
      <c r="M6264" s="46">
        <v>0.54870730078646679</v>
      </c>
      <c r="N6264" s="46">
        <v>0</v>
      </c>
    </row>
    <row r="6265" spans="13:14" x14ac:dyDescent="0.35">
      <c r="M6265" s="46">
        <v>0.54456536578127324</v>
      </c>
      <c r="N6265" s="46">
        <v>0</v>
      </c>
    </row>
    <row r="6266" spans="13:14" x14ac:dyDescent="0.35">
      <c r="M6266" s="46">
        <v>0.53621145570559425</v>
      </c>
      <c r="N6266" s="46">
        <v>0</v>
      </c>
    </row>
    <row r="6267" spans="13:14" x14ac:dyDescent="0.35">
      <c r="M6267" s="46">
        <v>0.53683818073898204</v>
      </c>
      <c r="N6267" s="46">
        <v>0</v>
      </c>
    </row>
    <row r="6268" spans="13:14" x14ac:dyDescent="0.35">
      <c r="M6268" s="46">
        <v>0.53589813028639266</v>
      </c>
      <c r="N6268" s="46">
        <v>0</v>
      </c>
    </row>
    <row r="6269" spans="13:14" x14ac:dyDescent="0.35">
      <c r="M6269" s="46">
        <v>0.53480902211010539</v>
      </c>
      <c r="N6269" s="46">
        <v>0</v>
      </c>
    </row>
    <row r="6270" spans="13:14" x14ac:dyDescent="0.35">
      <c r="M6270" s="46">
        <v>0.52048011574417574</v>
      </c>
      <c r="N6270" s="46">
        <v>0</v>
      </c>
    </row>
    <row r="6271" spans="13:14" x14ac:dyDescent="0.35">
      <c r="M6271" s="46">
        <v>0.50500066775485974</v>
      </c>
      <c r="N6271" s="46">
        <v>0</v>
      </c>
    </row>
    <row r="6272" spans="13:14" x14ac:dyDescent="0.35">
      <c r="M6272" s="46">
        <v>0.49358072414304793</v>
      </c>
      <c r="N6272" s="46">
        <v>0</v>
      </c>
    </row>
    <row r="6273" spans="13:14" x14ac:dyDescent="0.35">
      <c r="M6273" s="46">
        <v>0.48352070040065293</v>
      </c>
      <c r="N6273" s="46">
        <v>0</v>
      </c>
    </row>
    <row r="6274" spans="13:14" x14ac:dyDescent="0.35">
      <c r="M6274" s="46">
        <v>0.5460601721323638</v>
      </c>
      <c r="N6274" s="46">
        <v>0</v>
      </c>
    </row>
    <row r="6275" spans="13:14" x14ac:dyDescent="0.35">
      <c r="M6275" s="46">
        <v>0.6592474402730375</v>
      </c>
      <c r="N6275" s="46">
        <v>0</v>
      </c>
    </row>
    <row r="6276" spans="13:14" x14ac:dyDescent="0.35">
      <c r="M6276" s="46">
        <v>0.76136815551268733</v>
      </c>
      <c r="N6276" s="46">
        <v>0</v>
      </c>
    </row>
    <row r="6277" spans="13:14" x14ac:dyDescent="0.35">
      <c r="M6277" s="46">
        <v>0.83585042291141121</v>
      </c>
      <c r="N6277" s="46">
        <v>0</v>
      </c>
    </row>
    <row r="6278" spans="13:14" x14ac:dyDescent="0.35">
      <c r="M6278" s="46">
        <v>0.87092498887075231</v>
      </c>
      <c r="N6278" s="46">
        <v>0</v>
      </c>
    </row>
    <row r="6279" spans="13:14" x14ac:dyDescent="0.35">
      <c r="M6279" s="46">
        <v>0.88583832912895089</v>
      </c>
      <c r="N6279" s="46">
        <v>0</v>
      </c>
    </row>
    <row r="6280" spans="13:14" x14ac:dyDescent="0.35">
      <c r="M6280" s="46">
        <v>0.87202663599940644</v>
      </c>
      <c r="N6280" s="46">
        <v>0</v>
      </c>
    </row>
    <row r="6281" spans="13:14" x14ac:dyDescent="0.35">
      <c r="M6281" s="46">
        <v>0.83503004896868971</v>
      </c>
      <c r="N6281" s="46">
        <v>0</v>
      </c>
    </row>
    <row r="6282" spans="13:14" x14ac:dyDescent="0.35">
      <c r="M6282" s="46">
        <v>0.76614594153435223</v>
      </c>
      <c r="N6282" s="46">
        <v>0</v>
      </c>
    </row>
    <row r="6283" spans="13:14" x14ac:dyDescent="0.35">
      <c r="M6283" s="46">
        <v>0.65801179700252266</v>
      </c>
      <c r="N6283" s="46">
        <v>0</v>
      </c>
    </row>
    <row r="6284" spans="13:14" x14ac:dyDescent="0.35">
      <c r="M6284" s="46">
        <v>0.54363503487164266</v>
      </c>
      <c r="N6284" s="46">
        <v>0</v>
      </c>
    </row>
    <row r="6285" spans="13:14" x14ac:dyDescent="0.35">
      <c r="M6285" s="46">
        <v>0.48424313696394122</v>
      </c>
      <c r="N6285" s="46">
        <v>0</v>
      </c>
    </row>
    <row r="6286" spans="13:14" x14ac:dyDescent="0.35">
      <c r="M6286" s="46">
        <v>0.48292973734975514</v>
      </c>
      <c r="N6286" s="46">
        <v>0</v>
      </c>
    </row>
    <row r="6287" spans="13:14" x14ac:dyDescent="0.35">
      <c r="M6287" s="46">
        <v>0.46428223772073002</v>
      </c>
      <c r="N6287" s="46">
        <v>0</v>
      </c>
    </row>
    <row r="6288" spans="13:14" x14ac:dyDescent="0.35">
      <c r="M6288" s="46">
        <v>0.41478891526932776</v>
      </c>
      <c r="N6288" s="46">
        <v>0</v>
      </c>
    </row>
    <row r="6289" spans="13:14" x14ac:dyDescent="0.35">
      <c r="M6289" s="46">
        <v>0.39149821932037399</v>
      </c>
      <c r="N6289" s="46">
        <v>0</v>
      </c>
    </row>
    <row r="6290" spans="13:14" x14ac:dyDescent="0.35">
      <c r="M6290" s="46">
        <v>0.35155275263392194</v>
      </c>
      <c r="N6290" s="46">
        <v>0</v>
      </c>
    </row>
    <row r="6291" spans="13:14" x14ac:dyDescent="0.35">
      <c r="M6291" s="46">
        <v>0.32202589404956228</v>
      </c>
      <c r="N6291" s="46">
        <v>0</v>
      </c>
    </row>
    <row r="6292" spans="13:14" x14ac:dyDescent="0.35">
      <c r="M6292" s="46">
        <v>0.28738373645941534</v>
      </c>
      <c r="N6292" s="46">
        <v>0</v>
      </c>
    </row>
    <row r="6293" spans="13:14" x14ac:dyDescent="0.35">
      <c r="M6293" s="46">
        <v>0.24727474402730373</v>
      </c>
      <c r="N6293" s="46">
        <v>0</v>
      </c>
    </row>
    <row r="6294" spans="13:14" x14ac:dyDescent="0.35">
      <c r="M6294" s="46">
        <v>0.21161455705594304</v>
      </c>
      <c r="N6294" s="46">
        <v>0</v>
      </c>
    </row>
    <row r="6295" spans="13:14" x14ac:dyDescent="0.35">
      <c r="M6295" s="46">
        <v>0.1848236385220359</v>
      </c>
      <c r="N6295" s="46">
        <v>0</v>
      </c>
    </row>
    <row r="6296" spans="13:14" x14ac:dyDescent="0.35">
      <c r="M6296" s="46">
        <v>0.15124565959341149</v>
      </c>
      <c r="N6296" s="46">
        <v>0</v>
      </c>
    </row>
    <row r="6297" spans="13:14" x14ac:dyDescent="0.35">
      <c r="M6297" s="46">
        <v>0.12535109066627095</v>
      </c>
      <c r="N6297" s="46">
        <v>0</v>
      </c>
    </row>
    <row r="6298" spans="13:14" x14ac:dyDescent="0.35">
      <c r="M6298" s="46">
        <v>0.17287624276598901</v>
      </c>
      <c r="N6298" s="46">
        <v>0</v>
      </c>
    </row>
    <row r="6299" spans="13:14" x14ac:dyDescent="0.35">
      <c r="M6299" s="46">
        <v>0.27290324974031754</v>
      </c>
      <c r="N6299" s="46">
        <v>0</v>
      </c>
    </row>
    <row r="6300" spans="13:14" x14ac:dyDescent="0.35">
      <c r="M6300" s="46">
        <v>0.3685899985161003</v>
      </c>
      <c r="N6300" s="46">
        <v>0</v>
      </c>
    </row>
    <row r="6301" spans="13:14" x14ac:dyDescent="0.35">
      <c r="M6301" s="46">
        <v>0.43443656328832175</v>
      </c>
      <c r="N6301" s="46">
        <v>0</v>
      </c>
    </row>
    <row r="6302" spans="13:14" x14ac:dyDescent="0.35">
      <c r="M6302" s="46">
        <v>0.50329262501854877</v>
      </c>
      <c r="N6302" s="46">
        <v>0</v>
      </c>
    </row>
    <row r="6303" spans="13:14" x14ac:dyDescent="0.35">
      <c r="M6303" s="46">
        <v>0.53948901914230596</v>
      </c>
      <c r="N6303" s="46">
        <v>0</v>
      </c>
    </row>
    <row r="6304" spans="13:14" x14ac:dyDescent="0.35">
      <c r="M6304" s="46">
        <v>0.54160268585843596</v>
      </c>
      <c r="N6304" s="46">
        <v>0</v>
      </c>
    </row>
    <row r="6305" spans="13:14" x14ac:dyDescent="0.35">
      <c r="M6305" s="46">
        <v>0.49241289508829206</v>
      </c>
      <c r="N6305" s="46">
        <v>0</v>
      </c>
    </row>
    <row r="6306" spans="13:14" x14ac:dyDescent="0.35">
      <c r="M6306" s="46">
        <v>0.3968572488499777</v>
      </c>
      <c r="N6306" s="46">
        <v>0</v>
      </c>
    </row>
    <row r="6307" spans="13:14" x14ac:dyDescent="0.35">
      <c r="M6307" s="46">
        <v>0.26288959786318444</v>
      </c>
      <c r="N6307" s="46">
        <v>0</v>
      </c>
    </row>
    <row r="6308" spans="13:14" x14ac:dyDescent="0.35">
      <c r="M6308" s="46">
        <v>0.1172036652322303</v>
      </c>
      <c r="N6308" s="46">
        <v>0</v>
      </c>
    </row>
    <row r="6309" spans="13:14" x14ac:dyDescent="0.35">
      <c r="M6309" s="46">
        <v>4.1903472325270807E-2</v>
      </c>
      <c r="N6309" s="46">
        <v>0</v>
      </c>
    </row>
    <row r="6310" spans="13:14" x14ac:dyDescent="0.35">
      <c r="M6310" s="46">
        <v>3.402351981006084E-2</v>
      </c>
      <c r="N6310" s="46">
        <v>0</v>
      </c>
    </row>
    <row r="6311" spans="13:14" x14ac:dyDescent="0.35">
      <c r="M6311" s="46">
        <v>3.2511574417569369E-2</v>
      </c>
      <c r="N6311" s="46">
        <v>0</v>
      </c>
    </row>
    <row r="6312" spans="13:14" x14ac:dyDescent="0.35">
      <c r="M6312" s="46">
        <v>3.1139709155661079E-2</v>
      </c>
      <c r="N6312" s="46">
        <v>0</v>
      </c>
    </row>
    <row r="6313" spans="13:14" x14ac:dyDescent="0.35">
      <c r="M6313" s="46">
        <v>3.1831577385368751E-2</v>
      </c>
      <c r="N6313" s="46">
        <v>0</v>
      </c>
    </row>
    <row r="6314" spans="13:14" x14ac:dyDescent="0.35">
      <c r="M6314" s="46">
        <v>3.2192239204629769E-2</v>
      </c>
      <c r="N6314" s="46">
        <v>0</v>
      </c>
    </row>
    <row r="6315" spans="13:14" x14ac:dyDescent="0.35">
      <c r="M6315" s="46">
        <v>3.5064178661522484E-2</v>
      </c>
      <c r="N6315" s="46">
        <v>0</v>
      </c>
    </row>
    <row r="6316" spans="13:14" x14ac:dyDescent="0.35">
      <c r="M6316" s="46">
        <v>3.6886778453776525E-2</v>
      </c>
      <c r="N6316" s="46">
        <v>0</v>
      </c>
    </row>
    <row r="6317" spans="13:14" x14ac:dyDescent="0.35">
      <c r="M6317" s="46">
        <v>3.7657664341890489E-2</v>
      </c>
      <c r="N6317" s="46">
        <v>0</v>
      </c>
    </row>
    <row r="6318" spans="13:14" x14ac:dyDescent="0.35">
      <c r="M6318" s="46">
        <v>3.8036355542365334E-2</v>
      </c>
      <c r="N6318" s="46">
        <v>0</v>
      </c>
    </row>
    <row r="6319" spans="13:14" x14ac:dyDescent="0.35">
      <c r="M6319" s="46">
        <v>3.8192832764505122E-2</v>
      </c>
      <c r="N6319" s="46">
        <v>0</v>
      </c>
    </row>
    <row r="6320" spans="13:14" x14ac:dyDescent="0.35">
      <c r="M6320" s="46">
        <v>4.3022035910372458E-2</v>
      </c>
      <c r="N6320" s="46">
        <v>0</v>
      </c>
    </row>
    <row r="6321" spans="13:14" x14ac:dyDescent="0.35">
      <c r="M6321" s="46">
        <v>5.5810654399762578E-2</v>
      </c>
      <c r="N6321" s="46">
        <v>0</v>
      </c>
    </row>
    <row r="6322" spans="13:14" x14ac:dyDescent="0.35">
      <c r="M6322" s="46">
        <v>0.13115566107731116</v>
      </c>
      <c r="N6322" s="46">
        <v>0</v>
      </c>
    </row>
    <row r="6323" spans="13:14" x14ac:dyDescent="0.35">
      <c r="M6323" s="46">
        <v>0.25394925063065737</v>
      </c>
      <c r="N6323" s="46">
        <v>0</v>
      </c>
    </row>
    <row r="6324" spans="13:14" x14ac:dyDescent="0.35">
      <c r="M6324" s="46">
        <v>0.37734775189197212</v>
      </c>
      <c r="N6324" s="46">
        <v>0</v>
      </c>
    </row>
    <row r="6325" spans="13:14" x14ac:dyDescent="0.35">
      <c r="M6325" s="46">
        <v>0.47329203145867338</v>
      </c>
      <c r="N6325" s="46">
        <v>0</v>
      </c>
    </row>
    <row r="6326" spans="13:14" x14ac:dyDescent="0.35">
      <c r="M6326" s="46">
        <v>0.55439590443686004</v>
      </c>
      <c r="N6326" s="46">
        <v>0</v>
      </c>
    </row>
    <row r="6327" spans="13:14" x14ac:dyDescent="0.35">
      <c r="M6327" s="46">
        <v>0.59286808131770297</v>
      </c>
      <c r="N6327" s="46">
        <v>0</v>
      </c>
    </row>
    <row r="6328" spans="13:14" x14ac:dyDescent="0.35">
      <c r="M6328" s="46">
        <v>0.59380828016026121</v>
      </c>
      <c r="N6328" s="46">
        <v>0</v>
      </c>
    </row>
    <row r="6329" spans="13:14" x14ac:dyDescent="0.35">
      <c r="M6329" s="46">
        <v>0.5353189642380175</v>
      </c>
      <c r="N6329" s="46">
        <v>0</v>
      </c>
    </row>
    <row r="6330" spans="13:14" x14ac:dyDescent="0.35">
      <c r="M6330" s="46">
        <v>0.42780048968689721</v>
      </c>
      <c r="N6330" s="46">
        <v>0</v>
      </c>
    </row>
    <row r="6331" spans="13:14" x14ac:dyDescent="0.35">
      <c r="M6331" s="46">
        <v>0.27727370529752188</v>
      </c>
      <c r="N6331" s="46">
        <v>0</v>
      </c>
    </row>
    <row r="6332" spans="13:14" x14ac:dyDescent="0.35">
      <c r="M6332" s="46">
        <v>0.12285287134589701</v>
      </c>
      <c r="N6332" s="46">
        <v>0</v>
      </c>
    </row>
    <row r="6333" spans="13:14" x14ac:dyDescent="0.35">
      <c r="M6333" s="46">
        <v>4.8653806202700697E-2</v>
      </c>
      <c r="N6333" s="46">
        <v>0</v>
      </c>
    </row>
    <row r="6334" spans="13:14" x14ac:dyDescent="0.35">
      <c r="M6334" s="46">
        <v>4.167443240836919E-2</v>
      </c>
      <c r="N6334" s="46">
        <v>0</v>
      </c>
    </row>
    <row r="6335" spans="13:14" x14ac:dyDescent="0.35">
      <c r="M6335" s="46">
        <v>3.9612257011426025E-2</v>
      </c>
      <c r="N6335" s="46">
        <v>0</v>
      </c>
    </row>
    <row r="6336" spans="13:14" x14ac:dyDescent="0.35">
      <c r="M6336" s="46">
        <v>3.8154844932482564E-2</v>
      </c>
      <c r="N6336" s="46">
        <v>0</v>
      </c>
    </row>
    <row r="6337" spans="13:14" x14ac:dyDescent="0.35">
      <c r="M6337" s="46">
        <v>3.9385368749072565E-2</v>
      </c>
      <c r="N6337" s="46">
        <v>0</v>
      </c>
    </row>
    <row r="6338" spans="13:14" x14ac:dyDescent="0.35">
      <c r="M6338" s="46">
        <v>4.1236014245437005E-2</v>
      </c>
      <c r="N6338" s="46">
        <v>0</v>
      </c>
    </row>
    <row r="6339" spans="13:14" x14ac:dyDescent="0.35">
      <c r="M6339" s="46">
        <v>4.1046297670277489E-2</v>
      </c>
      <c r="N6339" s="46">
        <v>0</v>
      </c>
    </row>
    <row r="6340" spans="13:14" x14ac:dyDescent="0.35">
      <c r="M6340" s="46">
        <v>3.858035316812583E-2</v>
      </c>
      <c r="N6340" s="46">
        <v>0</v>
      </c>
    </row>
    <row r="6341" spans="13:14" x14ac:dyDescent="0.35">
      <c r="M6341" s="46">
        <v>3.5555868823267549E-2</v>
      </c>
      <c r="N6341" s="46">
        <v>0</v>
      </c>
    </row>
    <row r="6342" spans="13:14" x14ac:dyDescent="0.35">
      <c r="M6342" s="46">
        <v>3.3046149280308655E-2</v>
      </c>
      <c r="N6342" s="46">
        <v>0</v>
      </c>
    </row>
    <row r="6343" spans="13:14" x14ac:dyDescent="0.35">
      <c r="M6343" s="46">
        <v>3.2573453034574859E-2</v>
      </c>
      <c r="N6343" s="46">
        <v>0</v>
      </c>
    </row>
    <row r="6344" spans="13:14" x14ac:dyDescent="0.35">
      <c r="M6344" s="46">
        <v>3.3113369936192315E-2</v>
      </c>
      <c r="N6344" s="46">
        <v>0</v>
      </c>
    </row>
    <row r="6345" spans="13:14" x14ac:dyDescent="0.35">
      <c r="M6345" s="46">
        <v>4.0119824899836773E-2</v>
      </c>
      <c r="N6345" s="46">
        <v>0</v>
      </c>
    </row>
    <row r="6346" spans="13:14" x14ac:dyDescent="0.35">
      <c r="M6346" s="46">
        <v>9.7893085027452142E-2</v>
      </c>
      <c r="N6346" s="46">
        <v>0</v>
      </c>
    </row>
    <row r="6347" spans="13:14" x14ac:dyDescent="0.35">
      <c r="M6347" s="46">
        <v>0.19832801602611663</v>
      </c>
      <c r="N6347" s="46">
        <v>0</v>
      </c>
    </row>
    <row r="6348" spans="13:14" x14ac:dyDescent="0.35">
      <c r="M6348" s="46">
        <v>0.30369884255824309</v>
      </c>
      <c r="N6348" s="46">
        <v>0</v>
      </c>
    </row>
    <row r="6349" spans="13:14" x14ac:dyDescent="0.35">
      <c r="M6349" s="46">
        <v>0.38601966167087104</v>
      </c>
      <c r="N6349" s="46">
        <v>0</v>
      </c>
    </row>
    <row r="6350" spans="13:14" x14ac:dyDescent="0.35">
      <c r="M6350" s="46">
        <v>0.4506032794183113</v>
      </c>
      <c r="N6350" s="46">
        <v>0</v>
      </c>
    </row>
    <row r="6351" spans="13:14" x14ac:dyDescent="0.35">
      <c r="M6351" s="46">
        <v>0.48502574565959339</v>
      </c>
      <c r="N6351" s="46">
        <v>0</v>
      </c>
    </row>
    <row r="6352" spans="13:14" x14ac:dyDescent="0.35">
      <c r="M6352" s="46">
        <v>0.48768244546668649</v>
      </c>
      <c r="N6352" s="46">
        <v>0</v>
      </c>
    </row>
    <row r="6353" spans="13:14" x14ac:dyDescent="0.35">
      <c r="M6353" s="46">
        <v>0.45669149725478553</v>
      </c>
      <c r="N6353" s="46">
        <v>0</v>
      </c>
    </row>
    <row r="6354" spans="13:14" x14ac:dyDescent="0.35">
      <c r="M6354" s="46">
        <v>0.37871724291437897</v>
      </c>
      <c r="N6354" s="46">
        <v>0</v>
      </c>
    </row>
    <row r="6355" spans="13:14" x14ac:dyDescent="0.35">
      <c r="M6355" s="46">
        <v>0.26237008458228223</v>
      </c>
      <c r="N6355" s="46">
        <v>0</v>
      </c>
    </row>
    <row r="6356" spans="13:14" x14ac:dyDescent="0.35">
      <c r="M6356" s="46">
        <v>0.12875063065736755</v>
      </c>
      <c r="N6356" s="46">
        <v>0</v>
      </c>
    </row>
    <row r="6357" spans="13:14" x14ac:dyDescent="0.35">
      <c r="M6357" s="46">
        <v>7.4818444873126583E-2</v>
      </c>
      <c r="N6357" s="46">
        <v>0</v>
      </c>
    </row>
    <row r="6358" spans="13:14" x14ac:dyDescent="0.35">
      <c r="M6358" s="46">
        <v>8.2156625612108625E-2</v>
      </c>
      <c r="N6358" s="46">
        <v>0</v>
      </c>
    </row>
    <row r="6359" spans="13:14" x14ac:dyDescent="0.35">
      <c r="M6359" s="46">
        <v>8.6108992432111592E-2</v>
      </c>
      <c r="N6359" s="46">
        <v>0</v>
      </c>
    </row>
    <row r="6360" spans="13:14" x14ac:dyDescent="0.35">
      <c r="M6360" s="46">
        <v>8.5434560023742404E-2</v>
      </c>
      <c r="N6360" s="46">
        <v>0</v>
      </c>
    </row>
    <row r="6361" spans="13:14" x14ac:dyDescent="0.35">
      <c r="M6361" s="46">
        <v>8.7607434337438783E-2</v>
      </c>
      <c r="N6361" s="46">
        <v>0</v>
      </c>
    </row>
    <row r="6362" spans="13:14" x14ac:dyDescent="0.35">
      <c r="M6362" s="46">
        <v>8.3897685116486112E-2</v>
      </c>
      <c r="N6362" s="46">
        <v>0</v>
      </c>
    </row>
    <row r="6363" spans="13:14" x14ac:dyDescent="0.35">
      <c r="M6363" s="46">
        <v>7.7975441460157294E-2</v>
      </c>
      <c r="N6363" s="46">
        <v>0</v>
      </c>
    </row>
    <row r="6364" spans="13:14" x14ac:dyDescent="0.35">
      <c r="M6364" s="46">
        <v>6.9563881881584799E-2</v>
      </c>
      <c r="N6364" s="46">
        <v>0</v>
      </c>
    </row>
    <row r="6365" spans="13:14" x14ac:dyDescent="0.35">
      <c r="M6365" s="46">
        <v>6.3104169758124357E-2</v>
      </c>
      <c r="N6365" s="46">
        <v>0</v>
      </c>
    </row>
    <row r="6366" spans="13:14" x14ac:dyDescent="0.35">
      <c r="M6366" s="46">
        <v>5.9118044220210712E-2</v>
      </c>
      <c r="N6366" s="46">
        <v>0</v>
      </c>
    </row>
    <row r="6367" spans="13:14" x14ac:dyDescent="0.35">
      <c r="M6367" s="46">
        <v>5.5256121086214569E-2</v>
      </c>
      <c r="N6367" s="46">
        <v>0</v>
      </c>
    </row>
    <row r="6368" spans="13:14" x14ac:dyDescent="0.35">
      <c r="M6368" s="46">
        <v>5.4183113221546224E-2</v>
      </c>
      <c r="N6368" s="46">
        <v>0</v>
      </c>
    </row>
    <row r="6369" spans="13:14" x14ac:dyDescent="0.35">
      <c r="M6369" s="46">
        <v>5.8947469951031312E-2</v>
      </c>
      <c r="N6369" s="46">
        <v>0</v>
      </c>
    </row>
    <row r="6370" spans="13:14" x14ac:dyDescent="0.35">
      <c r="M6370" s="46">
        <v>0.12603383291289508</v>
      </c>
      <c r="N6370" s="46">
        <v>0</v>
      </c>
    </row>
    <row r="6371" spans="13:14" x14ac:dyDescent="0.35">
      <c r="M6371" s="46">
        <v>0.25164683187416531</v>
      </c>
      <c r="N6371" s="46">
        <v>0</v>
      </c>
    </row>
    <row r="6372" spans="13:14" x14ac:dyDescent="0.35">
      <c r="M6372" s="46">
        <v>0.38927726665677403</v>
      </c>
      <c r="N6372" s="46">
        <v>0</v>
      </c>
    </row>
    <row r="6373" spans="13:14" x14ac:dyDescent="0.35">
      <c r="M6373" s="46">
        <v>0.50202374239501413</v>
      </c>
      <c r="N6373" s="46">
        <v>0</v>
      </c>
    </row>
    <row r="6374" spans="13:14" x14ac:dyDescent="0.35">
      <c r="M6374" s="46">
        <v>0.56471256863036057</v>
      </c>
      <c r="N6374" s="46">
        <v>0</v>
      </c>
    </row>
    <row r="6375" spans="13:14" x14ac:dyDescent="0.35">
      <c r="M6375" s="46">
        <v>0.58700007419498446</v>
      </c>
      <c r="N6375" s="46">
        <v>0</v>
      </c>
    </row>
    <row r="6376" spans="13:14" x14ac:dyDescent="0.35">
      <c r="M6376" s="46">
        <v>0.57345689271405254</v>
      </c>
      <c r="N6376" s="46">
        <v>0</v>
      </c>
    </row>
    <row r="6377" spans="13:14" x14ac:dyDescent="0.35">
      <c r="M6377" s="46">
        <v>0.51297751891972099</v>
      </c>
      <c r="N6377" s="46">
        <v>0</v>
      </c>
    </row>
    <row r="6378" spans="13:14" x14ac:dyDescent="0.35">
      <c r="M6378" s="46">
        <v>0.41676702774892416</v>
      </c>
      <c r="N6378" s="46">
        <v>0</v>
      </c>
    </row>
    <row r="6379" spans="13:14" x14ac:dyDescent="0.35">
      <c r="M6379" s="46">
        <v>0.29392995993470844</v>
      </c>
      <c r="N6379" s="46">
        <v>0</v>
      </c>
    </row>
    <row r="6380" spans="13:14" x14ac:dyDescent="0.35">
      <c r="M6380" s="46">
        <v>0.16554058465647722</v>
      </c>
      <c r="N6380" s="46">
        <v>0</v>
      </c>
    </row>
    <row r="6381" spans="13:14" x14ac:dyDescent="0.35">
      <c r="M6381" s="46">
        <v>0.10745192165009645</v>
      </c>
      <c r="N6381" s="46">
        <v>0</v>
      </c>
    </row>
    <row r="6382" spans="13:14" x14ac:dyDescent="0.35">
      <c r="M6382" s="46">
        <v>9.6458079833803223E-2</v>
      </c>
      <c r="N6382" s="46">
        <v>0</v>
      </c>
    </row>
    <row r="6383" spans="13:14" x14ac:dyDescent="0.35">
      <c r="M6383" s="46">
        <v>8.5142676955037841E-2</v>
      </c>
      <c r="N6383" s="46">
        <v>0</v>
      </c>
    </row>
    <row r="6384" spans="13:14" x14ac:dyDescent="0.35">
      <c r="M6384" s="46">
        <v>7.0697878023445612E-2</v>
      </c>
      <c r="N6384" s="46">
        <v>0</v>
      </c>
    </row>
    <row r="6385" spans="13:14" x14ac:dyDescent="0.35">
      <c r="M6385" s="46">
        <v>6.4287802344561509E-2</v>
      </c>
      <c r="N6385" s="46">
        <v>0</v>
      </c>
    </row>
    <row r="6386" spans="13:14" x14ac:dyDescent="0.35">
      <c r="M6386" s="46">
        <v>5.7491615966760647E-2</v>
      </c>
      <c r="N6386" s="46">
        <v>0</v>
      </c>
    </row>
    <row r="6387" spans="13:14" x14ac:dyDescent="0.35">
      <c r="M6387" s="46">
        <v>5.5251372607211753E-2</v>
      </c>
      <c r="N6387" s="46">
        <v>0</v>
      </c>
    </row>
    <row r="6388" spans="13:14" x14ac:dyDescent="0.35">
      <c r="M6388" s="46">
        <v>5.3038655586882331E-2</v>
      </c>
      <c r="N6388" s="46">
        <v>0</v>
      </c>
    </row>
    <row r="6389" spans="13:14" x14ac:dyDescent="0.35">
      <c r="M6389" s="46">
        <v>5.1852648760943761E-2</v>
      </c>
      <c r="N6389" s="46">
        <v>0</v>
      </c>
    </row>
    <row r="6390" spans="13:14" x14ac:dyDescent="0.35">
      <c r="M6390" s="46">
        <v>5.3765395459266951E-2</v>
      </c>
      <c r="N6390" s="46">
        <v>0</v>
      </c>
    </row>
    <row r="6391" spans="13:14" x14ac:dyDescent="0.35">
      <c r="M6391" s="46">
        <v>5.6141415640302714E-2</v>
      </c>
      <c r="N6391" s="46">
        <v>0</v>
      </c>
    </row>
    <row r="6392" spans="13:14" x14ac:dyDescent="0.35">
      <c r="M6392" s="46">
        <v>6.4003709749220955E-2</v>
      </c>
      <c r="N6392" s="46">
        <v>0</v>
      </c>
    </row>
    <row r="6393" spans="13:14" x14ac:dyDescent="0.35">
      <c r="M6393" s="46">
        <v>8.2228520552010687E-2</v>
      </c>
      <c r="N6393" s="46">
        <v>0</v>
      </c>
    </row>
    <row r="6394" spans="13:14" x14ac:dyDescent="0.35">
      <c r="M6394" s="46">
        <v>0.16983536132957414</v>
      </c>
      <c r="N6394" s="46">
        <v>0</v>
      </c>
    </row>
    <row r="6395" spans="13:14" x14ac:dyDescent="0.35">
      <c r="M6395" s="46">
        <v>0.32010780531236083</v>
      </c>
      <c r="N6395" s="46">
        <v>0</v>
      </c>
    </row>
    <row r="6396" spans="13:14" x14ac:dyDescent="0.35">
      <c r="M6396" s="46">
        <v>0.46706818519068116</v>
      </c>
      <c r="N6396" s="46">
        <v>0</v>
      </c>
    </row>
    <row r="6397" spans="13:14" x14ac:dyDescent="0.35">
      <c r="M6397" s="46">
        <v>0.57628765395459269</v>
      </c>
      <c r="N6397" s="46">
        <v>0</v>
      </c>
    </row>
    <row r="6398" spans="13:14" x14ac:dyDescent="0.35">
      <c r="M6398" s="46">
        <v>0.64034901320670723</v>
      </c>
      <c r="N6398" s="46">
        <v>0</v>
      </c>
    </row>
    <row r="6399" spans="13:14" x14ac:dyDescent="0.35">
      <c r="M6399" s="46">
        <v>0.66129885739724004</v>
      </c>
      <c r="N6399" s="46">
        <v>0</v>
      </c>
    </row>
    <row r="6400" spans="13:14" x14ac:dyDescent="0.35">
      <c r="M6400" s="46">
        <v>0.63998286095859924</v>
      </c>
      <c r="N6400" s="46">
        <v>0</v>
      </c>
    </row>
    <row r="6401" spans="13:14" x14ac:dyDescent="0.35">
      <c r="M6401" s="46">
        <v>0.57864705445911857</v>
      </c>
      <c r="N6401" s="46">
        <v>0</v>
      </c>
    </row>
    <row r="6402" spans="13:14" x14ac:dyDescent="0.35">
      <c r="M6402" s="46">
        <v>0.48839627541178215</v>
      </c>
      <c r="N6402" s="46">
        <v>0</v>
      </c>
    </row>
    <row r="6403" spans="13:14" x14ac:dyDescent="0.35">
      <c r="M6403" s="46">
        <v>0.37728312806054309</v>
      </c>
      <c r="N6403" s="46">
        <v>0</v>
      </c>
    </row>
    <row r="6404" spans="13:14" x14ac:dyDescent="0.35">
      <c r="M6404" s="46">
        <v>0.2654508829203146</v>
      </c>
      <c r="N6404" s="46">
        <v>0</v>
      </c>
    </row>
    <row r="6405" spans="13:14" x14ac:dyDescent="0.35">
      <c r="M6405" s="46">
        <v>0.20431577385368749</v>
      </c>
      <c r="N6405" s="46">
        <v>0</v>
      </c>
    </row>
    <row r="6406" spans="13:14" x14ac:dyDescent="0.35">
      <c r="M6406" s="46">
        <v>0.17759548894494734</v>
      </c>
      <c r="N6406" s="46">
        <v>0</v>
      </c>
    </row>
    <row r="6407" spans="13:14" x14ac:dyDescent="0.35">
      <c r="M6407" s="46">
        <v>0.15139404956224958</v>
      </c>
      <c r="N6407" s="46">
        <v>0</v>
      </c>
    </row>
    <row r="6408" spans="13:14" x14ac:dyDescent="0.35">
      <c r="M6408" s="46">
        <v>0.12949154177177624</v>
      </c>
      <c r="N6408" s="46">
        <v>0</v>
      </c>
    </row>
    <row r="6409" spans="13:14" x14ac:dyDescent="0.35">
      <c r="M6409" s="46">
        <v>0.13259252114557057</v>
      </c>
      <c r="N6409" s="46">
        <v>0</v>
      </c>
    </row>
    <row r="6410" spans="13:14" x14ac:dyDescent="0.35">
      <c r="M6410" s="46">
        <v>0.13817168719394568</v>
      </c>
      <c r="N6410" s="46">
        <v>0</v>
      </c>
    </row>
    <row r="6411" spans="13:14" x14ac:dyDescent="0.35">
      <c r="M6411" s="46">
        <v>0.15331547707374982</v>
      </c>
      <c r="N6411" s="46">
        <v>0</v>
      </c>
    </row>
    <row r="6412" spans="13:14" x14ac:dyDescent="0.35">
      <c r="M6412" s="46">
        <v>0.16834930998664491</v>
      </c>
      <c r="N6412" s="46">
        <v>0</v>
      </c>
    </row>
    <row r="6413" spans="13:14" x14ac:dyDescent="0.35">
      <c r="M6413" s="46">
        <v>0.17208391452737795</v>
      </c>
      <c r="N6413" s="46">
        <v>0</v>
      </c>
    </row>
    <row r="6414" spans="13:14" x14ac:dyDescent="0.35">
      <c r="M6414" s="46">
        <v>0.18453420388781719</v>
      </c>
      <c r="N6414" s="46">
        <v>0</v>
      </c>
    </row>
    <row r="6415" spans="13:14" x14ac:dyDescent="0.35">
      <c r="M6415" s="46">
        <v>0.1964984419053272</v>
      </c>
      <c r="N6415" s="46">
        <v>0</v>
      </c>
    </row>
    <row r="6416" spans="13:14" x14ac:dyDescent="0.35">
      <c r="M6416" s="46">
        <v>0.20389827867636148</v>
      </c>
      <c r="N6416" s="46">
        <v>0</v>
      </c>
    </row>
    <row r="6417" spans="13:14" x14ac:dyDescent="0.35">
      <c r="M6417" s="46">
        <v>0.22760409556313993</v>
      </c>
      <c r="N6417" s="46">
        <v>0</v>
      </c>
    </row>
    <row r="6418" spans="13:14" x14ac:dyDescent="0.35">
      <c r="M6418" s="46">
        <v>0.30845815402878768</v>
      </c>
      <c r="N6418" s="46">
        <v>0</v>
      </c>
    </row>
    <row r="6419" spans="13:14" x14ac:dyDescent="0.35">
      <c r="M6419" s="46">
        <v>0.44105208487906217</v>
      </c>
      <c r="N6419" s="46">
        <v>0</v>
      </c>
    </row>
    <row r="6420" spans="13:14" x14ac:dyDescent="0.35">
      <c r="M6420" s="46">
        <v>0.5653314289953999</v>
      </c>
      <c r="N6420" s="46">
        <v>0</v>
      </c>
    </row>
    <row r="6421" spans="13:14" x14ac:dyDescent="0.35">
      <c r="M6421" s="46">
        <v>0.66247447692535988</v>
      </c>
      <c r="N6421" s="46">
        <v>0</v>
      </c>
    </row>
    <row r="6422" spans="13:14" x14ac:dyDescent="0.35">
      <c r="M6422" s="46">
        <v>0.72653338774298859</v>
      </c>
      <c r="N6422" s="46">
        <v>0</v>
      </c>
    </row>
    <row r="6423" spans="13:14" x14ac:dyDescent="0.35">
      <c r="M6423" s="46">
        <v>0.76484456150764213</v>
      </c>
      <c r="N6423" s="46">
        <v>0</v>
      </c>
    </row>
    <row r="6424" spans="13:14" x14ac:dyDescent="0.35">
      <c r="M6424" s="46">
        <v>0.76319253598456738</v>
      </c>
      <c r="N6424" s="46">
        <v>0</v>
      </c>
    </row>
    <row r="6425" spans="13:14" x14ac:dyDescent="0.35">
      <c r="M6425" s="46">
        <v>0.71315254488796564</v>
      </c>
      <c r="N6425" s="46">
        <v>0</v>
      </c>
    </row>
    <row r="6426" spans="13:14" x14ac:dyDescent="0.35">
      <c r="M6426" s="46">
        <v>0.61674936934263247</v>
      </c>
      <c r="N6426" s="46">
        <v>0</v>
      </c>
    </row>
    <row r="6427" spans="13:14" x14ac:dyDescent="0.35">
      <c r="M6427" s="46">
        <v>0.48076546965425132</v>
      </c>
      <c r="N6427" s="46">
        <v>0</v>
      </c>
    </row>
    <row r="6428" spans="13:14" x14ac:dyDescent="0.35">
      <c r="M6428" s="46">
        <v>0.3302857248849978</v>
      </c>
      <c r="N6428" s="46">
        <v>0</v>
      </c>
    </row>
    <row r="6429" spans="13:14" x14ac:dyDescent="0.35">
      <c r="M6429" s="46">
        <v>0.24483855171390415</v>
      </c>
      <c r="N6429" s="46">
        <v>0</v>
      </c>
    </row>
    <row r="6430" spans="13:14" x14ac:dyDescent="0.35">
      <c r="M6430" s="46">
        <v>0.21145897017361626</v>
      </c>
      <c r="N6430" s="46">
        <v>0</v>
      </c>
    </row>
    <row r="6431" spans="13:14" x14ac:dyDescent="0.35">
      <c r="M6431" s="46">
        <v>0.17734819706187863</v>
      </c>
      <c r="N6431" s="46">
        <v>0</v>
      </c>
    </row>
    <row r="6432" spans="13:14" x14ac:dyDescent="0.35">
      <c r="M6432" s="46">
        <v>0.14381725775337587</v>
      </c>
      <c r="N6432" s="46">
        <v>0</v>
      </c>
    </row>
    <row r="6433" spans="13:14" x14ac:dyDescent="0.35">
      <c r="M6433" s="46">
        <v>0.13309571152990057</v>
      </c>
      <c r="N6433" s="46">
        <v>0</v>
      </c>
    </row>
    <row r="6434" spans="13:14" x14ac:dyDescent="0.35">
      <c r="M6434" s="46">
        <v>0.11849873868526488</v>
      </c>
      <c r="N6434" s="46">
        <v>0</v>
      </c>
    </row>
    <row r="6435" spans="13:14" x14ac:dyDescent="0.35">
      <c r="M6435" s="46">
        <v>0.10940688529455408</v>
      </c>
      <c r="N6435" s="46">
        <v>0</v>
      </c>
    </row>
    <row r="6436" spans="13:14" x14ac:dyDescent="0.35">
      <c r="M6436" s="46">
        <v>0.10283721620418459</v>
      </c>
      <c r="N6436" s="46">
        <v>0</v>
      </c>
    </row>
    <row r="6437" spans="13:14" x14ac:dyDescent="0.35">
      <c r="M6437" s="46">
        <v>9.5888410743433738E-2</v>
      </c>
      <c r="N6437" s="46">
        <v>0</v>
      </c>
    </row>
    <row r="6438" spans="13:14" x14ac:dyDescent="0.35">
      <c r="M6438" s="46">
        <v>9.2790770143938273E-2</v>
      </c>
      <c r="N6438" s="46">
        <v>0</v>
      </c>
    </row>
    <row r="6439" spans="13:14" x14ac:dyDescent="0.35">
      <c r="M6439" s="46">
        <v>8.6154993322451398E-2</v>
      </c>
      <c r="N6439" s="46">
        <v>0</v>
      </c>
    </row>
    <row r="6440" spans="13:14" x14ac:dyDescent="0.35">
      <c r="M6440" s="46">
        <v>8.3212271850422917E-2</v>
      </c>
      <c r="N6440" s="46">
        <v>0</v>
      </c>
    </row>
    <row r="6441" spans="13:14" x14ac:dyDescent="0.35">
      <c r="M6441" s="46">
        <v>8.3428476035020044E-2</v>
      </c>
      <c r="N6441" s="46">
        <v>0</v>
      </c>
    </row>
    <row r="6442" spans="13:14" x14ac:dyDescent="0.35">
      <c r="M6442" s="46">
        <v>0.1564525152099718</v>
      </c>
      <c r="N6442" s="46">
        <v>0</v>
      </c>
    </row>
    <row r="6443" spans="13:14" x14ac:dyDescent="0.35">
      <c r="M6443" s="46">
        <v>0.28934930998664488</v>
      </c>
      <c r="N6443" s="46">
        <v>0</v>
      </c>
    </row>
    <row r="6444" spans="13:14" x14ac:dyDescent="0.35">
      <c r="M6444" s="46">
        <v>0.42242944056981746</v>
      </c>
      <c r="N6444" s="46">
        <v>0</v>
      </c>
    </row>
    <row r="6445" spans="13:14" x14ac:dyDescent="0.35">
      <c r="M6445" s="46">
        <v>0.52213310580204786</v>
      </c>
      <c r="N6445" s="46">
        <v>0</v>
      </c>
    </row>
    <row r="6446" spans="13:14" x14ac:dyDescent="0.35">
      <c r="M6446" s="46">
        <v>0.57025575011129248</v>
      </c>
      <c r="N6446" s="46">
        <v>0</v>
      </c>
    </row>
    <row r="6447" spans="13:14" x14ac:dyDescent="0.35">
      <c r="M6447" s="46">
        <v>0.57965736756195285</v>
      </c>
      <c r="N6447" s="46">
        <v>0</v>
      </c>
    </row>
    <row r="6448" spans="13:14" x14ac:dyDescent="0.35">
      <c r="M6448" s="46">
        <v>0.55360261166345159</v>
      </c>
      <c r="N6448" s="46">
        <v>0</v>
      </c>
    </row>
    <row r="6449" spans="13:14" x14ac:dyDescent="0.35">
      <c r="M6449" s="46">
        <v>0.47217012909927286</v>
      </c>
      <c r="N6449" s="46">
        <v>0</v>
      </c>
    </row>
    <row r="6450" spans="13:14" x14ac:dyDescent="0.35">
      <c r="M6450" s="46">
        <v>0.36287802344561509</v>
      </c>
      <c r="N6450" s="46">
        <v>0</v>
      </c>
    </row>
    <row r="6451" spans="13:14" x14ac:dyDescent="0.35">
      <c r="M6451" s="46">
        <v>0.25011767324528861</v>
      </c>
      <c r="N6451" s="46">
        <v>0</v>
      </c>
    </row>
    <row r="6452" spans="13:14" x14ac:dyDescent="0.35">
      <c r="M6452" s="46">
        <v>0.1552371271702033</v>
      </c>
      <c r="N6452" s="46">
        <v>0</v>
      </c>
    </row>
    <row r="6453" spans="13:14" x14ac:dyDescent="0.35">
      <c r="M6453" s="46">
        <v>0.11367932927734085</v>
      </c>
      <c r="N6453" s="46">
        <v>0</v>
      </c>
    </row>
    <row r="6454" spans="13:14" x14ac:dyDescent="0.35">
      <c r="M6454" s="46">
        <v>0.10633899688381065</v>
      </c>
      <c r="N6454" s="46">
        <v>0</v>
      </c>
    </row>
    <row r="6455" spans="13:14" x14ac:dyDescent="0.35">
      <c r="M6455" s="46">
        <v>9.6555423653361033E-2</v>
      </c>
      <c r="N6455" s="46">
        <v>0</v>
      </c>
    </row>
    <row r="6456" spans="13:14" x14ac:dyDescent="0.35">
      <c r="M6456" s="46">
        <v>8.8631176732452882E-2</v>
      </c>
      <c r="N6456" s="46">
        <v>0</v>
      </c>
    </row>
    <row r="6457" spans="13:14" x14ac:dyDescent="0.35">
      <c r="M6457" s="46">
        <v>8.7872162041845961E-2</v>
      </c>
      <c r="N6457" s="46">
        <v>0</v>
      </c>
    </row>
    <row r="6458" spans="13:14" x14ac:dyDescent="0.35">
      <c r="M6458" s="46">
        <v>8.8482119008754995E-2</v>
      </c>
      <c r="N6458" s="46">
        <v>0</v>
      </c>
    </row>
    <row r="6459" spans="13:14" x14ac:dyDescent="0.35">
      <c r="M6459" s="46">
        <v>9.4434263243804731E-2</v>
      </c>
      <c r="N6459" s="46">
        <v>0</v>
      </c>
    </row>
    <row r="6460" spans="13:14" x14ac:dyDescent="0.35">
      <c r="M6460" s="46">
        <v>0.1031382252559727</v>
      </c>
      <c r="N6460" s="46">
        <v>0</v>
      </c>
    </row>
    <row r="6461" spans="13:14" x14ac:dyDescent="0.35">
      <c r="M6461" s="46">
        <v>0.1110751595192165</v>
      </c>
      <c r="N6461" s="46">
        <v>0</v>
      </c>
    </row>
    <row r="6462" spans="13:14" x14ac:dyDescent="0.35">
      <c r="M6462" s="46">
        <v>0.11250675174358213</v>
      </c>
      <c r="N6462" s="46">
        <v>0</v>
      </c>
    </row>
    <row r="6463" spans="13:14" x14ac:dyDescent="0.35">
      <c r="M6463" s="46">
        <v>0.1079022110105357</v>
      </c>
      <c r="N6463" s="46">
        <v>0</v>
      </c>
    </row>
    <row r="6464" spans="13:14" x14ac:dyDescent="0.35">
      <c r="M6464" s="46">
        <v>9.7233714200920029E-2</v>
      </c>
      <c r="N6464" s="46">
        <v>0</v>
      </c>
    </row>
    <row r="6465" spans="13:14" x14ac:dyDescent="0.35">
      <c r="M6465" s="46">
        <v>9.351083246772518E-2</v>
      </c>
      <c r="N6465" s="46">
        <v>0</v>
      </c>
    </row>
    <row r="6466" spans="13:14" x14ac:dyDescent="0.35">
      <c r="M6466" s="46">
        <v>0.17632690310135035</v>
      </c>
      <c r="N6466" s="46">
        <v>0</v>
      </c>
    </row>
    <row r="6467" spans="13:14" x14ac:dyDescent="0.35">
      <c r="M6467" s="46">
        <v>0.32632074491764357</v>
      </c>
      <c r="N6467" s="46">
        <v>0</v>
      </c>
    </row>
    <row r="6468" spans="13:14" x14ac:dyDescent="0.35">
      <c r="M6468" s="46">
        <v>0.47305831725775338</v>
      </c>
      <c r="N6468" s="46">
        <v>0</v>
      </c>
    </row>
    <row r="6469" spans="13:14" x14ac:dyDescent="0.35">
      <c r="M6469" s="46">
        <v>0.57778995399910971</v>
      </c>
      <c r="N6469" s="46">
        <v>0</v>
      </c>
    </row>
    <row r="6470" spans="13:14" x14ac:dyDescent="0.35">
      <c r="M6470" s="46">
        <v>0.63903798783202248</v>
      </c>
      <c r="N6470" s="46">
        <v>0</v>
      </c>
    </row>
    <row r="6471" spans="13:14" x14ac:dyDescent="0.35">
      <c r="M6471" s="46">
        <v>0.66258688232675467</v>
      </c>
      <c r="N6471" s="46">
        <v>0</v>
      </c>
    </row>
    <row r="6472" spans="13:14" x14ac:dyDescent="0.35">
      <c r="M6472" s="46">
        <v>0.64583291289508826</v>
      </c>
      <c r="N6472" s="46">
        <v>0</v>
      </c>
    </row>
    <row r="6473" spans="13:14" x14ac:dyDescent="0.35">
      <c r="M6473" s="46">
        <v>0.57567599050304197</v>
      </c>
      <c r="N6473" s="46">
        <v>0</v>
      </c>
    </row>
    <row r="6474" spans="13:14" x14ac:dyDescent="0.35">
      <c r="M6474" s="46">
        <v>0.45719832319335213</v>
      </c>
      <c r="N6474" s="46">
        <v>0</v>
      </c>
    </row>
    <row r="6475" spans="13:14" x14ac:dyDescent="0.35">
      <c r="M6475" s="46">
        <v>0.31608910817628727</v>
      </c>
      <c r="N6475" s="46">
        <v>0</v>
      </c>
    </row>
    <row r="6476" spans="13:14" x14ac:dyDescent="0.35">
      <c r="M6476" s="46">
        <v>0.18634448731265765</v>
      </c>
      <c r="N6476" s="46">
        <v>0</v>
      </c>
    </row>
    <row r="6477" spans="13:14" x14ac:dyDescent="0.35">
      <c r="M6477" s="46">
        <v>0.14398857397239948</v>
      </c>
      <c r="N6477" s="46">
        <v>0</v>
      </c>
    </row>
    <row r="6478" spans="13:14" x14ac:dyDescent="0.35">
      <c r="M6478" s="46">
        <v>0.16206907553049416</v>
      </c>
      <c r="N6478" s="46">
        <v>0</v>
      </c>
    </row>
    <row r="6479" spans="13:14" x14ac:dyDescent="0.35">
      <c r="M6479" s="46">
        <v>0.19230138002671021</v>
      </c>
      <c r="N6479" s="46">
        <v>0</v>
      </c>
    </row>
    <row r="6480" spans="13:14" x14ac:dyDescent="0.35">
      <c r="M6480" s="46">
        <v>0.21593500519364889</v>
      </c>
      <c r="N6480" s="46">
        <v>0</v>
      </c>
    </row>
    <row r="6481" spans="13:14" x14ac:dyDescent="0.35">
      <c r="M6481" s="46">
        <v>0.27693315031903842</v>
      </c>
      <c r="N6481" s="46">
        <v>0</v>
      </c>
    </row>
    <row r="6482" spans="13:14" x14ac:dyDescent="0.35">
      <c r="M6482" s="46">
        <v>0.31048790621753974</v>
      </c>
      <c r="N6482" s="46">
        <v>0</v>
      </c>
    </row>
    <row r="6483" spans="13:14" x14ac:dyDescent="0.35">
      <c r="M6483" s="46">
        <v>0.34843916011277637</v>
      </c>
      <c r="N6483" s="46">
        <v>0</v>
      </c>
    </row>
    <row r="6484" spans="13:14" x14ac:dyDescent="0.35">
      <c r="M6484" s="46">
        <v>0.38242001780679624</v>
      </c>
      <c r="N6484" s="46">
        <v>0</v>
      </c>
    </row>
    <row r="6485" spans="13:14" x14ac:dyDescent="0.35">
      <c r="M6485" s="46">
        <v>0.40425204036207152</v>
      </c>
      <c r="N6485" s="46">
        <v>0</v>
      </c>
    </row>
    <row r="6486" spans="13:14" x14ac:dyDescent="0.35">
      <c r="M6486" s="46">
        <v>0.42252307464015432</v>
      </c>
      <c r="N6486" s="46">
        <v>0</v>
      </c>
    </row>
    <row r="6487" spans="13:14" x14ac:dyDescent="0.35">
      <c r="M6487" s="46">
        <v>0.43399109660186974</v>
      </c>
      <c r="N6487" s="46">
        <v>0</v>
      </c>
    </row>
    <row r="6488" spans="13:14" x14ac:dyDescent="0.35">
      <c r="M6488" s="46">
        <v>0.4434340406588515</v>
      </c>
      <c r="N6488" s="46">
        <v>0</v>
      </c>
    </row>
    <row r="6489" spans="13:14" x14ac:dyDescent="0.35">
      <c r="M6489" s="46">
        <v>0.45163036058762424</v>
      </c>
      <c r="N6489" s="46">
        <v>0</v>
      </c>
    </row>
    <row r="6490" spans="13:14" x14ac:dyDescent="0.35">
      <c r="M6490" s="46">
        <v>0.50971739130434779</v>
      </c>
      <c r="N6490" s="46">
        <v>0</v>
      </c>
    </row>
    <row r="6491" spans="13:14" x14ac:dyDescent="0.35">
      <c r="M6491" s="46">
        <v>0.60672184300341292</v>
      </c>
      <c r="N6491" s="46">
        <v>0</v>
      </c>
    </row>
    <row r="6492" spans="13:14" x14ac:dyDescent="0.35">
      <c r="M6492" s="46">
        <v>0.71665566107731116</v>
      </c>
      <c r="N6492" s="46">
        <v>0</v>
      </c>
    </row>
    <row r="6493" spans="13:14" x14ac:dyDescent="0.35">
      <c r="M6493" s="46">
        <v>0.80433550971954304</v>
      </c>
      <c r="N6493" s="46">
        <v>0</v>
      </c>
    </row>
    <row r="6494" spans="13:14" x14ac:dyDescent="0.35">
      <c r="M6494" s="46">
        <v>0.86506996587030716</v>
      </c>
      <c r="N6494" s="46">
        <v>0</v>
      </c>
    </row>
    <row r="6495" spans="13:14" x14ac:dyDescent="0.35">
      <c r="M6495" s="46">
        <v>0.89513703813622192</v>
      </c>
      <c r="N6495" s="46">
        <v>0</v>
      </c>
    </row>
    <row r="6496" spans="13:14" x14ac:dyDescent="0.35">
      <c r="M6496" s="46">
        <v>0.88849621605579465</v>
      </c>
      <c r="N6496" s="46">
        <v>0</v>
      </c>
    </row>
    <row r="6497" spans="13:14" x14ac:dyDescent="0.35">
      <c r="M6497" s="46">
        <v>0.80676880842855014</v>
      </c>
      <c r="N6497" s="46">
        <v>0</v>
      </c>
    </row>
    <row r="6498" spans="13:14" x14ac:dyDescent="0.35">
      <c r="M6498" s="46">
        <v>0.6734139338180738</v>
      </c>
      <c r="N6498" s="46">
        <v>0</v>
      </c>
    </row>
    <row r="6499" spans="13:14" x14ac:dyDescent="0.35">
      <c r="M6499" s="46">
        <v>0.49002722955928185</v>
      </c>
      <c r="N6499" s="46">
        <v>0</v>
      </c>
    </row>
    <row r="6500" spans="13:14" x14ac:dyDescent="0.35">
      <c r="M6500" s="46">
        <v>0.31286711678290552</v>
      </c>
      <c r="N6500" s="46">
        <v>0</v>
      </c>
    </row>
    <row r="6501" spans="13:14" x14ac:dyDescent="0.35">
      <c r="M6501" s="46">
        <v>0.22051862294108918</v>
      </c>
      <c r="N6501" s="46">
        <v>0</v>
      </c>
    </row>
    <row r="6502" spans="13:14" x14ac:dyDescent="0.35">
      <c r="M6502" s="46">
        <v>0.18088870752337141</v>
      </c>
      <c r="N6502" s="46">
        <v>0</v>
      </c>
    </row>
    <row r="6503" spans="13:14" x14ac:dyDescent="0.35">
      <c r="M6503" s="46">
        <v>0.15275945986051342</v>
      </c>
      <c r="N6503" s="46">
        <v>0</v>
      </c>
    </row>
    <row r="6504" spans="13:14" x14ac:dyDescent="0.35">
      <c r="M6504" s="46">
        <v>0.11952626502448434</v>
      </c>
      <c r="N6504" s="46">
        <v>0</v>
      </c>
    </row>
    <row r="6505" spans="13:14" x14ac:dyDescent="0.35">
      <c r="M6505" s="46">
        <v>0.1096000148389969</v>
      </c>
      <c r="N6505" s="46">
        <v>0</v>
      </c>
    </row>
    <row r="6506" spans="13:14" x14ac:dyDescent="0.35">
      <c r="M6506" s="46">
        <v>9.8047039620121679E-2</v>
      </c>
      <c r="N6506" s="46">
        <v>0</v>
      </c>
    </row>
    <row r="6507" spans="13:14" x14ac:dyDescent="0.35">
      <c r="M6507" s="46">
        <v>8.7865484493248255E-2</v>
      </c>
      <c r="N6507" s="46">
        <v>0</v>
      </c>
    </row>
    <row r="6508" spans="13:14" x14ac:dyDescent="0.35">
      <c r="M6508" s="46">
        <v>8.1403769105208496E-2</v>
      </c>
      <c r="N6508" s="46">
        <v>0</v>
      </c>
    </row>
    <row r="6509" spans="13:14" x14ac:dyDescent="0.35">
      <c r="M6509" s="46">
        <v>7.3634663896720576E-2</v>
      </c>
      <c r="N6509" s="46">
        <v>0</v>
      </c>
    </row>
    <row r="6510" spans="13:14" x14ac:dyDescent="0.35">
      <c r="M6510" s="46">
        <v>6.8512242172429141E-2</v>
      </c>
      <c r="N6510" s="46">
        <v>0</v>
      </c>
    </row>
    <row r="6511" spans="13:14" x14ac:dyDescent="0.35">
      <c r="M6511" s="46">
        <v>6.4996141860810208E-2</v>
      </c>
      <c r="N6511" s="46">
        <v>0</v>
      </c>
    </row>
    <row r="6512" spans="13:14" x14ac:dyDescent="0.35">
      <c r="M6512" s="46">
        <v>6.5146831874165298E-2</v>
      </c>
      <c r="N6512" s="46">
        <v>0</v>
      </c>
    </row>
    <row r="6513" spans="13:14" x14ac:dyDescent="0.35">
      <c r="M6513" s="46">
        <v>7.3206558836622637E-2</v>
      </c>
      <c r="N6513" s="46">
        <v>0</v>
      </c>
    </row>
    <row r="6514" spans="13:14" x14ac:dyDescent="0.35">
      <c r="M6514" s="46">
        <v>0.13877058910817627</v>
      </c>
      <c r="N6514" s="46">
        <v>0</v>
      </c>
    </row>
    <row r="6515" spans="13:14" x14ac:dyDescent="0.35">
      <c r="M6515" s="46">
        <v>0.26945830241875651</v>
      </c>
      <c r="N6515" s="46">
        <v>0</v>
      </c>
    </row>
    <row r="6516" spans="13:14" x14ac:dyDescent="0.35">
      <c r="M6516" s="46">
        <v>0.40772043329870905</v>
      </c>
      <c r="N6516" s="46">
        <v>0</v>
      </c>
    </row>
    <row r="6517" spans="13:14" x14ac:dyDescent="0.35">
      <c r="M6517" s="46">
        <v>0.54519594895385071</v>
      </c>
      <c r="N6517" s="46">
        <v>0</v>
      </c>
    </row>
    <row r="6518" spans="13:14" x14ac:dyDescent="0.35">
      <c r="M6518" s="46">
        <v>0.69494939902062625</v>
      </c>
      <c r="N6518" s="46">
        <v>0</v>
      </c>
    </row>
    <row r="6519" spans="13:14" x14ac:dyDescent="0.35">
      <c r="M6519" s="46">
        <v>0.79993077607953711</v>
      </c>
      <c r="N6519" s="46">
        <v>0</v>
      </c>
    </row>
    <row r="6520" spans="13:14" x14ac:dyDescent="0.35">
      <c r="M6520" s="46">
        <v>0.84654525894049559</v>
      </c>
      <c r="N6520" s="46">
        <v>0</v>
      </c>
    </row>
    <row r="6521" spans="13:14" x14ac:dyDescent="0.35">
      <c r="M6521" s="46">
        <v>0.82758013058317259</v>
      </c>
      <c r="N6521" s="46">
        <v>0</v>
      </c>
    </row>
    <row r="6522" spans="13:14" x14ac:dyDescent="0.35">
      <c r="M6522" s="46">
        <v>0.77007664341890492</v>
      </c>
      <c r="N6522" s="46">
        <v>0</v>
      </c>
    </row>
    <row r="6523" spans="13:14" x14ac:dyDescent="0.35">
      <c r="M6523" s="46">
        <v>0.67222770440718205</v>
      </c>
      <c r="N6523" s="46">
        <v>0</v>
      </c>
    </row>
    <row r="6524" spans="13:14" x14ac:dyDescent="0.35">
      <c r="M6524" s="46">
        <v>0.55021056536578128</v>
      </c>
      <c r="N6524" s="46">
        <v>0</v>
      </c>
    </row>
    <row r="6525" spans="13:14" x14ac:dyDescent="0.35">
      <c r="M6525" s="46">
        <v>0.50746394123757232</v>
      </c>
      <c r="N6525" s="46">
        <v>0</v>
      </c>
    </row>
    <row r="6526" spans="13:14" x14ac:dyDescent="0.35">
      <c r="M6526" s="46">
        <v>0.51574936934263249</v>
      </c>
      <c r="N6526" s="46">
        <v>0</v>
      </c>
    </row>
    <row r="6527" spans="13:14" x14ac:dyDescent="0.35">
      <c r="M6527" s="46">
        <v>0.51863956076569229</v>
      </c>
      <c r="N6527" s="46">
        <v>0</v>
      </c>
    </row>
    <row r="6528" spans="13:14" x14ac:dyDescent="0.35">
      <c r="M6528" s="46">
        <v>0.51713533165158032</v>
      </c>
      <c r="N6528" s="46">
        <v>0</v>
      </c>
    </row>
    <row r="6529" spans="13:14" x14ac:dyDescent="0.35">
      <c r="M6529" s="46">
        <v>0.52441690161745069</v>
      </c>
      <c r="N6529" s="46">
        <v>0</v>
      </c>
    </row>
    <row r="6530" spans="13:14" x14ac:dyDescent="0.35">
      <c r="M6530" s="46">
        <v>0.53173163674135626</v>
      </c>
      <c r="N6530" s="46">
        <v>0</v>
      </c>
    </row>
    <row r="6531" spans="13:14" x14ac:dyDescent="0.35">
      <c r="M6531" s="46">
        <v>0.53889976257604988</v>
      </c>
      <c r="N6531" s="46">
        <v>0</v>
      </c>
    </row>
    <row r="6532" spans="13:14" x14ac:dyDescent="0.35">
      <c r="M6532" s="46">
        <v>0.54268608102092297</v>
      </c>
      <c r="N6532" s="46">
        <v>0</v>
      </c>
    </row>
    <row r="6533" spans="13:14" x14ac:dyDescent="0.35">
      <c r="M6533" s="46">
        <v>0.53674476925359849</v>
      </c>
      <c r="N6533" s="46">
        <v>0</v>
      </c>
    </row>
    <row r="6534" spans="13:14" x14ac:dyDescent="0.35">
      <c r="M6534" s="46">
        <v>0.52155943018251971</v>
      </c>
      <c r="N6534" s="46">
        <v>0</v>
      </c>
    </row>
    <row r="6535" spans="13:14" x14ac:dyDescent="0.35">
      <c r="M6535" s="46">
        <v>0.49759845674432407</v>
      </c>
      <c r="N6535" s="46">
        <v>0</v>
      </c>
    </row>
    <row r="6536" spans="13:14" x14ac:dyDescent="0.35">
      <c r="M6536" s="46">
        <v>0.47959511797002524</v>
      </c>
      <c r="N6536" s="46">
        <v>0</v>
      </c>
    </row>
    <row r="6537" spans="13:14" x14ac:dyDescent="0.35">
      <c r="M6537" s="46">
        <v>0.46654073304644605</v>
      </c>
      <c r="N6537" s="46">
        <v>0</v>
      </c>
    </row>
    <row r="6538" spans="13:14" x14ac:dyDescent="0.35">
      <c r="M6538" s="46">
        <v>0.48094947321561066</v>
      </c>
      <c r="N6538" s="46">
        <v>0</v>
      </c>
    </row>
    <row r="6539" spans="13:14" x14ac:dyDescent="0.35">
      <c r="M6539" s="46">
        <v>0.52580286392639852</v>
      </c>
      <c r="N6539" s="46">
        <v>0</v>
      </c>
    </row>
    <row r="6540" spans="13:14" x14ac:dyDescent="0.35">
      <c r="M6540" s="46">
        <v>0.55406143344709902</v>
      </c>
      <c r="N6540" s="46">
        <v>0</v>
      </c>
    </row>
    <row r="6541" spans="13:14" x14ac:dyDescent="0.35">
      <c r="M6541" s="46">
        <v>0.51508658554681708</v>
      </c>
      <c r="N6541" s="46">
        <v>0</v>
      </c>
    </row>
    <row r="6542" spans="13:14" x14ac:dyDescent="0.35">
      <c r="M6542" s="46">
        <v>0.49355290102389077</v>
      </c>
      <c r="N6542" s="46">
        <v>0</v>
      </c>
    </row>
    <row r="6543" spans="13:14" x14ac:dyDescent="0.35">
      <c r="M6543" s="46">
        <v>0.48405802047781571</v>
      </c>
      <c r="N6543" s="46">
        <v>0</v>
      </c>
    </row>
    <row r="6544" spans="13:14" x14ac:dyDescent="0.35">
      <c r="M6544" s="46">
        <v>0.46756061730227039</v>
      </c>
      <c r="N6544" s="46">
        <v>0</v>
      </c>
    </row>
    <row r="6545" spans="13:14" x14ac:dyDescent="0.35">
      <c r="M6545" s="46">
        <v>0.44729685413266068</v>
      </c>
      <c r="N6545" s="46">
        <v>0</v>
      </c>
    </row>
    <row r="6546" spans="13:14" x14ac:dyDescent="0.35">
      <c r="M6546" s="46">
        <v>0.39013548004154919</v>
      </c>
      <c r="N6546" s="46">
        <v>0</v>
      </c>
    </row>
    <row r="6547" spans="13:14" x14ac:dyDescent="0.35">
      <c r="M6547" s="46">
        <v>0.2942400207745956</v>
      </c>
      <c r="N6547" s="46">
        <v>0</v>
      </c>
    </row>
    <row r="6548" spans="13:14" x14ac:dyDescent="0.35">
      <c r="M6548" s="46">
        <v>0.1757518919721027</v>
      </c>
      <c r="N6548" s="46">
        <v>0</v>
      </c>
    </row>
    <row r="6549" spans="13:14" x14ac:dyDescent="0.35">
      <c r="M6549" s="46">
        <v>0.12452915862887669</v>
      </c>
      <c r="N6549" s="46">
        <v>0</v>
      </c>
    </row>
    <row r="6550" spans="13:14" x14ac:dyDescent="0.35">
      <c r="M6550" s="46">
        <v>0.11218051639709156</v>
      </c>
      <c r="N6550" s="46">
        <v>0</v>
      </c>
    </row>
    <row r="6551" spans="13:14" x14ac:dyDescent="0.35">
      <c r="M6551" s="46">
        <v>9.7132289657219165E-2</v>
      </c>
      <c r="N6551" s="46">
        <v>0</v>
      </c>
    </row>
    <row r="6552" spans="13:14" x14ac:dyDescent="0.35">
      <c r="M6552" s="46">
        <v>8.6525597269624568E-2</v>
      </c>
      <c r="N6552" s="46">
        <v>0</v>
      </c>
    </row>
    <row r="6553" spans="13:14" x14ac:dyDescent="0.35">
      <c r="M6553" s="46">
        <v>8.882860958599198E-2</v>
      </c>
      <c r="N6553" s="46">
        <v>0</v>
      </c>
    </row>
    <row r="6554" spans="13:14" x14ac:dyDescent="0.35">
      <c r="M6554" s="46">
        <v>7.3867042587921053E-2</v>
      </c>
      <c r="N6554" s="46">
        <v>0</v>
      </c>
    </row>
    <row r="6555" spans="13:14" x14ac:dyDescent="0.35">
      <c r="M6555" s="46">
        <v>7.5847306722065591E-2</v>
      </c>
      <c r="N6555" s="46">
        <v>0</v>
      </c>
    </row>
    <row r="6556" spans="13:14" x14ac:dyDescent="0.35">
      <c r="M6556" s="46">
        <v>7.726969876836326E-2</v>
      </c>
      <c r="N6556" s="46">
        <v>0</v>
      </c>
    </row>
    <row r="6557" spans="13:14" x14ac:dyDescent="0.35">
      <c r="M6557" s="46">
        <v>7.5905253004896867E-2</v>
      </c>
      <c r="N6557" s="46">
        <v>0</v>
      </c>
    </row>
    <row r="6558" spans="13:14" x14ac:dyDescent="0.35">
      <c r="M6558" s="46">
        <v>7.2494806351090665E-2</v>
      </c>
      <c r="N6558" s="46">
        <v>0</v>
      </c>
    </row>
    <row r="6559" spans="13:14" x14ac:dyDescent="0.35">
      <c r="M6559" s="46">
        <v>7.1014987386852649E-2</v>
      </c>
      <c r="N6559" s="46">
        <v>0</v>
      </c>
    </row>
    <row r="6560" spans="13:14" x14ac:dyDescent="0.35">
      <c r="M6560" s="46">
        <v>7.192491467576792E-2</v>
      </c>
      <c r="N6560" s="46">
        <v>0</v>
      </c>
    </row>
    <row r="6561" spans="13:14" x14ac:dyDescent="0.35">
      <c r="M6561" s="46">
        <v>7.6729707671761391E-2</v>
      </c>
      <c r="N6561" s="46">
        <v>0</v>
      </c>
    </row>
    <row r="6562" spans="13:14" x14ac:dyDescent="0.35">
      <c r="M6562" s="46">
        <v>0.12542424692090814</v>
      </c>
      <c r="N6562" s="46">
        <v>0</v>
      </c>
    </row>
    <row r="6563" spans="13:14" x14ac:dyDescent="0.35">
      <c r="M6563" s="46">
        <v>0.22138455260424394</v>
      </c>
      <c r="N6563" s="46">
        <v>0</v>
      </c>
    </row>
    <row r="6564" spans="13:14" x14ac:dyDescent="0.35">
      <c r="M6564" s="46">
        <v>0.32074669832319336</v>
      </c>
      <c r="N6564" s="46">
        <v>0</v>
      </c>
    </row>
    <row r="6565" spans="13:14" x14ac:dyDescent="0.35">
      <c r="M6565" s="46">
        <v>0.39890072711084729</v>
      </c>
      <c r="N6565" s="46">
        <v>0</v>
      </c>
    </row>
    <row r="6566" spans="13:14" x14ac:dyDescent="0.35">
      <c r="M6566" s="46">
        <v>0.44004214275115</v>
      </c>
      <c r="N6566" s="46">
        <v>0</v>
      </c>
    </row>
    <row r="6567" spans="13:14" x14ac:dyDescent="0.35">
      <c r="M6567" s="46">
        <v>0.44922800118711975</v>
      </c>
      <c r="N6567" s="46">
        <v>0</v>
      </c>
    </row>
    <row r="6568" spans="13:14" x14ac:dyDescent="0.35">
      <c r="M6568" s="46">
        <v>0.42404711381510607</v>
      </c>
      <c r="N6568" s="46">
        <v>0</v>
      </c>
    </row>
    <row r="6569" spans="13:14" x14ac:dyDescent="0.35">
      <c r="M6569" s="46">
        <v>0.38528936043923434</v>
      </c>
      <c r="N6569" s="46">
        <v>0</v>
      </c>
    </row>
    <row r="6570" spans="13:14" x14ac:dyDescent="0.35">
      <c r="M6570" s="46">
        <v>0.31590087550081619</v>
      </c>
      <c r="N6570" s="46">
        <v>0</v>
      </c>
    </row>
    <row r="6571" spans="13:14" x14ac:dyDescent="0.35">
      <c r="M6571" s="46">
        <v>0.21938573972399464</v>
      </c>
      <c r="N6571" s="46">
        <v>0</v>
      </c>
    </row>
    <row r="6572" spans="13:14" x14ac:dyDescent="0.35">
      <c r="M6572" s="46">
        <v>0.11840421427511501</v>
      </c>
      <c r="N6572" s="46">
        <v>0</v>
      </c>
    </row>
    <row r="6573" spans="13:14" x14ac:dyDescent="0.35">
      <c r="M6573" s="46">
        <v>6.9500222584953267E-2</v>
      </c>
      <c r="N6573" s="46">
        <v>0</v>
      </c>
    </row>
    <row r="6574" spans="13:14" x14ac:dyDescent="0.35">
      <c r="M6574" s="46">
        <v>4.823349161596676E-2</v>
      </c>
      <c r="N6574" s="46">
        <v>0</v>
      </c>
    </row>
    <row r="6575" spans="13:14" x14ac:dyDescent="0.35">
      <c r="M6575" s="46">
        <v>3.3626502448434487E-2</v>
      </c>
      <c r="N6575" s="46">
        <v>0</v>
      </c>
    </row>
    <row r="6576" spans="13:14" x14ac:dyDescent="0.35">
      <c r="M6576" s="46">
        <v>2.6861329574120789E-2</v>
      </c>
      <c r="N6576" s="46">
        <v>0</v>
      </c>
    </row>
    <row r="6577" spans="13:14" x14ac:dyDescent="0.35">
      <c r="M6577" s="46">
        <v>2.7286466834841965E-2</v>
      </c>
      <c r="N6577" s="46">
        <v>0</v>
      </c>
    </row>
    <row r="6578" spans="13:14" x14ac:dyDescent="0.35">
      <c r="M6578" s="46">
        <v>3.1818444873126579E-2</v>
      </c>
      <c r="N6578" s="46">
        <v>0</v>
      </c>
    </row>
    <row r="6579" spans="13:14" x14ac:dyDescent="0.35">
      <c r="M6579" s="46">
        <v>4.5830167680664786E-2</v>
      </c>
      <c r="N6579" s="46">
        <v>0</v>
      </c>
    </row>
    <row r="6580" spans="13:14" x14ac:dyDescent="0.35">
      <c r="M6580" s="46">
        <v>7.0186971360736011E-2</v>
      </c>
      <c r="N6580" s="46">
        <v>0</v>
      </c>
    </row>
    <row r="6581" spans="13:14" x14ac:dyDescent="0.35">
      <c r="M6581" s="46">
        <v>9.5302418756492063E-2</v>
      </c>
      <c r="N6581" s="46">
        <v>0</v>
      </c>
    </row>
    <row r="6582" spans="13:14" x14ac:dyDescent="0.35">
      <c r="M6582" s="46">
        <v>0.11788766879358956</v>
      </c>
      <c r="N6582" s="46">
        <v>0</v>
      </c>
    </row>
    <row r="6583" spans="13:14" x14ac:dyDescent="0.35">
      <c r="M6583" s="46">
        <v>0.14211715388039767</v>
      </c>
      <c r="N6583" s="46">
        <v>0</v>
      </c>
    </row>
    <row r="6584" spans="13:14" x14ac:dyDescent="0.35">
      <c r="M6584" s="46">
        <v>0.17477185042291141</v>
      </c>
      <c r="N6584" s="46">
        <v>0</v>
      </c>
    </row>
    <row r="6585" spans="13:14" x14ac:dyDescent="0.35">
      <c r="M6585" s="46">
        <v>0.2036059504377504</v>
      </c>
      <c r="N6585" s="46">
        <v>0</v>
      </c>
    </row>
    <row r="6586" spans="13:14" x14ac:dyDescent="0.35">
      <c r="M6586" s="46">
        <v>0.28621301380026709</v>
      </c>
      <c r="N6586" s="46">
        <v>0</v>
      </c>
    </row>
    <row r="6587" spans="13:14" x14ac:dyDescent="0.35">
      <c r="M6587" s="46">
        <v>0.42155831725775339</v>
      </c>
      <c r="N6587" s="46">
        <v>0</v>
      </c>
    </row>
    <row r="6588" spans="13:14" x14ac:dyDescent="0.35">
      <c r="M6588" s="46">
        <v>0.54886318444873128</v>
      </c>
      <c r="N6588" s="46">
        <v>0</v>
      </c>
    </row>
    <row r="6589" spans="13:14" x14ac:dyDescent="0.35">
      <c r="M6589" s="46">
        <v>0.65392751150022255</v>
      </c>
      <c r="N6589" s="46">
        <v>0</v>
      </c>
    </row>
    <row r="6590" spans="13:14" x14ac:dyDescent="0.35">
      <c r="M6590" s="46">
        <v>0.70999169016174501</v>
      </c>
      <c r="N6590" s="46">
        <v>0</v>
      </c>
    </row>
    <row r="6591" spans="13:14" x14ac:dyDescent="0.35">
      <c r="M6591" s="46">
        <v>0.72415239649799679</v>
      </c>
      <c r="N6591" s="46">
        <v>0</v>
      </c>
    </row>
    <row r="6592" spans="13:14" x14ac:dyDescent="0.35">
      <c r="M6592" s="46">
        <v>0.67926888262353458</v>
      </c>
      <c r="N6592" s="46">
        <v>0</v>
      </c>
    </row>
    <row r="6593" spans="13:14" x14ac:dyDescent="0.35">
      <c r="M6593" s="46">
        <v>0.60254028787653946</v>
      </c>
      <c r="N6593" s="46">
        <v>0</v>
      </c>
    </row>
    <row r="6594" spans="13:14" x14ac:dyDescent="0.35">
      <c r="M6594" s="46">
        <v>0.51475389523668202</v>
      </c>
      <c r="N6594" s="46">
        <v>0</v>
      </c>
    </row>
    <row r="6595" spans="13:14" x14ac:dyDescent="0.35">
      <c r="M6595" s="46">
        <v>0.41624335954889446</v>
      </c>
      <c r="N6595" s="46">
        <v>0</v>
      </c>
    </row>
    <row r="6596" spans="13:14" x14ac:dyDescent="0.35">
      <c r="M6596" s="46">
        <v>0.34023853687490724</v>
      </c>
      <c r="N6596" s="46">
        <v>0</v>
      </c>
    </row>
    <row r="6597" spans="13:14" x14ac:dyDescent="0.35">
      <c r="M6597" s="46">
        <v>0.29447173171093632</v>
      </c>
      <c r="N6597" s="46">
        <v>0</v>
      </c>
    </row>
    <row r="6598" spans="13:14" x14ac:dyDescent="0.35">
      <c r="M6598" s="46">
        <v>0.27123749814512538</v>
      </c>
      <c r="N6598" s="46">
        <v>0</v>
      </c>
    </row>
    <row r="6599" spans="13:14" x14ac:dyDescent="0.35">
      <c r="M6599" s="46">
        <v>0.25545392491467578</v>
      </c>
      <c r="N6599" s="46">
        <v>0</v>
      </c>
    </row>
    <row r="6600" spans="13:14" x14ac:dyDescent="0.35">
      <c r="M6600" s="46">
        <v>0.248626947618341</v>
      </c>
      <c r="N6600" s="46">
        <v>0</v>
      </c>
    </row>
    <row r="6601" spans="13:14" x14ac:dyDescent="0.35">
      <c r="M6601" s="46">
        <v>0.27340094969580059</v>
      </c>
      <c r="N6601" s="46">
        <v>0</v>
      </c>
    </row>
    <row r="6602" spans="13:14" x14ac:dyDescent="0.35">
      <c r="M6602" s="46">
        <v>0.32276472770440717</v>
      </c>
      <c r="N6602" s="46">
        <v>0</v>
      </c>
    </row>
    <row r="6603" spans="13:14" x14ac:dyDescent="0.35">
      <c r="M6603" s="46">
        <v>0.34716100311618936</v>
      </c>
      <c r="N6603" s="46">
        <v>0</v>
      </c>
    </row>
    <row r="6604" spans="13:14" x14ac:dyDescent="0.35">
      <c r="M6604" s="46">
        <v>0.37724291437898794</v>
      </c>
      <c r="N6604" s="46">
        <v>0</v>
      </c>
    </row>
    <row r="6605" spans="13:14" x14ac:dyDescent="0.35">
      <c r="M6605" s="46">
        <v>0.39157256269476182</v>
      </c>
      <c r="N6605" s="46">
        <v>0</v>
      </c>
    </row>
    <row r="6606" spans="13:14" x14ac:dyDescent="0.35">
      <c r="M6606" s="46">
        <v>0.41578156996587035</v>
      </c>
      <c r="N6606" s="46">
        <v>0</v>
      </c>
    </row>
    <row r="6607" spans="13:14" x14ac:dyDescent="0.35">
      <c r="M6607" s="46">
        <v>0.42015017064846416</v>
      </c>
      <c r="N6607" s="46">
        <v>0</v>
      </c>
    </row>
    <row r="6608" spans="13:14" x14ac:dyDescent="0.35">
      <c r="M6608" s="46">
        <v>0.42774424988870752</v>
      </c>
      <c r="N6608" s="46">
        <v>0</v>
      </c>
    </row>
    <row r="6609" spans="13:14" x14ac:dyDescent="0.35">
      <c r="M6609" s="46">
        <v>0.43686541029826387</v>
      </c>
      <c r="N6609" s="46">
        <v>0</v>
      </c>
    </row>
    <row r="6610" spans="13:14" x14ac:dyDescent="0.35">
      <c r="M6610" s="46">
        <v>0.51037683632586439</v>
      </c>
      <c r="N6610" s="46">
        <v>0</v>
      </c>
    </row>
    <row r="6611" spans="13:14" x14ac:dyDescent="0.35">
      <c r="M6611" s="46">
        <v>0.6483372903991691</v>
      </c>
      <c r="N6611" s="46">
        <v>0</v>
      </c>
    </row>
    <row r="6612" spans="13:14" x14ac:dyDescent="0.35">
      <c r="M6612" s="46">
        <v>0.78018519068110992</v>
      </c>
      <c r="N6612" s="46">
        <v>0</v>
      </c>
    </row>
    <row r="6613" spans="13:14" x14ac:dyDescent="0.35">
      <c r="M6613" s="46">
        <v>0.89774469505861398</v>
      </c>
      <c r="N6613" s="46">
        <v>0</v>
      </c>
    </row>
    <row r="6614" spans="13:14" x14ac:dyDescent="0.35">
      <c r="M6614" s="46">
        <v>0.986052752633922</v>
      </c>
      <c r="N6614" s="46">
        <v>0</v>
      </c>
    </row>
    <row r="6615" spans="13:14" x14ac:dyDescent="0.35">
      <c r="M6615" s="46">
        <v>1</v>
      </c>
      <c r="N6615" s="46">
        <v>3.4511156240883842E-2</v>
      </c>
    </row>
    <row r="6616" spans="13:14" x14ac:dyDescent="0.35">
      <c r="M6616" s="46">
        <v>1</v>
      </c>
      <c r="N6616" s="46">
        <v>9.133209289412721E-3</v>
      </c>
    </row>
    <row r="6617" spans="13:14" x14ac:dyDescent="0.35">
      <c r="M6617" s="46">
        <v>0.92141348864816741</v>
      </c>
      <c r="N6617" s="46">
        <v>0</v>
      </c>
    </row>
    <row r="6618" spans="13:14" x14ac:dyDescent="0.35">
      <c r="M6618" s="46">
        <v>0.81333231933521299</v>
      </c>
      <c r="N6618" s="46">
        <v>0</v>
      </c>
    </row>
    <row r="6619" spans="13:14" x14ac:dyDescent="0.35">
      <c r="M6619" s="46">
        <v>0.70067079685413258</v>
      </c>
      <c r="N6619" s="46">
        <v>0</v>
      </c>
    </row>
    <row r="6620" spans="13:14" x14ac:dyDescent="0.35">
      <c r="M6620" s="46">
        <v>0.62172384626799226</v>
      </c>
      <c r="N6620" s="46">
        <v>0</v>
      </c>
    </row>
    <row r="6621" spans="13:14" x14ac:dyDescent="0.35">
      <c r="M6621" s="46">
        <v>0.59222347529307018</v>
      </c>
      <c r="N6621" s="46">
        <v>0</v>
      </c>
    </row>
    <row r="6622" spans="13:14" x14ac:dyDescent="0.35">
      <c r="M6622" s="46">
        <v>0.5863991690161745</v>
      </c>
      <c r="N6622" s="46">
        <v>0</v>
      </c>
    </row>
    <row r="6623" spans="13:14" x14ac:dyDescent="0.35">
      <c r="M6623" s="46">
        <v>0.58671086214571899</v>
      </c>
      <c r="N6623" s="46">
        <v>0</v>
      </c>
    </row>
    <row r="6624" spans="13:14" x14ac:dyDescent="0.35">
      <c r="M6624" s="46">
        <v>0.58623371420091996</v>
      </c>
      <c r="N6624" s="46">
        <v>0</v>
      </c>
    </row>
    <row r="6625" spans="13:14" x14ac:dyDescent="0.35">
      <c r="M6625" s="46">
        <v>0.59503464905772374</v>
      </c>
      <c r="N6625" s="46">
        <v>0</v>
      </c>
    </row>
    <row r="6626" spans="13:14" x14ac:dyDescent="0.35">
      <c r="M6626" s="46">
        <v>0.60615313844784091</v>
      </c>
      <c r="N6626" s="46">
        <v>0</v>
      </c>
    </row>
    <row r="6627" spans="13:14" x14ac:dyDescent="0.35">
      <c r="M6627" s="46">
        <v>0.60662887668793586</v>
      </c>
      <c r="N6627" s="46">
        <v>0</v>
      </c>
    </row>
    <row r="6628" spans="13:14" x14ac:dyDescent="0.35">
      <c r="M6628" s="46">
        <v>0.60829930256714637</v>
      </c>
      <c r="N6628" s="46">
        <v>0</v>
      </c>
    </row>
    <row r="6629" spans="13:14" x14ac:dyDescent="0.35">
      <c r="M6629" s="46">
        <v>0.60260246327348277</v>
      </c>
      <c r="N6629" s="46">
        <v>0</v>
      </c>
    </row>
    <row r="6630" spans="13:14" x14ac:dyDescent="0.35">
      <c r="M6630" s="46">
        <v>0.58595088292031461</v>
      </c>
      <c r="N6630" s="46">
        <v>0</v>
      </c>
    </row>
    <row r="6631" spans="13:14" x14ac:dyDescent="0.35">
      <c r="M6631" s="46">
        <v>0.55650549042884701</v>
      </c>
      <c r="N6631" s="46">
        <v>0</v>
      </c>
    </row>
    <row r="6632" spans="13:14" x14ac:dyDescent="0.35">
      <c r="M6632" s="46">
        <v>0.51590955631399316</v>
      </c>
      <c r="N6632" s="46">
        <v>0</v>
      </c>
    </row>
    <row r="6633" spans="13:14" x14ac:dyDescent="0.35">
      <c r="M6633" s="46">
        <v>0.48673230449621607</v>
      </c>
      <c r="N6633" s="46">
        <v>0</v>
      </c>
    </row>
    <row r="6634" spans="13:14" x14ac:dyDescent="0.35">
      <c r="M6634" s="46">
        <v>0.49045147648018994</v>
      </c>
      <c r="N6634" s="46">
        <v>0</v>
      </c>
    </row>
    <row r="6635" spans="13:14" x14ac:dyDescent="0.35">
      <c r="M6635" s="46">
        <v>0.55012041845971216</v>
      </c>
      <c r="N6635" s="46">
        <v>0</v>
      </c>
    </row>
    <row r="6636" spans="13:14" x14ac:dyDescent="0.35">
      <c r="M6636" s="46">
        <v>0.61626146312509278</v>
      </c>
      <c r="N6636" s="46">
        <v>0</v>
      </c>
    </row>
    <row r="6637" spans="13:14" x14ac:dyDescent="0.35">
      <c r="M6637" s="46">
        <v>0.67904652025523082</v>
      </c>
      <c r="N6637" s="46">
        <v>0</v>
      </c>
    </row>
    <row r="6638" spans="13:14" x14ac:dyDescent="0.35">
      <c r="M6638" s="46">
        <v>0.70710446653806203</v>
      </c>
      <c r="N6638" s="46">
        <v>0</v>
      </c>
    </row>
    <row r="6639" spans="13:14" x14ac:dyDescent="0.35">
      <c r="M6639" s="46">
        <v>0.70326138893010837</v>
      </c>
      <c r="N6639" s="46">
        <v>0</v>
      </c>
    </row>
    <row r="6640" spans="13:14" x14ac:dyDescent="0.35">
      <c r="M6640" s="46">
        <v>0.65835101647128647</v>
      </c>
      <c r="N6640" s="46">
        <v>0</v>
      </c>
    </row>
    <row r="6641" spans="13:14" x14ac:dyDescent="0.35">
      <c r="M6641" s="46">
        <v>0.58218103576198255</v>
      </c>
      <c r="N6641" s="46">
        <v>0</v>
      </c>
    </row>
    <row r="6642" spans="13:14" x14ac:dyDescent="0.35">
      <c r="M6642" s="46">
        <v>0.50070833951624871</v>
      </c>
      <c r="N6642" s="46">
        <v>0</v>
      </c>
    </row>
    <row r="6643" spans="13:14" x14ac:dyDescent="0.35">
      <c r="M6643" s="46">
        <v>0.4168102834248405</v>
      </c>
      <c r="N6643" s="46">
        <v>0</v>
      </c>
    </row>
    <row r="6644" spans="13:14" x14ac:dyDescent="0.35">
      <c r="M6644" s="46">
        <v>0.34373824009496962</v>
      </c>
      <c r="N6644" s="46">
        <v>0</v>
      </c>
    </row>
    <row r="6645" spans="13:14" x14ac:dyDescent="0.35">
      <c r="M6645" s="46">
        <v>0.29314453182964834</v>
      </c>
      <c r="N6645" s="46">
        <v>0</v>
      </c>
    </row>
    <row r="6646" spans="13:14" x14ac:dyDescent="0.35">
      <c r="M6646" s="46">
        <v>0.26402559726962455</v>
      </c>
      <c r="N6646" s="46">
        <v>0</v>
      </c>
    </row>
    <row r="6647" spans="13:14" x14ac:dyDescent="0.35">
      <c r="M6647" s="46">
        <v>0.25146460899243211</v>
      </c>
      <c r="N6647" s="46">
        <v>0</v>
      </c>
    </row>
    <row r="6648" spans="13:14" x14ac:dyDescent="0.35">
      <c r="M6648" s="46">
        <v>0.2612725181777712</v>
      </c>
      <c r="N6648" s="46">
        <v>0</v>
      </c>
    </row>
    <row r="6649" spans="13:14" x14ac:dyDescent="0.35">
      <c r="M6649" s="46">
        <v>0.28624439827867637</v>
      </c>
      <c r="N6649" s="46">
        <v>0</v>
      </c>
    </row>
    <row r="6650" spans="13:14" x14ac:dyDescent="0.35">
      <c r="M6650" s="46">
        <v>0.32089063659296629</v>
      </c>
      <c r="N6650" s="46">
        <v>0</v>
      </c>
    </row>
    <row r="6651" spans="13:14" x14ac:dyDescent="0.35">
      <c r="M6651" s="46">
        <v>0.32867376465350939</v>
      </c>
      <c r="N6651" s="46">
        <v>0</v>
      </c>
    </row>
    <row r="6652" spans="13:14" x14ac:dyDescent="0.35">
      <c r="M6652" s="46">
        <v>0.32778119899094821</v>
      </c>
      <c r="N6652" s="46">
        <v>0</v>
      </c>
    </row>
    <row r="6653" spans="13:14" x14ac:dyDescent="0.35">
      <c r="M6653" s="46">
        <v>0.32130583172577537</v>
      </c>
      <c r="N6653" s="46">
        <v>0</v>
      </c>
    </row>
    <row r="6654" spans="13:14" x14ac:dyDescent="0.35">
      <c r="M6654" s="46">
        <v>0.30993775040807242</v>
      </c>
      <c r="N6654" s="46">
        <v>0</v>
      </c>
    </row>
    <row r="6655" spans="13:14" x14ac:dyDescent="0.35">
      <c r="M6655" s="46">
        <v>0.29475263392194689</v>
      </c>
      <c r="N6655" s="46">
        <v>0</v>
      </c>
    </row>
    <row r="6656" spans="13:14" x14ac:dyDescent="0.35">
      <c r="M6656" s="46">
        <v>0.27222199139338177</v>
      </c>
      <c r="N6656" s="46">
        <v>0</v>
      </c>
    </row>
    <row r="6657" spans="13:14" x14ac:dyDescent="0.35">
      <c r="M6657" s="46">
        <v>0.24533454518474551</v>
      </c>
      <c r="N6657" s="46">
        <v>0</v>
      </c>
    </row>
    <row r="6658" spans="13:14" x14ac:dyDescent="0.35">
      <c r="M6658" s="46">
        <v>0.25537802344561511</v>
      </c>
      <c r="N6658" s="46">
        <v>0</v>
      </c>
    </row>
    <row r="6659" spans="13:14" x14ac:dyDescent="0.35">
      <c r="M6659" s="46">
        <v>0.31120589108176289</v>
      </c>
      <c r="N6659" s="46">
        <v>0</v>
      </c>
    </row>
    <row r="6660" spans="13:14" x14ac:dyDescent="0.35">
      <c r="M6660" s="46">
        <v>0.38201780679626057</v>
      </c>
      <c r="N6660" s="46">
        <v>0</v>
      </c>
    </row>
    <row r="6661" spans="13:14" x14ac:dyDescent="0.35">
      <c r="M6661" s="46">
        <v>0.44675730820596532</v>
      </c>
      <c r="N6661" s="46">
        <v>0</v>
      </c>
    </row>
    <row r="6662" spans="13:14" x14ac:dyDescent="0.35">
      <c r="M6662" s="46">
        <v>0.4715316070633625</v>
      </c>
      <c r="N6662" s="46">
        <v>0</v>
      </c>
    </row>
    <row r="6663" spans="13:14" x14ac:dyDescent="0.35">
      <c r="M6663" s="46">
        <v>0.4804026561804422</v>
      </c>
      <c r="N6663" s="46">
        <v>0</v>
      </c>
    </row>
    <row r="6664" spans="13:14" x14ac:dyDescent="0.35">
      <c r="M6664" s="46">
        <v>0.47380308651135183</v>
      </c>
      <c r="N6664" s="46">
        <v>0</v>
      </c>
    </row>
    <row r="6665" spans="13:14" x14ac:dyDescent="0.35">
      <c r="M6665" s="46">
        <v>0.48225478557649504</v>
      </c>
      <c r="N6665" s="46">
        <v>0</v>
      </c>
    </row>
    <row r="6666" spans="13:14" x14ac:dyDescent="0.35">
      <c r="M6666" s="46">
        <v>0.48246334767769694</v>
      </c>
      <c r="N6666" s="46">
        <v>0</v>
      </c>
    </row>
    <row r="6667" spans="13:14" x14ac:dyDescent="0.35">
      <c r="M6667" s="46">
        <v>0.48117858732749663</v>
      </c>
      <c r="N6667" s="46">
        <v>0</v>
      </c>
    </row>
    <row r="6668" spans="13:14" x14ac:dyDescent="0.35">
      <c r="M6668" s="46">
        <v>0.47351624870158776</v>
      </c>
      <c r="N6668" s="46">
        <v>0</v>
      </c>
    </row>
    <row r="6669" spans="13:14" x14ac:dyDescent="0.35">
      <c r="M6669" s="46">
        <v>0.47737624276598906</v>
      </c>
      <c r="N6669" s="46">
        <v>0</v>
      </c>
    </row>
    <row r="6670" spans="13:14" x14ac:dyDescent="0.35">
      <c r="M6670" s="46">
        <v>0.4727978928624425</v>
      </c>
      <c r="N6670" s="46">
        <v>0</v>
      </c>
    </row>
    <row r="6671" spans="13:14" x14ac:dyDescent="0.35">
      <c r="M6671" s="46">
        <v>0.445689271405253</v>
      </c>
      <c r="N6671" s="46">
        <v>0</v>
      </c>
    </row>
    <row r="6672" spans="13:14" x14ac:dyDescent="0.35">
      <c r="M6672" s="46">
        <v>0.40500578720878466</v>
      </c>
      <c r="N6672" s="46">
        <v>0</v>
      </c>
    </row>
    <row r="6673" spans="13:14" x14ac:dyDescent="0.35">
      <c r="M6673" s="46">
        <v>0.38347662857990794</v>
      </c>
      <c r="N6673" s="46">
        <v>0</v>
      </c>
    </row>
    <row r="6674" spans="13:14" x14ac:dyDescent="0.35">
      <c r="M6674" s="46">
        <v>0.39307886926843749</v>
      </c>
      <c r="N6674" s="46">
        <v>0</v>
      </c>
    </row>
    <row r="6675" spans="13:14" x14ac:dyDescent="0.35">
      <c r="M6675" s="46">
        <v>0.41203390710787952</v>
      </c>
      <c r="N6675" s="46">
        <v>0</v>
      </c>
    </row>
    <row r="6676" spans="13:14" x14ac:dyDescent="0.35">
      <c r="M6676" s="46">
        <v>0.44410483751298413</v>
      </c>
      <c r="N6676" s="46">
        <v>0</v>
      </c>
    </row>
    <row r="6677" spans="13:14" x14ac:dyDescent="0.35">
      <c r="M6677" s="46">
        <v>0.47005134292921796</v>
      </c>
      <c r="N6677" s="46">
        <v>0</v>
      </c>
    </row>
    <row r="6678" spans="13:14" x14ac:dyDescent="0.35">
      <c r="M6678" s="46">
        <v>0.47761893456002374</v>
      </c>
      <c r="N6678" s="46">
        <v>0</v>
      </c>
    </row>
    <row r="6679" spans="13:14" x14ac:dyDescent="0.35">
      <c r="M6679" s="46">
        <v>0.45852032942573079</v>
      </c>
      <c r="N6679" s="46">
        <v>0</v>
      </c>
    </row>
    <row r="6680" spans="13:14" x14ac:dyDescent="0.35">
      <c r="M6680" s="46">
        <v>0.40017480338329126</v>
      </c>
      <c r="N6680" s="46">
        <v>0</v>
      </c>
    </row>
    <row r="6681" spans="13:14" x14ac:dyDescent="0.35">
      <c r="M6681" s="46">
        <v>0.33356729485086806</v>
      </c>
      <c r="N6681" s="46">
        <v>0</v>
      </c>
    </row>
    <row r="6682" spans="13:14" x14ac:dyDescent="0.35">
      <c r="M6682" s="46">
        <v>0.31491489835287134</v>
      </c>
      <c r="N6682" s="46">
        <v>0</v>
      </c>
    </row>
    <row r="6683" spans="13:14" x14ac:dyDescent="0.35">
      <c r="M6683" s="46">
        <v>0.34898278676361477</v>
      </c>
      <c r="N6683" s="46">
        <v>0</v>
      </c>
    </row>
    <row r="6684" spans="13:14" x14ac:dyDescent="0.35">
      <c r="M6684" s="46">
        <v>0.41708094672800122</v>
      </c>
      <c r="N6684" s="46">
        <v>0</v>
      </c>
    </row>
    <row r="6685" spans="13:14" x14ac:dyDescent="0.35">
      <c r="M6685" s="46">
        <v>0.48139887223623684</v>
      </c>
      <c r="N6685" s="46">
        <v>0</v>
      </c>
    </row>
    <row r="6686" spans="13:14" x14ac:dyDescent="0.35">
      <c r="M6686" s="46">
        <v>0.5143585101647129</v>
      </c>
      <c r="N6686" s="46">
        <v>0</v>
      </c>
    </row>
    <row r="6687" spans="13:14" x14ac:dyDescent="0.35">
      <c r="M6687" s="46">
        <v>0.52145021516545476</v>
      </c>
      <c r="N6687" s="46">
        <v>0</v>
      </c>
    </row>
    <row r="6688" spans="13:14" x14ac:dyDescent="0.35">
      <c r="M6688" s="46">
        <v>0.50324024335954887</v>
      </c>
      <c r="N6688" s="46">
        <v>0</v>
      </c>
    </row>
    <row r="6689" spans="13:14" x14ac:dyDescent="0.35">
      <c r="M6689" s="46">
        <v>0.48980130583172582</v>
      </c>
      <c r="N6689" s="46">
        <v>0</v>
      </c>
    </row>
    <row r="6690" spans="13:14" x14ac:dyDescent="0.35">
      <c r="M6690" s="46">
        <v>0.47161537320077163</v>
      </c>
      <c r="N6690" s="46">
        <v>0</v>
      </c>
    </row>
    <row r="6691" spans="13:14" x14ac:dyDescent="0.35">
      <c r="M6691" s="46">
        <v>0.45325018548746104</v>
      </c>
      <c r="N6691" s="46">
        <v>0</v>
      </c>
    </row>
    <row r="6692" spans="13:14" x14ac:dyDescent="0.35">
      <c r="M6692" s="46">
        <v>0.47133832912895091</v>
      </c>
      <c r="N6692" s="46">
        <v>0</v>
      </c>
    </row>
    <row r="6693" spans="13:14" x14ac:dyDescent="0.35">
      <c r="M6693" s="46">
        <v>0.55526413414453191</v>
      </c>
      <c r="N6693" s="46">
        <v>0</v>
      </c>
    </row>
    <row r="6694" spans="13:14" x14ac:dyDescent="0.35">
      <c r="M6694" s="46">
        <v>0.60454941385962313</v>
      </c>
      <c r="N6694" s="46">
        <v>0</v>
      </c>
    </row>
    <row r="6695" spans="13:14" x14ac:dyDescent="0.35">
      <c r="M6695" s="46">
        <v>0.62231978038284619</v>
      </c>
      <c r="N6695" s="46">
        <v>0</v>
      </c>
    </row>
    <row r="6696" spans="13:14" x14ac:dyDescent="0.35">
      <c r="M6696" s="46">
        <v>0.62892098234159366</v>
      </c>
      <c r="N6696" s="46">
        <v>0</v>
      </c>
    </row>
    <row r="6697" spans="13:14" x14ac:dyDescent="0.35">
      <c r="M6697" s="46">
        <v>0.63396490577236975</v>
      </c>
      <c r="N6697" s="46">
        <v>0</v>
      </c>
    </row>
    <row r="6698" spans="13:14" x14ac:dyDescent="0.35">
      <c r="M6698" s="46">
        <v>0.63459652767472918</v>
      </c>
      <c r="N6698" s="46">
        <v>0</v>
      </c>
    </row>
    <row r="6699" spans="13:14" x14ac:dyDescent="0.35">
      <c r="M6699" s="46">
        <v>0.63401535836177469</v>
      </c>
      <c r="N6699" s="46">
        <v>0</v>
      </c>
    </row>
    <row r="6700" spans="13:14" x14ac:dyDescent="0.35">
      <c r="M6700" s="46">
        <v>0.63240799821932037</v>
      </c>
      <c r="N6700" s="46">
        <v>0</v>
      </c>
    </row>
    <row r="6701" spans="13:14" x14ac:dyDescent="0.35">
      <c r="M6701" s="46">
        <v>0.63101216797744464</v>
      </c>
      <c r="N6701" s="46">
        <v>0</v>
      </c>
    </row>
    <row r="6702" spans="13:14" x14ac:dyDescent="0.35">
      <c r="M6702" s="46">
        <v>0.62916359994064408</v>
      </c>
      <c r="N6702" s="46">
        <v>0</v>
      </c>
    </row>
    <row r="6703" spans="13:14" x14ac:dyDescent="0.35">
      <c r="M6703" s="46">
        <v>0.62901142602760063</v>
      </c>
      <c r="N6703" s="46">
        <v>0</v>
      </c>
    </row>
    <row r="6704" spans="13:14" x14ac:dyDescent="0.35">
      <c r="M6704" s="46">
        <v>0.62513421872681396</v>
      </c>
      <c r="N6704" s="46">
        <v>0</v>
      </c>
    </row>
    <row r="6705" spans="13:14" x14ac:dyDescent="0.35">
      <c r="M6705" s="46">
        <v>0.62402544887965572</v>
      </c>
      <c r="N6705" s="46">
        <v>0</v>
      </c>
    </row>
    <row r="6706" spans="13:14" x14ac:dyDescent="0.35">
      <c r="M6706" s="46">
        <v>0.63930523816590001</v>
      </c>
      <c r="N6706" s="46">
        <v>0</v>
      </c>
    </row>
    <row r="6707" spans="13:14" x14ac:dyDescent="0.35">
      <c r="M6707" s="46">
        <v>0.69264141564030268</v>
      </c>
      <c r="N6707" s="46">
        <v>0</v>
      </c>
    </row>
    <row r="6708" spans="13:14" x14ac:dyDescent="0.35">
      <c r="M6708" s="46">
        <v>0.7532422466241282</v>
      </c>
      <c r="N6708" s="46">
        <v>0</v>
      </c>
    </row>
    <row r="6709" spans="13:14" x14ac:dyDescent="0.35">
      <c r="M6709" s="46">
        <v>0.80932860958599195</v>
      </c>
      <c r="N6709" s="46">
        <v>0</v>
      </c>
    </row>
    <row r="6710" spans="13:14" x14ac:dyDescent="0.35">
      <c r="M6710" s="46">
        <v>0.86559014690606917</v>
      </c>
      <c r="N6710" s="46">
        <v>0</v>
      </c>
    </row>
    <row r="6711" spans="13:14" x14ac:dyDescent="0.35">
      <c r="M6711" s="46">
        <v>0.9081593708265322</v>
      </c>
      <c r="N6711" s="46">
        <v>0</v>
      </c>
    </row>
    <row r="6712" spans="13:14" x14ac:dyDescent="0.35">
      <c r="M6712" s="46">
        <v>0.90926420833951627</v>
      </c>
      <c r="N6712" s="46">
        <v>0</v>
      </c>
    </row>
    <row r="6713" spans="13:14" x14ac:dyDescent="0.35">
      <c r="M6713" s="46">
        <v>0.83524654993322445</v>
      </c>
      <c r="N6713" s="46">
        <v>0</v>
      </c>
    </row>
    <row r="6714" spans="13:14" x14ac:dyDescent="0.35">
      <c r="M6714" s="46">
        <v>0.71874669832319338</v>
      </c>
      <c r="N6714" s="46">
        <v>0</v>
      </c>
    </row>
    <row r="6715" spans="13:14" x14ac:dyDescent="0.35">
      <c r="M6715" s="46">
        <v>0.58034841964683181</v>
      </c>
      <c r="N6715" s="46">
        <v>0</v>
      </c>
    </row>
    <row r="6716" spans="13:14" x14ac:dyDescent="0.35">
      <c r="M6716" s="46">
        <v>0.44599339664638671</v>
      </c>
      <c r="N6716" s="46">
        <v>0</v>
      </c>
    </row>
    <row r="6717" spans="13:14" x14ac:dyDescent="0.35">
      <c r="M6717" s="46">
        <v>0.4114992580501558</v>
      </c>
      <c r="N6717" s="46">
        <v>0</v>
      </c>
    </row>
    <row r="6718" spans="13:14" x14ac:dyDescent="0.35">
      <c r="M6718" s="46">
        <v>0.41061982489983678</v>
      </c>
      <c r="N6718" s="46">
        <v>0</v>
      </c>
    </row>
    <row r="6719" spans="13:14" x14ac:dyDescent="0.35">
      <c r="M6719" s="46">
        <v>0.40481124795963797</v>
      </c>
      <c r="N6719" s="46">
        <v>0</v>
      </c>
    </row>
    <row r="6720" spans="13:14" x14ac:dyDescent="0.35">
      <c r="M6720" s="46">
        <v>0.39204125241133697</v>
      </c>
      <c r="N6720" s="46">
        <v>0</v>
      </c>
    </row>
    <row r="6721" spans="13:14" x14ac:dyDescent="0.35">
      <c r="M6721" s="46">
        <v>0.39542773408517584</v>
      </c>
      <c r="N6721" s="46">
        <v>0</v>
      </c>
    </row>
    <row r="6722" spans="13:14" x14ac:dyDescent="0.35">
      <c r="M6722" s="46">
        <v>0.39963740911114409</v>
      </c>
      <c r="N6722" s="46">
        <v>0</v>
      </c>
    </row>
    <row r="6723" spans="13:14" x14ac:dyDescent="0.35">
      <c r="M6723" s="46">
        <v>0.39998835138744621</v>
      </c>
      <c r="N6723" s="46">
        <v>0</v>
      </c>
    </row>
    <row r="6724" spans="13:14" x14ac:dyDescent="0.35">
      <c r="M6724" s="46">
        <v>0.39529262501854873</v>
      </c>
      <c r="N6724" s="46">
        <v>0</v>
      </c>
    </row>
    <row r="6725" spans="13:14" x14ac:dyDescent="0.35">
      <c r="M6725" s="46">
        <v>0.39166983231933522</v>
      </c>
      <c r="N6725" s="46">
        <v>0</v>
      </c>
    </row>
    <row r="6726" spans="13:14" x14ac:dyDescent="0.35">
      <c r="M6726" s="46">
        <v>0.3697464757382401</v>
      </c>
      <c r="N6726" s="46">
        <v>0</v>
      </c>
    </row>
    <row r="6727" spans="13:14" x14ac:dyDescent="0.35">
      <c r="M6727" s="46">
        <v>0.33056380768660037</v>
      </c>
      <c r="N6727" s="46">
        <v>0</v>
      </c>
    </row>
    <row r="6728" spans="13:14" x14ac:dyDescent="0.35">
      <c r="M6728" s="46">
        <v>0.28058287579759605</v>
      </c>
      <c r="N6728" s="46">
        <v>0</v>
      </c>
    </row>
    <row r="6729" spans="13:14" x14ac:dyDescent="0.35">
      <c r="M6729" s="46">
        <v>0.24648352871345897</v>
      </c>
      <c r="N6729" s="46">
        <v>0</v>
      </c>
    </row>
    <row r="6730" spans="13:14" x14ac:dyDescent="0.35">
      <c r="M6730" s="46">
        <v>0.25637461047633181</v>
      </c>
      <c r="N6730" s="46">
        <v>0</v>
      </c>
    </row>
    <row r="6731" spans="13:14" x14ac:dyDescent="0.35">
      <c r="M6731" s="46">
        <v>0.31932074491764356</v>
      </c>
      <c r="N6731" s="46">
        <v>0</v>
      </c>
    </row>
    <row r="6732" spans="13:14" x14ac:dyDescent="0.35">
      <c r="M6732" s="46">
        <v>0.38237995251520995</v>
      </c>
      <c r="N6732" s="46">
        <v>0</v>
      </c>
    </row>
    <row r="6733" spans="13:14" x14ac:dyDescent="0.35">
      <c r="M6733" s="46">
        <v>0.43907545629915423</v>
      </c>
      <c r="N6733" s="46">
        <v>0</v>
      </c>
    </row>
    <row r="6734" spans="13:14" x14ac:dyDescent="0.35">
      <c r="M6734" s="46">
        <v>0.47081584804867188</v>
      </c>
      <c r="N6734" s="46">
        <v>0</v>
      </c>
    </row>
    <row r="6735" spans="13:14" x14ac:dyDescent="0.35">
      <c r="M6735" s="46">
        <v>0.48392135331651581</v>
      </c>
      <c r="N6735" s="46">
        <v>0</v>
      </c>
    </row>
    <row r="6736" spans="13:14" x14ac:dyDescent="0.35">
      <c r="M6736" s="46">
        <v>0.45632920314586733</v>
      </c>
      <c r="N6736" s="46">
        <v>0</v>
      </c>
    </row>
    <row r="6737" spans="13:14" x14ac:dyDescent="0.35">
      <c r="M6737" s="46">
        <v>0.38527348271256867</v>
      </c>
      <c r="N6737" s="46">
        <v>0</v>
      </c>
    </row>
    <row r="6738" spans="13:14" x14ac:dyDescent="0.35">
      <c r="M6738" s="46">
        <v>0.29387980412524112</v>
      </c>
      <c r="N6738" s="46">
        <v>0</v>
      </c>
    </row>
    <row r="6739" spans="13:14" x14ac:dyDescent="0.35">
      <c r="M6739" s="46">
        <v>0.20842120492654698</v>
      </c>
      <c r="N6739" s="46">
        <v>0</v>
      </c>
    </row>
    <row r="6740" spans="13:14" x14ac:dyDescent="0.35">
      <c r="M6740" s="46">
        <v>0.16537980412524114</v>
      </c>
      <c r="N6740" s="46">
        <v>0</v>
      </c>
    </row>
    <row r="6741" spans="13:14" x14ac:dyDescent="0.35">
      <c r="M6741" s="46">
        <v>0.1401179700252263</v>
      </c>
      <c r="N6741" s="46">
        <v>0</v>
      </c>
    </row>
    <row r="6742" spans="13:14" x14ac:dyDescent="0.35">
      <c r="M6742" s="46">
        <v>0.12674046594450217</v>
      </c>
      <c r="N6742" s="46">
        <v>0</v>
      </c>
    </row>
    <row r="6743" spans="13:14" x14ac:dyDescent="0.35">
      <c r="M6743" s="46">
        <v>0.10894086659741802</v>
      </c>
      <c r="N6743" s="46">
        <v>0</v>
      </c>
    </row>
    <row r="6744" spans="13:14" x14ac:dyDescent="0.35">
      <c r="M6744" s="46">
        <v>9.5906291734678739E-2</v>
      </c>
      <c r="N6744" s="46">
        <v>0</v>
      </c>
    </row>
    <row r="6745" spans="13:14" x14ac:dyDescent="0.35">
      <c r="M6745" s="46">
        <v>8.9139115595785717E-2</v>
      </c>
      <c r="N6745" s="46">
        <v>0</v>
      </c>
    </row>
    <row r="6746" spans="13:14" x14ac:dyDescent="0.35">
      <c r="M6746" s="46">
        <v>8.8720730078646684E-2</v>
      </c>
      <c r="N6746" s="46">
        <v>0</v>
      </c>
    </row>
    <row r="6747" spans="13:14" x14ac:dyDescent="0.35">
      <c r="M6747" s="46">
        <v>8.8096379284760357E-2</v>
      </c>
      <c r="N6747" s="46">
        <v>0</v>
      </c>
    </row>
    <row r="6748" spans="13:14" x14ac:dyDescent="0.35">
      <c r="M6748" s="46">
        <v>9.4049413859623079E-2</v>
      </c>
      <c r="N6748" s="46">
        <v>0</v>
      </c>
    </row>
    <row r="6749" spans="13:14" x14ac:dyDescent="0.35">
      <c r="M6749" s="46">
        <v>0.1002667309689865</v>
      </c>
      <c r="N6749" s="46">
        <v>0</v>
      </c>
    </row>
    <row r="6750" spans="13:14" x14ac:dyDescent="0.35">
      <c r="M6750" s="46">
        <v>0.11000007419498441</v>
      </c>
      <c r="N6750" s="46">
        <v>0</v>
      </c>
    </row>
    <row r="6751" spans="13:14" x14ac:dyDescent="0.35">
      <c r="M6751" s="46">
        <v>0.1260112776376317</v>
      </c>
      <c r="N6751" s="46">
        <v>0</v>
      </c>
    </row>
    <row r="6752" spans="13:14" x14ac:dyDescent="0.35">
      <c r="M6752" s="46">
        <v>0.14397759311470545</v>
      </c>
      <c r="N6752" s="46">
        <v>0</v>
      </c>
    </row>
    <row r="6753" spans="13:14" x14ac:dyDescent="0.35">
      <c r="M6753" s="46">
        <v>0.16875040807241432</v>
      </c>
      <c r="N6753" s="46">
        <v>0</v>
      </c>
    </row>
    <row r="6754" spans="13:14" x14ac:dyDescent="0.35">
      <c r="M6754" s="46">
        <v>0.24814638670425879</v>
      </c>
      <c r="N6754" s="46">
        <v>0</v>
      </c>
    </row>
    <row r="6755" spans="13:14" x14ac:dyDescent="0.35">
      <c r="M6755" s="46">
        <v>0.38148041252411335</v>
      </c>
      <c r="N6755" s="46">
        <v>0</v>
      </c>
    </row>
    <row r="6756" spans="13:14" x14ac:dyDescent="0.35">
      <c r="M6756" s="46">
        <v>0.5131086214571895</v>
      </c>
      <c r="N6756" s="46">
        <v>0</v>
      </c>
    </row>
    <row r="6757" spans="13:14" x14ac:dyDescent="0.35">
      <c r="M6757" s="46">
        <v>0.61647521887520396</v>
      </c>
      <c r="N6757" s="46">
        <v>0</v>
      </c>
    </row>
    <row r="6758" spans="13:14" x14ac:dyDescent="0.35">
      <c r="M6758" s="46">
        <v>0.67359066627096009</v>
      </c>
      <c r="N6758" s="46">
        <v>0</v>
      </c>
    </row>
    <row r="6759" spans="13:14" x14ac:dyDescent="0.35">
      <c r="M6759" s="46">
        <v>0.68328194094079231</v>
      </c>
      <c r="N6759" s="46">
        <v>0</v>
      </c>
    </row>
    <row r="6760" spans="13:14" x14ac:dyDescent="0.35">
      <c r="M6760" s="46">
        <v>0.64897299302567146</v>
      </c>
      <c r="N6760" s="46">
        <v>0</v>
      </c>
    </row>
    <row r="6761" spans="13:14" x14ac:dyDescent="0.35">
      <c r="M6761" s="46">
        <v>0.60170856210120194</v>
      </c>
      <c r="N6761" s="46">
        <v>0</v>
      </c>
    </row>
    <row r="6762" spans="13:14" x14ac:dyDescent="0.35">
      <c r="M6762" s="46">
        <v>0.53190844338922683</v>
      </c>
      <c r="N6762" s="46">
        <v>0</v>
      </c>
    </row>
    <row r="6763" spans="13:14" x14ac:dyDescent="0.35">
      <c r="M6763" s="46">
        <v>0.46147648018993914</v>
      </c>
      <c r="N6763" s="46">
        <v>0</v>
      </c>
    </row>
    <row r="6764" spans="13:14" x14ac:dyDescent="0.35">
      <c r="M6764" s="46">
        <v>0.41083395162487019</v>
      </c>
      <c r="N6764" s="46">
        <v>0</v>
      </c>
    </row>
    <row r="6765" spans="13:14" x14ac:dyDescent="0.35">
      <c r="M6765" s="46">
        <v>0.4075784240985309</v>
      </c>
      <c r="N6765" s="46">
        <v>0</v>
      </c>
    </row>
    <row r="6766" spans="13:14" x14ac:dyDescent="0.35">
      <c r="M6766" s="46">
        <v>0.41998508680813179</v>
      </c>
      <c r="N6766" s="46">
        <v>0</v>
      </c>
    </row>
    <row r="6767" spans="13:14" x14ac:dyDescent="0.35">
      <c r="M6767" s="46">
        <v>0.42581451253895236</v>
      </c>
      <c r="N6767" s="46">
        <v>0</v>
      </c>
    </row>
    <row r="6768" spans="13:14" x14ac:dyDescent="0.35">
      <c r="M6768" s="46">
        <v>0.42964475441460159</v>
      </c>
      <c r="N6768" s="46">
        <v>0</v>
      </c>
    </row>
    <row r="6769" spans="13:14" x14ac:dyDescent="0.35">
      <c r="M6769" s="46">
        <v>0.44099191274669836</v>
      </c>
      <c r="N6769" s="46">
        <v>0</v>
      </c>
    </row>
    <row r="6770" spans="13:14" x14ac:dyDescent="0.35">
      <c r="M6770" s="46">
        <v>0.45568875204036208</v>
      </c>
      <c r="N6770" s="46">
        <v>0</v>
      </c>
    </row>
    <row r="6771" spans="13:14" x14ac:dyDescent="0.35">
      <c r="M6771" s="46">
        <v>0.45487557501112924</v>
      </c>
      <c r="N6771" s="46">
        <v>0</v>
      </c>
    </row>
    <row r="6772" spans="13:14" x14ac:dyDescent="0.35">
      <c r="M6772" s="46">
        <v>0.45582326754711383</v>
      </c>
      <c r="N6772" s="46">
        <v>0</v>
      </c>
    </row>
    <row r="6773" spans="13:14" x14ac:dyDescent="0.35">
      <c r="M6773" s="46">
        <v>0.45551387446208635</v>
      </c>
      <c r="N6773" s="46">
        <v>0</v>
      </c>
    </row>
    <row r="6774" spans="13:14" x14ac:dyDescent="0.35">
      <c r="M6774" s="46">
        <v>0.44750638076866006</v>
      </c>
      <c r="N6774" s="46">
        <v>0</v>
      </c>
    </row>
    <row r="6775" spans="13:14" x14ac:dyDescent="0.35">
      <c r="M6775" s="46">
        <v>0.43049258050155809</v>
      </c>
      <c r="N6775" s="46">
        <v>0</v>
      </c>
    </row>
    <row r="6776" spans="13:14" x14ac:dyDescent="0.35">
      <c r="M6776" s="46">
        <v>0.41128038284611962</v>
      </c>
      <c r="N6776" s="46">
        <v>0</v>
      </c>
    </row>
    <row r="6777" spans="13:14" x14ac:dyDescent="0.35">
      <c r="M6777" s="46">
        <v>0.39384300341296929</v>
      </c>
      <c r="N6777" s="46">
        <v>0</v>
      </c>
    </row>
    <row r="6778" spans="13:14" x14ac:dyDescent="0.35">
      <c r="M6778" s="46">
        <v>0.40129418311322157</v>
      </c>
      <c r="N6778" s="46">
        <v>0</v>
      </c>
    </row>
    <row r="6779" spans="13:14" x14ac:dyDescent="0.35">
      <c r="M6779" s="46">
        <v>0.45868407775634368</v>
      </c>
      <c r="N6779" s="46">
        <v>0</v>
      </c>
    </row>
    <row r="6780" spans="13:14" x14ac:dyDescent="0.35">
      <c r="M6780" s="46">
        <v>0.52142721472028497</v>
      </c>
      <c r="N6780" s="46">
        <v>0</v>
      </c>
    </row>
    <row r="6781" spans="13:14" x14ac:dyDescent="0.35">
      <c r="M6781" s="46">
        <v>0.57735865855468171</v>
      </c>
      <c r="N6781" s="46">
        <v>0</v>
      </c>
    </row>
    <row r="6782" spans="13:14" x14ac:dyDescent="0.35">
      <c r="M6782" s="46">
        <v>0.60776932779344117</v>
      </c>
      <c r="N6782" s="46">
        <v>0</v>
      </c>
    </row>
    <row r="6783" spans="13:14" x14ac:dyDescent="0.35">
      <c r="M6783" s="46">
        <v>0.60641808873720138</v>
      </c>
      <c r="N6783" s="46">
        <v>0</v>
      </c>
    </row>
    <row r="6784" spans="13:14" x14ac:dyDescent="0.35">
      <c r="M6784" s="46">
        <v>0.56637023297225109</v>
      </c>
      <c r="N6784" s="46">
        <v>0</v>
      </c>
    </row>
    <row r="6785" spans="13:14" x14ac:dyDescent="0.35">
      <c r="M6785" s="46">
        <v>0.49265773853687495</v>
      </c>
      <c r="N6785" s="46">
        <v>0</v>
      </c>
    </row>
    <row r="6786" spans="13:14" x14ac:dyDescent="0.35">
      <c r="M6786" s="46">
        <v>0.38682905475589846</v>
      </c>
      <c r="N6786" s="46">
        <v>0</v>
      </c>
    </row>
    <row r="6787" spans="13:14" x14ac:dyDescent="0.35">
      <c r="M6787" s="46">
        <v>0.25487854281050604</v>
      </c>
      <c r="N6787" s="46">
        <v>0</v>
      </c>
    </row>
    <row r="6788" spans="13:14" x14ac:dyDescent="0.35">
      <c r="M6788" s="46">
        <v>0.11063926398575456</v>
      </c>
      <c r="N6788" s="46">
        <v>0</v>
      </c>
    </row>
    <row r="6789" spans="13:14" x14ac:dyDescent="0.35">
      <c r="M6789" s="46">
        <v>6.326398575456299E-2</v>
      </c>
      <c r="N6789" s="46">
        <v>0</v>
      </c>
    </row>
    <row r="6790" spans="13:14" x14ac:dyDescent="0.35">
      <c r="M6790" s="46">
        <v>4.5520032645793143E-2</v>
      </c>
      <c r="N6790" s="46">
        <v>0</v>
      </c>
    </row>
    <row r="6791" spans="13:14" x14ac:dyDescent="0.35">
      <c r="M6791" s="46">
        <v>3.0172132363852206E-2</v>
      </c>
      <c r="N6791" s="46">
        <v>0</v>
      </c>
    </row>
    <row r="6792" spans="13:14" x14ac:dyDescent="0.35">
      <c r="M6792" s="46">
        <v>2.0542587921056534E-2</v>
      </c>
      <c r="N6792" s="46">
        <v>0</v>
      </c>
    </row>
    <row r="6793" spans="13:14" x14ac:dyDescent="0.35">
      <c r="M6793" s="46">
        <v>1.7368452292625021E-2</v>
      </c>
      <c r="N6793" s="46">
        <v>0</v>
      </c>
    </row>
    <row r="6794" spans="13:14" x14ac:dyDescent="0.35">
      <c r="M6794" s="46">
        <v>1.6916753227481821E-2</v>
      </c>
      <c r="N6794" s="46">
        <v>0</v>
      </c>
    </row>
    <row r="6795" spans="13:14" x14ac:dyDescent="0.35">
      <c r="M6795" s="46">
        <v>1.6867042587921058E-2</v>
      </c>
      <c r="N6795" s="46">
        <v>0</v>
      </c>
    </row>
    <row r="6796" spans="13:14" x14ac:dyDescent="0.35">
      <c r="M6796" s="46">
        <v>1.5743211158925657E-2</v>
      </c>
      <c r="N6796" s="46">
        <v>0</v>
      </c>
    </row>
    <row r="6797" spans="13:14" x14ac:dyDescent="0.35">
      <c r="M6797" s="46">
        <v>1.520299747737053E-2</v>
      </c>
      <c r="N6797" s="46">
        <v>0</v>
      </c>
    </row>
    <row r="6798" spans="13:14" x14ac:dyDescent="0.35">
      <c r="M6798" s="46">
        <v>1.468815848048672E-2</v>
      </c>
      <c r="N6798" s="46">
        <v>0</v>
      </c>
    </row>
    <row r="6799" spans="13:14" x14ac:dyDescent="0.35">
      <c r="M6799" s="46">
        <v>1.1855542365336102E-2</v>
      </c>
      <c r="N6799" s="46">
        <v>0</v>
      </c>
    </row>
    <row r="6800" spans="13:14" x14ac:dyDescent="0.35">
      <c r="M6800" s="46">
        <v>9.4564475441460145E-3</v>
      </c>
      <c r="N6800" s="46">
        <v>0</v>
      </c>
    </row>
    <row r="6801" spans="13:14" x14ac:dyDescent="0.35">
      <c r="M6801" s="46">
        <v>9.5135034871642685E-3</v>
      </c>
      <c r="N6801" s="46">
        <v>0</v>
      </c>
    </row>
    <row r="6802" spans="13:14" x14ac:dyDescent="0.35">
      <c r="M6802" s="46">
        <v>5.1876242765989018E-2</v>
      </c>
      <c r="N6802" s="46">
        <v>0</v>
      </c>
    </row>
    <row r="6803" spans="13:14" x14ac:dyDescent="0.35">
      <c r="M6803" s="46">
        <v>0.14033424840480782</v>
      </c>
      <c r="N6803" s="46">
        <v>0</v>
      </c>
    </row>
    <row r="6804" spans="13:14" x14ac:dyDescent="0.35">
      <c r="M6804" s="46">
        <v>0.23130724143047932</v>
      </c>
      <c r="N6804" s="46">
        <v>0</v>
      </c>
    </row>
    <row r="6805" spans="13:14" x14ac:dyDescent="0.35">
      <c r="M6805" s="46">
        <v>0.30100370974922097</v>
      </c>
      <c r="N6805" s="46">
        <v>0</v>
      </c>
    </row>
    <row r="6806" spans="13:14" x14ac:dyDescent="0.35">
      <c r="M6806" s="46">
        <v>0.35228787653954596</v>
      </c>
      <c r="N6806" s="46">
        <v>0</v>
      </c>
    </row>
    <row r="6807" spans="13:14" x14ac:dyDescent="0.35">
      <c r="M6807" s="46">
        <v>0.36868081317702922</v>
      </c>
      <c r="N6807" s="46">
        <v>0</v>
      </c>
    </row>
    <row r="6808" spans="13:14" x14ac:dyDescent="0.35">
      <c r="M6808" s="46">
        <v>0.35040287876539544</v>
      </c>
      <c r="N6808" s="46">
        <v>0</v>
      </c>
    </row>
    <row r="6809" spans="13:14" x14ac:dyDescent="0.35">
      <c r="M6809" s="46">
        <v>0.2743751298412227</v>
      </c>
      <c r="N6809" s="46">
        <v>0</v>
      </c>
    </row>
    <row r="6810" spans="13:14" x14ac:dyDescent="0.35">
      <c r="M6810" s="46">
        <v>0.18238225255972698</v>
      </c>
      <c r="N6810" s="46">
        <v>0</v>
      </c>
    </row>
    <row r="6811" spans="13:14" x14ac:dyDescent="0.35">
      <c r="M6811" s="46">
        <v>9.5695355393975362E-2</v>
      </c>
      <c r="N6811" s="46">
        <v>0</v>
      </c>
    </row>
    <row r="6812" spans="13:14" x14ac:dyDescent="0.35">
      <c r="M6812" s="46">
        <v>4.5411114408665978E-2</v>
      </c>
      <c r="N6812" s="46">
        <v>0</v>
      </c>
    </row>
    <row r="6813" spans="13:14" x14ac:dyDescent="0.35">
      <c r="M6813" s="46">
        <v>4.4382326754711376E-2</v>
      </c>
      <c r="N6813" s="46">
        <v>0</v>
      </c>
    </row>
    <row r="6814" spans="13:14" x14ac:dyDescent="0.35">
      <c r="M6814" s="46">
        <v>6.1035910372458826E-2</v>
      </c>
      <c r="N6814" s="46">
        <v>0</v>
      </c>
    </row>
    <row r="6815" spans="13:14" x14ac:dyDescent="0.35">
      <c r="M6815" s="46">
        <v>7.4956299154177175E-2</v>
      </c>
      <c r="N6815" s="46">
        <v>0</v>
      </c>
    </row>
    <row r="6816" spans="13:14" x14ac:dyDescent="0.35">
      <c r="M6816" s="46">
        <v>8.6815625463718654E-2</v>
      </c>
      <c r="N6816" s="46">
        <v>0</v>
      </c>
    </row>
    <row r="6817" spans="13:14" x14ac:dyDescent="0.35">
      <c r="M6817" s="46">
        <v>0.10114052530048968</v>
      </c>
      <c r="N6817" s="46">
        <v>0</v>
      </c>
    </row>
    <row r="6818" spans="13:14" x14ac:dyDescent="0.35">
      <c r="M6818" s="46">
        <v>0.12259511797002523</v>
      </c>
      <c r="N6818" s="46">
        <v>0</v>
      </c>
    </row>
    <row r="6819" spans="13:14" x14ac:dyDescent="0.35">
      <c r="M6819" s="46">
        <v>0.12745140228520552</v>
      </c>
      <c r="N6819" s="46">
        <v>0</v>
      </c>
    </row>
    <row r="6820" spans="13:14" x14ac:dyDescent="0.35">
      <c r="M6820" s="46">
        <v>0.12913770589108176</v>
      </c>
      <c r="N6820" s="46">
        <v>0</v>
      </c>
    </row>
    <row r="6821" spans="13:14" x14ac:dyDescent="0.35">
      <c r="M6821" s="46">
        <v>0.1284232823861107</v>
      </c>
      <c r="N6821" s="46">
        <v>0</v>
      </c>
    </row>
    <row r="6822" spans="13:14" x14ac:dyDescent="0.35">
      <c r="M6822" s="46">
        <v>0.12408985012613147</v>
      </c>
      <c r="N6822" s="46">
        <v>0</v>
      </c>
    </row>
    <row r="6823" spans="13:14" x14ac:dyDescent="0.35">
      <c r="M6823" s="46">
        <v>0.12208591779195725</v>
      </c>
      <c r="N6823" s="46">
        <v>0</v>
      </c>
    </row>
    <row r="6824" spans="13:14" x14ac:dyDescent="0.35">
      <c r="M6824" s="46">
        <v>0.1222044813770589</v>
      </c>
      <c r="N6824" s="46">
        <v>0</v>
      </c>
    </row>
    <row r="6825" spans="13:14" x14ac:dyDescent="0.35">
      <c r="M6825" s="46">
        <v>0.12819602314883513</v>
      </c>
      <c r="N6825" s="46">
        <v>0</v>
      </c>
    </row>
    <row r="6826" spans="13:14" x14ac:dyDescent="0.35">
      <c r="M6826" s="46">
        <v>0.1513765395459267</v>
      </c>
      <c r="N6826" s="46">
        <v>0</v>
      </c>
    </row>
    <row r="6827" spans="13:14" x14ac:dyDescent="0.35">
      <c r="M6827" s="46">
        <v>0.20237972993025671</v>
      </c>
      <c r="N6827" s="46">
        <v>0</v>
      </c>
    </row>
    <row r="6828" spans="13:14" x14ac:dyDescent="0.35">
      <c r="M6828" s="46">
        <v>0.25133847751891975</v>
      </c>
      <c r="N6828" s="46">
        <v>0</v>
      </c>
    </row>
    <row r="6829" spans="13:14" x14ac:dyDescent="0.35">
      <c r="M6829" s="46">
        <v>0.29113607360142452</v>
      </c>
      <c r="N6829" s="46">
        <v>0</v>
      </c>
    </row>
    <row r="6830" spans="13:14" x14ac:dyDescent="0.35">
      <c r="M6830" s="46">
        <v>0.33955060097937378</v>
      </c>
      <c r="N6830" s="46">
        <v>0</v>
      </c>
    </row>
    <row r="6831" spans="13:14" x14ac:dyDescent="0.35">
      <c r="M6831" s="46">
        <v>0.37605564623831428</v>
      </c>
      <c r="N6831" s="46">
        <v>0</v>
      </c>
    </row>
    <row r="6832" spans="13:14" x14ac:dyDescent="0.35">
      <c r="M6832" s="46">
        <v>0.39470307167235497</v>
      </c>
      <c r="N6832" s="46">
        <v>0</v>
      </c>
    </row>
    <row r="6833" spans="13:14" x14ac:dyDescent="0.35">
      <c r="M6833" s="46">
        <v>0.36585591334025824</v>
      </c>
      <c r="N6833" s="46">
        <v>0</v>
      </c>
    </row>
    <row r="6834" spans="13:14" x14ac:dyDescent="0.35">
      <c r="M6834" s="46">
        <v>0.30501825196616711</v>
      </c>
      <c r="N6834" s="46">
        <v>0</v>
      </c>
    </row>
    <row r="6835" spans="13:14" x14ac:dyDescent="0.35">
      <c r="M6835" s="46">
        <v>0.230862961863778</v>
      </c>
      <c r="N6835" s="46">
        <v>0</v>
      </c>
    </row>
    <row r="6836" spans="13:14" x14ac:dyDescent="0.35">
      <c r="M6836" s="46">
        <v>0.16460995696690903</v>
      </c>
      <c r="N6836" s="46">
        <v>0</v>
      </c>
    </row>
    <row r="6837" spans="13:14" x14ac:dyDescent="0.35">
      <c r="M6837" s="46">
        <v>0.15188470099421281</v>
      </c>
      <c r="N6837" s="46">
        <v>0</v>
      </c>
    </row>
    <row r="6838" spans="13:14" x14ac:dyDescent="0.35">
      <c r="M6838" s="46">
        <v>0.1542324528861849</v>
      </c>
      <c r="N6838" s="46">
        <v>0</v>
      </c>
    </row>
    <row r="6839" spans="13:14" x14ac:dyDescent="0.35">
      <c r="M6839" s="46">
        <v>0.14713310580204778</v>
      </c>
      <c r="N6839" s="46">
        <v>0</v>
      </c>
    </row>
    <row r="6840" spans="13:14" x14ac:dyDescent="0.35">
      <c r="M6840" s="46">
        <v>0.13944479893159223</v>
      </c>
      <c r="N6840" s="46">
        <v>0</v>
      </c>
    </row>
    <row r="6841" spans="13:14" x14ac:dyDescent="0.35">
      <c r="M6841" s="46">
        <v>0.14815840629173468</v>
      </c>
      <c r="N6841" s="46">
        <v>0</v>
      </c>
    </row>
    <row r="6842" spans="13:14" x14ac:dyDescent="0.35">
      <c r="M6842" s="46">
        <v>0.17315254488796558</v>
      </c>
      <c r="N6842" s="46">
        <v>0</v>
      </c>
    </row>
    <row r="6843" spans="13:14" x14ac:dyDescent="0.35">
      <c r="M6843" s="46">
        <v>0.18593047929959935</v>
      </c>
      <c r="N6843" s="46">
        <v>0</v>
      </c>
    </row>
    <row r="6844" spans="13:14" x14ac:dyDescent="0.35">
      <c r="M6844" s="46">
        <v>0.20845563139931741</v>
      </c>
      <c r="N6844" s="46">
        <v>0</v>
      </c>
    </row>
    <row r="6845" spans="13:14" x14ac:dyDescent="0.35">
      <c r="M6845" s="46">
        <v>0.21442476628579907</v>
      </c>
      <c r="N6845" s="46">
        <v>0</v>
      </c>
    </row>
    <row r="6846" spans="13:14" x14ac:dyDescent="0.35">
      <c r="M6846" s="46">
        <v>0.21201253895236682</v>
      </c>
      <c r="N6846" s="46">
        <v>0</v>
      </c>
    </row>
    <row r="6847" spans="13:14" x14ac:dyDescent="0.35">
      <c r="M6847" s="46">
        <v>0.20685635851016473</v>
      </c>
      <c r="N6847" s="46">
        <v>0</v>
      </c>
    </row>
    <row r="6848" spans="13:14" x14ac:dyDescent="0.35">
      <c r="M6848" s="46">
        <v>0.18927466983231933</v>
      </c>
      <c r="N6848" s="46">
        <v>0</v>
      </c>
    </row>
    <row r="6849" spans="13:14" x14ac:dyDescent="0.35">
      <c r="M6849" s="46">
        <v>0.17705297521887522</v>
      </c>
      <c r="N6849" s="46">
        <v>0</v>
      </c>
    </row>
    <row r="6850" spans="13:14" x14ac:dyDescent="0.35">
      <c r="M6850" s="46">
        <v>0.22458576940198843</v>
      </c>
      <c r="N6850" s="46">
        <v>0</v>
      </c>
    </row>
    <row r="6851" spans="13:14" x14ac:dyDescent="0.35">
      <c r="M6851" s="46">
        <v>0.34632081911262802</v>
      </c>
      <c r="N6851" s="46">
        <v>0</v>
      </c>
    </row>
    <row r="6852" spans="13:14" x14ac:dyDescent="0.35">
      <c r="M6852" s="46">
        <v>0.46796861552159075</v>
      </c>
      <c r="N6852" s="46">
        <v>0</v>
      </c>
    </row>
    <row r="6853" spans="13:14" x14ac:dyDescent="0.35">
      <c r="M6853" s="46">
        <v>0.56719439085917789</v>
      </c>
      <c r="N6853" s="46">
        <v>0</v>
      </c>
    </row>
    <row r="6854" spans="13:14" x14ac:dyDescent="0.35">
      <c r="M6854" s="46">
        <v>0.66140013355097205</v>
      </c>
      <c r="N6854" s="46">
        <v>0</v>
      </c>
    </row>
    <row r="6855" spans="13:14" x14ac:dyDescent="0.35">
      <c r="M6855" s="46">
        <v>0.72443849235791657</v>
      </c>
      <c r="N6855" s="46">
        <v>0</v>
      </c>
    </row>
    <row r="6856" spans="13:14" x14ac:dyDescent="0.35">
      <c r="M6856" s="46">
        <v>0.74592535984567443</v>
      </c>
      <c r="N6856" s="46">
        <v>0</v>
      </c>
    </row>
    <row r="6857" spans="13:14" x14ac:dyDescent="0.35">
      <c r="M6857" s="46">
        <v>0.69244153435227784</v>
      </c>
      <c r="N6857" s="46">
        <v>0</v>
      </c>
    </row>
    <row r="6858" spans="13:14" x14ac:dyDescent="0.35">
      <c r="M6858" s="46">
        <v>0.58448456744324084</v>
      </c>
      <c r="N6858" s="46">
        <v>0</v>
      </c>
    </row>
    <row r="6859" spans="13:14" x14ac:dyDescent="0.35">
      <c r="M6859" s="46">
        <v>0.4423916753227482</v>
      </c>
      <c r="N6859" s="46">
        <v>0</v>
      </c>
    </row>
    <row r="6860" spans="13:14" x14ac:dyDescent="0.35">
      <c r="M6860" s="46">
        <v>0.33035131325122424</v>
      </c>
      <c r="N6860" s="46">
        <v>0</v>
      </c>
    </row>
    <row r="6861" spans="13:14" x14ac:dyDescent="0.35">
      <c r="M6861" s="46">
        <v>0.32149888707523372</v>
      </c>
      <c r="N6861" s="46">
        <v>0</v>
      </c>
    </row>
    <row r="6862" spans="13:14" x14ac:dyDescent="0.35">
      <c r="M6862" s="46">
        <v>0.33878565069001337</v>
      </c>
      <c r="N6862" s="46">
        <v>0</v>
      </c>
    </row>
    <row r="6863" spans="13:14" x14ac:dyDescent="0.35">
      <c r="M6863" s="46">
        <v>0.34160743433743884</v>
      </c>
      <c r="N6863" s="46">
        <v>0</v>
      </c>
    </row>
    <row r="6864" spans="13:14" x14ac:dyDescent="0.35">
      <c r="M6864" s="46">
        <v>0.34400630657367559</v>
      </c>
      <c r="N6864" s="46">
        <v>0</v>
      </c>
    </row>
    <row r="6865" spans="13:14" x14ac:dyDescent="0.35">
      <c r="M6865" s="46">
        <v>0.34519824899836776</v>
      </c>
      <c r="N6865" s="46">
        <v>0</v>
      </c>
    </row>
    <row r="6866" spans="13:14" x14ac:dyDescent="0.35">
      <c r="M6866" s="46">
        <v>0.36030338329128953</v>
      </c>
      <c r="N6866" s="46">
        <v>0</v>
      </c>
    </row>
    <row r="6867" spans="13:14" x14ac:dyDescent="0.35">
      <c r="M6867" s="46">
        <v>0.38466345155067516</v>
      </c>
      <c r="N6867" s="46">
        <v>0</v>
      </c>
    </row>
    <row r="6868" spans="13:14" x14ac:dyDescent="0.35">
      <c r="M6868" s="46">
        <v>0.408450957115299</v>
      </c>
      <c r="N6868" s="46">
        <v>0</v>
      </c>
    </row>
    <row r="6869" spans="13:14" x14ac:dyDescent="0.35">
      <c r="M6869" s="46">
        <v>0.42932156106247216</v>
      </c>
      <c r="N6869" s="46">
        <v>0</v>
      </c>
    </row>
    <row r="6870" spans="13:14" x14ac:dyDescent="0.35">
      <c r="M6870" s="46">
        <v>0.44331629321857841</v>
      </c>
      <c r="N6870" s="46">
        <v>0</v>
      </c>
    </row>
    <row r="6871" spans="13:14" x14ac:dyDescent="0.35">
      <c r="M6871" s="46">
        <v>0.45345073453034579</v>
      </c>
      <c r="N6871" s="46">
        <v>0</v>
      </c>
    </row>
    <row r="6872" spans="13:14" x14ac:dyDescent="0.35">
      <c r="M6872" s="46">
        <v>0.46220603947173172</v>
      </c>
      <c r="N6872" s="46">
        <v>0</v>
      </c>
    </row>
    <row r="6873" spans="13:14" x14ac:dyDescent="0.35">
      <c r="M6873" s="46">
        <v>0.46386400059355987</v>
      </c>
      <c r="N6873" s="46">
        <v>0</v>
      </c>
    </row>
    <row r="6874" spans="13:14" x14ac:dyDescent="0.35">
      <c r="M6874" s="46">
        <v>0.51065150615818367</v>
      </c>
      <c r="N6874" s="46">
        <v>0</v>
      </c>
    </row>
    <row r="6875" spans="13:14" x14ac:dyDescent="0.35">
      <c r="M6875" s="46">
        <v>0.61606395607656916</v>
      </c>
      <c r="N6875" s="46">
        <v>0</v>
      </c>
    </row>
    <row r="6876" spans="13:14" x14ac:dyDescent="0.35">
      <c r="M6876" s="46">
        <v>0.70360936340703362</v>
      </c>
      <c r="N6876" s="46">
        <v>0</v>
      </c>
    </row>
    <row r="6877" spans="13:14" x14ac:dyDescent="0.35">
      <c r="M6877" s="46">
        <v>0.757359771479448</v>
      </c>
      <c r="N6877" s="46">
        <v>0</v>
      </c>
    </row>
    <row r="6878" spans="13:14" x14ac:dyDescent="0.35">
      <c r="M6878" s="46">
        <v>0.7611737646535095</v>
      </c>
      <c r="N6878" s="46">
        <v>0</v>
      </c>
    </row>
    <row r="6879" spans="13:14" x14ac:dyDescent="0.35">
      <c r="M6879" s="46">
        <v>0.73932912895088287</v>
      </c>
      <c r="N6879" s="46">
        <v>0</v>
      </c>
    </row>
    <row r="6880" spans="13:14" x14ac:dyDescent="0.35">
      <c r="M6880" s="46">
        <v>0.68060439234307757</v>
      </c>
      <c r="N6880" s="46">
        <v>0</v>
      </c>
    </row>
    <row r="6881" spans="13:14" x14ac:dyDescent="0.35">
      <c r="M6881" s="46">
        <v>0.63186949102240686</v>
      </c>
      <c r="N6881" s="46">
        <v>0</v>
      </c>
    </row>
    <row r="6882" spans="13:14" x14ac:dyDescent="0.35">
      <c r="M6882" s="46">
        <v>0.55610580204778159</v>
      </c>
      <c r="N6882" s="46">
        <v>0</v>
      </c>
    </row>
    <row r="6883" spans="13:14" x14ac:dyDescent="0.35">
      <c r="M6883" s="46">
        <v>0.46423341742098234</v>
      </c>
      <c r="N6883" s="46">
        <v>0</v>
      </c>
    </row>
    <row r="6884" spans="13:14" x14ac:dyDescent="0.35">
      <c r="M6884" s="46">
        <v>0.38671605579462826</v>
      </c>
      <c r="N6884" s="46">
        <v>0</v>
      </c>
    </row>
    <row r="6885" spans="13:14" x14ac:dyDescent="0.35">
      <c r="M6885" s="46">
        <v>0.37720129099272887</v>
      </c>
      <c r="N6885" s="46">
        <v>0</v>
      </c>
    </row>
    <row r="6886" spans="13:14" x14ac:dyDescent="0.35">
      <c r="M6886" s="46">
        <v>0.37489427214720283</v>
      </c>
      <c r="N6886" s="46">
        <v>0</v>
      </c>
    </row>
    <row r="6887" spans="13:14" x14ac:dyDescent="0.35">
      <c r="M6887" s="46">
        <v>0.36178572488499777</v>
      </c>
      <c r="N6887" s="46">
        <v>0</v>
      </c>
    </row>
    <row r="6888" spans="13:14" x14ac:dyDescent="0.35">
      <c r="M6888" s="46">
        <v>0.33516070633625167</v>
      </c>
      <c r="N6888" s="46">
        <v>0</v>
      </c>
    </row>
    <row r="6889" spans="13:14" x14ac:dyDescent="0.35">
      <c r="M6889" s="46">
        <v>0.31445273779492511</v>
      </c>
      <c r="N6889" s="46">
        <v>0</v>
      </c>
    </row>
    <row r="6890" spans="13:14" x14ac:dyDescent="0.35">
      <c r="M6890" s="46">
        <v>0.30999198694168273</v>
      </c>
      <c r="N6890" s="46">
        <v>0</v>
      </c>
    </row>
    <row r="6891" spans="13:14" x14ac:dyDescent="0.35">
      <c r="M6891" s="46">
        <v>0.29742921798486421</v>
      </c>
      <c r="N6891" s="46">
        <v>0</v>
      </c>
    </row>
    <row r="6892" spans="13:14" x14ac:dyDescent="0.35">
      <c r="M6892" s="46">
        <v>0.28956299154177179</v>
      </c>
      <c r="N6892" s="46">
        <v>0</v>
      </c>
    </row>
    <row r="6893" spans="13:14" x14ac:dyDescent="0.35">
      <c r="M6893" s="46">
        <v>0.28432846119602317</v>
      </c>
      <c r="N6893" s="46">
        <v>0</v>
      </c>
    </row>
    <row r="6894" spans="13:14" x14ac:dyDescent="0.35">
      <c r="M6894" s="46">
        <v>0.27582371271702033</v>
      </c>
      <c r="N6894" s="46">
        <v>0</v>
      </c>
    </row>
    <row r="6895" spans="13:14" x14ac:dyDescent="0.35">
      <c r="M6895" s="46">
        <v>0.26992387594598605</v>
      </c>
      <c r="N6895" s="46">
        <v>0</v>
      </c>
    </row>
    <row r="6896" spans="13:14" x14ac:dyDescent="0.35">
      <c r="M6896" s="46">
        <v>0.25822132363852202</v>
      </c>
      <c r="N6896" s="46">
        <v>0</v>
      </c>
    </row>
    <row r="6897" spans="13:14" x14ac:dyDescent="0.35">
      <c r="M6897" s="46">
        <v>0.24561878617005489</v>
      </c>
      <c r="N6897" s="46">
        <v>0</v>
      </c>
    </row>
    <row r="6898" spans="13:14" x14ac:dyDescent="0.35">
      <c r="M6898" s="46">
        <v>0.27914468021961714</v>
      </c>
      <c r="N6898" s="46">
        <v>0</v>
      </c>
    </row>
    <row r="6899" spans="13:14" x14ac:dyDescent="0.35">
      <c r="M6899" s="46">
        <v>0.39424788544294403</v>
      </c>
      <c r="N6899" s="46">
        <v>0</v>
      </c>
    </row>
    <row r="6900" spans="13:14" x14ac:dyDescent="0.35">
      <c r="M6900" s="46">
        <v>0.51432987090072713</v>
      </c>
      <c r="N6900" s="46">
        <v>0</v>
      </c>
    </row>
    <row r="6901" spans="13:14" x14ac:dyDescent="0.35">
      <c r="M6901" s="46">
        <v>0.61323519810060834</v>
      </c>
      <c r="N6901" s="46">
        <v>0</v>
      </c>
    </row>
    <row r="6902" spans="13:14" x14ac:dyDescent="0.35">
      <c r="M6902" s="46">
        <v>0.66860914082208034</v>
      </c>
      <c r="N6902" s="46">
        <v>0</v>
      </c>
    </row>
    <row r="6903" spans="13:14" x14ac:dyDescent="0.35">
      <c r="M6903" s="46">
        <v>0.68842031458673392</v>
      </c>
      <c r="N6903" s="46">
        <v>0</v>
      </c>
    </row>
    <row r="6904" spans="13:14" x14ac:dyDescent="0.35">
      <c r="M6904" s="46">
        <v>0.66892038878171844</v>
      </c>
      <c r="N6904" s="46">
        <v>0</v>
      </c>
    </row>
    <row r="6905" spans="13:14" x14ac:dyDescent="0.35">
      <c r="M6905" s="46">
        <v>0.61180783499035463</v>
      </c>
      <c r="N6905" s="46">
        <v>0</v>
      </c>
    </row>
    <row r="6906" spans="13:14" x14ac:dyDescent="0.35">
      <c r="M6906" s="46">
        <v>0.51709867932927733</v>
      </c>
      <c r="N6906" s="46">
        <v>0</v>
      </c>
    </row>
    <row r="6907" spans="13:14" x14ac:dyDescent="0.35">
      <c r="M6907" s="46">
        <v>0.40506536578127317</v>
      </c>
      <c r="N6907" s="46">
        <v>0</v>
      </c>
    </row>
    <row r="6908" spans="13:14" x14ac:dyDescent="0.35">
      <c r="M6908" s="46">
        <v>0.31516990651431959</v>
      </c>
      <c r="N6908" s="46">
        <v>0</v>
      </c>
    </row>
    <row r="6909" spans="13:14" x14ac:dyDescent="0.35">
      <c r="M6909" s="46">
        <v>0.320856581095118</v>
      </c>
      <c r="N6909" s="46">
        <v>0</v>
      </c>
    </row>
    <row r="6910" spans="13:14" x14ac:dyDescent="0.35">
      <c r="M6910" s="46">
        <v>0.34112687342335657</v>
      </c>
      <c r="N6910" s="46">
        <v>0</v>
      </c>
    </row>
    <row r="6911" spans="13:14" x14ac:dyDescent="0.35">
      <c r="M6911" s="46">
        <v>0.3343604392343078</v>
      </c>
      <c r="N6911" s="46">
        <v>0</v>
      </c>
    </row>
    <row r="6912" spans="13:14" x14ac:dyDescent="0.35">
      <c r="M6912" s="46">
        <v>0.28579284760350204</v>
      </c>
      <c r="N6912" s="46">
        <v>0</v>
      </c>
    </row>
    <row r="6913" spans="13:14" x14ac:dyDescent="0.35">
      <c r="M6913" s="46">
        <v>0.25726940198842557</v>
      </c>
      <c r="N6913" s="46">
        <v>0</v>
      </c>
    </row>
    <row r="6914" spans="13:14" x14ac:dyDescent="0.35">
      <c r="M6914" s="46">
        <v>0.23364178661522481</v>
      </c>
      <c r="N6914" s="46">
        <v>0</v>
      </c>
    </row>
    <row r="6915" spans="13:14" x14ac:dyDescent="0.35">
      <c r="M6915" s="46">
        <v>0.20563778008606617</v>
      </c>
      <c r="N6915" s="46">
        <v>0</v>
      </c>
    </row>
    <row r="6916" spans="13:14" x14ac:dyDescent="0.35">
      <c r="M6916" s="46">
        <v>0.18716753227481819</v>
      </c>
      <c r="N6916" s="46">
        <v>0</v>
      </c>
    </row>
    <row r="6917" spans="13:14" x14ac:dyDescent="0.35">
      <c r="M6917" s="46">
        <v>0.1672191719839739</v>
      </c>
      <c r="N6917" s="46">
        <v>0</v>
      </c>
    </row>
    <row r="6918" spans="13:14" x14ac:dyDescent="0.35">
      <c r="M6918" s="46">
        <v>0.15050912598308352</v>
      </c>
      <c r="N6918" s="46">
        <v>0</v>
      </c>
    </row>
    <row r="6919" spans="13:14" x14ac:dyDescent="0.35">
      <c r="M6919" s="46">
        <v>0.13779188306870457</v>
      </c>
      <c r="N6919" s="46">
        <v>0</v>
      </c>
    </row>
    <row r="6920" spans="13:14" x14ac:dyDescent="0.35">
      <c r="M6920" s="46">
        <v>0.12961648612553792</v>
      </c>
      <c r="N6920" s="46">
        <v>0</v>
      </c>
    </row>
    <row r="6921" spans="13:14" x14ac:dyDescent="0.35">
      <c r="M6921" s="46">
        <v>0.12149042884700995</v>
      </c>
      <c r="N6921" s="46">
        <v>0</v>
      </c>
    </row>
    <row r="6922" spans="13:14" x14ac:dyDescent="0.35">
      <c r="M6922" s="46">
        <v>0.17788566552901025</v>
      </c>
      <c r="N6922" s="46">
        <v>0</v>
      </c>
    </row>
    <row r="6923" spans="13:14" x14ac:dyDescent="0.35">
      <c r="M6923" s="46">
        <v>0.32249606766582578</v>
      </c>
      <c r="N6923" s="46">
        <v>0</v>
      </c>
    </row>
    <row r="6924" spans="13:14" x14ac:dyDescent="0.35">
      <c r="M6924" s="46">
        <v>0.46098330612850569</v>
      </c>
      <c r="N6924" s="46">
        <v>0</v>
      </c>
    </row>
    <row r="6925" spans="13:14" x14ac:dyDescent="0.35">
      <c r="M6925" s="46">
        <v>0.55619120047484794</v>
      </c>
      <c r="N6925" s="46">
        <v>0</v>
      </c>
    </row>
    <row r="6926" spans="13:14" x14ac:dyDescent="0.35">
      <c r="M6926" s="46">
        <v>0.61145644754414596</v>
      </c>
      <c r="N6926" s="46">
        <v>0</v>
      </c>
    </row>
    <row r="6927" spans="13:14" x14ac:dyDescent="0.35">
      <c r="M6927" s="46">
        <v>0.61677021813325417</v>
      </c>
      <c r="N6927" s="46">
        <v>0</v>
      </c>
    </row>
    <row r="6928" spans="13:14" x14ac:dyDescent="0.35">
      <c r="M6928" s="46">
        <v>0.57480694465054161</v>
      </c>
      <c r="N6928" s="46">
        <v>0</v>
      </c>
    </row>
    <row r="6929" spans="13:14" x14ac:dyDescent="0.35">
      <c r="M6929" s="46">
        <v>0.49071049117079685</v>
      </c>
      <c r="N6929" s="46">
        <v>0</v>
      </c>
    </row>
    <row r="6930" spans="13:14" x14ac:dyDescent="0.35">
      <c r="M6930" s="46">
        <v>0.36903806202700701</v>
      </c>
      <c r="N6930" s="46">
        <v>0</v>
      </c>
    </row>
    <row r="6931" spans="13:14" x14ac:dyDescent="0.35">
      <c r="M6931" s="46">
        <v>0.21870195874758866</v>
      </c>
      <c r="N6931" s="46">
        <v>0</v>
      </c>
    </row>
    <row r="6932" spans="13:14" x14ac:dyDescent="0.35">
      <c r="M6932" s="46">
        <v>9.8638447840925958E-2</v>
      </c>
      <c r="N6932" s="46">
        <v>0</v>
      </c>
    </row>
    <row r="6933" spans="13:14" x14ac:dyDescent="0.35">
      <c r="M6933" s="46">
        <v>8.351736162635405E-2</v>
      </c>
      <c r="N6933" s="46">
        <v>0</v>
      </c>
    </row>
    <row r="6934" spans="13:14" x14ac:dyDescent="0.35">
      <c r="M6934" s="46">
        <v>8.5646089924321114E-2</v>
      </c>
      <c r="N6934" s="46">
        <v>0</v>
      </c>
    </row>
    <row r="6935" spans="13:14" x14ac:dyDescent="0.35">
      <c r="M6935" s="46">
        <v>7.4307834990354649E-2</v>
      </c>
      <c r="N6935" s="46">
        <v>0</v>
      </c>
    </row>
    <row r="6936" spans="13:14" x14ac:dyDescent="0.35">
      <c r="M6936" s="46">
        <v>5.380004451699065E-2</v>
      </c>
      <c r="N6936" s="46">
        <v>0</v>
      </c>
    </row>
    <row r="6937" spans="13:14" x14ac:dyDescent="0.35">
      <c r="M6937" s="46">
        <v>4.1757085621012019E-2</v>
      </c>
      <c r="N6937" s="46">
        <v>0</v>
      </c>
    </row>
    <row r="6938" spans="13:14" x14ac:dyDescent="0.35">
      <c r="M6938" s="46">
        <v>3.1875945986051347E-2</v>
      </c>
      <c r="N6938" s="46">
        <v>0</v>
      </c>
    </row>
    <row r="6939" spans="13:14" x14ac:dyDescent="0.35">
      <c r="M6939" s="46">
        <v>2.4431295444427958E-2</v>
      </c>
      <c r="N6939" s="46">
        <v>0</v>
      </c>
    </row>
    <row r="6940" spans="13:14" x14ac:dyDescent="0.35">
      <c r="M6940" s="46">
        <v>2.0654622347529305E-2</v>
      </c>
      <c r="N6940" s="46">
        <v>0</v>
      </c>
    </row>
    <row r="6941" spans="13:14" x14ac:dyDescent="0.35">
      <c r="M6941" s="46">
        <v>1.9073749814512542E-2</v>
      </c>
      <c r="N6941" s="46">
        <v>0</v>
      </c>
    </row>
    <row r="6942" spans="13:14" x14ac:dyDescent="0.35">
      <c r="M6942" s="46">
        <v>1.7200994212791216E-2</v>
      </c>
      <c r="N6942" s="46">
        <v>0</v>
      </c>
    </row>
    <row r="6943" spans="13:14" x14ac:dyDescent="0.35">
      <c r="M6943" s="46">
        <v>1.5647796408962755E-2</v>
      </c>
      <c r="N6943" s="46">
        <v>0</v>
      </c>
    </row>
    <row r="6944" spans="13:14" x14ac:dyDescent="0.35">
      <c r="M6944" s="46">
        <v>1.3189197210268587E-2</v>
      </c>
      <c r="N6944" s="46">
        <v>0</v>
      </c>
    </row>
    <row r="6945" spans="13:14" x14ac:dyDescent="0.35">
      <c r="M6945" s="46">
        <v>1.111834100014839E-2</v>
      </c>
      <c r="N6945" s="46">
        <v>0</v>
      </c>
    </row>
    <row r="6946" spans="13:14" x14ac:dyDescent="0.35">
      <c r="M6946" s="46">
        <v>6.2126650838403324E-2</v>
      </c>
      <c r="N6946" s="46">
        <v>0</v>
      </c>
    </row>
    <row r="6947" spans="13:14" x14ac:dyDescent="0.35">
      <c r="M6947" s="46">
        <v>0.17975063065736757</v>
      </c>
      <c r="N6947" s="46">
        <v>0</v>
      </c>
    </row>
    <row r="6948" spans="13:14" x14ac:dyDescent="0.35">
      <c r="M6948" s="46">
        <v>0.29714712865410298</v>
      </c>
      <c r="N6948" s="46">
        <v>0</v>
      </c>
    </row>
    <row r="6949" spans="13:14" x14ac:dyDescent="0.35">
      <c r="M6949" s="46">
        <v>0.38242439531087696</v>
      </c>
      <c r="N6949" s="46">
        <v>0</v>
      </c>
    </row>
    <row r="6950" spans="13:14" x14ac:dyDescent="0.35">
      <c r="M6950" s="46">
        <v>0.41931584804867189</v>
      </c>
      <c r="N6950" s="46">
        <v>0</v>
      </c>
    </row>
    <row r="6951" spans="13:14" x14ac:dyDescent="0.35">
      <c r="M6951" s="46">
        <v>0.40840376910520854</v>
      </c>
      <c r="N6951" s="46">
        <v>0</v>
      </c>
    </row>
    <row r="6952" spans="13:14" x14ac:dyDescent="0.35">
      <c r="M6952" s="46">
        <v>0.36048427066330319</v>
      </c>
      <c r="N6952" s="46">
        <v>0</v>
      </c>
    </row>
    <row r="6953" spans="13:14" x14ac:dyDescent="0.35">
      <c r="M6953" s="46">
        <v>0.27190755304941389</v>
      </c>
      <c r="N6953" s="46">
        <v>0</v>
      </c>
    </row>
    <row r="6954" spans="13:14" x14ac:dyDescent="0.35">
      <c r="M6954" s="46">
        <v>0.16912405401394867</v>
      </c>
      <c r="N6954" s="46">
        <v>0</v>
      </c>
    </row>
    <row r="6955" spans="13:14" x14ac:dyDescent="0.35">
      <c r="M6955" s="46">
        <v>7.4999332245140229E-2</v>
      </c>
      <c r="N6955" s="46">
        <v>0</v>
      </c>
    </row>
    <row r="6956" spans="13:14" x14ac:dyDescent="0.35">
      <c r="M6956" s="46">
        <v>2.1791141118860366E-2</v>
      </c>
      <c r="N6956" s="46">
        <v>0</v>
      </c>
    </row>
    <row r="6957" spans="13:14" x14ac:dyDescent="0.35">
      <c r="M6957" s="46">
        <v>1.0775485977147945E-2</v>
      </c>
      <c r="N6957" s="46">
        <v>0</v>
      </c>
    </row>
    <row r="6958" spans="13:14" x14ac:dyDescent="0.35">
      <c r="M6958" s="46">
        <v>1.1799079982193202E-2</v>
      </c>
      <c r="N6958" s="46">
        <v>0</v>
      </c>
    </row>
    <row r="6959" spans="13:14" x14ac:dyDescent="0.35">
      <c r="M6959" s="46">
        <v>1.155408814364149E-2</v>
      </c>
      <c r="N6959" s="46">
        <v>0</v>
      </c>
    </row>
    <row r="6960" spans="13:14" x14ac:dyDescent="0.35">
      <c r="M6960" s="46">
        <v>1.415128357323045E-2</v>
      </c>
      <c r="N6960" s="46">
        <v>0</v>
      </c>
    </row>
    <row r="6961" spans="13:14" x14ac:dyDescent="0.35">
      <c r="M6961" s="46">
        <v>1.9914749962902507E-2</v>
      </c>
      <c r="N6961" s="46">
        <v>0</v>
      </c>
    </row>
    <row r="6962" spans="13:14" x14ac:dyDescent="0.35">
      <c r="M6962" s="46">
        <v>2.9242320819112627E-2</v>
      </c>
      <c r="N6962" s="46">
        <v>0</v>
      </c>
    </row>
    <row r="6963" spans="13:14" x14ac:dyDescent="0.35">
      <c r="M6963" s="46">
        <v>4.4980338329128948E-2</v>
      </c>
      <c r="N6963" s="46">
        <v>0</v>
      </c>
    </row>
    <row r="6964" spans="13:14" x14ac:dyDescent="0.35">
      <c r="M6964" s="46">
        <v>6.0930553494583761E-2</v>
      </c>
      <c r="N6964" s="46">
        <v>0</v>
      </c>
    </row>
    <row r="6965" spans="13:14" x14ac:dyDescent="0.35">
      <c r="M6965" s="46">
        <v>6.7888336548449321E-2</v>
      </c>
      <c r="N6965" s="46">
        <v>0</v>
      </c>
    </row>
    <row r="6966" spans="13:14" x14ac:dyDescent="0.35">
      <c r="M6966" s="46">
        <v>6.6462457337883959E-2</v>
      </c>
      <c r="N6966" s="46">
        <v>0</v>
      </c>
    </row>
    <row r="6967" spans="13:14" x14ac:dyDescent="0.35">
      <c r="M6967" s="46">
        <v>6.0868749072562699E-2</v>
      </c>
      <c r="N6967" s="46">
        <v>0</v>
      </c>
    </row>
    <row r="6968" spans="13:14" x14ac:dyDescent="0.35">
      <c r="M6968" s="46">
        <v>6.0396646386704257E-2</v>
      </c>
      <c r="N6968" s="46">
        <v>0</v>
      </c>
    </row>
    <row r="6969" spans="13:14" x14ac:dyDescent="0.35">
      <c r="M6969" s="46">
        <v>6.6012835732304501E-2</v>
      </c>
      <c r="N6969" s="46">
        <v>0</v>
      </c>
    </row>
    <row r="6970" spans="13:14" x14ac:dyDescent="0.35">
      <c r="M6970" s="46">
        <v>0.1167604985902953</v>
      </c>
      <c r="N6970" s="46">
        <v>0</v>
      </c>
    </row>
    <row r="6971" spans="13:14" x14ac:dyDescent="0.35">
      <c r="M6971" s="46">
        <v>0.24491883068704556</v>
      </c>
      <c r="N6971" s="46">
        <v>0</v>
      </c>
    </row>
    <row r="6972" spans="13:14" x14ac:dyDescent="0.35">
      <c r="M6972" s="46">
        <v>0.39808680813177028</v>
      </c>
      <c r="N6972" s="46">
        <v>0</v>
      </c>
    </row>
    <row r="6973" spans="13:14" x14ac:dyDescent="0.35">
      <c r="M6973" s="46">
        <v>0.53640117228075379</v>
      </c>
      <c r="N6973" s="46">
        <v>0</v>
      </c>
    </row>
    <row r="6974" spans="13:14" x14ac:dyDescent="0.35">
      <c r="M6974" s="46">
        <v>0.61382185784240983</v>
      </c>
      <c r="N6974" s="46">
        <v>0</v>
      </c>
    </row>
    <row r="6975" spans="13:14" x14ac:dyDescent="0.35">
      <c r="M6975" s="46">
        <v>0.64002270366523228</v>
      </c>
      <c r="N6975" s="46">
        <v>0</v>
      </c>
    </row>
    <row r="6976" spans="13:14" x14ac:dyDescent="0.35">
      <c r="M6976" s="46">
        <v>0.61031963199287731</v>
      </c>
      <c r="N6976" s="46">
        <v>0</v>
      </c>
    </row>
    <row r="6977" spans="13:14" x14ac:dyDescent="0.35">
      <c r="M6977" s="46">
        <v>0.49773920462976706</v>
      </c>
      <c r="N6977" s="46">
        <v>0</v>
      </c>
    </row>
    <row r="6978" spans="13:14" x14ac:dyDescent="0.35">
      <c r="M6978" s="46">
        <v>0.3640576495028936</v>
      </c>
      <c r="N6978" s="46">
        <v>0</v>
      </c>
    </row>
    <row r="6979" spans="13:14" x14ac:dyDescent="0.35">
      <c r="M6979" s="46">
        <v>0.24107226591482417</v>
      </c>
      <c r="N6979" s="46">
        <v>0</v>
      </c>
    </row>
    <row r="6980" spans="13:14" x14ac:dyDescent="0.35">
      <c r="M6980" s="46">
        <v>0.17599680961566999</v>
      </c>
      <c r="N6980" s="46">
        <v>0</v>
      </c>
    </row>
    <row r="6981" spans="13:14" x14ac:dyDescent="0.35">
      <c r="M6981" s="46">
        <v>0.18728646683484196</v>
      </c>
      <c r="N6981" s="46">
        <v>0</v>
      </c>
    </row>
    <row r="6982" spans="13:14" x14ac:dyDescent="0.35">
      <c r="M6982" s="46">
        <v>0.22711566998070931</v>
      </c>
      <c r="N6982" s="46">
        <v>0</v>
      </c>
    </row>
    <row r="6983" spans="13:14" x14ac:dyDescent="0.35">
      <c r="M6983" s="46">
        <v>0.2804585991986942</v>
      </c>
      <c r="N6983" s="46">
        <v>0</v>
      </c>
    </row>
    <row r="6984" spans="13:14" x14ac:dyDescent="0.35">
      <c r="M6984" s="46">
        <v>0.31125263392194691</v>
      </c>
      <c r="N6984" s="46">
        <v>0</v>
      </c>
    </row>
    <row r="6985" spans="13:14" x14ac:dyDescent="0.35">
      <c r="M6985" s="46">
        <v>0.35504466538062029</v>
      </c>
      <c r="N6985" s="46">
        <v>0</v>
      </c>
    </row>
    <row r="6986" spans="13:14" x14ac:dyDescent="0.35">
      <c r="M6986" s="46">
        <v>0.4054994806351091</v>
      </c>
      <c r="N6986" s="46">
        <v>0</v>
      </c>
    </row>
    <row r="6987" spans="13:14" x14ac:dyDescent="0.35">
      <c r="M6987" s="46">
        <v>0.44659578572488501</v>
      </c>
      <c r="N6987" s="46">
        <v>0</v>
      </c>
    </row>
    <row r="6988" spans="13:14" x14ac:dyDescent="0.35">
      <c r="M6988" s="46">
        <v>0.47216805163970915</v>
      </c>
      <c r="N6988" s="46">
        <v>0</v>
      </c>
    </row>
    <row r="6989" spans="13:14" x14ac:dyDescent="0.35">
      <c r="M6989" s="46">
        <v>0.50161626354058464</v>
      </c>
      <c r="N6989" s="46">
        <v>0</v>
      </c>
    </row>
    <row r="6990" spans="13:14" x14ac:dyDescent="0.35">
      <c r="M6990" s="46">
        <v>0.5239268437453628</v>
      </c>
      <c r="N6990" s="46">
        <v>0</v>
      </c>
    </row>
    <row r="6991" spans="13:14" x14ac:dyDescent="0.35">
      <c r="M6991" s="46">
        <v>0.5364522184300341</v>
      </c>
      <c r="N6991" s="46">
        <v>0</v>
      </c>
    </row>
    <row r="6992" spans="13:14" x14ac:dyDescent="0.35">
      <c r="M6992" s="46">
        <v>0.55621397833506458</v>
      </c>
      <c r="N6992" s="46">
        <v>0</v>
      </c>
    </row>
    <row r="6993" spans="13:14" x14ac:dyDescent="0.35">
      <c r="M6993" s="46">
        <v>0.57411878617005485</v>
      </c>
      <c r="N6993" s="46">
        <v>0</v>
      </c>
    </row>
    <row r="6994" spans="13:14" x14ac:dyDescent="0.35">
      <c r="M6994" s="46">
        <v>0.62912657664341898</v>
      </c>
      <c r="N6994" s="46">
        <v>0</v>
      </c>
    </row>
    <row r="6995" spans="13:14" x14ac:dyDescent="0.35">
      <c r="M6995" s="46">
        <v>0.7431336251669387</v>
      </c>
      <c r="N6995" s="46">
        <v>0</v>
      </c>
    </row>
    <row r="6996" spans="13:14" x14ac:dyDescent="0.35">
      <c r="M6996" s="46">
        <v>0.8632545629915418</v>
      </c>
      <c r="N6996" s="46">
        <v>0</v>
      </c>
    </row>
    <row r="6997" spans="13:14" x14ac:dyDescent="0.35">
      <c r="M6997" s="46">
        <v>0.96542061136667168</v>
      </c>
      <c r="N6997" s="46">
        <v>0</v>
      </c>
    </row>
    <row r="6998" spans="13:14" x14ac:dyDescent="0.35">
      <c r="M6998" s="46">
        <v>1</v>
      </c>
      <c r="N6998" s="46">
        <v>8.9389658426343079E-3</v>
      </c>
    </row>
    <row r="6999" spans="13:14" x14ac:dyDescent="0.35">
      <c r="M6999" s="46">
        <v>0.9953890784982935</v>
      </c>
      <c r="N6999" s="46">
        <v>0</v>
      </c>
    </row>
    <row r="7000" spans="13:14" x14ac:dyDescent="0.35">
      <c r="M7000" s="46">
        <v>0.95251068407775641</v>
      </c>
      <c r="N7000" s="46">
        <v>0</v>
      </c>
    </row>
    <row r="7001" spans="13:14" x14ac:dyDescent="0.35">
      <c r="M7001" s="46">
        <v>0.88067532274818228</v>
      </c>
      <c r="N7001" s="46">
        <v>0</v>
      </c>
    </row>
    <row r="7002" spans="13:14" x14ac:dyDescent="0.35">
      <c r="M7002" s="46">
        <v>0.79261084730672204</v>
      </c>
      <c r="N7002" s="46">
        <v>0</v>
      </c>
    </row>
    <row r="7003" spans="13:14" x14ac:dyDescent="0.35">
      <c r="M7003" s="46">
        <v>0.70829062175396951</v>
      </c>
      <c r="N7003" s="46">
        <v>0</v>
      </c>
    </row>
    <row r="7004" spans="13:14" x14ac:dyDescent="0.35">
      <c r="M7004" s="46">
        <v>0.65565432556759162</v>
      </c>
      <c r="N7004" s="46">
        <v>0</v>
      </c>
    </row>
    <row r="7005" spans="13:14" x14ac:dyDescent="0.35">
      <c r="M7005" s="46">
        <v>0.64828795073453038</v>
      </c>
      <c r="N7005" s="46">
        <v>0</v>
      </c>
    </row>
    <row r="7006" spans="13:14" x14ac:dyDescent="0.35">
      <c r="M7006" s="46">
        <v>0.65212620566849677</v>
      </c>
      <c r="N7006" s="46">
        <v>0</v>
      </c>
    </row>
    <row r="7007" spans="13:14" x14ac:dyDescent="0.35">
      <c r="M7007" s="46">
        <v>0.65349873868526487</v>
      </c>
      <c r="N7007" s="46">
        <v>0</v>
      </c>
    </row>
    <row r="7008" spans="13:14" x14ac:dyDescent="0.35">
      <c r="M7008" s="46">
        <v>0.65446342187268147</v>
      </c>
      <c r="N7008" s="46">
        <v>0</v>
      </c>
    </row>
    <row r="7009" spans="13:14" x14ac:dyDescent="0.35">
      <c r="M7009" s="46">
        <v>0.65761225701142612</v>
      </c>
      <c r="N7009" s="46">
        <v>0</v>
      </c>
    </row>
    <row r="7010" spans="13:14" x14ac:dyDescent="0.35">
      <c r="M7010" s="46">
        <v>0.65823594005045261</v>
      </c>
      <c r="N7010" s="46">
        <v>0</v>
      </c>
    </row>
    <row r="7011" spans="13:14" x14ac:dyDescent="0.35">
      <c r="M7011" s="46">
        <v>0.65197981896423807</v>
      </c>
      <c r="N7011" s="46">
        <v>0</v>
      </c>
    </row>
    <row r="7012" spans="13:14" x14ac:dyDescent="0.35">
      <c r="M7012" s="46">
        <v>0.65230175100163224</v>
      </c>
      <c r="N7012" s="46">
        <v>0</v>
      </c>
    </row>
    <row r="7013" spans="13:14" x14ac:dyDescent="0.35">
      <c r="M7013" s="46">
        <v>0.64556009793737945</v>
      </c>
      <c r="N7013" s="46">
        <v>0</v>
      </c>
    </row>
    <row r="7014" spans="13:14" x14ac:dyDescent="0.35">
      <c r="M7014" s="46">
        <v>0.63454362665083841</v>
      </c>
      <c r="N7014" s="46">
        <v>0</v>
      </c>
    </row>
    <row r="7015" spans="13:14" x14ac:dyDescent="0.35">
      <c r="M7015" s="46">
        <v>0.6134009496958005</v>
      </c>
      <c r="N7015" s="46">
        <v>0</v>
      </c>
    </row>
    <row r="7016" spans="13:14" x14ac:dyDescent="0.35">
      <c r="M7016" s="46">
        <v>0.57762947024781119</v>
      </c>
      <c r="N7016" s="46">
        <v>0</v>
      </c>
    </row>
    <row r="7017" spans="13:14" x14ac:dyDescent="0.35">
      <c r="M7017" s="46">
        <v>0.54392684374536282</v>
      </c>
      <c r="N7017" s="46">
        <v>0</v>
      </c>
    </row>
    <row r="7018" spans="13:14" x14ac:dyDescent="0.35">
      <c r="M7018" s="46">
        <v>0.53734945837661374</v>
      </c>
      <c r="N7018" s="46">
        <v>0</v>
      </c>
    </row>
    <row r="7019" spans="13:14" x14ac:dyDescent="0.35">
      <c r="M7019" s="46">
        <v>0.58300934856803677</v>
      </c>
      <c r="N7019" s="46">
        <v>0</v>
      </c>
    </row>
    <row r="7020" spans="13:14" x14ac:dyDescent="0.35">
      <c r="M7020" s="46">
        <v>0.63610669238759454</v>
      </c>
      <c r="N7020" s="46">
        <v>0</v>
      </c>
    </row>
    <row r="7021" spans="13:14" x14ac:dyDescent="0.35">
      <c r="M7021" s="46">
        <v>0.69556447544146005</v>
      </c>
      <c r="N7021" s="46">
        <v>0</v>
      </c>
    </row>
    <row r="7022" spans="13:14" x14ac:dyDescent="0.35">
      <c r="M7022" s="46">
        <v>0.74703539100756788</v>
      </c>
      <c r="N7022" s="46">
        <v>0</v>
      </c>
    </row>
    <row r="7023" spans="13:14" x14ac:dyDescent="0.35">
      <c r="M7023" s="46">
        <v>0.77663065736756198</v>
      </c>
      <c r="N7023" s="46">
        <v>0</v>
      </c>
    </row>
    <row r="7024" spans="13:14" x14ac:dyDescent="0.35">
      <c r="M7024" s="46">
        <v>0.76224217242914383</v>
      </c>
      <c r="N7024" s="46">
        <v>0</v>
      </c>
    </row>
    <row r="7025" spans="13:14" x14ac:dyDescent="0.35">
      <c r="M7025" s="46">
        <v>0.69113466389672051</v>
      </c>
      <c r="N7025" s="46">
        <v>0</v>
      </c>
    </row>
    <row r="7026" spans="13:14" x14ac:dyDescent="0.35">
      <c r="M7026" s="46">
        <v>0.59956032052233266</v>
      </c>
      <c r="N7026" s="46">
        <v>0</v>
      </c>
    </row>
    <row r="7027" spans="13:14" x14ac:dyDescent="0.35">
      <c r="M7027" s="46">
        <v>0.52100749369342636</v>
      </c>
      <c r="N7027" s="46">
        <v>0</v>
      </c>
    </row>
    <row r="7028" spans="13:14" x14ac:dyDescent="0.35">
      <c r="M7028" s="46">
        <v>0.49404422021071376</v>
      </c>
      <c r="N7028" s="46">
        <v>0</v>
      </c>
    </row>
    <row r="7029" spans="13:14" x14ac:dyDescent="0.35">
      <c r="M7029" s="46">
        <v>0.52616515803531683</v>
      </c>
      <c r="N7029" s="46">
        <v>0</v>
      </c>
    </row>
    <row r="7030" spans="13:14" x14ac:dyDescent="0.35">
      <c r="M7030" s="46">
        <v>0.58155876242765991</v>
      </c>
      <c r="N7030" s="46">
        <v>0</v>
      </c>
    </row>
    <row r="7031" spans="13:14" x14ac:dyDescent="0.35">
      <c r="M7031" s="46">
        <v>0.62178216352574556</v>
      </c>
      <c r="N7031" s="46">
        <v>0</v>
      </c>
    </row>
    <row r="7032" spans="13:14" x14ac:dyDescent="0.35">
      <c r="M7032" s="46">
        <v>0.64497937379433146</v>
      </c>
      <c r="N7032" s="46">
        <v>0</v>
      </c>
    </row>
    <row r="7033" spans="13:14" x14ac:dyDescent="0.35">
      <c r="M7033" s="46">
        <v>0.65789375278231199</v>
      </c>
      <c r="N7033" s="46">
        <v>0</v>
      </c>
    </row>
    <row r="7034" spans="13:14" x14ac:dyDescent="0.35">
      <c r="M7034" s="46">
        <v>0.66621961715388045</v>
      </c>
      <c r="N7034" s="46">
        <v>0</v>
      </c>
    </row>
    <row r="7035" spans="13:14" x14ac:dyDescent="0.35">
      <c r="M7035" s="46">
        <v>0.66530286392639848</v>
      </c>
      <c r="N7035" s="46">
        <v>0</v>
      </c>
    </row>
    <row r="7036" spans="13:14" x14ac:dyDescent="0.35">
      <c r="M7036" s="46">
        <v>0.66463548004154926</v>
      </c>
      <c r="N7036" s="46">
        <v>0</v>
      </c>
    </row>
    <row r="7037" spans="13:14" x14ac:dyDescent="0.35">
      <c r="M7037" s="46">
        <v>0.66335813918979081</v>
      </c>
      <c r="N7037" s="46">
        <v>0</v>
      </c>
    </row>
    <row r="7038" spans="13:14" x14ac:dyDescent="0.35">
      <c r="M7038" s="46">
        <v>0.66486043923430771</v>
      </c>
      <c r="N7038" s="46">
        <v>0</v>
      </c>
    </row>
    <row r="7039" spans="13:14" x14ac:dyDescent="0.35">
      <c r="M7039" s="46">
        <v>0.66466085472622061</v>
      </c>
      <c r="N7039" s="46">
        <v>0</v>
      </c>
    </row>
    <row r="7040" spans="13:14" x14ac:dyDescent="0.35">
      <c r="M7040" s="46">
        <v>0.6608302418756492</v>
      </c>
      <c r="N7040" s="46">
        <v>0</v>
      </c>
    </row>
    <row r="7041" spans="13:14" x14ac:dyDescent="0.35">
      <c r="M7041" s="46">
        <v>0.65952366820002961</v>
      </c>
      <c r="N7041" s="46">
        <v>0</v>
      </c>
    </row>
    <row r="7042" spans="13:14" x14ac:dyDescent="0.35">
      <c r="M7042" s="46">
        <v>0.6860112776376317</v>
      </c>
      <c r="N7042" s="46">
        <v>0</v>
      </c>
    </row>
    <row r="7043" spans="13:14" x14ac:dyDescent="0.35">
      <c r="M7043" s="46">
        <v>0.76362576049859021</v>
      </c>
      <c r="N7043" s="46">
        <v>0</v>
      </c>
    </row>
    <row r="7044" spans="13:14" x14ac:dyDescent="0.35">
      <c r="M7044" s="46">
        <v>0.85724031755453334</v>
      </c>
      <c r="N7044" s="46">
        <v>0</v>
      </c>
    </row>
    <row r="7045" spans="13:14" x14ac:dyDescent="0.35">
      <c r="M7045" s="46">
        <v>0.93738232675471145</v>
      </c>
      <c r="N7045" s="46">
        <v>0</v>
      </c>
    </row>
    <row r="7046" spans="13:14" x14ac:dyDescent="0.35">
      <c r="M7046" s="46">
        <v>1</v>
      </c>
      <c r="N7046" s="46">
        <v>3.7248562132757769E-4</v>
      </c>
    </row>
    <row r="7047" spans="13:14" x14ac:dyDescent="0.35">
      <c r="M7047" s="46">
        <v>1</v>
      </c>
      <c r="N7047" s="46">
        <v>3.1828430380374036E-2</v>
      </c>
    </row>
    <row r="7048" spans="13:14" x14ac:dyDescent="0.35">
      <c r="M7048" s="46">
        <v>0.97281362219913936</v>
      </c>
      <c r="N7048" s="46">
        <v>0</v>
      </c>
    </row>
    <row r="7049" spans="13:14" x14ac:dyDescent="0.35">
      <c r="M7049" s="46">
        <v>0.8338291289508829</v>
      </c>
      <c r="N7049" s="46">
        <v>0</v>
      </c>
    </row>
    <row r="7050" spans="13:14" x14ac:dyDescent="0.35">
      <c r="M7050" s="46">
        <v>0.6468102092298561</v>
      </c>
      <c r="N7050" s="46">
        <v>0</v>
      </c>
    </row>
    <row r="7051" spans="13:14" x14ac:dyDescent="0.35">
      <c r="M7051" s="46">
        <v>0.45669008755008161</v>
      </c>
      <c r="N7051" s="46">
        <v>0</v>
      </c>
    </row>
    <row r="7052" spans="13:14" x14ac:dyDescent="0.35">
      <c r="M7052" s="46">
        <v>0.32054332987090073</v>
      </c>
      <c r="N7052" s="46">
        <v>0</v>
      </c>
    </row>
    <row r="7053" spans="13:14" x14ac:dyDescent="0.35">
      <c r="M7053" s="46">
        <v>0.26960149873868527</v>
      </c>
      <c r="N7053" s="46">
        <v>0</v>
      </c>
    </row>
    <row r="7054" spans="13:14" x14ac:dyDescent="0.35">
      <c r="M7054" s="46">
        <v>0.25131421575901469</v>
      </c>
      <c r="N7054" s="46">
        <v>0</v>
      </c>
    </row>
    <row r="7055" spans="13:14" x14ac:dyDescent="0.35">
      <c r="M7055" s="46">
        <v>0.2329572636889746</v>
      </c>
      <c r="N7055" s="46">
        <v>0</v>
      </c>
    </row>
    <row r="7056" spans="13:14" x14ac:dyDescent="0.35">
      <c r="M7056" s="46">
        <v>0.21207768214868675</v>
      </c>
      <c r="N7056" s="46">
        <v>0</v>
      </c>
    </row>
    <row r="7057" spans="13:14" x14ac:dyDescent="0.35">
      <c r="M7057" s="46">
        <v>0.21002433595488945</v>
      </c>
      <c r="N7057" s="46">
        <v>0</v>
      </c>
    </row>
    <row r="7058" spans="13:14" x14ac:dyDescent="0.35">
      <c r="M7058" s="46">
        <v>0.22994665380620269</v>
      </c>
      <c r="N7058" s="46">
        <v>0</v>
      </c>
    </row>
    <row r="7059" spans="13:14" x14ac:dyDescent="0.35">
      <c r="M7059" s="46">
        <v>0.24576294702478113</v>
      </c>
      <c r="N7059" s="46">
        <v>0</v>
      </c>
    </row>
    <row r="7060" spans="13:14" x14ac:dyDescent="0.35">
      <c r="M7060" s="46">
        <v>0.26632430627689568</v>
      </c>
      <c r="N7060" s="46">
        <v>0</v>
      </c>
    </row>
    <row r="7061" spans="13:14" x14ac:dyDescent="0.35">
      <c r="M7061" s="46">
        <v>0.28318251966167085</v>
      </c>
      <c r="N7061" s="46">
        <v>0</v>
      </c>
    </row>
    <row r="7062" spans="13:14" x14ac:dyDescent="0.35">
      <c r="M7062" s="46">
        <v>0.30447759311470546</v>
      </c>
      <c r="N7062" s="46">
        <v>0</v>
      </c>
    </row>
    <row r="7063" spans="13:14" x14ac:dyDescent="0.35">
      <c r="M7063" s="46">
        <v>0.33791141118860363</v>
      </c>
      <c r="N7063" s="46">
        <v>0</v>
      </c>
    </row>
    <row r="7064" spans="13:14" x14ac:dyDescent="0.35">
      <c r="M7064" s="46">
        <v>0.37561307315625464</v>
      </c>
      <c r="N7064" s="46">
        <v>0</v>
      </c>
    </row>
    <row r="7065" spans="13:14" x14ac:dyDescent="0.35">
      <c r="M7065" s="46">
        <v>0.42674387891378546</v>
      </c>
      <c r="N7065" s="46">
        <v>0</v>
      </c>
    </row>
    <row r="7066" spans="13:14" x14ac:dyDescent="0.35">
      <c r="M7066" s="46">
        <v>0.52845325715981606</v>
      </c>
      <c r="N7066" s="46">
        <v>0</v>
      </c>
    </row>
    <row r="7067" spans="13:14" x14ac:dyDescent="0.35">
      <c r="M7067" s="46">
        <v>0.70255891081762878</v>
      </c>
      <c r="N7067" s="46">
        <v>0</v>
      </c>
    </row>
    <row r="7068" spans="13:14" x14ac:dyDescent="0.35">
      <c r="M7068" s="46">
        <v>0.84248812880249302</v>
      </c>
      <c r="N7068" s="46">
        <v>0</v>
      </c>
    </row>
    <row r="7069" spans="13:14" x14ac:dyDescent="0.35">
      <c r="M7069" s="46">
        <v>0.94386066181926098</v>
      </c>
      <c r="N7069" s="46">
        <v>0</v>
      </c>
    </row>
    <row r="7070" spans="13:14" x14ac:dyDescent="0.35">
      <c r="M7070" s="46">
        <v>1</v>
      </c>
      <c r="N7070" s="46">
        <v>1.942018757892796E-2</v>
      </c>
    </row>
    <row r="7071" spans="13:14" x14ac:dyDescent="0.35">
      <c r="M7071" s="46">
        <v>1</v>
      </c>
      <c r="N7071" s="46">
        <v>1.8199457643302504E-2</v>
      </c>
    </row>
    <row r="7072" spans="13:14" x14ac:dyDescent="0.35">
      <c r="M7072" s="46">
        <v>0.94633536132957419</v>
      </c>
      <c r="N7072" s="46">
        <v>0</v>
      </c>
    </row>
    <row r="7073" spans="13:14" x14ac:dyDescent="0.35">
      <c r="M7073" s="46">
        <v>0.82715922243656326</v>
      </c>
      <c r="N7073" s="46">
        <v>0</v>
      </c>
    </row>
    <row r="7074" spans="13:14" x14ac:dyDescent="0.35">
      <c r="M7074" s="46">
        <v>0.68447803828461196</v>
      </c>
      <c r="N7074" s="46">
        <v>0</v>
      </c>
    </row>
    <row r="7075" spans="13:14" x14ac:dyDescent="0.35">
      <c r="M7075" s="46">
        <v>0.54788499777415045</v>
      </c>
      <c r="N7075" s="46">
        <v>0</v>
      </c>
    </row>
    <row r="7076" spans="13:14" x14ac:dyDescent="0.35">
      <c r="M7076" s="46">
        <v>0.48193871494286983</v>
      </c>
      <c r="N7076" s="46">
        <v>0</v>
      </c>
    </row>
    <row r="7077" spans="13:14" x14ac:dyDescent="0.35">
      <c r="M7077" s="46">
        <v>0.52681666419350059</v>
      </c>
      <c r="N7077" s="46">
        <v>0</v>
      </c>
    </row>
    <row r="7078" spans="13:14" x14ac:dyDescent="0.35">
      <c r="M7078" s="46">
        <v>0.58722436563288316</v>
      </c>
      <c r="N7078" s="46">
        <v>0</v>
      </c>
    </row>
    <row r="7079" spans="13:14" x14ac:dyDescent="0.35">
      <c r="M7079" s="46">
        <v>0.62070010387297825</v>
      </c>
      <c r="N7079" s="46">
        <v>0</v>
      </c>
    </row>
    <row r="7080" spans="13:14" x14ac:dyDescent="0.35">
      <c r="M7080" s="46">
        <v>0.63086444576346634</v>
      </c>
      <c r="N7080" s="46">
        <v>0</v>
      </c>
    </row>
    <row r="7081" spans="13:14" x14ac:dyDescent="0.35">
      <c r="M7081" s="46">
        <v>0.63556395607656913</v>
      </c>
      <c r="N7081" s="46">
        <v>0</v>
      </c>
    </row>
    <row r="7082" spans="13:14" x14ac:dyDescent="0.35">
      <c r="M7082" s="46">
        <v>0.63846008309838265</v>
      </c>
      <c r="N7082" s="46">
        <v>0</v>
      </c>
    </row>
    <row r="7083" spans="13:14" x14ac:dyDescent="0.35">
      <c r="M7083" s="46">
        <v>0.63824105950437748</v>
      </c>
      <c r="N7083" s="46">
        <v>0</v>
      </c>
    </row>
    <row r="7084" spans="13:14" x14ac:dyDescent="0.35">
      <c r="M7084" s="46">
        <v>0.63780160261166352</v>
      </c>
      <c r="N7084" s="46">
        <v>0</v>
      </c>
    </row>
    <row r="7085" spans="13:14" x14ac:dyDescent="0.35">
      <c r="M7085" s="46">
        <v>0.63380345748627398</v>
      </c>
      <c r="N7085" s="46">
        <v>0</v>
      </c>
    </row>
    <row r="7086" spans="13:14" x14ac:dyDescent="0.35">
      <c r="M7086" s="46">
        <v>0.63215707078201511</v>
      </c>
      <c r="N7086" s="46">
        <v>0</v>
      </c>
    </row>
    <row r="7087" spans="13:14" x14ac:dyDescent="0.35">
      <c r="M7087" s="46">
        <v>0.62890614334470996</v>
      </c>
      <c r="N7087" s="46">
        <v>0</v>
      </c>
    </row>
    <row r="7088" spans="13:14" x14ac:dyDescent="0.35">
      <c r="M7088" s="46">
        <v>0.62402507790473372</v>
      </c>
      <c r="N7088" s="46">
        <v>0</v>
      </c>
    </row>
    <row r="7089" spans="13:14" x14ac:dyDescent="0.35">
      <c r="M7089" s="46">
        <v>0.61303182964831571</v>
      </c>
      <c r="N7089" s="46">
        <v>0</v>
      </c>
    </row>
    <row r="7090" spans="13:14" x14ac:dyDescent="0.35">
      <c r="M7090" s="46">
        <v>0.62796883810654391</v>
      </c>
      <c r="N7090" s="46">
        <v>0</v>
      </c>
    </row>
    <row r="7091" spans="13:14" x14ac:dyDescent="0.35">
      <c r="M7091" s="46">
        <v>0.70356625612108614</v>
      </c>
      <c r="N7091" s="46">
        <v>0</v>
      </c>
    </row>
    <row r="7092" spans="13:14" x14ac:dyDescent="0.35">
      <c r="M7092" s="46">
        <v>0.80502581985457788</v>
      </c>
      <c r="N7092" s="46">
        <v>0</v>
      </c>
    </row>
    <row r="7093" spans="13:14" x14ac:dyDescent="0.35">
      <c r="M7093" s="46">
        <v>0.90506128505713013</v>
      </c>
      <c r="N7093" s="46">
        <v>0</v>
      </c>
    </row>
    <row r="7094" spans="13:14" x14ac:dyDescent="0.35">
      <c r="M7094" s="46">
        <v>0.96077837958154022</v>
      </c>
      <c r="N7094" s="46">
        <v>0</v>
      </c>
    </row>
    <row r="7095" spans="13:14" x14ac:dyDescent="0.35">
      <c r="M7095" s="46">
        <v>0.98308925656625612</v>
      </c>
      <c r="N7095" s="46">
        <v>0</v>
      </c>
    </row>
    <row r="7096" spans="13:14" x14ac:dyDescent="0.35">
      <c r="M7096" s="46">
        <v>0.96513325419201668</v>
      </c>
      <c r="N7096" s="46">
        <v>0</v>
      </c>
    </row>
    <row r="7097" spans="13:14" x14ac:dyDescent="0.35">
      <c r="M7097" s="46">
        <v>0.90335665529010245</v>
      </c>
      <c r="N7097" s="46">
        <v>0</v>
      </c>
    </row>
    <row r="7098" spans="13:14" x14ac:dyDescent="0.35">
      <c r="M7098" s="46">
        <v>0.81841014987386851</v>
      </c>
      <c r="N7098" s="46">
        <v>0</v>
      </c>
    </row>
    <row r="7099" spans="13:14" x14ac:dyDescent="0.35">
      <c r="M7099" s="46">
        <v>0.72832267398723849</v>
      </c>
      <c r="N7099" s="46">
        <v>0</v>
      </c>
    </row>
    <row r="7100" spans="13:14" x14ac:dyDescent="0.35">
      <c r="M7100" s="46">
        <v>0.6645799821932038</v>
      </c>
      <c r="N7100" s="46">
        <v>0</v>
      </c>
    </row>
    <row r="7101" spans="13:14" x14ac:dyDescent="0.35">
      <c r="M7101" s="46">
        <v>0.65080249295147641</v>
      </c>
      <c r="N7101" s="46">
        <v>0</v>
      </c>
    </row>
    <row r="7102" spans="13:14" x14ac:dyDescent="0.35">
      <c r="M7102" s="46">
        <v>0.64965647722213982</v>
      </c>
      <c r="N7102" s="46">
        <v>0</v>
      </c>
    </row>
    <row r="7103" spans="13:14" x14ac:dyDescent="0.35">
      <c r="M7103" s="46">
        <v>0.6465619528119898</v>
      </c>
      <c r="N7103" s="46">
        <v>0</v>
      </c>
    </row>
    <row r="7104" spans="13:14" x14ac:dyDescent="0.35">
      <c r="M7104" s="46">
        <v>0.64546379284760347</v>
      </c>
      <c r="N7104" s="46">
        <v>0</v>
      </c>
    </row>
    <row r="7105" spans="13:14" x14ac:dyDescent="0.35">
      <c r="M7105" s="46">
        <v>0.64453368452292625</v>
      </c>
      <c r="N7105" s="46">
        <v>0</v>
      </c>
    </row>
    <row r="7106" spans="13:14" x14ac:dyDescent="0.35">
      <c r="M7106" s="46">
        <v>0.64695355393975362</v>
      </c>
      <c r="N7106" s="46">
        <v>0</v>
      </c>
    </row>
    <row r="7107" spans="13:14" x14ac:dyDescent="0.35">
      <c r="M7107" s="46">
        <v>0.64350385813918987</v>
      </c>
      <c r="N7107" s="46">
        <v>0</v>
      </c>
    </row>
    <row r="7108" spans="13:14" x14ac:dyDescent="0.35">
      <c r="M7108" s="46">
        <v>0.64076168571004599</v>
      </c>
      <c r="N7108" s="46">
        <v>0</v>
      </c>
    </row>
    <row r="7109" spans="13:14" x14ac:dyDescent="0.35">
      <c r="M7109" s="46">
        <v>0.64525671464608991</v>
      </c>
      <c r="N7109" s="46">
        <v>0</v>
      </c>
    </row>
    <row r="7110" spans="13:14" x14ac:dyDescent="0.35">
      <c r="M7110" s="46">
        <v>0.65002485531978038</v>
      </c>
      <c r="N7110" s="46">
        <v>0</v>
      </c>
    </row>
    <row r="7111" spans="13:14" x14ac:dyDescent="0.35">
      <c r="M7111" s="46">
        <v>0.6500852500370975</v>
      </c>
      <c r="N7111" s="46">
        <v>0</v>
      </c>
    </row>
    <row r="7112" spans="13:14" x14ac:dyDescent="0.35">
      <c r="M7112" s="46">
        <v>0.65287728149577084</v>
      </c>
      <c r="N7112" s="46">
        <v>0</v>
      </c>
    </row>
    <row r="7113" spans="13:14" x14ac:dyDescent="0.35">
      <c r="M7113" s="46">
        <v>0.66100378394420534</v>
      </c>
      <c r="N7113" s="46">
        <v>0</v>
      </c>
    </row>
    <row r="7114" spans="13:14" x14ac:dyDescent="0.35">
      <c r="M7114" s="46">
        <v>0.67854399762576045</v>
      </c>
      <c r="N7114" s="46">
        <v>0</v>
      </c>
    </row>
    <row r="7115" spans="13:14" x14ac:dyDescent="0.35">
      <c r="M7115" s="46">
        <v>0.74313503487164267</v>
      </c>
      <c r="N7115" s="46">
        <v>0</v>
      </c>
    </row>
    <row r="7116" spans="13:14" x14ac:dyDescent="0.35">
      <c r="M7116" s="46">
        <v>0.81100178067962614</v>
      </c>
      <c r="N7116" s="46">
        <v>0</v>
      </c>
    </row>
    <row r="7117" spans="13:14" x14ac:dyDescent="0.35">
      <c r="M7117" s="46">
        <v>0.86476606321412663</v>
      </c>
      <c r="N7117" s="46">
        <v>0</v>
      </c>
    </row>
    <row r="7118" spans="13:14" x14ac:dyDescent="0.35">
      <c r="M7118" s="46">
        <v>0.90753494583766137</v>
      </c>
      <c r="N7118" s="46">
        <v>0</v>
      </c>
    </row>
    <row r="7119" spans="13:14" x14ac:dyDescent="0.35">
      <c r="M7119" s="46">
        <v>0.92114779640896272</v>
      </c>
      <c r="N7119" s="46">
        <v>0</v>
      </c>
    </row>
    <row r="7120" spans="13:14" x14ac:dyDescent="0.35">
      <c r="M7120" s="46">
        <v>0.89547180590592079</v>
      </c>
      <c r="N7120" s="46">
        <v>0</v>
      </c>
    </row>
    <row r="7121" spans="13:14" x14ac:dyDescent="0.35">
      <c r="M7121" s="46">
        <v>0.80615521590740469</v>
      </c>
      <c r="N7121" s="46">
        <v>0</v>
      </c>
    </row>
    <row r="7122" spans="13:14" x14ac:dyDescent="0.35">
      <c r="M7122" s="46">
        <v>0.66387052975218885</v>
      </c>
      <c r="N7122" s="46">
        <v>0</v>
      </c>
    </row>
    <row r="7123" spans="13:14" x14ac:dyDescent="0.35">
      <c r="M7123" s="46">
        <v>0.49488514616411927</v>
      </c>
      <c r="N7123" s="46">
        <v>0</v>
      </c>
    </row>
    <row r="7124" spans="13:14" x14ac:dyDescent="0.35">
      <c r="M7124" s="46">
        <v>0.35409482119008756</v>
      </c>
      <c r="N7124" s="46">
        <v>0</v>
      </c>
    </row>
    <row r="7125" spans="13:14" x14ac:dyDescent="0.35">
      <c r="M7125" s="46">
        <v>0.28794442795667013</v>
      </c>
      <c r="N7125" s="46">
        <v>0</v>
      </c>
    </row>
    <row r="7126" spans="13:14" x14ac:dyDescent="0.35">
      <c r="M7126" s="46">
        <v>0.24146156699807092</v>
      </c>
      <c r="N7126" s="46">
        <v>0</v>
      </c>
    </row>
    <row r="7127" spans="13:14" x14ac:dyDescent="0.35">
      <c r="M7127" s="46">
        <v>0.20859407924024337</v>
      </c>
      <c r="N7127" s="46">
        <v>0</v>
      </c>
    </row>
    <row r="7128" spans="13:14" x14ac:dyDescent="0.35">
      <c r="M7128" s="46">
        <v>0.1826184151951328</v>
      </c>
      <c r="N7128" s="46">
        <v>0</v>
      </c>
    </row>
    <row r="7129" spans="13:14" x14ac:dyDescent="0.35">
      <c r="M7129" s="46">
        <v>0.18335123905623982</v>
      </c>
      <c r="N7129" s="46">
        <v>0</v>
      </c>
    </row>
    <row r="7130" spans="13:14" x14ac:dyDescent="0.35">
      <c r="M7130" s="46">
        <v>0.20124870158777267</v>
      </c>
      <c r="N7130" s="46">
        <v>0</v>
      </c>
    </row>
    <row r="7131" spans="13:14" x14ac:dyDescent="0.35">
      <c r="M7131" s="46">
        <v>0.19716834841964684</v>
      </c>
      <c r="N7131" s="46">
        <v>0</v>
      </c>
    </row>
    <row r="7132" spans="13:14" x14ac:dyDescent="0.35">
      <c r="M7132" s="46">
        <v>0.19103591037245884</v>
      </c>
      <c r="N7132" s="46">
        <v>0</v>
      </c>
    </row>
    <row r="7133" spans="13:14" x14ac:dyDescent="0.35">
      <c r="M7133" s="46">
        <v>0.18031658999851607</v>
      </c>
      <c r="N7133" s="46">
        <v>0</v>
      </c>
    </row>
    <row r="7134" spans="13:14" x14ac:dyDescent="0.35">
      <c r="M7134" s="46">
        <v>0.16443730523816591</v>
      </c>
      <c r="N7134" s="46">
        <v>0</v>
      </c>
    </row>
    <row r="7135" spans="13:14" x14ac:dyDescent="0.35">
      <c r="M7135" s="46">
        <v>0.15822199139338181</v>
      </c>
      <c r="N7135" s="46">
        <v>0</v>
      </c>
    </row>
    <row r="7136" spans="13:14" x14ac:dyDescent="0.35">
      <c r="M7136" s="46">
        <v>0.15298404807834989</v>
      </c>
      <c r="N7136" s="46">
        <v>0</v>
      </c>
    </row>
    <row r="7137" spans="13:14" x14ac:dyDescent="0.35">
      <c r="M7137" s="46">
        <v>0.15116382252559726</v>
      </c>
      <c r="N7137" s="46">
        <v>0</v>
      </c>
    </row>
    <row r="7138" spans="13:14" x14ac:dyDescent="0.35">
      <c r="M7138" s="46">
        <v>0.18761529900578722</v>
      </c>
      <c r="N7138" s="46">
        <v>0</v>
      </c>
    </row>
    <row r="7139" spans="13:14" x14ac:dyDescent="0.35">
      <c r="M7139" s="46">
        <v>0.3063824751446802</v>
      </c>
      <c r="N7139" s="46">
        <v>0</v>
      </c>
    </row>
    <row r="7140" spans="13:14" x14ac:dyDescent="0.35">
      <c r="M7140" s="46">
        <v>0.44913577682148687</v>
      </c>
      <c r="N7140" s="46">
        <v>0</v>
      </c>
    </row>
    <row r="7141" spans="13:14" x14ac:dyDescent="0.35">
      <c r="M7141" s="46">
        <v>0.56948790621753964</v>
      </c>
      <c r="N7141" s="46">
        <v>0</v>
      </c>
    </row>
    <row r="7142" spans="13:14" x14ac:dyDescent="0.35">
      <c r="M7142" s="46">
        <v>0.65351958747588668</v>
      </c>
      <c r="N7142" s="46">
        <v>0</v>
      </c>
    </row>
    <row r="7143" spans="13:14" x14ac:dyDescent="0.35">
      <c r="M7143" s="46">
        <v>0.68619624573378835</v>
      </c>
      <c r="N7143" s="46">
        <v>0</v>
      </c>
    </row>
    <row r="7144" spans="13:14" x14ac:dyDescent="0.35">
      <c r="M7144" s="46">
        <v>0.64712598308354352</v>
      </c>
      <c r="N7144" s="46">
        <v>0</v>
      </c>
    </row>
    <row r="7145" spans="13:14" x14ac:dyDescent="0.35">
      <c r="M7145" s="46">
        <v>0.5588005638818816</v>
      </c>
      <c r="N7145" s="46">
        <v>0</v>
      </c>
    </row>
    <row r="7146" spans="13:14" x14ac:dyDescent="0.35">
      <c r="M7146" s="46">
        <v>0.43688151060988273</v>
      </c>
      <c r="N7146" s="46">
        <v>0</v>
      </c>
    </row>
    <row r="7147" spans="13:14" x14ac:dyDescent="0.35">
      <c r="M7147" s="46">
        <v>0.30656781421575902</v>
      </c>
      <c r="N7147" s="46">
        <v>0</v>
      </c>
    </row>
    <row r="7148" spans="13:14" x14ac:dyDescent="0.35">
      <c r="M7148" s="46">
        <v>0.21206106247217688</v>
      </c>
      <c r="N7148" s="46">
        <v>0</v>
      </c>
    </row>
    <row r="7149" spans="13:14" x14ac:dyDescent="0.35">
      <c r="M7149" s="46">
        <v>0.18381688677845376</v>
      </c>
      <c r="N7149" s="46">
        <v>0</v>
      </c>
    </row>
    <row r="7150" spans="13:14" x14ac:dyDescent="0.35">
      <c r="M7150" s="46">
        <v>0.17928216352574564</v>
      </c>
      <c r="N7150" s="46">
        <v>0</v>
      </c>
    </row>
    <row r="7151" spans="13:14" x14ac:dyDescent="0.35">
      <c r="M7151" s="46">
        <v>0.18959600830983825</v>
      </c>
      <c r="N7151" s="46">
        <v>0</v>
      </c>
    </row>
    <row r="7152" spans="13:14" x14ac:dyDescent="0.35">
      <c r="M7152" s="46">
        <v>0.21542669535539399</v>
      </c>
      <c r="N7152" s="46">
        <v>0</v>
      </c>
    </row>
    <row r="7153" spans="13:14" x14ac:dyDescent="0.35">
      <c r="M7153" s="46">
        <v>0.26246549933224517</v>
      </c>
      <c r="N7153" s="46">
        <v>0</v>
      </c>
    </row>
    <row r="7154" spans="13:14" x14ac:dyDescent="0.35">
      <c r="M7154" s="46">
        <v>0.31627875055646243</v>
      </c>
      <c r="N7154" s="46">
        <v>0</v>
      </c>
    </row>
    <row r="7155" spans="13:14" x14ac:dyDescent="0.35">
      <c r="M7155" s="46">
        <v>0.34017087104911709</v>
      </c>
      <c r="N7155" s="46">
        <v>0</v>
      </c>
    </row>
    <row r="7156" spans="13:14" x14ac:dyDescent="0.35">
      <c r="M7156" s="46">
        <v>0.35490688529455411</v>
      </c>
      <c r="N7156" s="46">
        <v>0</v>
      </c>
    </row>
    <row r="7157" spans="13:14" x14ac:dyDescent="0.35">
      <c r="M7157" s="46">
        <v>0.36284582282237721</v>
      </c>
      <c r="N7157" s="46">
        <v>0</v>
      </c>
    </row>
    <row r="7158" spans="13:14" x14ac:dyDescent="0.35">
      <c r="M7158" s="46">
        <v>0.37102173913043479</v>
      </c>
      <c r="N7158" s="46">
        <v>0</v>
      </c>
    </row>
    <row r="7159" spans="13:14" x14ac:dyDescent="0.35">
      <c r="M7159" s="46">
        <v>0.3732205074936934</v>
      </c>
      <c r="N7159" s="46">
        <v>0</v>
      </c>
    </row>
    <row r="7160" spans="13:14" x14ac:dyDescent="0.35">
      <c r="M7160" s="46">
        <v>0.37778401840035614</v>
      </c>
      <c r="N7160" s="46">
        <v>0</v>
      </c>
    </row>
    <row r="7161" spans="13:14" x14ac:dyDescent="0.35">
      <c r="M7161" s="46">
        <v>0.38473319483602908</v>
      </c>
      <c r="N7161" s="46">
        <v>0</v>
      </c>
    </row>
    <row r="7162" spans="13:14" x14ac:dyDescent="0.35">
      <c r="M7162" s="46">
        <v>0.42225990503041994</v>
      </c>
      <c r="N7162" s="46">
        <v>0</v>
      </c>
    </row>
    <row r="7163" spans="13:14" x14ac:dyDescent="0.35">
      <c r="M7163" s="46">
        <v>0.52871219765543853</v>
      </c>
      <c r="N7163" s="46">
        <v>0</v>
      </c>
    </row>
    <row r="7164" spans="13:14" x14ac:dyDescent="0.35">
      <c r="M7164" s="46">
        <v>0.64060172132363857</v>
      </c>
      <c r="N7164" s="46">
        <v>0</v>
      </c>
    </row>
    <row r="7165" spans="13:14" x14ac:dyDescent="0.35">
      <c r="M7165" s="46">
        <v>0.7337828312806054</v>
      </c>
      <c r="N7165" s="46">
        <v>0</v>
      </c>
    </row>
    <row r="7166" spans="13:14" x14ac:dyDescent="0.35">
      <c r="M7166" s="46">
        <v>0.79862464757382401</v>
      </c>
      <c r="N7166" s="46">
        <v>0</v>
      </c>
    </row>
    <row r="7167" spans="13:14" x14ac:dyDescent="0.35">
      <c r="M7167" s="46">
        <v>0.81982727407627243</v>
      </c>
      <c r="N7167" s="46">
        <v>0</v>
      </c>
    </row>
    <row r="7168" spans="13:14" x14ac:dyDescent="0.35">
      <c r="M7168" s="46">
        <v>0.78008020477815698</v>
      </c>
      <c r="N7168" s="46">
        <v>0</v>
      </c>
    </row>
    <row r="7169" spans="13:14" x14ac:dyDescent="0.35">
      <c r="M7169" s="46">
        <v>0.68986348122866892</v>
      </c>
      <c r="N7169" s="46">
        <v>0</v>
      </c>
    </row>
    <row r="7170" spans="13:14" x14ac:dyDescent="0.35">
      <c r="M7170" s="46">
        <v>0.5578184448731266</v>
      </c>
      <c r="N7170" s="46">
        <v>0</v>
      </c>
    </row>
    <row r="7171" spans="13:14" x14ac:dyDescent="0.35">
      <c r="M7171" s="46">
        <v>0.41838811396349607</v>
      </c>
      <c r="N7171" s="46">
        <v>0</v>
      </c>
    </row>
    <row r="7172" spans="13:14" x14ac:dyDescent="0.35">
      <c r="M7172" s="46">
        <v>0.3020152841667903</v>
      </c>
      <c r="N7172" s="46">
        <v>0</v>
      </c>
    </row>
    <row r="7173" spans="13:14" x14ac:dyDescent="0.35">
      <c r="M7173" s="46">
        <v>0.24268548746104762</v>
      </c>
      <c r="N7173" s="46">
        <v>0</v>
      </c>
    </row>
    <row r="7174" spans="13:14" x14ac:dyDescent="0.35">
      <c r="M7174" s="46">
        <v>0.19194709897610923</v>
      </c>
      <c r="N7174" s="46">
        <v>0</v>
      </c>
    </row>
    <row r="7175" spans="13:14" x14ac:dyDescent="0.35">
      <c r="M7175" s="46">
        <v>0.15143567294850868</v>
      </c>
      <c r="N7175" s="46">
        <v>0</v>
      </c>
    </row>
    <row r="7176" spans="13:14" x14ac:dyDescent="0.35">
      <c r="M7176" s="46">
        <v>0.12224773705297522</v>
      </c>
      <c r="N7176" s="46">
        <v>0</v>
      </c>
    </row>
    <row r="7177" spans="13:14" x14ac:dyDescent="0.35">
      <c r="M7177" s="46">
        <v>0.11449569669090369</v>
      </c>
      <c r="N7177" s="46">
        <v>0</v>
      </c>
    </row>
    <row r="7178" spans="13:14" x14ac:dyDescent="0.35">
      <c r="M7178" s="46">
        <v>0.12215662561210862</v>
      </c>
      <c r="N7178" s="46">
        <v>0</v>
      </c>
    </row>
    <row r="7179" spans="13:14" x14ac:dyDescent="0.35">
      <c r="M7179" s="46">
        <v>0.1327317109363407</v>
      </c>
      <c r="N7179" s="46">
        <v>0</v>
      </c>
    </row>
    <row r="7180" spans="13:14" x14ac:dyDescent="0.35">
      <c r="M7180" s="46">
        <v>0.1501355542365336</v>
      </c>
      <c r="N7180" s="46">
        <v>0</v>
      </c>
    </row>
    <row r="7181" spans="13:14" x14ac:dyDescent="0.35">
      <c r="M7181" s="46">
        <v>0.1726409704703962</v>
      </c>
      <c r="N7181" s="46">
        <v>0</v>
      </c>
    </row>
    <row r="7182" spans="13:14" x14ac:dyDescent="0.35">
      <c r="M7182" s="46">
        <v>0.18908176287282979</v>
      </c>
      <c r="N7182" s="46">
        <v>0</v>
      </c>
    </row>
    <row r="7183" spans="13:14" x14ac:dyDescent="0.35">
      <c r="M7183" s="46">
        <v>0.20360810209229857</v>
      </c>
      <c r="N7183" s="46">
        <v>0</v>
      </c>
    </row>
    <row r="7184" spans="13:14" x14ac:dyDescent="0.35">
      <c r="M7184" s="46">
        <v>0.21931495770885889</v>
      </c>
      <c r="N7184" s="46">
        <v>0</v>
      </c>
    </row>
    <row r="7185" spans="13:14" x14ac:dyDescent="0.35">
      <c r="M7185" s="46">
        <v>0.23854110402136813</v>
      </c>
      <c r="N7185" s="46">
        <v>0</v>
      </c>
    </row>
    <row r="7186" spans="13:14" x14ac:dyDescent="0.35">
      <c r="M7186" s="46">
        <v>0.27671152990057873</v>
      </c>
      <c r="N7186" s="46">
        <v>0</v>
      </c>
    </row>
    <row r="7187" spans="13:14" x14ac:dyDescent="0.35">
      <c r="M7187" s="46">
        <v>0.38166063214126722</v>
      </c>
      <c r="N7187" s="46">
        <v>0</v>
      </c>
    </row>
    <row r="7188" spans="13:14" x14ac:dyDescent="0.35">
      <c r="M7188" s="46">
        <v>0.50758895978631846</v>
      </c>
      <c r="N7188" s="46">
        <v>0</v>
      </c>
    </row>
    <row r="7189" spans="13:14" x14ac:dyDescent="0.35">
      <c r="M7189" s="46">
        <v>0.63073824009496959</v>
      </c>
      <c r="N7189" s="46">
        <v>0</v>
      </c>
    </row>
    <row r="7190" spans="13:14" x14ac:dyDescent="0.35">
      <c r="M7190" s="46">
        <v>0.70173401098085764</v>
      </c>
      <c r="N7190" s="46">
        <v>0</v>
      </c>
    </row>
    <row r="7191" spans="13:14" x14ac:dyDescent="0.35">
      <c r="M7191" s="46">
        <v>0.73174424988870757</v>
      </c>
      <c r="N7191" s="46">
        <v>0</v>
      </c>
    </row>
    <row r="7192" spans="13:14" x14ac:dyDescent="0.35">
      <c r="M7192" s="46">
        <v>0.71465402878765394</v>
      </c>
      <c r="N7192" s="46">
        <v>0</v>
      </c>
    </row>
    <row r="7193" spans="13:14" x14ac:dyDescent="0.35">
      <c r="M7193" s="46">
        <v>0.64666797744472471</v>
      </c>
      <c r="N7193" s="46">
        <v>0</v>
      </c>
    </row>
    <row r="7194" spans="13:14" x14ac:dyDescent="0.35">
      <c r="M7194" s="46">
        <v>0.55320782015135783</v>
      </c>
      <c r="N7194" s="46">
        <v>0</v>
      </c>
    </row>
    <row r="7195" spans="13:14" x14ac:dyDescent="0.35">
      <c r="M7195" s="46">
        <v>0.45943545036355543</v>
      </c>
      <c r="N7195" s="46">
        <v>0</v>
      </c>
    </row>
    <row r="7196" spans="13:14" x14ac:dyDescent="0.35">
      <c r="M7196" s="46">
        <v>0.40429366374833059</v>
      </c>
      <c r="N7196" s="46">
        <v>0</v>
      </c>
    </row>
    <row r="7197" spans="13:14" x14ac:dyDescent="0.35">
      <c r="M7197" s="46">
        <v>0.40351676806647874</v>
      </c>
      <c r="N7197" s="46">
        <v>0</v>
      </c>
    </row>
    <row r="7198" spans="13:14" x14ac:dyDescent="0.35">
      <c r="M7198" s="46">
        <v>0.41036667161299895</v>
      </c>
      <c r="N7198" s="46">
        <v>0</v>
      </c>
    </row>
    <row r="7199" spans="13:14" x14ac:dyDescent="0.35">
      <c r="M7199" s="46">
        <v>0.41566159667606473</v>
      </c>
      <c r="N7199" s="46">
        <v>0</v>
      </c>
    </row>
    <row r="7200" spans="13:14" x14ac:dyDescent="0.35">
      <c r="M7200" s="46">
        <v>0.41832356432705148</v>
      </c>
      <c r="N7200" s="46">
        <v>0</v>
      </c>
    </row>
    <row r="7201" spans="13:14" x14ac:dyDescent="0.35">
      <c r="M7201" s="46">
        <v>0.42551335509719546</v>
      </c>
      <c r="N7201" s="46">
        <v>0</v>
      </c>
    </row>
    <row r="7202" spans="13:14" x14ac:dyDescent="0.35">
      <c r="M7202" s="46">
        <v>0.43222547855764948</v>
      </c>
      <c r="N7202" s="46">
        <v>0</v>
      </c>
    </row>
    <row r="7203" spans="13:14" x14ac:dyDescent="0.35">
      <c r="M7203" s="46">
        <v>0.43389204629767031</v>
      </c>
      <c r="N7203" s="46">
        <v>0</v>
      </c>
    </row>
    <row r="7204" spans="13:14" x14ac:dyDescent="0.35">
      <c r="M7204" s="46">
        <v>0.43159563733491618</v>
      </c>
      <c r="N7204" s="46">
        <v>0</v>
      </c>
    </row>
    <row r="7205" spans="13:14" x14ac:dyDescent="0.35">
      <c r="M7205" s="46">
        <v>0.43168118415195128</v>
      </c>
      <c r="N7205" s="46">
        <v>0</v>
      </c>
    </row>
    <row r="7206" spans="13:14" x14ac:dyDescent="0.35">
      <c r="M7206" s="46">
        <v>0.43075671464608989</v>
      </c>
      <c r="N7206" s="46">
        <v>0</v>
      </c>
    </row>
    <row r="7207" spans="13:14" x14ac:dyDescent="0.35">
      <c r="M7207" s="46">
        <v>0.42857397239946576</v>
      </c>
      <c r="N7207" s="46">
        <v>0</v>
      </c>
    </row>
    <row r="7208" spans="13:14" x14ac:dyDescent="0.35">
      <c r="M7208" s="46">
        <v>0.42106388188158483</v>
      </c>
      <c r="N7208" s="46">
        <v>0</v>
      </c>
    </row>
    <row r="7209" spans="13:14" x14ac:dyDescent="0.35">
      <c r="M7209" s="46">
        <v>0.41188507196913487</v>
      </c>
      <c r="N7209" s="46">
        <v>0</v>
      </c>
    </row>
    <row r="7210" spans="13:14" x14ac:dyDescent="0.35">
      <c r="M7210" s="46">
        <v>0.43224321115892567</v>
      </c>
      <c r="N7210" s="46">
        <v>0</v>
      </c>
    </row>
    <row r="7211" spans="13:14" x14ac:dyDescent="0.35">
      <c r="M7211" s="46">
        <v>0.50738536874907259</v>
      </c>
      <c r="N7211" s="46">
        <v>0</v>
      </c>
    </row>
    <row r="7212" spans="13:14" x14ac:dyDescent="0.35">
      <c r="M7212" s="46">
        <v>0.59298048671909775</v>
      </c>
      <c r="N7212" s="46">
        <v>0</v>
      </c>
    </row>
    <row r="7213" spans="13:14" x14ac:dyDescent="0.35">
      <c r="M7213" s="46">
        <v>0.67070359103724586</v>
      </c>
      <c r="N7213" s="46">
        <v>0</v>
      </c>
    </row>
    <row r="7214" spans="13:14" x14ac:dyDescent="0.35">
      <c r="M7214" s="46">
        <v>0.76570752337142012</v>
      </c>
      <c r="N7214" s="46">
        <v>0</v>
      </c>
    </row>
    <row r="7215" spans="13:14" x14ac:dyDescent="0.35">
      <c r="M7215" s="46">
        <v>0.83001929069594893</v>
      </c>
      <c r="N7215" s="46">
        <v>0</v>
      </c>
    </row>
    <row r="7216" spans="13:14" x14ac:dyDescent="0.35">
      <c r="M7216" s="46">
        <v>0.84727207300786467</v>
      </c>
      <c r="N7216" s="46">
        <v>0</v>
      </c>
    </row>
    <row r="7217" spans="13:14" x14ac:dyDescent="0.35">
      <c r="M7217" s="46">
        <v>0.77569802641341445</v>
      </c>
      <c r="N7217" s="46">
        <v>0</v>
      </c>
    </row>
    <row r="7218" spans="13:14" x14ac:dyDescent="0.35">
      <c r="M7218" s="46">
        <v>0.67002960379878318</v>
      </c>
      <c r="N7218" s="46">
        <v>0</v>
      </c>
    </row>
    <row r="7219" spans="13:14" x14ac:dyDescent="0.35">
      <c r="M7219" s="46">
        <v>0.54609660186971365</v>
      </c>
      <c r="N7219" s="46">
        <v>0</v>
      </c>
    </row>
    <row r="7220" spans="13:14" x14ac:dyDescent="0.35">
      <c r="M7220" s="46">
        <v>0.45392202107137558</v>
      </c>
      <c r="N7220" s="46">
        <v>0</v>
      </c>
    </row>
    <row r="7221" spans="13:14" x14ac:dyDescent="0.35">
      <c r="M7221" s="46">
        <v>0.44589939160112779</v>
      </c>
      <c r="N7221" s="46">
        <v>0</v>
      </c>
    </row>
    <row r="7222" spans="13:14" x14ac:dyDescent="0.35">
      <c r="M7222" s="46">
        <v>0.44759252114557058</v>
      </c>
      <c r="N7222" s="46">
        <v>0</v>
      </c>
    </row>
    <row r="7223" spans="13:14" x14ac:dyDescent="0.35">
      <c r="M7223" s="46">
        <v>0.45055460750853243</v>
      </c>
      <c r="N7223" s="46">
        <v>0</v>
      </c>
    </row>
    <row r="7224" spans="13:14" x14ac:dyDescent="0.35">
      <c r="M7224" s="46">
        <v>0.45060513429292182</v>
      </c>
      <c r="N7224" s="46">
        <v>0</v>
      </c>
    </row>
    <row r="7225" spans="13:14" x14ac:dyDescent="0.35">
      <c r="M7225" s="46">
        <v>0.45840881436414899</v>
      </c>
      <c r="N7225" s="46">
        <v>0</v>
      </c>
    </row>
    <row r="7226" spans="13:14" x14ac:dyDescent="0.35">
      <c r="M7226" s="46">
        <v>0.46582749666122569</v>
      </c>
      <c r="N7226" s="46">
        <v>0</v>
      </c>
    </row>
    <row r="7227" spans="13:14" x14ac:dyDescent="0.35">
      <c r="M7227" s="46">
        <v>0.46990688529455404</v>
      </c>
      <c r="N7227" s="46">
        <v>0</v>
      </c>
    </row>
    <row r="7228" spans="13:14" x14ac:dyDescent="0.35">
      <c r="M7228" s="46">
        <v>0.47333083543552457</v>
      </c>
      <c r="N7228" s="46">
        <v>0</v>
      </c>
    </row>
    <row r="7229" spans="13:14" x14ac:dyDescent="0.35">
      <c r="M7229" s="46">
        <v>0.47675530494138596</v>
      </c>
      <c r="N7229" s="46">
        <v>0</v>
      </c>
    </row>
    <row r="7230" spans="13:14" x14ac:dyDescent="0.35">
      <c r="M7230" s="46">
        <v>0.48092558243062766</v>
      </c>
      <c r="N7230" s="46">
        <v>0</v>
      </c>
    </row>
    <row r="7231" spans="13:14" x14ac:dyDescent="0.35">
      <c r="M7231" s="46">
        <v>0.48393871494286983</v>
      </c>
      <c r="N7231" s="46">
        <v>0</v>
      </c>
    </row>
    <row r="7232" spans="13:14" x14ac:dyDescent="0.35">
      <c r="M7232" s="46">
        <v>0.48216107731117375</v>
      </c>
      <c r="N7232" s="46">
        <v>0</v>
      </c>
    </row>
    <row r="7233" spans="13:14" x14ac:dyDescent="0.35">
      <c r="M7233" s="46">
        <v>0.48310691497254782</v>
      </c>
      <c r="N7233" s="46">
        <v>0</v>
      </c>
    </row>
    <row r="7234" spans="13:14" x14ac:dyDescent="0.35">
      <c r="M7234" s="46">
        <v>0.50744012464757382</v>
      </c>
      <c r="N7234" s="46">
        <v>0</v>
      </c>
    </row>
    <row r="7235" spans="13:14" x14ac:dyDescent="0.35">
      <c r="M7235" s="46">
        <v>0.60902767472918828</v>
      </c>
      <c r="N7235" s="46">
        <v>0</v>
      </c>
    </row>
    <row r="7236" spans="13:14" x14ac:dyDescent="0.35">
      <c r="M7236" s="46">
        <v>0.73343337290399169</v>
      </c>
      <c r="N7236" s="46">
        <v>0</v>
      </c>
    </row>
    <row r="7237" spans="13:14" x14ac:dyDescent="0.35">
      <c r="M7237" s="46">
        <v>0.84461930553494591</v>
      </c>
      <c r="N7237" s="46">
        <v>0</v>
      </c>
    </row>
    <row r="7238" spans="13:14" x14ac:dyDescent="0.35">
      <c r="M7238" s="46">
        <v>0.88913087995251527</v>
      </c>
      <c r="N7238" s="46">
        <v>0</v>
      </c>
    </row>
    <row r="7239" spans="13:14" x14ac:dyDescent="0.35">
      <c r="M7239" s="46">
        <v>0.88794932482564182</v>
      </c>
      <c r="N7239" s="46">
        <v>0</v>
      </c>
    </row>
    <row r="7240" spans="13:14" x14ac:dyDescent="0.35">
      <c r="M7240" s="46">
        <v>0.84229833803234899</v>
      </c>
      <c r="N7240" s="46">
        <v>0</v>
      </c>
    </row>
    <row r="7241" spans="13:14" x14ac:dyDescent="0.35">
      <c r="M7241" s="46">
        <v>0.78587676213087998</v>
      </c>
      <c r="N7241" s="46">
        <v>0</v>
      </c>
    </row>
    <row r="7242" spans="13:14" x14ac:dyDescent="0.35">
      <c r="M7242" s="46">
        <v>0.71276265024484342</v>
      </c>
      <c r="N7242" s="46">
        <v>0</v>
      </c>
    </row>
    <row r="7243" spans="13:14" x14ac:dyDescent="0.35">
      <c r="M7243" s="46">
        <v>0.6267300786466834</v>
      </c>
      <c r="N7243" s="46">
        <v>0</v>
      </c>
    </row>
    <row r="7244" spans="13:14" x14ac:dyDescent="0.35">
      <c r="M7244" s="46">
        <v>0.56240332393530201</v>
      </c>
      <c r="N7244" s="46">
        <v>0</v>
      </c>
    </row>
    <row r="7245" spans="13:14" x14ac:dyDescent="0.35">
      <c r="M7245" s="46">
        <v>0.55221761388930102</v>
      </c>
      <c r="N7245" s="46">
        <v>0</v>
      </c>
    </row>
    <row r="7246" spans="13:14" x14ac:dyDescent="0.35">
      <c r="M7246" s="46">
        <v>0.53803769105208488</v>
      </c>
      <c r="N7246" s="46">
        <v>0</v>
      </c>
    </row>
    <row r="7247" spans="13:14" x14ac:dyDescent="0.35">
      <c r="M7247" s="46">
        <v>0.51121219765543857</v>
      </c>
      <c r="N7247" s="46">
        <v>0</v>
      </c>
    </row>
    <row r="7248" spans="13:14" x14ac:dyDescent="0.35">
      <c r="M7248" s="46">
        <v>0.46838477518919724</v>
      </c>
      <c r="N7248" s="46">
        <v>0</v>
      </c>
    </row>
    <row r="7249" spans="13:14" x14ac:dyDescent="0.35">
      <c r="M7249" s="46">
        <v>0.42802455853984273</v>
      </c>
      <c r="N7249" s="46">
        <v>0</v>
      </c>
    </row>
    <row r="7250" spans="13:14" x14ac:dyDescent="0.35">
      <c r="M7250" s="46">
        <v>0.38346594450215166</v>
      </c>
      <c r="N7250" s="46">
        <v>0</v>
      </c>
    </row>
    <row r="7251" spans="13:14" x14ac:dyDescent="0.35">
      <c r="M7251" s="46">
        <v>0.31304956224959196</v>
      </c>
      <c r="N7251" s="46">
        <v>0</v>
      </c>
    </row>
    <row r="7252" spans="13:14" x14ac:dyDescent="0.35">
      <c r="M7252" s="46">
        <v>0.24855668496809616</v>
      </c>
      <c r="N7252" s="46">
        <v>0</v>
      </c>
    </row>
    <row r="7253" spans="13:14" x14ac:dyDescent="0.35">
      <c r="M7253" s="46">
        <v>0.19711967650986792</v>
      </c>
      <c r="N7253" s="46">
        <v>0</v>
      </c>
    </row>
    <row r="7254" spans="13:14" x14ac:dyDescent="0.35">
      <c r="M7254" s="46">
        <v>0.15514468021961716</v>
      </c>
      <c r="N7254" s="46">
        <v>0</v>
      </c>
    </row>
    <row r="7255" spans="13:14" x14ac:dyDescent="0.35">
      <c r="M7255" s="46">
        <v>0.12632489983677103</v>
      </c>
      <c r="N7255" s="46">
        <v>0</v>
      </c>
    </row>
    <row r="7256" spans="13:14" x14ac:dyDescent="0.35">
      <c r="M7256" s="46">
        <v>0.10802032942573081</v>
      </c>
      <c r="N7256" s="46">
        <v>0</v>
      </c>
    </row>
    <row r="7257" spans="13:14" x14ac:dyDescent="0.35">
      <c r="M7257" s="46">
        <v>9.4068556165603209E-2</v>
      </c>
      <c r="N7257" s="46">
        <v>0</v>
      </c>
    </row>
    <row r="7258" spans="13:14" x14ac:dyDescent="0.35">
      <c r="M7258" s="46">
        <v>9.40848790621754E-2</v>
      </c>
      <c r="N7258" s="46">
        <v>0</v>
      </c>
    </row>
    <row r="7259" spans="13:14" x14ac:dyDescent="0.35">
      <c r="M7259" s="46">
        <v>0.11300615818370678</v>
      </c>
      <c r="N7259" s="46">
        <v>0</v>
      </c>
    </row>
    <row r="7260" spans="13:14" x14ac:dyDescent="0.35">
      <c r="M7260" s="46">
        <v>0.13413251224217243</v>
      </c>
      <c r="N7260" s="46">
        <v>0</v>
      </c>
    </row>
    <row r="7261" spans="13:14" x14ac:dyDescent="0.35">
      <c r="M7261" s="46">
        <v>0.14854221694613443</v>
      </c>
      <c r="N7261" s="46">
        <v>0</v>
      </c>
    </row>
    <row r="7262" spans="13:14" x14ac:dyDescent="0.35">
      <c r="M7262" s="46">
        <v>0.17361426027600535</v>
      </c>
      <c r="N7262" s="46">
        <v>0</v>
      </c>
    </row>
    <row r="7263" spans="13:14" x14ac:dyDescent="0.35">
      <c r="M7263" s="46">
        <v>0.18735064549636446</v>
      </c>
      <c r="N7263" s="46">
        <v>0</v>
      </c>
    </row>
    <row r="7264" spans="13:14" x14ac:dyDescent="0.35">
      <c r="M7264" s="46">
        <v>0.18644791512093783</v>
      </c>
      <c r="N7264" s="46">
        <v>0</v>
      </c>
    </row>
    <row r="7265" spans="13:14" x14ac:dyDescent="0.35">
      <c r="M7265" s="46">
        <v>0.16414371568481972</v>
      </c>
      <c r="N7265" s="46">
        <v>0</v>
      </c>
    </row>
    <row r="7266" spans="13:14" x14ac:dyDescent="0.35">
      <c r="M7266" s="46">
        <v>0.12416656774002077</v>
      </c>
      <c r="N7266" s="46">
        <v>0</v>
      </c>
    </row>
    <row r="7267" spans="13:14" x14ac:dyDescent="0.35">
      <c r="M7267" s="46">
        <v>7.0305089775931154E-2</v>
      </c>
      <c r="N7267" s="46">
        <v>0</v>
      </c>
    </row>
    <row r="7268" spans="13:14" x14ac:dyDescent="0.35">
      <c r="M7268" s="46">
        <v>2.1839738833654844E-2</v>
      </c>
      <c r="N7268" s="46">
        <v>0</v>
      </c>
    </row>
    <row r="7269" spans="13:14" x14ac:dyDescent="0.35">
      <c r="M7269" s="46">
        <v>1.6818444873126576E-2</v>
      </c>
      <c r="N7269" s="46">
        <v>0</v>
      </c>
    </row>
    <row r="7270" spans="13:14" x14ac:dyDescent="0.35">
      <c r="M7270" s="46">
        <v>1.7684819706187863E-2</v>
      </c>
      <c r="N7270" s="46">
        <v>0</v>
      </c>
    </row>
    <row r="7271" spans="13:14" x14ac:dyDescent="0.35">
      <c r="M7271" s="46">
        <v>1.7697136073601422E-2</v>
      </c>
      <c r="N7271" s="46">
        <v>0</v>
      </c>
    </row>
    <row r="7272" spans="13:14" x14ac:dyDescent="0.35">
      <c r="M7272" s="46">
        <v>1.847395756046891E-2</v>
      </c>
      <c r="N7272" s="46">
        <v>0</v>
      </c>
    </row>
    <row r="7273" spans="13:14" x14ac:dyDescent="0.35">
      <c r="M7273" s="46">
        <v>2.016293218578424E-2</v>
      </c>
      <c r="N7273" s="46">
        <v>0</v>
      </c>
    </row>
    <row r="7274" spans="13:14" x14ac:dyDescent="0.35">
      <c r="M7274" s="46">
        <v>2.131992877281496E-2</v>
      </c>
      <c r="N7274" s="46">
        <v>0</v>
      </c>
    </row>
    <row r="7275" spans="13:14" x14ac:dyDescent="0.35">
      <c r="M7275" s="46">
        <v>2.4034649057723699E-2</v>
      </c>
      <c r="N7275" s="46">
        <v>0</v>
      </c>
    </row>
    <row r="7276" spans="13:14" x14ac:dyDescent="0.35">
      <c r="M7276" s="46">
        <v>2.7755675916308058E-2</v>
      </c>
      <c r="N7276" s="46">
        <v>0</v>
      </c>
    </row>
    <row r="7277" spans="13:14" x14ac:dyDescent="0.35">
      <c r="M7277" s="46">
        <v>4.3989612702181338E-2</v>
      </c>
      <c r="N7277" s="46">
        <v>0</v>
      </c>
    </row>
    <row r="7278" spans="13:14" x14ac:dyDescent="0.35">
      <c r="M7278" s="46">
        <v>7.0955853984270664E-2</v>
      </c>
      <c r="N7278" s="46">
        <v>0</v>
      </c>
    </row>
    <row r="7279" spans="13:14" x14ac:dyDescent="0.35">
      <c r="M7279" s="46">
        <v>0.10456647870603947</v>
      </c>
      <c r="N7279" s="46">
        <v>0</v>
      </c>
    </row>
    <row r="7280" spans="13:14" x14ac:dyDescent="0.35">
      <c r="M7280" s="46">
        <v>0.14099220952663599</v>
      </c>
      <c r="N7280" s="46">
        <v>0</v>
      </c>
    </row>
    <row r="7281" spans="13:14" x14ac:dyDescent="0.35">
      <c r="M7281" s="46">
        <v>0.17816382252559726</v>
      </c>
      <c r="N7281" s="46">
        <v>0</v>
      </c>
    </row>
    <row r="7282" spans="13:14" x14ac:dyDescent="0.35">
      <c r="M7282" s="46">
        <v>0.2191631547707375</v>
      </c>
      <c r="N7282" s="46">
        <v>0</v>
      </c>
    </row>
    <row r="7283" spans="13:14" x14ac:dyDescent="0.35">
      <c r="M7283" s="46">
        <v>0.30998545778305392</v>
      </c>
      <c r="N7283" s="46">
        <v>0</v>
      </c>
    </row>
    <row r="7284" spans="13:14" x14ac:dyDescent="0.35">
      <c r="M7284" s="46">
        <v>0.414582504822674</v>
      </c>
      <c r="N7284" s="46">
        <v>0</v>
      </c>
    </row>
    <row r="7285" spans="13:14" x14ac:dyDescent="0.35">
      <c r="M7285" s="46">
        <v>0.51223905623979815</v>
      </c>
      <c r="N7285" s="46">
        <v>0</v>
      </c>
    </row>
    <row r="7286" spans="13:14" x14ac:dyDescent="0.35">
      <c r="M7286" s="46">
        <v>0.57361426027600537</v>
      </c>
      <c r="N7286" s="46">
        <v>0</v>
      </c>
    </row>
    <row r="7287" spans="13:14" x14ac:dyDescent="0.35">
      <c r="M7287" s="46">
        <v>0.61689063659296628</v>
      </c>
      <c r="N7287" s="46">
        <v>0</v>
      </c>
    </row>
    <row r="7288" spans="13:14" x14ac:dyDescent="0.35">
      <c r="M7288" s="46">
        <v>0.62621182668051645</v>
      </c>
      <c r="N7288" s="46">
        <v>0</v>
      </c>
    </row>
    <row r="7289" spans="13:14" x14ac:dyDescent="0.35">
      <c r="M7289" s="46">
        <v>0.60051802938121379</v>
      </c>
      <c r="N7289" s="46">
        <v>0</v>
      </c>
    </row>
    <row r="7290" spans="13:14" x14ac:dyDescent="0.35">
      <c r="M7290" s="46">
        <v>0.55889775931147057</v>
      </c>
      <c r="N7290" s="46">
        <v>0</v>
      </c>
    </row>
    <row r="7291" spans="13:14" x14ac:dyDescent="0.35">
      <c r="M7291" s="46">
        <v>0.52215833209675022</v>
      </c>
      <c r="N7291" s="46">
        <v>0</v>
      </c>
    </row>
    <row r="7292" spans="13:14" x14ac:dyDescent="0.35">
      <c r="M7292" s="46">
        <v>0.51033825493396645</v>
      </c>
      <c r="N7292" s="46">
        <v>0</v>
      </c>
    </row>
    <row r="7293" spans="13:14" x14ac:dyDescent="0.35">
      <c r="M7293" s="46">
        <v>0.51763518326161151</v>
      </c>
      <c r="N7293" s="46">
        <v>0</v>
      </c>
    </row>
    <row r="7294" spans="13:14" x14ac:dyDescent="0.35">
      <c r="M7294" s="46">
        <v>0.52099332245140229</v>
      </c>
      <c r="N7294" s="46">
        <v>0</v>
      </c>
    </row>
    <row r="7295" spans="13:14" x14ac:dyDescent="0.35">
      <c r="M7295" s="46">
        <v>0.5114031755453331</v>
      </c>
      <c r="N7295" s="46">
        <v>0</v>
      </c>
    </row>
    <row r="7296" spans="13:14" x14ac:dyDescent="0.35">
      <c r="M7296" s="46">
        <v>0.48669120047484787</v>
      </c>
      <c r="N7296" s="46">
        <v>0</v>
      </c>
    </row>
    <row r="7297" spans="13:14" x14ac:dyDescent="0.35">
      <c r="M7297" s="46">
        <v>0.45764838996883811</v>
      </c>
      <c r="N7297" s="46">
        <v>0</v>
      </c>
    </row>
    <row r="7298" spans="13:14" x14ac:dyDescent="0.35">
      <c r="M7298" s="46">
        <v>0.4159997032200623</v>
      </c>
      <c r="N7298" s="46">
        <v>0</v>
      </c>
    </row>
    <row r="7299" spans="13:14" x14ac:dyDescent="0.35">
      <c r="M7299" s="46">
        <v>0.39038343967947764</v>
      </c>
      <c r="N7299" s="46">
        <v>0</v>
      </c>
    </row>
    <row r="7300" spans="13:14" x14ac:dyDescent="0.35">
      <c r="M7300" s="46">
        <v>0.36992113073156252</v>
      </c>
      <c r="N7300" s="46">
        <v>0</v>
      </c>
    </row>
    <row r="7301" spans="13:14" x14ac:dyDescent="0.35">
      <c r="M7301" s="46">
        <v>0.34924180145422168</v>
      </c>
      <c r="N7301" s="46">
        <v>0</v>
      </c>
    </row>
    <row r="7302" spans="13:14" x14ac:dyDescent="0.35">
      <c r="M7302" s="46">
        <v>0.33540888855913337</v>
      </c>
      <c r="N7302" s="46">
        <v>0</v>
      </c>
    </row>
    <row r="7303" spans="13:14" x14ac:dyDescent="0.35">
      <c r="M7303" s="46">
        <v>0.32607619824899836</v>
      </c>
      <c r="N7303" s="46">
        <v>0</v>
      </c>
    </row>
    <row r="7304" spans="13:14" x14ac:dyDescent="0.35">
      <c r="M7304" s="46">
        <v>0.31900608398872238</v>
      </c>
      <c r="N7304" s="46">
        <v>0</v>
      </c>
    </row>
    <row r="7305" spans="13:14" x14ac:dyDescent="0.35">
      <c r="M7305" s="46">
        <v>0.31860253746846712</v>
      </c>
      <c r="N7305" s="46">
        <v>0</v>
      </c>
    </row>
    <row r="7306" spans="13:14" x14ac:dyDescent="0.35">
      <c r="M7306" s="46">
        <v>0.33450022258495327</v>
      </c>
      <c r="N7306" s="46">
        <v>0</v>
      </c>
    </row>
    <row r="7307" spans="13:14" x14ac:dyDescent="0.35">
      <c r="M7307" s="46">
        <v>0.42356966909036953</v>
      </c>
      <c r="N7307" s="46">
        <v>0</v>
      </c>
    </row>
    <row r="7308" spans="13:14" x14ac:dyDescent="0.35">
      <c r="M7308" s="46">
        <v>0.51945429588959791</v>
      </c>
      <c r="N7308" s="46">
        <v>0</v>
      </c>
    </row>
    <row r="7309" spans="13:14" x14ac:dyDescent="0.35">
      <c r="M7309" s="46">
        <v>0.59514920611366673</v>
      </c>
      <c r="N7309" s="46">
        <v>0</v>
      </c>
    </row>
    <row r="7310" spans="13:14" x14ac:dyDescent="0.35">
      <c r="M7310" s="46">
        <v>0.66460120195874761</v>
      </c>
      <c r="N7310" s="46">
        <v>0</v>
      </c>
    </row>
    <row r="7311" spans="13:14" x14ac:dyDescent="0.35">
      <c r="M7311" s="46">
        <v>0.69242914378987974</v>
      </c>
      <c r="N7311" s="46">
        <v>0</v>
      </c>
    </row>
    <row r="7312" spans="13:14" x14ac:dyDescent="0.35">
      <c r="M7312" s="46">
        <v>0.6739742543404067</v>
      </c>
      <c r="N7312" s="46">
        <v>0</v>
      </c>
    </row>
    <row r="7313" spans="13:14" x14ac:dyDescent="0.35">
      <c r="M7313" s="46">
        <v>0.60031851906811096</v>
      </c>
      <c r="N7313" s="46">
        <v>0</v>
      </c>
    </row>
    <row r="7314" spans="13:14" x14ac:dyDescent="0.35">
      <c r="M7314" s="46">
        <v>0.47980405104614926</v>
      </c>
      <c r="N7314" s="46">
        <v>0</v>
      </c>
    </row>
    <row r="7315" spans="13:14" x14ac:dyDescent="0.35">
      <c r="M7315" s="46">
        <v>0.32250697432853537</v>
      </c>
      <c r="N7315" s="46">
        <v>0</v>
      </c>
    </row>
    <row r="7316" spans="13:14" x14ac:dyDescent="0.35">
      <c r="M7316" s="46">
        <v>0.19923445615076421</v>
      </c>
      <c r="N7316" s="46">
        <v>0</v>
      </c>
    </row>
    <row r="7317" spans="13:14" x14ac:dyDescent="0.35">
      <c r="M7317" s="46">
        <v>0.14774758866300639</v>
      </c>
      <c r="N7317" s="46">
        <v>0</v>
      </c>
    </row>
    <row r="7318" spans="13:14" x14ac:dyDescent="0.35">
      <c r="M7318" s="46">
        <v>0.11151001632289657</v>
      </c>
      <c r="N7318" s="46">
        <v>0</v>
      </c>
    </row>
    <row r="7319" spans="13:14" x14ac:dyDescent="0.35">
      <c r="M7319" s="46">
        <v>8.6620715239649801E-2</v>
      </c>
      <c r="N7319" s="46">
        <v>0</v>
      </c>
    </row>
    <row r="7320" spans="13:14" x14ac:dyDescent="0.35">
      <c r="M7320" s="46">
        <v>7.1404140080130588E-2</v>
      </c>
      <c r="N7320" s="46">
        <v>0</v>
      </c>
    </row>
    <row r="7321" spans="13:14" x14ac:dyDescent="0.35">
      <c r="M7321" s="46">
        <v>5.8346713162190242E-2</v>
      </c>
      <c r="N7321" s="46">
        <v>0</v>
      </c>
    </row>
    <row r="7322" spans="13:14" x14ac:dyDescent="0.35">
      <c r="M7322" s="46">
        <v>4.9670871049117084E-2</v>
      </c>
      <c r="N7322" s="46">
        <v>0</v>
      </c>
    </row>
    <row r="7323" spans="13:14" x14ac:dyDescent="0.35">
      <c r="M7323" s="46">
        <v>4.645555720433299E-2</v>
      </c>
      <c r="N7323" s="46">
        <v>0</v>
      </c>
    </row>
    <row r="7324" spans="13:14" x14ac:dyDescent="0.35">
      <c r="M7324" s="46">
        <v>4.8758569520700401E-2</v>
      </c>
      <c r="N7324" s="46">
        <v>0</v>
      </c>
    </row>
    <row r="7325" spans="13:14" x14ac:dyDescent="0.35">
      <c r="M7325" s="46">
        <v>5.4625983083543557E-2</v>
      </c>
      <c r="N7325" s="46">
        <v>0</v>
      </c>
    </row>
    <row r="7326" spans="13:14" x14ac:dyDescent="0.35">
      <c r="M7326" s="46">
        <v>6.304429440569817E-2</v>
      </c>
      <c r="N7326" s="46">
        <v>0</v>
      </c>
    </row>
    <row r="7327" spans="13:14" x14ac:dyDescent="0.35">
      <c r="M7327" s="46">
        <v>7.3605282682890641E-2</v>
      </c>
      <c r="N7327" s="46">
        <v>0</v>
      </c>
    </row>
    <row r="7328" spans="13:14" x14ac:dyDescent="0.35">
      <c r="M7328" s="46">
        <v>8.4807686600385818E-2</v>
      </c>
      <c r="N7328" s="46">
        <v>0</v>
      </c>
    </row>
    <row r="7329" spans="13:14" x14ac:dyDescent="0.35">
      <c r="M7329" s="46">
        <v>9.8312064104466537E-2</v>
      </c>
      <c r="N7329" s="46">
        <v>0</v>
      </c>
    </row>
    <row r="7330" spans="13:14" x14ac:dyDescent="0.35">
      <c r="M7330" s="46">
        <v>0.13841282089330761</v>
      </c>
      <c r="N7330" s="46">
        <v>0</v>
      </c>
    </row>
    <row r="7331" spans="13:14" x14ac:dyDescent="0.35">
      <c r="M7331" s="46">
        <v>0.27015358361774744</v>
      </c>
      <c r="N7331" s="46">
        <v>0</v>
      </c>
    </row>
    <row r="7332" spans="13:14" x14ac:dyDescent="0.35">
      <c r="M7332" s="46">
        <v>0.40328950882920317</v>
      </c>
      <c r="N7332" s="46">
        <v>0</v>
      </c>
    </row>
    <row r="7333" spans="13:14" x14ac:dyDescent="0.35">
      <c r="M7333" s="46">
        <v>0.49579937676213087</v>
      </c>
      <c r="N7333" s="46">
        <v>0</v>
      </c>
    </row>
    <row r="7334" spans="13:14" x14ac:dyDescent="0.35">
      <c r="M7334" s="46">
        <v>0.53648530939308503</v>
      </c>
      <c r="N7334" s="46">
        <v>0</v>
      </c>
    </row>
    <row r="7335" spans="13:14" x14ac:dyDescent="0.35">
      <c r="M7335" s="46">
        <v>0.52387854281050605</v>
      </c>
      <c r="N7335" s="46">
        <v>0</v>
      </c>
    </row>
    <row r="7336" spans="13:14" x14ac:dyDescent="0.35">
      <c r="M7336" s="46">
        <v>0.4613074640154326</v>
      </c>
      <c r="N7336" s="46">
        <v>0</v>
      </c>
    </row>
    <row r="7337" spans="13:14" x14ac:dyDescent="0.35">
      <c r="M7337" s="46">
        <v>0.37459274373052387</v>
      </c>
      <c r="N7337" s="46">
        <v>0</v>
      </c>
    </row>
    <row r="7338" spans="13:14" x14ac:dyDescent="0.35">
      <c r="M7338" s="46">
        <v>0.25888321709452444</v>
      </c>
      <c r="N7338" s="46">
        <v>0</v>
      </c>
    </row>
    <row r="7339" spans="13:14" x14ac:dyDescent="0.35">
      <c r="M7339" s="46">
        <v>0.14180175100163228</v>
      </c>
      <c r="N7339" s="46">
        <v>0</v>
      </c>
    </row>
    <row r="7340" spans="13:14" x14ac:dyDescent="0.35">
      <c r="M7340" s="46">
        <v>6.8867413562843149E-2</v>
      </c>
      <c r="N7340" s="46">
        <v>0</v>
      </c>
    </row>
    <row r="7341" spans="13:14" x14ac:dyDescent="0.35">
      <c r="M7341" s="46">
        <v>6.3963199287728145E-2</v>
      </c>
      <c r="N7341" s="46">
        <v>0</v>
      </c>
    </row>
    <row r="7342" spans="13:14" x14ac:dyDescent="0.35">
      <c r="M7342" s="46">
        <v>6.0930108324677254E-2</v>
      </c>
      <c r="N7342" s="46">
        <v>0</v>
      </c>
    </row>
    <row r="7343" spans="13:14" x14ac:dyDescent="0.35">
      <c r="M7343" s="46">
        <v>5.8172280753821047E-2</v>
      </c>
      <c r="N7343" s="46">
        <v>0</v>
      </c>
    </row>
    <row r="7344" spans="13:14" x14ac:dyDescent="0.35">
      <c r="M7344" s="46">
        <v>4.7448137705891083E-2</v>
      </c>
      <c r="N7344" s="46">
        <v>0</v>
      </c>
    </row>
    <row r="7345" spans="13:14" x14ac:dyDescent="0.35">
      <c r="M7345" s="46">
        <v>3.9743804718801012E-2</v>
      </c>
      <c r="N7345" s="46">
        <v>0</v>
      </c>
    </row>
    <row r="7346" spans="13:14" x14ac:dyDescent="0.35">
      <c r="M7346" s="46">
        <v>3.3686155215907405E-2</v>
      </c>
      <c r="N7346" s="46">
        <v>0</v>
      </c>
    </row>
    <row r="7347" spans="13:14" x14ac:dyDescent="0.35">
      <c r="M7347" s="46">
        <v>2.9906365929663153E-2</v>
      </c>
      <c r="N7347" s="46">
        <v>0</v>
      </c>
    </row>
    <row r="7348" spans="13:14" x14ac:dyDescent="0.35">
      <c r="M7348" s="46">
        <v>2.7034055497848347E-2</v>
      </c>
      <c r="N7348" s="46">
        <v>0</v>
      </c>
    </row>
    <row r="7349" spans="13:14" x14ac:dyDescent="0.35">
      <c r="M7349" s="46">
        <v>2.4106692387594601E-2</v>
      </c>
      <c r="N7349" s="46">
        <v>0</v>
      </c>
    </row>
    <row r="7350" spans="13:14" x14ac:dyDescent="0.35">
      <c r="M7350" s="46">
        <v>2.2795296037987835E-2</v>
      </c>
      <c r="N7350" s="46">
        <v>0</v>
      </c>
    </row>
    <row r="7351" spans="13:14" x14ac:dyDescent="0.35">
      <c r="M7351" s="46">
        <v>2.1637186526190826E-2</v>
      </c>
      <c r="N7351" s="46">
        <v>0</v>
      </c>
    </row>
    <row r="7352" spans="13:14" x14ac:dyDescent="0.35">
      <c r="M7352" s="46">
        <v>2.1345229262501854E-2</v>
      </c>
      <c r="N7352" s="46">
        <v>0</v>
      </c>
    </row>
    <row r="7353" spans="13:14" x14ac:dyDescent="0.35">
      <c r="M7353" s="46">
        <v>2.0044887965573528E-2</v>
      </c>
      <c r="N7353" s="46">
        <v>0</v>
      </c>
    </row>
    <row r="7354" spans="13:14" x14ac:dyDescent="0.35">
      <c r="M7354" s="46">
        <v>3.8717168719394575E-2</v>
      </c>
      <c r="N7354" s="46">
        <v>0</v>
      </c>
    </row>
    <row r="7355" spans="13:14" x14ac:dyDescent="0.35">
      <c r="M7355" s="46">
        <v>0.15323482712568631</v>
      </c>
      <c r="N7355" s="46">
        <v>0</v>
      </c>
    </row>
    <row r="7356" spans="13:14" x14ac:dyDescent="0.35">
      <c r="M7356" s="46">
        <v>0.28750452589404957</v>
      </c>
      <c r="N7356" s="46">
        <v>0</v>
      </c>
    </row>
    <row r="7357" spans="13:14" x14ac:dyDescent="0.35">
      <c r="M7357" s="46">
        <v>0.39842595340554976</v>
      </c>
      <c r="N7357" s="46">
        <v>0</v>
      </c>
    </row>
    <row r="7358" spans="13:14" x14ac:dyDescent="0.35">
      <c r="M7358" s="46">
        <v>0.45680227036652321</v>
      </c>
      <c r="N7358" s="46">
        <v>0</v>
      </c>
    </row>
    <row r="7359" spans="13:14" x14ac:dyDescent="0.35">
      <c r="M7359" s="46">
        <v>0.46153865558688234</v>
      </c>
      <c r="N7359" s="46">
        <v>0</v>
      </c>
    </row>
    <row r="7360" spans="13:14" x14ac:dyDescent="0.35">
      <c r="M7360" s="46">
        <v>0.41662494435376168</v>
      </c>
      <c r="N7360" s="46">
        <v>0</v>
      </c>
    </row>
    <row r="7361" spans="13:14" x14ac:dyDescent="0.35">
      <c r="M7361" s="46">
        <v>0.34586526190829503</v>
      </c>
      <c r="N7361" s="46">
        <v>0</v>
      </c>
    </row>
    <row r="7362" spans="13:14" x14ac:dyDescent="0.35">
      <c r="M7362" s="46">
        <v>0.23820811693129545</v>
      </c>
      <c r="N7362" s="46">
        <v>0</v>
      </c>
    </row>
    <row r="7363" spans="13:14" x14ac:dyDescent="0.35">
      <c r="M7363" s="46">
        <v>0.11990243359548895</v>
      </c>
      <c r="N7363" s="46">
        <v>0</v>
      </c>
    </row>
    <row r="7364" spans="13:14" x14ac:dyDescent="0.35">
      <c r="M7364" s="46">
        <v>3.8770960083098376E-2</v>
      </c>
      <c r="N7364" s="46">
        <v>0</v>
      </c>
    </row>
    <row r="7365" spans="13:14" x14ac:dyDescent="0.35">
      <c r="M7365" s="46">
        <v>3.3646015729336697E-2</v>
      </c>
      <c r="N7365" s="46">
        <v>0</v>
      </c>
    </row>
    <row r="7366" spans="13:14" x14ac:dyDescent="0.35">
      <c r="M7366" s="46">
        <v>3.7950289360439239E-2</v>
      </c>
      <c r="N7366" s="46">
        <v>0</v>
      </c>
    </row>
    <row r="7367" spans="13:14" x14ac:dyDescent="0.35">
      <c r="M7367" s="46">
        <v>5.4003116189345605E-2</v>
      </c>
      <c r="N7367" s="46">
        <v>0</v>
      </c>
    </row>
    <row r="7368" spans="13:14" x14ac:dyDescent="0.35">
      <c r="M7368" s="46">
        <v>6.8511129247662866E-2</v>
      </c>
      <c r="N7368" s="46">
        <v>0</v>
      </c>
    </row>
    <row r="7369" spans="13:14" x14ac:dyDescent="0.35">
      <c r="M7369" s="46">
        <v>9.3162041845971211E-2</v>
      </c>
      <c r="N7369" s="46">
        <v>0</v>
      </c>
    </row>
    <row r="7370" spans="13:14" x14ac:dyDescent="0.35">
      <c r="M7370" s="46">
        <v>0.1056055052678439</v>
      </c>
      <c r="N7370" s="46">
        <v>0</v>
      </c>
    </row>
    <row r="7371" spans="13:14" x14ac:dyDescent="0.35">
      <c r="M7371" s="46">
        <v>0.11879856061730226</v>
      </c>
      <c r="N7371" s="46">
        <v>0</v>
      </c>
    </row>
    <row r="7372" spans="13:14" x14ac:dyDescent="0.35">
      <c r="M7372" s="46">
        <v>0.12343329870900727</v>
      </c>
      <c r="N7372" s="46">
        <v>0</v>
      </c>
    </row>
    <row r="7373" spans="13:14" x14ac:dyDescent="0.35">
      <c r="M7373" s="46">
        <v>0.12044925063065737</v>
      </c>
      <c r="N7373" s="46">
        <v>0</v>
      </c>
    </row>
    <row r="7374" spans="13:14" x14ac:dyDescent="0.35">
      <c r="M7374" s="46">
        <v>0.11187527823119157</v>
      </c>
      <c r="N7374" s="46">
        <v>0</v>
      </c>
    </row>
    <row r="7375" spans="13:14" x14ac:dyDescent="0.35">
      <c r="M7375" s="46">
        <v>9.957018845526043E-2</v>
      </c>
      <c r="N7375" s="46">
        <v>0</v>
      </c>
    </row>
    <row r="7376" spans="13:14" x14ac:dyDescent="0.35">
      <c r="M7376" s="46">
        <v>8.6174061433447094E-2</v>
      </c>
      <c r="N7376" s="46">
        <v>0</v>
      </c>
    </row>
    <row r="7377" spans="13:14" x14ac:dyDescent="0.35">
      <c r="M7377" s="46">
        <v>8.3808280160261164E-2</v>
      </c>
      <c r="N7377" s="46">
        <v>0</v>
      </c>
    </row>
    <row r="7378" spans="13:14" x14ac:dyDescent="0.35">
      <c r="M7378" s="46">
        <v>0.10793292773408518</v>
      </c>
      <c r="N7378" s="46">
        <v>0</v>
      </c>
    </row>
    <row r="7379" spans="13:14" x14ac:dyDescent="0.35">
      <c r="M7379" s="46">
        <v>0.20872162041845971</v>
      </c>
      <c r="N7379" s="46">
        <v>0</v>
      </c>
    </row>
    <row r="7380" spans="13:14" x14ac:dyDescent="0.35">
      <c r="M7380" s="46">
        <v>0.3295028194094079</v>
      </c>
      <c r="N7380" s="46">
        <v>0</v>
      </c>
    </row>
    <row r="7381" spans="13:14" x14ac:dyDescent="0.35">
      <c r="M7381" s="46">
        <v>0.43381325122421727</v>
      </c>
      <c r="N7381" s="46">
        <v>0</v>
      </c>
    </row>
    <row r="7382" spans="13:14" x14ac:dyDescent="0.35">
      <c r="M7382" s="46">
        <v>0.50518422614631253</v>
      </c>
      <c r="N7382" s="46">
        <v>0</v>
      </c>
    </row>
    <row r="7383" spans="13:14" x14ac:dyDescent="0.35">
      <c r="M7383" s="46">
        <v>0.52690755304941383</v>
      </c>
      <c r="N7383" s="46">
        <v>0</v>
      </c>
    </row>
    <row r="7384" spans="13:14" x14ac:dyDescent="0.35">
      <c r="M7384" s="46">
        <v>0.50072436563288325</v>
      </c>
      <c r="N7384" s="46">
        <v>0</v>
      </c>
    </row>
    <row r="7385" spans="13:14" x14ac:dyDescent="0.35">
      <c r="M7385" s="46">
        <v>0.43549458376613737</v>
      </c>
      <c r="N7385" s="46">
        <v>0</v>
      </c>
    </row>
    <row r="7386" spans="13:14" x14ac:dyDescent="0.35">
      <c r="M7386" s="46">
        <v>0.33228453776524708</v>
      </c>
      <c r="N7386" s="46">
        <v>0</v>
      </c>
    </row>
    <row r="7387" spans="13:14" x14ac:dyDescent="0.35">
      <c r="M7387" s="46">
        <v>0.22370425879210565</v>
      </c>
      <c r="N7387" s="46">
        <v>0</v>
      </c>
    </row>
    <row r="7388" spans="13:14" x14ac:dyDescent="0.35">
      <c r="M7388" s="46">
        <v>0.15545466686451995</v>
      </c>
      <c r="N7388" s="46">
        <v>0</v>
      </c>
    </row>
    <row r="7389" spans="13:14" x14ac:dyDescent="0.35">
      <c r="M7389" s="46">
        <v>0.14790948211900876</v>
      </c>
      <c r="N7389" s="46">
        <v>0</v>
      </c>
    </row>
    <row r="7390" spans="13:14" x14ac:dyDescent="0.35">
      <c r="M7390" s="46">
        <v>0.15199458376613742</v>
      </c>
      <c r="N7390" s="46">
        <v>0</v>
      </c>
    </row>
    <row r="7391" spans="13:14" x14ac:dyDescent="0.35">
      <c r="M7391" s="46">
        <v>0.15744405698174804</v>
      </c>
      <c r="N7391" s="46">
        <v>0</v>
      </c>
    </row>
    <row r="7392" spans="13:14" x14ac:dyDescent="0.35">
      <c r="M7392" s="46">
        <v>0.16046661225701142</v>
      </c>
      <c r="N7392" s="46">
        <v>0</v>
      </c>
    </row>
    <row r="7393" spans="13:14" x14ac:dyDescent="0.35">
      <c r="M7393" s="46">
        <v>0.17694502151654545</v>
      </c>
      <c r="N7393" s="46">
        <v>0</v>
      </c>
    </row>
    <row r="7394" spans="13:14" x14ac:dyDescent="0.35">
      <c r="M7394" s="46">
        <v>0.19519624573378841</v>
      </c>
      <c r="N7394" s="46">
        <v>0</v>
      </c>
    </row>
    <row r="7395" spans="13:14" x14ac:dyDescent="0.35">
      <c r="M7395" s="46">
        <v>0.21081406736904584</v>
      </c>
      <c r="N7395" s="46">
        <v>0</v>
      </c>
    </row>
    <row r="7396" spans="13:14" x14ac:dyDescent="0.35">
      <c r="M7396" s="46">
        <v>0.22558413711233119</v>
      </c>
      <c r="N7396" s="46">
        <v>0</v>
      </c>
    </row>
    <row r="7397" spans="13:14" x14ac:dyDescent="0.35">
      <c r="M7397" s="46">
        <v>0.23792929217984865</v>
      </c>
      <c r="N7397" s="46">
        <v>0</v>
      </c>
    </row>
    <row r="7398" spans="13:14" x14ac:dyDescent="0.35">
      <c r="M7398" s="46">
        <v>0.25111989909482119</v>
      </c>
      <c r="N7398" s="46">
        <v>0</v>
      </c>
    </row>
    <row r="7399" spans="13:14" x14ac:dyDescent="0.35">
      <c r="M7399" s="46">
        <v>0.25763785428105063</v>
      </c>
      <c r="N7399" s="46">
        <v>0</v>
      </c>
    </row>
    <row r="7400" spans="13:14" x14ac:dyDescent="0.35">
      <c r="M7400" s="46">
        <v>0.26933209675025971</v>
      </c>
      <c r="N7400" s="46">
        <v>0</v>
      </c>
    </row>
    <row r="7401" spans="13:14" x14ac:dyDescent="0.35">
      <c r="M7401" s="46">
        <v>0.29171004600089034</v>
      </c>
      <c r="N7401" s="46">
        <v>0</v>
      </c>
    </row>
    <row r="7402" spans="13:14" x14ac:dyDescent="0.35">
      <c r="M7402" s="46">
        <v>0.32928980560914078</v>
      </c>
      <c r="N7402" s="46">
        <v>0</v>
      </c>
    </row>
    <row r="7403" spans="13:14" x14ac:dyDescent="0.35">
      <c r="M7403" s="46">
        <v>0.43085769401988427</v>
      </c>
      <c r="N7403" s="46">
        <v>0</v>
      </c>
    </row>
    <row r="7404" spans="13:14" x14ac:dyDescent="0.35">
      <c r="M7404" s="46">
        <v>0.55061559578572494</v>
      </c>
      <c r="N7404" s="46">
        <v>0</v>
      </c>
    </row>
    <row r="7405" spans="13:14" x14ac:dyDescent="0.35">
      <c r="M7405" s="46">
        <v>0.66000304199436122</v>
      </c>
      <c r="N7405" s="46">
        <v>0</v>
      </c>
    </row>
    <row r="7406" spans="13:14" x14ac:dyDescent="0.35">
      <c r="M7406" s="46">
        <v>0.70197573824009496</v>
      </c>
      <c r="N7406" s="46">
        <v>0</v>
      </c>
    </row>
    <row r="7407" spans="13:14" x14ac:dyDescent="0.35">
      <c r="M7407" s="46">
        <v>0.70224239501409702</v>
      </c>
      <c r="N7407" s="46">
        <v>0</v>
      </c>
    </row>
    <row r="7408" spans="13:14" x14ac:dyDescent="0.35">
      <c r="M7408" s="46">
        <v>0.66135658109511786</v>
      </c>
      <c r="N7408" s="46">
        <v>0</v>
      </c>
    </row>
    <row r="7409" spans="13:14" x14ac:dyDescent="0.35">
      <c r="M7409" s="46">
        <v>0.60203390710787952</v>
      </c>
      <c r="N7409" s="46">
        <v>0</v>
      </c>
    </row>
    <row r="7410" spans="13:14" x14ac:dyDescent="0.35">
      <c r="M7410" s="46">
        <v>0.50749740317554537</v>
      </c>
      <c r="N7410" s="46">
        <v>0</v>
      </c>
    </row>
    <row r="7411" spans="13:14" x14ac:dyDescent="0.35">
      <c r="M7411" s="46">
        <v>0.38729032497403176</v>
      </c>
      <c r="N7411" s="46">
        <v>0</v>
      </c>
    </row>
    <row r="7412" spans="13:14" x14ac:dyDescent="0.35">
      <c r="M7412" s="46">
        <v>0.28115313844784096</v>
      </c>
      <c r="N7412" s="46">
        <v>0</v>
      </c>
    </row>
    <row r="7413" spans="13:14" x14ac:dyDescent="0.35">
      <c r="M7413" s="46">
        <v>0.18833380323490131</v>
      </c>
      <c r="N7413" s="46">
        <v>0</v>
      </c>
    </row>
    <row r="7414" spans="13:14" x14ac:dyDescent="0.35">
      <c r="M7414" s="46">
        <v>0.13778609585991985</v>
      </c>
      <c r="N7414" s="46">
        <v>0</v>
      </c>
    </row>
    <row r="7415" spans="13:14" x14ac:dyDescent="0.35">
      <c r="M7415" s="46">
        <v>0.13842113073156256</v>
      </c>
      <c r="N7415" s="46">
        <v>0</v>
      </c>
    </row>
    <row r="7416" spans="13:14" x14ac:dyDescent="0.35">
      <c r="M7416" s="46">
        <v>0.16638425582430627</v>
      </c>
      <c r="N7416" s="46">
        <v>0</v>
      </c>
    </row>
    <row r="7417" spans="13:14" x14ac:dyDescent="0.35">
      <c r="M7417" s="46">
        <v>0.22125901469060691</v>
      </c>
      <c r="N7417" s="46">
        <v>0</v>
      </c>
    </row>
    <row r="7418" spans="13:14" x14ac:dyDescent="0.35">
      <c r="M7418" s="46">
        <v>0.28278527971509126</v>
      </c>
      <c r="N7418" s="46">
        <v>0</v>
      </c>
    </row>
    <row r="7419" spans="13:14" x14ac:dyDescent="0.35">
      <c r="M7419" s="46">
        <v>0.34119869416827425</v>
      </c>
      <c r="N7419" s="46">
        <v>0</v>
      </c>
    </row>
    <row r="7420" spans="13:14" x14ac:dyDescent="0.35">
      <c r="M7420" s="46">
        <v>0.38623364000593563</v>
      </c>
      <c r="N7420" s="46">
        <v>0</v>
      </c>
    </row>
    <row r="7421" spans="13:14" x14ac:dyDescent="0.35">
      <c r="M7421" s="46">
        <v>0.42196713162190236</v>
      </c>
      <c r="N7421" s="46">
        <v>0</v>
      </c>
    </row>
    <row r="7422" spans="13:14" x14ac:dyDescent="0.35">
      <c r="M7422" s="46">
        <v>0.45654703962012172</v>
      </c>
      <c r="N7422" s="46">
        <v>0</v>
      </c>
    </row>
    <row r="7423" spans="13:14" x14ac:dyDescent="0.35">
      <c r="M7423" s="46">
        <v>0.49049725478557649</v>
      </c>
      <c r="N7423" s="46">
        <v>0</v>
      </c>
    </row>
    <row r="7424" spans="13:14" x14ac:dyDescent="0.35">
      <c r="M7424" s="46">
        <v>0.52871753969431667</v>
      </c>
      <c r="N7424" s="46">
        <v>0</v>
      </c>
    </row>
    <row r="7425" spans="13:14" x14ac:dyDescent="0.35">
      <c r="M7425" s="46">
        <v>0.55984908740169159</v>
      </c>
      <c r="N7425" s="46">
        <v>0</v>
      </c>
    </row>
    <row r="7426" spans="13:14" x14ac:dyDescent="0.35">
      <c r="M7426" s="46">
        <v>0.58516849680961569</v>
      </c>
      <c r="N7426" s="46">
        <v>0</v>
      </c>
    </row>
    <row r="7427" spans="13:14" x14ac:dyDescent="0.35">
      <c r="M7427" s="46">
        <v>0.63057708858881134</v>
      </c>
      <c r="N7427" s="46">
        <v>0</v>
      </c>
    </row>
    <row r="7428" spans="13:14" x14ac:dyDescent="0.35">
      <c r="M7428" s="46">
        <v>0.68023037542662124</v>
      </c>
      <c r="N7428" s="46">
        <v>0</v>
      </c>
    </row>
    <row r="7429" spans="13:14" x14ac:dyDescent="0.35">
      <c r="M7429" s="46">
        <v>0.72785316812583467</v>
      </c>
      <c r="N7429" s="46">
        <v>0</v>
      </c>
    </row>
    <row r="7430" spans="13:14" x14ac:dyDescent="0.35">
      <c r="M7430" s="46">
        <v>0.81190347232527071</v>
      </c>
      <c r="N7430" s="46">
        <v>0</v>
      </c>
    </row>
    <row r="7431" spans="13:14" x14ac:dyDescent="0.35">
      <c r="M7431" s="46">
        <v>0.88560565365781263</v>
      </c>
      <c r="N7431" s="46">
        <v>0</v>
      </c>
    </row>
    <row r="7432" spans="13:14" x14ac:dyDescent="0.35">
      <c r="M7432" s="46">
        <v>0.93501105505267845</v>
      </c>
      <c r="N7432" s="46">
        <v>0</v>
      </c>
    </row>
    <row r="7433" spans="13:14" x14ac:dyDescent="0.35">
      <c r="M7433" s="46">
        <v>0.90384767769698759</v>
      </c>
      <c r="N7433" s="46">
        <v>0</v>
      </c>
    </row>
    <row r="7434" spans="13:14" x14ac:dyDescent="0.35">
      <c r="M7434" s="46">
        <v>0.83598568036800713</v>
      </c>
      <c r="N7434" s="46">
        <v>0</v>
      </c>
    </row>
    <row r="7435" spans="13:14" x14ac:dyDescent="0.35">
      <c r="M7435" s="46">
        <v>0.73587364594153437</v>
      </c>
      <c r="N7435" s="46">
        <v>0</v>
      </c>
    </row>
    <row r="7436" spans="13:14" x14ac:dyDescent="0.35">
      <c r="M7436" s="46">
        <v>0.64699851610031156</v>
      </c>
      <c r="N7436" s="46">
        <v>0</v>
      </c>
    </row>
    <row r="7437" spans="13:14" x14ac:dyDescent="0.35">
      <c r="M7437" s="46">
        <v>0.64213451550675171</v>
      </c>
      <c r="N7437" s="46">
        <v>0</v>
      </c>
    </row>
    <row r="7438" spans="13:14" x14ac:dyDescent="0.35">
      <c r="M7438" s="46">
        <v>0.63940881436414898</v>
      </c>
      <c r="N7438" s="46">
        <v>0</v>
      </c>
    </row>
    <row r="7439" spans="13:14" x14ac:dyDescent="0.35">
      <c r="M7439" s="46">
        <v>0.63689493990206258</v>
      </c>
      <c r="N7439" s="46">
        <v>0</v>
      </c>
    </row>
    <row r="7440" spans="13:14" x14ac:dyDescent="0.35">
      <c r="M7440" s="46">
        <v>0.635988128802493</v>
      </c>
      <c r="N7440" s="46">
        <v>0</v>
      </c>
    </row>
    <row r="7441" spans="13:14" x14ac:dyDescent="0.35">
      <c r="M7441" s="46">
        <v>0.6336249443537616</v>
      </c>
      <c r="N7441" s="46">
        <v>0</v>
      </c>
    </row>
    <row r="7442" spans="13:14" x14ac:dyDescent="0.35">
      <c r="M7442" s="46">
        <v>0.63268318741653062</v>
      </c>
      <c r="N7442" s="46">
        <v>0</v>
      </c>
    </row>
    <row r="7443" spans="13:14" x14ac:dyDescent="0.35">
      <c r="M7443" s="46">
        <v>0.62889442053717171</v>
      </c>
      <c r="N7443" s="46">
        <v>0</v>
      </c>
    </row>
    <row r="7444" spans="13:14" x14ac:dyDescent="0.35">
      <c r="M7444" s="46">
        <v>0.62315202552307469</v>
      </c>
      <c r="N7444" s="46">
        <v>0</v>
      </c>
    </row>
    <row r="7445" spans="13:14" x14ac:dyDescent="0.35">
      <c r="M7445" s="46">
        <v>0.61618496809615675</v>
      </c>
      <c r="N7445" s="46">
        <v>0</v>
      </c>
    </row>
    <row r="7446" spans="13:14" x14ac:dyDescent="0.35">
      <c r="M7446" s="46">
        <v>0.60803390710787952</v>
      </c>
      <c r="N7446" s="46">
        <v>0</v>
      </c>
    </row>
    <row r="7447" spans="13:14" x14ac:dyDescent="0.35">
      <c r="M7447" s="46">
        <v>0.58777355690755306</v>
      </c>
      <c r="N7447" s="46">
        <v>0</v>
      </c>
    </row>
    <row r="7448" spans="13:14" x14ac:dyDescent="0.35">
      <c r="M7448" s="46">
        <v>0.56116449028045701</v>
      </c>
      <c r="N7448" s="46">
        <v>0</v>
      </c>
    </row>
    <row r="7449" spans="13:14" x14ac:dyDescent="0.35">
      <c r="M7449" s="46">
        <v>0.53554600089033977</v>
      </c>
      <c r="N7449" s="46">
        <v>0</v>
      </c>
    </row>
    <row r="7450" spans="13:14" x14ac:dyDescent="0.35">
      <c r="M7450" s="46">
        <v>0.53152700697432853</v>
      </c>
      <c r="N7450" s="46">
        <v>0</v>
      </c>
    </row>
    <row r="7451" spans="13:14" x14ac:dyDescent="0.35">
      <c r="M7451" s="46">
        <v>0.62593893752782315</v>
      </c>
      <c r="N7451" s="46">
        <v>0</v>
      </c>
    </row>
    <row r="7452" spans="13:14" x14ac:dyDescent="0.35">
      <c r="M7452" s="46">
        <v>0.73194643122124947</v>
      </c>
      <c r="N7452" s="46">
        <v>0</v>
      </c>
    </row>
    <row r="7453" spans="13:14" x14ac:dyDescent="0.35">
      <c r="M7453" s="46">
        <v>0.81476190829499928</v>
      </c>
      <c r="N7453" s="46">
        <v>0</v>
      </c>
    </row>
    <row r="7454" spans="13:14" x14ac:dyDescent="0.35">
      <c r="M7454" s="46">
        <v>0.84573913043478255</v>
      </c>
      <c r="N7454" s="46">
        <v>0</v>
      </c>
    </row>
    <row r="7455" spans="13:14" x14ac:dyDescent="0.35">
      <c r="M7455" s="46">
        <v>0.83397714794479882</v>
      </c>
      <c r="N7455" s="46">
        <v>0</v>
      </c>
    </row>
    <row r="7456" spans="13:14" x14ac:dyDescent="0.35">
      <c r="M7456" s="46">
        <v>0.79779811544739576</v>
      </c>
      <c r="N7456" s="46">
        <v>0</v>
      </c>
    </row>
    <row r="7457" spans="13:14" x14ac:dyDescent="0.35">
      <c r="M7457" s="46">
        <v>0.76817554533313548</v>
      </c>
      <c r="N7457" s="46">
        <v>0</v>
      </c>
    </row>
    <row r="7458" spans="13:14" x14ac:dyDescent="0.35">
      <c r="M7458" s="46">
        <v>0.70404206855616558</v>
      </c>
      <c r="N7458" s="46">
        <v>0</v>
      </c>
    </row>
    <row r="7459" spans="13:14" x14ac:dyDescent="0.35">
      <c r="M7459" s="46">
        <v>0.6263882623534649</v>
      </c>
      <c r="N7459" s="46">
        <v>0</v>
      </c>
    </row>
    <row r="7460" spans="13:14" x14ac:dyDescent="0.35">
      <c r="M7460" s="46">
        <v>0.56958844042142753</v>
      </c>
      <c r="N7460" s="46">
        <v>0</v>
      </c>
    </row>
    <row r="7461" spans="13:14" x14ac:dyDescent="0.35">
      <c r="M7461" s="46">
        <v>0.56145474105950444</v>
      </c>
      <c r="N7461" s="46">
        <v>0</v>
      </c>
    </row>
    <row r="7462" spans="13:14" x14ac:dyDescent="0.35">
      <c r="M7462" s="46">
        <v>0.53592973734975524</v>
      </c>
      <c r="N7462" s="46">
        <v>0</v>
      </c>
    </row>
    <row r="7463" spans="13:14" x14ac:dyDescent="0.35">
      <c r="M7463" s="46">
        <v>0.49733001929069598</v>
      </c>
      <c r="N7463" s="46">
        <v>0</v>
      </c>
    </row>
    <row r="7464" spans="13:14" x14ac:dyDescent="0.35">
      <c r="M7464" s="46">
        <v>0.44362524113369933</v>
      </c>
      <c r="N7464" s="46">
        <v>0</v>
      </c>
    </row>
    <row r="7465" spans="13:14" x14ac:dyDescent="0.35">
      <c r="M7465" s="46">
        <v>0.41087104911707972</v>
      </c>
      <c r="N7465" s="46">
        <v>0</v>
      </c>
    </row>
    <row r="7466" spans="13:14" x14ac:dyDescent="0.35">
      <c r="M7466" s="46">
        <v>0.3859751446802196</v>
      </c>
      <c r="N7466" s="46">
        <v>0</v>
      </c>
    </row>
    <row r="7467" spans="13:14" x14ac:dyDescent="0.35">
      <c r="M7467" s="46">
        <v>0.38443864074788542</v>
      </c>
      <c r="N7467" s="46">
        <v>0</v>
      </c>
    </row>
    <row r="7468" spans="13:14" x14ac:dyDescent="0.35">
      <c r="M7468" s="46">
        <v>0.39196750259682445</v>
      </c>
      <c r="N7468" s="46">
        <v>0</v>
      </c>
    </row>
    <row r="7469" spans="13:14" x14ac:dyDescent="0.35">
      <c r="M7469" s="46">
        <v>0.39272043329870904</v>
      </c>
      <c r="N7469" s="46">
        <v>0</v>
      </c>
    </row>
    <row r="7470" spans="13:14" x14ac:dyDescent="0.35">
      <c r="M7470" s="46">
        <v>0.39686014245437012</v>
      </c>
      <c r="N7470" s="46">
        <v>0</v>
      </c>
    </row>
    <row r="7471" spans="13:14" x14ac:dyDescent="0.35">
      <c r="M7471" s="46">
        <v>0.39961648612553791</v>
      </c>
      <c r="N7471" s="46">
        <v>0</v>
      </c>
    </row>
    <row r="7472" spans="13:14" x14ac:dyDescent="0.35">
      <c r="M7472" s="46">
        <v>0.3961037245882178</v>
      </c>
      <c r="N7472" s="46">
        <v>0</v>
      </c>
    </row>
    <row r="7473" spans="13:14" x14ac:dyDescent="0.35">
      <c r="M7473" s="46">
        <v>0.39737082653212646</v>
      </c>
      <c r="N7473" s="46">
        <v>0</v>
      </c>
    </row>
    <row r="7474" spans="13:14" x14ac:dyDescent="0.35">
      <c r="M7474" s="46">
        <v>0.39391371123312063</v>
      </c>
      <c r="N7474" s="46">
        <v>0</v>
      </c>
    </row>
    <row r="7475" spans="13:14" x14ac:dyDescent="0.35">
      <c r="M7475" s="46">
        <v>0.49182037394272149</v>
      </c>
      <c r="N7475" s="46">
        <v>0</v>
      </c>
    </row>
    <row r="7476" spans="13:14" x14ac:dyDescent="0.35">
      <c r="M7476" s="46">
        <v>0.59953754266211601</v>
      </c>
      <c r="N7476" s="46">
        <v>0</v>
      </c>
    </row>
    <row r="7477" spans="13:14" x14ac:dyDescent="0.35">
      <c r="M7477" s="46">
        <v>0.68327170203294263</v>
      </c>
      <c r="N7477" s="46">
        <v>0</v>
      </c>
    </row>
    <row r="7478" spans="13:14" x14ac:dyDescent="0.35">
      <c r="M7478" s="46">
        <v>0.73187653954592669</v>
      </c>
      <c r="N7478" s="46">
        <v>0</v>
      </c>
    </row>
    <row r="7479" spans="13:14" x14ac:dyDescent="0.35">
      <c r="M7479" s="46">
        <v>0.73454948805460751</v>
      </c>
      <c r="N7479" s="46">
        <v>0</v>
      </c>
    </row>
    <row r="7480" spans="13:14" x14ac:dyDescent="0.35">
      <c r="M7480" s="46">
        <v>0.69846891230152841</v>
      </c>
      <c r="N7480" s="46">
        <v>0</v>
      </c>
    </row>
    <row r="7481" spans="13:14" x14ac:dyDescent="0.35">
      <c r="M7481" s="46">
        <v>0.63332682890636594</v>
      </c>
      <c r="N7481" s="46">
        <v>0</v>
      </c>
    </row>
    <row r="7482" spans="13:14" x14ac:dyDescent="0.35">
      <c r="M7482" s="46">
        <v>0.52074439827867636</v>
      </c>
      <c r="N7482" s="46">
        <v>0</v>
      </c>
    </row>
    <row r="7483" spans="13:14" x14ac:dyDescent="0.35">
      <c r="M7483" s="46">
        <v>0.3898306128505713</v>
      </c>
      <c r="N7483" s="46">
        <v>0</v>
      </c>
    </row>
    <row r="7484" spans="13:14" x14ac:dyDescent="0.35">
      <c r="M7484" s="46">
        <v>0.29247158332096751</v>
      </c>
      <c r="N7484" s="46">
        <v>0</v>
      </c>
    </row>
    <row r="7485" spans="13:14" x14ac:dyDescent="0.35">
      <c r="M7485" s="46">
        <v>0.27096201216797744</v>
      </c>
      <c r="N7485" s="46">
        <v>0</v>
      </c>
    </row>
    <row r="7486" spans="13:14" x14ac:dyDescent="0.35">
      <c r="M7486" s="46">
        <v>0.24146156699807092</v>
      </c>
      <c r="N7486" s="46">
        <v>0</v>
      </c>
    </row>
    <row r="7487" spans="13:14" x14ac:dyDescent="0.35">
      <c r="M7487" s="46">
        <v>0.21178060543107285</v>
      </c>
      <c r="N7487" s="46">
        <v>0</v>
      </c>
    </row>
    <row r="7488" spans="13:14" x14ac:dyDescent="0.35">
      <c r="M7488" s="46">
        <v>0.17907820151357767</v>
      </c>
      <c r="N7488" s="46">
        <v>0</v>
      </c>
    </row>
    <row r="7489" spans="13:14" x14ac:dyDescent="0.35">
      <c r="M7489" s="46">
        <v>0.15566834841964683</v>
      </c>
      <c r="N7489" s="46">
        <v>0</v>
      </c>
    </row>
    <row r="7490" spans="13:14" x14ac:dyDescent="0.35">
      <c r="M7490" s="46">
        <v>0.14339560765692239</v>
      </c>
      <c r="N7490" s="46">
        <v>0</v>
      </c>
    </row>
    <row r="7491" spans="13:14" x14ac:dyDescent="0.35">
      <c r="M7491" s="46">
        <v>0.13580828016026117</v>
      </c>
      <c r="N7491" s="46">
        <v>0</v>
      </c>
    </row>
    <row r="7492" spans="13:14" x14ac:dyDescent="0.35">
      <c r="M7492" s="46">
        <v>0.13371605579462828</v>
      </c>
      <c r="N7492" s="46">
        <v>0</v>
      </c>
    </row>
    <row r="7493" spans="13:14" x14ac:dyDescent="0.35">
      <c r="M7493" s="46">
        <v>0.13214898352871346</v>
      </c>
      <c r="N7493" s="46">
        <v>0</v>
      </c>
    </row>
    <row r="7494" spans="13:14" x14ac:dyDescent="0.35">
      <c r="M7494" s="46">
        <v>0.12660617302270366</v>
      </c>
      <c r="N7494" s="46">
        <v>0</v>
      </c>
    </row>
    <row r="7495" spans="13:14" x14ac:dyDescent="0.35">
      <c r="M7495" s="46">
        <v>0.11965113518326161</v>
      </c>
      <c r="N7495" s="46">
        <v>0</v>
      </c>
    </row>
    <row r="7496" spans="13:14" x14ac:dyDescent="0.35">
      <c r="M7496" s="46">
        <v>0.10708999851610031</v>
      </c>
      <c r="N7496" s="46">
        <v>0</v>
      </c>
    </row>
    <row r="7497" spans="13:14" x14ac:dyDescent="0.35">
      <c r="M7497" s="46">
        <v>9.2145347974476918E-2</v>
      </c>
      <c r="N7497" s="46">
        <v>0</v>
      </c>
    </row>
    <row r="7498" spans="13:14" x14ac:dyDescent="0.35">
      <c r="M7498" s="46">
        <v>9.6458154028787657E-2</v>
      </c>
      <c r="N7498" s="46">
        <v>0</v>
      </c>
    </row>
    <row r="7499" spans="13:14" x14ac:dyDescent="0.35">
      <c r="M7499" s="46">
        <v>0.20102114557055942</v>
      </c>
      <c r="N7499" s="46">
        <v>0</v>
      </c>
    </row>
    <row r="7500" spans="13:14" x14ac:dyDescent="0.35">
      <c r="M7500" s="46">
        <v>0.33149139338180744</v>
      </c>
      <c r="N7500" s="46">
        <v>0</v>
      </c>
    </row>
    <row r="7501" spans="13:14" x14ac:dyDescent="0.35">
      <c r="M7501" s="46">
        <v>0.44256195281198996</v>
      </c>
      <c r="N7501" s="46">
        <v>0</v>
      </c>
    </row>
    <row r="7502" spans="13:14" x14ac:dyDescent="0.35">
      <c r="M7502" s="46">
        <v>0.49930316070633629</v>
      </c>
      <c r="N7502" s="46">
        <v>0</v>
      </c>
    </row>
    <row r="7503" spans="13:14" x14ac:dyDescent="0.35">
      <c r="M7503" s="46">
        <v>0.50600526784389377</v>
      </c>
      <c r="N7503" s="46">
        <v>0</v>
      </c>
    </row>
    <row r="7504" spans="13:14" x14ac:dyDescent="0.35">
      <c r="M7504" s="46">
        <v>0.46232809022110105</v>
      </c>
      <c r="N7504" s="46">
        <v>0</v>
      </c>
    </row>
    <row r="7505" spans="13:14" x14ac:dyDescent="0.35">
      <c r="M7505" s="46">
        <v>0.38928401840035615</v>
      </c>
      <c r="N7505" s="46">
        <v>0</v>
      </c>
    </row>
    <row r="7506" spans="13:14" x14ac:dyDescent="0.35">
      <c r="M7506" s="46">
        <v>0.27909519216500966</v>
      </c>
      <c r="N7506" s="46">
        <v>0</v>
      </c>
    </row>
    <row r="7507" spans="13:14" x14ac:dyDescent="0.35">
      <c r="M7507" s="46">
        <v>0.15913733491615967</v>
      </c>
      <c r="N7507" s="46">
        <v>0</v>
      </c>
    </row>
    <row r="7508" spans="13:14" x14ac:dyDescent="0.35">
      <c r="M7508" s="46">
        <v>8.6102389078498293E-2</v>
      </c>
      <c r="N7508" s="46">
        <v>0</v>
      </c>
    </row>
    <row r="7509" spans="13:14" x14ac:dyDescent="0.35">
      <c r="M7509" s="46">
        <v>8.5963050897759311E-2</v>
      </c>
      <c r="N7509" s="46">
        <v>0</v>
      </c>
    </row>
    <row r="7510" spans="13:14" x14ac:dyDescent="0.35">
      <c r="M7510" s="46">
        <v>8.9367710342780834E-2</v>
      </c>
      <c r="N7510" s="46">
        <v>0</v>
      </c>
    </row>
    <row r="7511" spans="13:14" x14ac:dyDescent="0.35">
      <c r="M7511" s="46">
        <v>8.9320373942721465E-2</v>
      </c>
      <c r="N7511" s="46">
        <v>0</v>
      </c>
    </row>
    <row r="7512" spans="13:14" x14ac:dyDescent="0.35">
      <c r="M7512" s="46">
        <v>9.4266879358955336E-2</v>
      </c>
      <c r="N7512" s="46">
        <v>0</v>
      </c>
    </row>
    <row r="7513" spans="13:14" x14ac:dyDescent="0.35">
      <c r="M7513" s="46">
        <v>0.10448197061878618</v>
      </c>
      <c r="N7513" s="46">
        <v>0</v>
      </c>
    </row>
    <row r="7514" spans="13:14" x14ac:dyDescent="0.35">
      <c r="M7514" s="46">
        <v>0.1148882623534649</v>
      </c>
      <c r="N7514" s="46">
        <v>0</v>
      </c>
    </row>
    <row r="7515" spans="13:14" x14ac:dyDescent="0.35">
      <c r="M7515" s="46">
        <v>0.13306781421575903</v>
      </c>
      <c r="N7515" s="46">
        <v>0</v>
      </c>
    </row>
    <row r="7516" spans="13:14" x14ac:dyDescent="0.35">
      <c r="M7516" s="46">
        <v>0.14701038729781865</v>
      </c>
      <c r="N7516" s="46">
        <v>0</v>
      </c>
    </row>
    <row r="7517" spans="13:14" x14ac:dyDescent="0.35">
      <c r="M7517" s="46">
        <v>0.1648294257308206</v>
      </c>
      <c r="N7517" s="46">
        <v>0</v>
      </c>
    </row>
    <row r="7518" spans="13:14" x14ac:dyDescent="0.35">
      <c r="M7518" s="46">
        <v>0.18867829054755897</v>
      </c>
      <c r="N7518" s="46">
        <v>0</v>
      </c>
    </row>
    <row r="7519" spans="13:14" x14ac:dyDescent="0.35">
      <c r="M7519" s="46">
        <v>0.21665247069298116</v>
      </c>
      <c r="N7519" s="46">
        <v>0</v>
      </c>
    </row>
    <row r="7520" spans="13:14" x14ac:dyDescent="0.35">
      <c r="M7520" s="46">
        <v>0.24987038136221992</v>
      </c>
      <c r="N7520" s="46">
        <v>0</v>
      </c>
    </row>
    <row r="7521" spans="13:14" x14ac:dyDescent="0.35">
      <c r="M7521" s="46">
        <v>0.28300645496364446</v>
      </c>
      <c r="N7521" s="46">
        <v>0</v>
      </c>
    </row>
    <row r="7522" spans="13:14" x14ac:dyDescent="0.35">
      <c r="M7522" s="46">
        <v>0.32753939753672651</v>
      </c>
      <c r="N7522" s="46">
        <v>0</v>
      </c>
    </row>
    <row r="7523" spans="13:14" x14ac:dyDescent="0.35">
      <c r="M7523" s="46">
        <v>0.43030523816589999</v>
      </c>
      <c r="N7523" s="46">
        <v>0</v>
      </c>
    </row>
    <row r="7524" spans="13:14" x14ac:dyDescent="0.35">
      <c r="M7524" s="46">
        <v>0.54009815996438637</v>
      </c>
      <c r="N7524" s="46">
        <v>0</v>
      </c>
    </row>
    <row r="7525" spans="13:14" x14ac:dyDescent="0.35">
      <c r="M7525" s="46">
        <v>0.63838210416975805</v>
      </c>
      <c r="N7525" s="46">
        <v>0</v>
      </c>
    </row>
    <row r="7526" spans="13:14" x14ac:dyDescent="0.35">
      <c r="M7526" s="46">
        <v>0.68843901172280764</v>
      </c>
      <c r="N7526" s="46">
        <v>0</v>
      </c>
    </row>
    <row r="7527" spans="13:14" x14ac:dyDescent="0.35">
      <c r="M7527" s="46">
        <v>0.70394665380620269</v>
      </c>
      <c r="N7527" s="46">
        <v>0</v>
      </c>
    </row>
    <row r="7528" spans="13:14" x14ac:dyDescent="0.35">
      <c r="M7528" s="46">
        <v>0.68860728594747</v>
      </c>
      <c r="N7528" s="46">
        <v>0</v>
      </c>
    </row>
    <row r="7529" spans="13:14" x14ac:dyDescent="0.35">
      <c r="M7529" s="46">
        <v>0.66842113073156251</v>
      </c>
      <c r="N7529" s="46">
        <v>0</v>
      </c>
    </row>
    <row r="7530" spans="13:14" x14ac:dyDescent="0.35">
      <c r="M7530" s="46">
        <v>0.63324929514764794</v>
      </c>
      <c r="N7530" s="46">
        <v>0</v>
      </c>
    </row>
    <row r="7531" spans="13:14" x14ac:dyDescent="0.35">
      <c r="M7531" s="46">
        <v>0.59438722362368301</v>
      </c>
      <c r="N7531" s="46">
        <v>0</v>
      </c>
    </row>
    <row r="7532" spans="13:14" x14ac:dyDescent="0.35">
      <c r="M7532" s="46">
        <v>0.58322918830687043</v>
      </c>
      <c r="N7532" s="46">
        <v>0</v>
      </c>
    </row>
    <row r="7533" spans="13:14" x14ac:dyDescent="0.35">
      <c r="M7533" s="46">
        <v>0.59189887223623683</v>
      </c>
      <c r="N7533" s="46">
        <v>0</v>
      </c>
    </row>
    <row r="7534" spans="13:14" x14ac:dyDescent="0.35">
      <c r="M7534" s="46">
        <v>0.59394101498738683</v>
      </c>
      <c r="N7534" s="46">
        <v>0</v>
      </c>
    </row>
    <row r="7535" spans="13:14" x14ac:dyDescent="0.35">
      <c r="M7535" s="46">
        <v>0.59826747291883065</v>
      </c>
      <c r="N7535" s="46">
        <v>0</v>
      </c>
    </row>
    <row r="7536" spans="13:14" x14ac:dyDescent="0.35">
      <c r="M7536" s="46">
        <v>0.6064852351981006</v>
      </c>
      <c r="N7536" s="46">
        <v>0</v>
      </c>
    </row>
    <row r="7537" spans="13:14" x14ac:dyDescent="0.35">
      <c r="M7537" s="46">
        <v>0.60412234752930705</v>
      </c>
      <c r="N7537" s="46">
        <v>0</v>
      </c>
    </row>
    <row r="7538" spans="13:14" x14ac:dyDescent="0.35">
      <c r="M7538" s="46">
        <v>0.58605253004896862</v>
      </c>
      <c r="N7538" s="46">
        <v>0</v>
      </c>
    </row>
    <row r="7539" spans="13:14" x14ac:dyDescent="0.35">
      <c r="M7539" s="46">
        <v>0.57390636592966315</v>
      </c>
      <c r="N7539" s="46">
        <v>0</v>
      </c>
    </row>
    <row r="7540" spans="13:14" x14ac:dyDescent="0.35">
      <c r="M7540" s="46">
        <v>0.5693548746104764</v>
      </c>
      <c r="N7540" s="46">
        <v>0</v>
      </c>
    </row>
    <row r="7541" spans="13:14" x14ac:dyDescent="0.35">
      <c r="M7541" s="46">
        <v>0.57060112776376315</v>
      </c>
      <c r="N7541" s="46">
        <v>0</v>
      </c>
    </row>
    <row r="7542" spans="13:14" x14ac:dyDescent="0.35">
      <c r="M7542" s="46">
        <v>0.58034604540733048</v>
      </c>
      <c r="N7542" s="46">
        <v>0</v>
      </c>
    </row>
    <row r="7543" spans="13:14" x14ac:dyDescent="0.35">
      <c r="M7543" s="46">
        <v>0.58096008309838254</v>
      </c>
      <c r="N7543" s="46">
        <v>0</v>
      </c>
    </row>
    <row r="7544" spans="13:14" x14ac:dyDescent="0.35">
      <c r="M7544" s="46">
        <v>0.58273660780531233</v>
      </c>
      <c r="N7544" s="46">
        <v>0</v>
      </c>
    </row>
    <row r="7545" spans="13:14" x14ac:dyDescent="0.35">
      <c r="M7545" s="46">
        <v>0.57827481822228821</v>
      </c>
      <c r="N7545" s="46">
        <v>0</v>
      </c>
    </row>
    <row r="7546" spans="13:14" x14ac:dyDescent="0.35">
      <c r="M7546" s="46">
        <v>0.5754451699065144</v>
      </c>
      <c r="N7546" s="46">
        <v>0</v>
      </c>
    </row>
    <row r="7547" spans="13:14" x14ac:dyDescent="0.35">
      <c r="M7547" s="46">
        <v>0.60109266953553941</v>
      </c>
      <c r="N7547" s="46">
        <v>0</v>
      </c>
    </row>
    <row r="7548" spans="13:14" x14ac:dyDescent="0.35">
      <c r="M7548" s="46">
        <v>0.63381325122421728</v>
      </c>
      <c r="N7548" s="46">
        <v>0</v>
      </c>
    </row>
    <row r="7549" spans="13:14" x14ac:dyDescent="0.35">
      <c r="M7549" s="46">
        <v>0.65419876836325863</v>
      </c>
      <c r="N7549" s="46">
        <v>0</v>
      </c>
    </row>
    <row r="7550" spans="13:14" x14ac:dyDescent="0.35">
      <c r="M7550" s="46">
        <v>0.69561529900578722</v>
      </c>
      <c r="N7550" s="46">
        <v>0</v>
      </c>
    </row>
    <row r="7551" spans="13:14" x14ac:dyDescent="0.35">
      <c r="M7551" s="46">
        <v>0.74049799673542072</v>
      </c>
      <c r="N7551" s="46">
        <v>0</v>
      </c>
    </row>
    <row r="7552" spans="13:14" x14ac:dyDescent="0.35">
      <c r="M7552" s="46">
        <v>0.77977266656774002</v>
      </c>
      <c r="N7552" s="46">
        <v>0</v>
      </c>
    </row>
    <row r="7553" spans="13:14" x14ac:dyDescent="0.35">
      <c r="M7553" s="46">
        <v>0.7692631696097344</v>
      </c>
      <c r="N7553" s="46">
        <v>0</v>
      </c>
    </row>
    <row r="7554" spans="13:14" x14ac:dyDescent="0.35">
      <c r="M7554" s="46">
        <v>0.71450868081317698</v>
      </c>
      <c r="N7554" s="46">
        <v>0</v>
      </c>
    </row>
    <row r="7555" spans="13:14" x14ac:dyDescent="0.35">
      <c r="M7555" s="46">
        <v>0.63171983973883361</v>
      </c>
      <c r="N7555" s="46">
        <v>0</v>
      </c>
    </row>
    <row r="7556" spans="13:14" x14ac:dyDescent="0.35">
      <c r="M7556" s="46">
        <v>0.55623564327051489</v>
      </c>
      <c r="N7556" s="46">
        <v>0</v>
      </c>
    </row>
    <row r="7557" spans="13:14" x14ac:dyDescent="0.35">
      <c r="M7557" s="46">
        <v>0.54156618192610184</v>
      </c>
      <c r="N7557" s="46">
        <v>0</v>
      </c>
    </row>
    <row r="7558" spans="13:14" x14ac:dyDescent="0.35">
      <c r="M7558" s="46">
        <v>0.49536184893901175</v>
      </c>
      <c r="N7558" s="46">
        <v>0</v>
      </c>
    </row>
    <row r="7559" spans="13:14" x14ac:dyDescent="0.35">
      <c r="M7559" s="46">
        <v>0.42885828757975963</v>
      </c>
      <c r="N7559" s="46">
        <v>0</v>
      </c>
    </row>
    <row r="7560" spans="13:14" x14ac:dyDescent="0.35">
      <c r="M7560" s="46">
        <v>0.34280390265618044</v>
      </c>
      <c r="N7560" s="46">
        <v>0</v>
      </c>
    </row>
    <row r="7561" spans="13:14" x14ac:dyDescent="0.35">
      <c r="M7561" s="46">
        <v>0.27266285799079981</v>
      </c>
      <c r="N7561" s="46">
        <v>0</v>
      </c>
    </row>
    <row r="7562" spans="13:14" x14ac:dyDescent="0.35">
      <c r="M7562" s="46">
        <v>0.21446587030716724</v>
      </c>
      <c r="N7562" s="46">
        <v>0</v>
      </c>
    </row>
    <row r="7563" spans="13:14" x14ac:dyDescent="0.35">
      <c r="M7563" s="46">
        <v>0.18264171242024038</v>
      </c>
      <c r="N7563" s="46">
        <v>0</v>
      </c>
    </row>
    <row r="7564" spans="13:14" x14ac:dyDescent="0.35">
      <c r="M7564" s="46">
        <v>0.16446705742691795</v>
      </c>
      <c r="N7564" s="46">
        <v>0</v>
      </c>
    </row>
    <row r="7565" spans="13:14" x14ac:dyDescent="0.35">
      <c r="M7565" s="46">
        <v>0.14946512835732303</v>
      </c>
      <c r="N7565" s="46">
        <v>0</v>
      </c>
    </row>
    <row r="7566" spans="13:14" x14ac:dyDescent="0.35">
      <c r="M7566" s="46">
        <v>0.14641571449769997</v>
      </c>
      <c r="N7566" s="46">
        <v>0</v>
      </c>
    </row>
    <row r="7567" spans="13:14" x14ac:dyDescent="0.35">
      <c r="M7567" s="46">
        <v>0.14563562843151803</v>
      </c>
      <c r="N7567" s="46">
        <v>0</v>
      </c>
    </row>
    <row r="7568" spans="13:14" x14ac:dyDescent="0.35">
      <c r="M7568" s="46">
        <v>0.14831696097343819</v>
      </c>
      <c r="N7568" s="46">
        <v>0</v>
      </c>
    </row>
    <row r="7569" spans="13:14" x14ac:dyDescent="0.35">
      <c r="M7569" s="46">
        <v>0.15460706336251667</v>
      </c>
      <c r="N7569" s="46">
        <v>0</v>
      </c>
    </row>
    <row r="7570" spans="13:14" x14ac:dyDescent="0.35">
      <c r="M7570" s="46">
        <v>0.17794650541623386</v>
      </c>
      <c r="N7570" s="46">
        <v>0</v>
      </c>
    </row>
    <row r="7571" spans="13:14" x14ac:dyDescent="0.35">
      <c r="M7571" s="46">
        <v>0.29006521739130431</v>
      </c>
      <c r="N7571" s="46">
        <v>0</v>
      </c>
    </row>
    <row r="7572" spans="13:14" x14ac:dyDescent="0.35">
      <c r="M7572" s="46">
        <v>0.41789857545629916</v>
      </c>
      <c r="N7572" s="46">
        <v>0</v>
      </c>
    </row>
    <row r="7573" spans="13:14" x14ac:dyDescent="0.35">
      <c r="M7573" s="46">
        <v>0.51899985161003115</v>
      </c>
      <c r="N7573" s="46">
        <v>0</v>
      </c>
    </row>
    <row r="7574" spans="13:14" x14ac:dyDescent="0.35">
      <c r="M7574" s="46">
        <v>0.5665945244101499</v>
      </c>
      <c r="N7574" s="46">
        <v>0</v>
      </c>
    </row>
    <row r="7575" spans="13:14" x14ac:dyDescent="0.35">
      <c r="M7575" s="46">
        <v>0.59598078349903549</v>
      </c>
      <c r="N7575" s="46">
        <v>0</v>
      </c>
    </row>
    <row r="7576" spans="13:14" x14ac:dyDescent="0.35">
      <c r="M7576" s="46">
        <v>0.57644405698174805</v>
      </c>
      <c r="N7576" s="46">
        <v>0</v>
      </c>
    </row>
    <row r="7577" spans="13:14" x14ac:dyDescent="0.35">
      <c r="M7577" s="46">
        <v>0.54386273927882478</v>
      </c>
      <c r="N7577" s="46">
        <v>0</v>
      </c>
    </row>
    <row r="7578" spans="13:14" x14ac:dyDescent="0.35">
      <c r="M7578" s="46">
        <v>0.49763251224217248</v>
      </c>
      <c r="N7578" s="46">
        <v>0</v>
      </c>
    </row>
    <row r="7579" spans="13:14" x14ac:dyDescent="0.35">
      <c r="M7579" s="46">
        <v>0.45775604689123017</v>
      </c>
      <c r="N7579" s="46">
        <v>0</v>
      </c>
    </row>
    <row r="7580" spans="13:14" x14ac:dyDescent="0.35">
      <c r="M7580" s="46">
        <v>0.45401417124202409</v>
      </c>
      <c r="N7580" s="46">
        <v>0</v>
      </c>
    </row>
    <row r="7581" spans="13:14" x14ac:dyDescent="0.35">
      <c r="M7581" s="46">
        <v>0.46609341148538358</v>
      </c>
      <c r="N7581" s="46">
        <v>0</v>
      </c>
    </row>
    <row r="7582" spans="13:14" x14ac:dyDescent="0.35">
      <c r="M7582" s="46">
        <v>0.47568778750556462</v>
      </c>
      <c r="N7582" s="46">
        <v>0</v>
      </c>
    </row>
    <row r="7583" spans="13:14" x14ac:dyDescent="0.35">
      <c r="M7583" s="46">
        <v>0.48469120047484787</v>
      </c>
      <c r="N7583" s="46">
        <v>0</v>
      </c>
    </row>
    <row r="7584" spans="13:14" x14ac:dyDescent="0.35">
      <c r="M7584" s="46">
        <v>0.49148820299747736</v>
      </c>
      <c r="N7584" s="46">
        <v>0</v>
      </c>
    </row>
    <row r="7585" spans="13:14" x14ac:dyDescent="0.35">
      <c r="M7585" s="46">
        <v>0.50252426175990506</v>
      </c>
      <c r="N7585" s="46">
        <v>0</v>
      </c>
    </row>
    <row r="7586" spans="13:14" x14ac:dyDescent="0.35">
      <c r="M7586" s="46">
        <v>0.51029143789879805</v>
      </c>
      <c r="N7586" s="46">
        <v>0</v>
      </c>
    </row>
    <row r="7587" spans="13:14" x14ac:dyDescent="0.35">
      <c r="M7587" s="46">
        <v>0.51960394717317104</v>
      </c>
      <c r="N7587" s="46">
        <v>0</v>
      </c>
    </row>
    <row r="7588" spans="13:14" x14ac:dyDescent="0.35">
      <c r="M7588" s="46">
        <v>0.52338358806944651</v>
      </c>
      <c r="N7588" s="46">
        <v>0</v>
      </c>
    </row>
    <row r="7589" spans="13:14" x14ac:dyDescent="0.35">
      <c r="M7589" s="46">
        <v>0.52146720581688677</v>
      </c>
      <c r="N7589" s="46">
        <v>0</v>
      </c>
    </row>
    <row r="7590" spans="13:14" x14ac:dyDescent="0.35">
      <c r="M7590" s="46">
        <v>0.52450096453479744</v>
      </c>
      <c r="N7590" s="46">
        <v>0</v>
      </c>
    </row>
    <row r="7591" spans="13:14" x14ac:dyDescent="0.35">
      <c r="M7591" s="46">
        <v>0.52083528713458971</v>
      </c>
      <c r="N7591" s="46">
        <v>0</v>
      </c>
    </row>
    <row r="7592" spans="13:14" x14ac:dyDescent="0.35">
      <c r="M7592" s="46">
        <v>0.52002270366523218</v>
      </c>
      <c r="N7592" s="46">
        <v>0</v>
      </c>
    </row>
    <row r="7593" spans="13:14" x14ac:dyDescent="0.35">
      <c r="M7593" s="46">
        <v>0.51748360290844342</v>
      </c>
      <c r="N7593" s="46">
        <v>0</v>
      </c>
    </row>
    <row r="7594" spans="13:14" x14ac:dyDescent="0.35">
      <c r="M7594" s="46">
        <v>0.50470396201216794</v>
      </c>
      <c r="N7594" s="46">
        <v>0</v>
      </c>
    </row>
    <row r="7595" spans="13:14" x14ac:dyDescent="0.35">
      <c r="M7595" s="46">
        <v>0.50317769698768366</v>
      </c>
      <c r="N7595" s="46">
        <v>0</v>
      </c>
    </row>
    <row r="7596" spans="13:14" x14ac:dyDescent="0.35">
      <c r="M7596" s="46">
        <v>0.5020757530790918</v>
      </c>
      <c r="N7596" s="46">
        <v>0</v>
      </c>
    </row>
    <row r="7597" spans="13:14" x14ac:dyDescent="0.35">
      <c r="M7597" s="46">
        <v>0.49433016768066479</v>
      </c>
      <c r="N7597" s="46">
        <v>0</v>
      </c>
    </row>
    <row r="7598" spans="13:14" x14ac:dyDescent="0.35">
      <c r="M7598" s="46">
        <v>0.47965462234752931</v>
      </c>
      <c r="N7598" s="46">
        <v>0</v>
      </c>
    </row>
    <row r="7599" spans="13:14" x14ac:dyDescent="0.35">
      <c r="M7599" s="46">
        <v>0.46132779344116337</v>
      </c>
      <c r="N7599" s="46">
        <v>0</v>
      </c>
    </row>
    <row r="7600" spans="13:14" x14ac:dyDescent="0.35">
      <c r="M7600" s="46">
        <v>0.4286125537913637</v>
      </c>
      <c r="N7600" s="46">
        <v>0</v>
      </c>
    </row>
    <row r="7601" spans="13:14" x14ac:dyDescent="0.35">
      <c r="M7601" s="46">
        <v>0.41768096156699808</v>
      </c>
      <c r="N7601" s="46">
        <v>0</v>
      </c>
    </row>
    <row r="7602" spans="13:14" x14ac:dyDescent="0.35">
      <c r="M7602" s="46">
        <v>0.39119335212939604</v>
      </c>
      <c r="N7602" s="46">
        <v>0</v>
      </c>
    </row>
    <row r="7603" spans="13:14" x14ac:dyDescent="0.35">
      <c r="M7603" s="46">
        <v>0.35007367561952807</v>
      </c>
      <c r="N7603" s="46">
        <v>0</v>
      </c>
    </row>
    <row r="7604" spans="13:14" x14ac:dyDescent="0.35">
      <c r="M7604" s="46">
        <v>0.30467554533313551</v>
      </c>
      <c r="N7604" s="46">
        <v>0</v>
      </c>
    </row>
    <row r="7605" spans="13:14" x14ac:dyDescent="0.35">
      <c r="M7605" s="46">
        <v>0.27711663451550678</v>
      </c>
      <c r="N7605" s="46">
        <v>0</v>
      </c>
    </row>
    <row r="7606" spans="13:14" x14ac:dyDescent="0.35">
      <c r="M7606" s="46">
        <v>0.24141608547262206</v>
      </c>
      <c r="N7606" s="46">
        <v>0</v>
      </c>
    </row>
    <row r="7607" spans="13:14" x14ac:dyDescent="0.35">
      <c r="M7607" s="46">
        <v>0.21314327051491319</v>
      </c>
      <c r="N7607" s="46">
        <v>0</v>
      </c>
    </row>
    <row r="7608" spans="13:14" x14ac:dyDescent="0.35">
      <c r="M7608" s="46">
        <v>0.18211463125092744</v>
      </c>
      <c r="N7608" s="46">
        <v>0</v>
      </c>
    </row>
    <row r="7609" spans="13:14" x14ac:dyDescent="0.35">
      <c r="M7609" s="46">
        <v>0.17203798783202257</v>
      </c>
      <c r="N7609" s="46">
        <v>0</v>
      </c>
    </row>
    <row r="7610" spans="13:14" x14ac:dyDescent="0.35">
      <c r="M7610" s="46">
        <v>0.1592773408517584</v>
      </c>
      <c r="N7610" s="46">
        <v>0</v>
      </c>
    </row>
    <row r="7611" spans="13:14" x14ac:dyDescent="0.35">
      <c r="M7611" s="46">
        <v>0.14431302863926398</v>
      </c>
      <c r="N7611" s="46">
        <v>0</v>
      </c>
    </row>
    <row r="7612" spans="13:14" x14ac:dyDescent="0.35">
      <c r="M7612" s="46">
        <v>0.13326428253450068</v>
      </c>
      <c r="N7612" s="46">
        <v>0</v>
      </c>
    </row>
    <row r="7613" spans="13:14" x14ac:dyDescent="0.35">
      <c r="M7613" s="46">
        <v>0.13091022406885294</v>
      </c>
      <c r="N7613" s="46">
        <v>0</v>
      </c>
    </row>
    <row r="7614" spans="13:14" x14ac:dyDescent="0.35">
      <c r="M7614" s="46">
        <v>0.13869090369491022</v>
      </c>
      <c r="N7614" s="46">
        <v>0</v>
      </c>
    </row>
    <row r="7615" spans="13:14" x14ac:dyDescent="0.35">
      <c r="M7615" s="46">
        <v>0.15166812583469358</v>
      </c>
      <c r="N7615" s="46">
        <v>0</v>
      </c>
    </row>
    <row r="7616" spans="13:14" x14ac:dyDescent="0.35">
      <c r="M7616" s="46">
        <v>0.15542053717168719</v>
      </c>
      <c r="N7616" s="46">
        <v>0</v>
      </c>
    </row>
    <row r="7617" spans="13:14" x14ac:dyDescent="0.35">
      <c r="M7617" s="46">
        <v>0.14867361626354059</v>
      </c>
      <c r="N7617" s="46">
        <v>0</v>
      </c>
    </row>
    <row r="7618" spans="13:14" x14ac:dyDescent="0.35">
      <c r="M7618" s="46">
        <v>0.13505431072859475</v>
      </c>
      <c r="N7618" s="46">
        <v>0</v>
      </c>
    </row>
    <row r="7619" spans="13:14" x14ac:dyDescent="0.35">
      <c r="M7619" s="46">
        <v>0.16772792699213535</v>
      </c>
      <c r="N7619" s="46">
        <v>0</v>
      </c>
    </row>
    <row r="7620" spans="13:14" x14ac:dyDescent="0.35">
      <c r="M7620" s="46">
        <v>0.22320240391749518</v>
      </c>
      <c r="N7620" s="46">
        <v>0</v>
      </c>
    </row>
    <row r="7621" spans="13:14" x14ac:dyDescent="0.35">
      <c r="M7621" s="46">
        <v>0.27293737943315033</v>
      </c>
      <c r="N7621" s="46">
        <v>0</v>
      </c>
    </row>
    <row r="7622" spans="13:14" x14ac:dyDescent="0.35">
      <c r="M7622" s="46">
        <v>0.28511470544591183</v>
      </c>
      <c r="N7622" s="46">
        <v>0</v>
      </c>
    </row>
    <row r="7623" spans="13:14" x14ac:dyDescent="0.35">
      <c r="M7623" s="46">
        <v>0.27752025523074642</v>
      </c>
      <c r="N7623" s="46">
        <v>0</v>
      </c>
    </row>
    <row r="7624" spans="13:14" x14ac:dyDescent="0.35">
      <c r="M7624" s="46">
        <v>0.26231339961418609</v>
      </c>
      <c r="N7624" s="46">
        <v>0</v>
      </c>
    </row>
    <row r="7625" spans="13:14" x14ac:dyDescent="0.35">
      <c r="M7625" s="46">
        <v>0.25335257456595933</v>
      </c>
      <c r="N7625" s="46">
        <v>0</v>
      </c>
    </row>
    <row r="7626" spans="13:14" x14ac:dyDescent="0.35">
      <c r="M7626" s="46">
        <v>0.24586081020922987</v>
      </c>
      <c r="N7626" s="46">
        <v>0</v>
      </c>
    </row>
    <row r="7627" spans="13:14" x14ac:dyDescent="0.35">
      <c r="M7627" s="46">
        <v>0.24994665380620271</v>
      </c>
      <c r="N7627" s="46">
        <v>0</v>
      </c>
    </row>
    <row r="7628" spans="13:14" x14ac:dyDescent="0.35">
      <c r="M7628" s="46">
        <v>0.28133410001483899</v>
      </c>
      <c r="N7628" s="46">
        <v>0</v>
      </c>
    </row>
    <row r="7629" spans="13:14" x14ac:dyDescent="0.35">
      <c r="M7629" s="46">
        <v>0.32397848345451852</v>
      </c>
      <c r="N7629" s="46">
        <v>0</v>
      </c>
    </row>
    <row r="7630" spans="13:14" x14ac:dyDescent="0.35">
      <c r="M7630" s="46">
        <v>0.35198709007271112</v>
      </c>
      <c r="N7630" s="46">
        <v>0</v>
      </c>
    </row>
    <row r="7631" spans="13:14" x14ac:dyDescent="0.35">
      <c r="M7631" s="46">
        <v>0.34911314735123905</v>
      </c>
      <c r="N7631" s="46">
        <v>0</v>
      </c>
    </row>
    <row r="7632" spans="13:14" x14ac:dyDescent="0.35">
      <c r="M7632" s="46">
        <v>0.32460617302270367</v>
      </c>
      <c r="N7632" s="46">
        <v>0</v>
      </c>
    </row>
    <row r="7633" spans="13:14" x14ac:dyDescent="0.35">
      <c r="M7633" s="46">
        <v>0.33909341148538363</v>
      </c>
      <c r="N7633" s="46">
        <v>0</v>
      </c>
    </row>
    <row r="7634" spans="13:14" x14ac:dyDescent="0.35">
      <c r="M7634" s="46">
        <v>0.39915937082653213</v>
      </c>
      <c r="N7634" s="46">
        <v>0</v>
      </c>
    </row>
    <row r="7635" spans="13:14" x14ac:dyDescent="0.35">
      <c r="M7635" s="46">
        <v>0.45562294108918239</v>
      </c>
      <c r="N7635" s="46">
        <v>0</v>
      </c>
    </row>
    <row r="7636" spans="13:14" x14ac:dyDescent="0.35">
      <c r="M7636" s="46">
        <v>0.50436006825938573</v>
      </c>
      <c r="N7636" s="46">
        <v>0</v>
      </c>
    </row>
    <row r="7637" spans="13:14" x14ac:dyDescent="0.35">
      <c r="M7637" s="46">
        <v>0.54699117079685411</v>
      </c>
      <c r="N7637" s="46">
        <v>0</v>
      </c>
    </row>
    <row r="7638" spans="13:14" x14ac:dyDescent="0.35">
      <c r="M7638" s="46">
        <v>0.58230412524113373</v>
      </c>
      <c r="N7638" s="46">
        <v>0</v>
      </c>
    </row>
    <row r="7639" spans="13:14" x14ac:dyDescent="0.35">
      <c r="M7639" s="46">
        <v>0.60844012464757391</v>
      </c>
      <c r="N7639" s="46">
        <v>0</v>
      </c>
    </row>
    <row r="7640" spans="13:14" x14ac:dyDescent="0.35">
      <c r="M7640" s="46">
        <v>0.61993916011277639</v>
      </c>
      <c r="N7640" s="46">
        <v>0</v>
      </c>
    </row>
    <row r="7641" spans="13:14" x14ac:dyDescent="0.35">
      <c r="M7641" s="46">
        <v>0.62697729633476773</v>
      </c>
      <c r="N7641" s="46">
        <v>0</v>
      </c>
    </row>
    <row r="7642" spans="13:14" x14ac:dyDescent="0.35">
      <c r="M7642" s="46">
        <v>0.62894984419053279</v>
      </c>
      <c r="N7642" s="46">
        <v>0</v>
      </c>
    </row>
    <row r="7643" spans="13:14" x14ac:dyDescent="0.35">
      <c r="M7643" s="46">
        <v>0.6459255824306277</v>
      </c>
      <c r="N7643" s="46">
        <v>0</v>
      </c>
    </row>
    <row r="7644" spans="13:14" x14ac:dyDescent="0.35">
      <c r="M7644" s="46">
        <v>0.66950051936489097</v>
      </c>
      <c r="N7644" s="46">
        <v>0</v>
      </c>
    </row>
    <row r="7645" spans="13:14" x14ac:dyDescent="0.35">
      <c r="M7645" s="46">
        <v>0.69443849235791655</v>
      </c>
      <c r="N7645" s="46">
        <v>0</v>
      </c>
    </row>
    <row r="7646" spans="13:14" x14ac:dyDescent="0.35">
      <c r="M7646" s="46">
        <v>0.76935472622050749</v>
      </c>
      <c r="N7646" s="46">
        <v>0</v>
      </c>
    </row>
    <row r="7647" spans="13:14" x14ac:dyDescent="0.35">
      <c r="M7647" s="46">
        <v>0.84723133996141864</v>
      </c>
      <c r="N7647" s="46">
        <v>0</v>
      </c>
    </row>
    <row r="7648" spans="13:14" x14ac:dyDescent="0.35">
      <c r="M7648" s="46">
        <v>0.90134018400356142</v>
      </c>
      <c r="N7648" s="46">
        <v>0</v>
      </c>
    </row>
    <row r="7649" spans="13:14" x14ac:dyDescent="0.35">
      <c r="M7649" s="46">
        <v>0.84463251224217251</v>
      </c>
      <c r="N7649" s="46">
        <v>0</v>
      </c>
    </row>
    <row r="7650" spans="13:14" x14ac:dyDescent="0.35">
      <c r="M7650" s="46">
        <v>0.74690992728891537</v>
      </c>
      <c r="N7650" s="46">
        <v>0</v>
      </c>
    </row>
    <row r="7651" spans="13:14" x14ac:dyDescent="0.35">
      <c r="M7651" s="46">
        <v>0.62239011722807547</v>
      </c>
      <c r="N7651" s="46">
        <v>0</v>
      </c>
    </row>
    <row r="7652" spans="13:14" x14ac:dyDescent="0.35">
      <c r="M7652" s="46">
        <v>0.52933951624870157</v>
      </c>
      <c r="N7652" s="46">
        <v>0</v>
      </c>
    </row>
    <row r="7653" spans="13:14" x14ac:dyDescent="0.35">
      <c r="M7653" s="46">
        <v>0.5112593114705446</v>
      </c>
      <c r="N7653" s="46">
        <v>0</v>
      </c>
    </row>
    <row r="7654" spans="13:14" x14ac:dyDescent="0.35">
      <c r="M7654" s="46">
        <v>0.47195526042439528</v>
      </c>
      <c r="N7654" s="46">
        <v>0</v>
      </c>
    </row>
    <row r="7655" spans="13:14" x14ac:dyDescent="0.35">
      <c r="M7655" s="46">
        <v>0.43360750853242325</v>
      </c>
      <c r="N7655" s="46">
        <v>0</v>
      </c>
    </row>
    <row r="7656" spans="13:14" x14ac:dyDescent="0.35">
      <c r="M7656" s="46">
        <v>0.38646297670277485</v>
      </c>
      <c r="N7656" s="46">
        <v>0</v>
      </c>
    </row>
    <row r="7657" spans="13:14" x14ac:dyDescent="0.35">
      <c r="M7657" s="46">
        <v>0.36022970767176143</v>
      </c>
      <c r="N7657" s="46">
        <v>0</v>
      </c>
    </row>
    <row r="7658" spans="13:14" x14ac:dyDescent="0.35">
      <c r="M7658" s="46">
        <v>0.33075493396646388</v>
      </c>
      <c r="N7658" s="46">
        <v>0</v>
      </c>
    </row>
    <row r="7659" spans="13:14" x14ac:dyDescent="0.35">
      <c r="M7659" s="46">
        <v>0.31927466983231934</v>
      </c>
      <c r="N7659" s="46">
        <v>0</v>
      </c>
    </row>
    <row r="7660" spans="13:14" x14ac:dyDescent="0.35">
      <c r="M7660" s="46">
        <v>0.32105030419943614</v>
      </c>
      <c r="N7660" s="46">
        <v>0</v>
      </c>
    </row>
    <row r="7661" spans="13:14" x14ac:dyDescent="0.35">
      <c r="M7661" s="46">
        <v>0.32809979225404362</v>
      </c>
      <c r="N7661" s="46">
        <v>0</v>
      </c>
    </row>
    <row r="7662" spans="13:14" x14ac:dyDescent="0.35">
      <c r="M7662" s="46">
        <v>0.33856113666716131</v>
      </c>
      <c r="N7662" s="46">
        <v>0</v>
      </c>
    </row>
    <row r="7663" spans="13:14" x14ac:dyDescent="0.35">
      <c r="M7663" s="46">
        <v>0.34854792995993472</v>
      </c>
      <c r="N7663" s="46">
        <v>0</v>
      </c>
    </row>
    <row r="7664" spans="13:14" x14ac:dyDescent="0.35">
      <c r="M7664" s="46">
        <v>0.36345859919869417</v>
      </c>
      <c r="N7664" s="46">
        <v>0</v>
      </c>
    </row>
    <row r="7665" spans="13:14" x14ac:dyDescent="0.35">
      <c r="M7665" s="46">
        <v>0.38286014245437011</v>
      </c>
      <c r="N7665" s="46">
        <v>0</v>
      </c>
    </row>
    <row r="7666" spans="13:14" x14ac:dyDescent="0.35">
      <c r="M7666" s="46">
        <v>0.41300994212791214</v>
      </c>
      <c r="N7666" s="46">
        <v>0</v>
      </c>
    </row>
    <row r="7667" spans="13:14" x14ac:dyDescent="0.35">
      <c r="M7667" s="46">
        <v>0.50411937972993026</v>
      </c>
      <c r="N7667" s="46">
        <v>0</v>
      </c>
    </row>
    <row r="7668" spans="13:14" x14ac:dyDescent="0.35">
      <c r="M7668" s="46">
        <v>0.63585242617599047</v>
      </c>
      <c r="N7668" s="46">
        <v>0</v>
      </c>
    </row>
    <row r="7669" spans="13:14" x14ac:dyDescent="0.35">
      <c r="M7669" s="46">
        <v>0.76664104466538063</v>
      </c>
      <c r="N7669" s="46">
        <v>0</v>
      </c>
    </row>
    <row r="7670" spans="13:14" x14ac:dyDescent="0.35">
      <c r="M7670" s="46">
        <v>0.81610261166345155</v>
      </c>
      <c r="N7670" s="46">
        <v>0</v>
      </c>
    </row>
    <row r="7671" spans="13:14" x14ac:dyDescent="0.35">
      <c r="M7671" s="46">
        <v>0.80438240094969582</v>
      </c>
      <c r="N7671" s="46">
        <v>0</v>
      </c>
    </row>
    <row r="7672" spans="13:14" x14ac:dyDescent="0.35">
      <c r="M7672" s="46">
        <v>0.75021843003412969</v>
      </c>
      <c r="N7672" s="46">
        <v>0</v>
      </c>
    </row>
    <row r="7673" spans="13:14" x14ac:dyDescent="0.35">
      <c r="M7673" s="46">
        <v>0.71984381955779786</v>
      </c>
      <c r="N7673" s="46">
        <v>0</v>
      </c>
    </row>
    <row r="7674" spans="13:14" x14ac:dyDescent="0.35">
      <c r="M7674" s="46">
        <v>0.68738677845377649</v>
      </c>
      <c r="N7674" s="46">
        <v>0</v>
      </c>
    </row>
    <row r="7675" spans="13:14" x14ac:dyDescent="0.35">
      <c r="M7675" s="46">
        <v>0.65375842113073157</v>
      </c>
      <c r="N7675" s="46">
        <v>0</v>
      </c>
    </row>
    <row r="7676" spans="13:14" x14ac:dyDescent="0.35">
      <c r="M7676" s="46">
        <v>0.64351194539249157</v>
      </c>
      <c r="N7676" s="46">
        <v>0</v>
      </c>
    </row>
    <row r="7677" spans="13:14" x14ac:dyDescent="0.35">
      <c r="M7677" s="46">
        <v>0.65357293366968394</v>
      </c>
      <c r="N7677" s="46">
        <v>0</v>
      </c>
    </row>
    <row r="7678" spans="13:14" x14ac:dyDescent="0.35">
      <c r="M7678" s="46">
        <v>0.65846750259682452</v>
      </c>
      <c r="N7678" s="46">
        <v>0</v>
      </c>
    </row>
    <row r="7679" spans="13:14" x14ac:dyDescent="0.35">
      <c r="M7679" s="46">
        <v>0.65638351387446203</v>
      </c>
      <c r="N7679" s="46">
        <v>0</v>
      </c>
    </row>
    <row r="7680" spans="13:14" x14ac:dyDescent="0.35">
      <c r="M7680" s="46">
        <v>0.65355342038878173</v>
      </c>
      <c r="N7680" s="46">
        <v>0</v>
      </c>
    </row>
    <row r="7681" spans="13:14" x14ac:dyDescent="0.35">
      <c r="M7681" s="46">
        <v>0.65293856655290106</v>
      </c>
      <c r="N7681" s="46">
        <v>0</v>
      </c>
    </row>
    <row r="7682" spans="13:14" x14ac:dyDescent="0.35">
      <c r="M7682" s="46">
        <v>0.64869394568927141</v>
      </c>
      <c r="N7682" s="46">
        <v>0</v>
      </c>
    </row>
    <row r="7683" spans="13:14" x14ac:dyDescent="0.35">
      <c r="M7683" s="46">
        <v>0.64460209229856058</v>
      </c>
      <c r="N7683" s="46">
        <v>0</v>
      </c>
    </row>
    <row r="7684" spans="13:14" x14ac:dyDescent="0.35">
      <c r="M7684" s="46">
        <v>0.64550690013355094</v>
      </c>
      <c r="N7684" s="46">
        <v>0</v>
      </c>
    </row>
    <row r="7685" spans="13:14" x14ac:dyDescent="0.35">
      <c r="M7685" s="46">
        <v>0.64470433298709018</v>
      </c>
      <c r="N7685" s="46">
        <v>0</v>
      </c>
    </row>
    <row r="7686" spans="13:14" x14ac:dyDescent="0.35">
      <c r="M7686" s="46">
        <v>0.64618422614631255</v>
      </c>
      <c r="N7686" s="46">
        <v>0</v>
      </c>
    </row>
    <row r="7687" spans="13:14" x14ac:dyDescent="0.35">
      <c r="M7687" s="46">
        <v>0.65030308651135182</v>
      </c>
      <c r="N7687" s="46">
        <v>0</v>
      </c>
    </row>
    <row r="7688" spans="13:14" x14ac:dyDescent="0.35">
      <c r="M7688" s="46">
        <v>0.65007760795370229</v>
      </c>
      <c r="N7688" s="46">
        <v>0</v>
      </c>
    </row>
    <row r="7689" spans="13:14" x14ac:dyDescent="0.35">
      <c r="M7689" s="46">
        <v>0.65035754562991543</v>
      </c>
      <c r="N7689" s="46">
        <v>0</v>
      </c>
    </row>
    <row r="7690" spans="13:14" x14ac:dyDescent="0.35">
      <c r="M7690" s="46">
        <v>0.65098367710342786</v>
      </c>
      <c r="N7690" s="46">
        <v>0</v>
      </c>
    </row>
    <row r="7691" spans="13:14" x14ac:dyDescent="0.35">
      <c r="M7691" s="46">
        <v>0.71361529900578724</v>
      </c>
      <c r="N7691" s="46">
        <v>0</v>
      </c>
    </row>
    <row r="7692" spans="13:14" x14ac:dyDescent="0.35">
      <c r="M7692" s="46">
        <v>0.82139864965128351</v>
      </c>
      <c r="N7692" s="46">
        <v>0</v>
      </c>
    </row>
    <row r="7693" spans="13:14" x14ac:dyDescent="0.35">
      <c r="M7693" s="46">
        <v>0.92836259088885587</v>
      </c>
      <c r="N7693" s="46">
        <v>0</v>
      </c>
    </row>
    <row r="7694" spans="13:14" x14ac:dyDescent="0.35">
      <c r="M7694" s="46">
        <v>0.99726227926992139</v>
      </c>
      <c r="N7694" s="46">
        <v>0</v>
      </c>
    </row>
    <row r="7695" spans="13:14" x14ac:dyDescent="0.35">
      <c r="M7695" s="46">
        <v>1</v>
      </c>
      <c r="N7695" s="46">
        <v>3.1698670862924522E-2</v>
      </c>
    </row>
    <row r="7696" spans="13:14" x14ac:dyDescent="0.35">
      <c r="M7696" s="46">
        <v>0.99569097788989469</v>
      </c>
      <c r="N7696" s="46">
        <v>0</v>
      </c>
    </row>
    <row r="7697" spans="13:14" x14ac:dyDescent="0.35">
      <c r="M7697" s="46">
        <v>0.92383209675025968</v>
      </c>
      <c r="N7697" s="46">
        <v>0</v>
      </c>
    </row>
    <row r="7698" spans="13:14" x14ac:dyDescent="0.35">
      <c r="M7698" s="46">
        <v>0.82384641638225253</v>
      </c>
      <c r="N7698" s="46">
        <v>0</v>
      </c>
    </row>
    <row r="7699" spans="13:14" x14ac:dyDescent="0.35">
      <c r="M7699" s="46">
        <v>0.71290784982935151</v>
      </c>
      <c r="N7699" s="46">
        <v>0</v>
      </c>
    </row>
    <row r="7700" spans="13:14" x14ac:dyDescent="0.35">
      <c r="M7700" s="46">
        <v>0.64987438789137852</v>
      </c>
      <c r="N7700" s="46">
        <v>0</v>
      </c>
    </row>
    <row r="7701" spans="13:14" x14ac:dyDescent="0.35">
      <c r="M7701" s="46">
        <v>0.65164097047039615</v>
      </c>
      <c r="N7701" s="46">
        <v>0</v>
      </c>
    </row>
    <row r="7702" spans="13:14" x14ac:dyDescent="0.35">
      <c r="M7702" s="46">
        <v>0.65279440569817471</v>
      </c>
      <c r="N7702" s="46">
        <v>0</v>
      </c>
    </row>
    <row r="7703" spans="13:14" x14ac:dyDescent="0.35">
      <c r="M7703" s="46">
        <v>0.64734730672206564</v>
      </c>
      <c r="N7703" s="46">
        <v>0</v>
      </c>
    </row>
    <row r="7704" spans="13:14" x14ac:dyDescent="0.35">
      <c r="M7704" s="46">
        <v>0.64391126279863486</v>
      </c>
      <c r="N7704" s="46">
        <v>0</v>
      </c>
    </row>
    <row r="7705" spans="13:14" x14ac:dyDescent="0.35">
      <c r="M7705" s="46">
        <v>0.63933558391452738</v>
      </c>
      <c r="N7705" s="46">
        <v>0</v>
      </c>
    </row>
    <row r="7706" spans="13:14" x14ac:dyDescent="0.35">
      <c r="M7706" s="46">
        <v>0.63195258940495624</v>
      </c>
      <c r="N7706" s="46">
        <v>0</v>
      </c>
    </row>
    <row r="7707" spans="13:14" x14ac:dyDescent="0.35">
      <c r="M7707" s="46">
        <v>0.61270544591185638</v>
      </c>
      <c r="N7707" s="46">
        <v>0</v>
      </c>
    </row>
    <row r="7708" spans="13:14" x14ac:dyDescent="0.35">
      <c r="M7708" s="46">
        <v>0.58431102537468471</v>
      </c>
      <c r="N7708" s="46">
        <v>0</v>
      </c>
    </row>
    <row r="7709" spans="13:14" x14ac:dyDescent="0.35">
      <c r="M7709" s="46">
        <v>0.55881837067814211</v>
      </c>
      <c r="N7709" s="46">
        <v>0</v>
      </c>
    </row>
    <row r="7710" spans="13:14" x14ac:dyDescent="0.35">
      <c r="M7710" s="46">
        <v>0.53316233862590889</v>
      </c>
      <c r="N7710" s="46">
        <v>0</v>
      </c>
    </row>
    <row r="7711" spans="13:14" x14ac:dyDescent="0.35">
      <c r="M7711" s="46">
        <v>0.50938128802492955</v>
      </c>
      <c r="N7711" s="46">
        <v>0</v>
      </c>
    </row>
    <row r="7712" spans="13:14" x14ac:dyDescent="0.35">
      <c r="M7712" s="46">
        <v>0.48949369342632437</v>
      </c>
      <c r="N7712" s="46">
        <v>0</v>
      </c>
    </row>
    <row r="7713" spans="13:14" x14ac:dyDescent="0.35">
      <c r="M7713" s="46">
        <v>0.46931607063362518</v>
      </c>
      <c r="N7713" s="46">
        <v>0</v>
      </c>
    </row>
    <row r="7714" spans="13:14" x14ac:dyDescent="0.35">
      <c r="M7714" s="46">
        <v>0.44892877281495774</v>
      </c>
      <c r="N7714" s="46">
        <v>0</v>
      </c>
    </row>
    <row r="7715" spans="13:14" x14ac:dyDescent="0.35">
      <c r="M7715" s="46">
        <v>0.48835257456595932</v>
      </c>
      <c r="N7715" s="46">
        <v>0</v>
      </c>
    </row>
    <row r="7716" spans="13:14" x14ac:dyDescent="0.35">
      <c r="M7716" s="46">
        <v>0.57054310728594748</v>
      </c>
      <c r="N7716" s="46">
        <v>0</v>
      </c>
    </row>
    <row r="7717" spans="13:14" x14ac:dyDescent="0.35">
      <c r="M7717" s="46">
        <v>0.66979789286244251</v>
      </c>
      <c r="N7717" s="46">
        <v>0</v>
      </c>
    </row>
    <row r="7718" spans="13:14" x14ac:dyDescent="0.35">
      <c r="M7718" s="46">
        <v>0.7513209675025968</v>
      </c>
      <c r="N7718" s="46">
        <v>0</v>
      </c>
    </row>
    <row r="7719" spans="13:14" x14ac:dyDescent="0.35">
      <c r="M7719" s="46">
        <v>0.80260713755750113</v>
      </c>
      <c r="N7719" s="46">
        <v>0</v>
      </c>
    </row>
    <row r="7720" spans="13:14" x14ac:dyDescent="0.35">
      <c r="M7720" s="46">
        <v>0.81278527971509118</v>
      </c>
      <c r="N7720" s="46">
        <v>0</v>
      </c>
    </row>
    <row r="7721" spans="13:14" x14ac:dyDescent="0.35">
      <c r="M7721" s="46">
        <v>0.77566582579017662</v>
      </c>
      <c r="N7721" s="46">
        <v>0</v>
      </c>
    </row>
    <row r="7722" spans="13:14" x14ac:dyDescent="0.35">
      <c r="M7722" s="46">
        <v>0.71100600979373796</v>
      </c>
      <c r="N7722" s="46">
        <v>0</v>
      </c>
    </row>
    <row r="7723" spans="13:14" x14ac:dyDescent="0.35">
      <c r="M7723" s="46">
        <v>0.66603999109660195</v>
      </c>
      <c r="N7723" s="46">
        <v>0</v>
      </c>
    </row>
    <row r="7724" spans="13:14" x14ac:dyDescent="0.35">
      <c r="M7724" s="46">
        <v>0.66074892417272602</v>
      </c>
      <c r="N7724" s="46">
        <v>0</v>
      </c>
    </row>
    <row r="7725" spans="13:14" x14ac:dyDescent="0.35">
      <c r="M7725" s="46">
        <v>0.6647813473809171</v>
      </c>
      <c r="N7725" s="46">
        <v>0</v>
      </c>
    </row>
    <row r="7726" spans="13:14" x14ac:dyDescent="0.35">
      <c r="M7726" s="46">
        <v>0.66235101647128647</v>
      </c>
      <c r="N7726" s="46">
        <v>0</v>
      </c>
    </row>
    <row r="7727" spans="13:14" x14ac:dyDescent="0.35">
      <c r="M7727" s="46">
        <v>0.65810802789731415</v>
      </c>
      <c r="N7727" s="46">
        <v>0</v>
      </c>
    </row>
    <row r="7728" spans="13:14" x14ac:dyDescent="0.35">
      <c r="M7728" s="46">
        <v>0.64599376762130878</v>
      </c>
      <c r="N7728" s="46">
        <v>0</v>
      </c>
    </row>
    <row r="7729" spans="13:14" x14ac:dyDescent="0.35">
      <c r="M7729" s="46">
        <v>0.63270247811247959</v>
      </c>
      <c r="N7729" s="46">
        <v>0</v>
      </c>
    </row>
    <row r="7730" spans="13:14" x14ac:dyDescent="0.35">
      <c r="M7730" s="46">
        <v>0.61280167680664788</v>
      </c>
      <c r="N7730" s="46">
        <v>0</v>
      </c>
    </row>
    <row r="7731" spans="13:14" x14ac:dyDescent="0.35">
      <c r="M7731" s="46">
        <v>0.58826658257901765</v>
      </c>
      <c r="N7731" s="46">
        <v>0</v>
      </c>
    </row>
    <row r="7732" spans="13:14" x14ac:dyDescent="0.35">
      <c r="M7732" s="46">
        <v>0.57097514468021959</v>
      </c>
      <c r="N7732" s="46">
        <v>0</v>
      </c>
    </row>
    <row r="7733" spans="13:14" x14ac:dyDescent="0.35">
      <c r="M7733" s="46">
        <v>0.56823608844042139</v>
      </c>
      <c r="N7733" s="46">
        <v>0</v>
      </c>
    </row>
    <row r="7734" spans="13:14" x14ac:dyDescent="0.35">
      <c r="M7734" s="46">
        <v>0.5576923875945986</v>
      </c>
      <c r="N7734" s="46">
        <v>0</v>
      </c>
    </row>
    <row r="7735" spans="13:14" x14ac:dyDescent="0.35">
      <c r="M7735" s="46">
        <v>0.54241089182371272</v>
      </c>
      <c r="N7735" s="46">
        <v>0</v>
      </c>
    </row>
    <row r="7736" spans="13:14" x14ac:dyDescent="0.35">
      <c r="M7736" s="46">
        <v>0.52447091556610781</v>
      </c>
      <c r="N7736" s="46">
        <v>0</v>
      </c>
    </row>
    <row r="7737" spans="13:14" x14ac:dyDescent="0.35">
      <c r="M7737" s="46">
        <v>0.50657219171983969</v>
      </c>
      <c r="N7737" s="46">
        <v>0</v>
      </c>
    </row>
    <row r="7738" spans="13:14" x14ac:dyDescent="0.35">
      <c r="M7738" s="46">
        <v>0.49521442350497108</v>
      </c>
      <c r="N7738" s="46">
        <v>0</v>
      </c>
    </row>
    <row r="7739" spans="13:14" x14ac:dyDescent="0.35">
      <c r="M7739" s="46">
        <v>0.52720218133254193</v>
      </c>
      <c r="N7739" s="46">
        <v>0</v>
      </c>
    </row>
    <row r="7740" spans="13:14" x14ac:dyDescent="0.35">
      <c r="M7740" s="46">
        <v>0.58375330167680661</v>
      </c>
      <c r="N7740" s="46">
        <v>0</v>
      </c>
    </row>
    <row r="7741" spans="13:14" x14ac:dyDescent="0.35">
      <c r="M7741" s="46">
        <v>0.63546349606766583</v>
      </c>
      <c r="N7741" s="46">
        <v>0</v>
      </c>
    </row>
    <row r="7742" spans="13:14" x14ac:dyDescent="0.35">
      <c r="M7742" s="46">
        <v>0.70865491912746703</v>
      </c>
      <c r="N7742" s="46">
        <v>0</v>
      </c>
    </row>
    <row r="7743" spans="13:14" x14ac:dyDescent="0.35">
      <c r="M7743" s="46">
        <v>0.76050474847900285</v>
      </c>
      <c r="N7743" s="46">
        <v>0</v>
      </c>
    </row>
    <row r="7744" spans="13:14" x14ac:dyDescent="0.35">
      <c r="M7744" s="46">
        <v>0.78050727110847307</v>
      </c>
      <c r="N7744" s="46">
        <v>0</v>
      </c>
    </row>
    <row r="7745" spans="13:14" x14ac:dyDescent="0.35">
      <c r="M7745" s="46">
        <v>0.71750170648464162</v>
      </c>
      <c r="N7745" s="46">
        <v>0</v>
      </c>
    </row>
    <row r="7746" spans="13:14" x14ac:dyDescent="0.35">
      <c r="M7746" s="46">
        <v>0.62938039768511655</v>
      </c>
      <c r="N7746" s="46">
        <v>0</v>
      </c>
    </row>
    <row r="7747" spans="13:14" x14ac:dyDescent="0.35">
      <c r="M7747" s="46">
        <v>0.54509608250482267</v>
      </c>
      <c r="N7747" s="46">
        <v>0</v>
      </c>
    </row>
    <row r="7748" spans="13:14" x14ac:dyDescent="0.35">
      <c r="M7748" s="46">
        <v>0.5008611811841519</v>
      </c>
      <c r="N7748" s="46">
        <v>0</v>
      </c>
    </row>
    <row r="7749" spans="13:14" x14ac:dyDescent="0.35">
      <c r="M7749" s="46">
        <v>0.48141022406885298</v>
      </c>
      <c r="N7749" s="46">
        <v>0</v>
      </c>
    </row>
    <row r="7750" spans="13:14" x14ac:dyDescent="0.35">
      <c r="M7750" s="46">
        <v>0.45856024632734832</v>
      </c>
      <c r="N7750" s="46">
        <v>0</v>
      </c>
    </row>
    <row r="7751" spans="13:14" x14ac:dyDescent="0.35">
      <c r="M7751" s="46">
        <v>0.44913251224217243</v>
      </c>
      <c r="N7751" s="46">
        <v>0</v>
      </c>
    </row>
    <row r="7752" spans="13:14" x14ac:dyDescent="0.35">
      <c r="M7752" s="46">
        <v>0.43377133105802046</v>
      </c>
      <c r="N7752" s="46">
        <v>0</v>
      </c>
    </row>
    <row r="7753" spans="13:14" x14ac:dyDescent="0.35">
      <c r="M7753" s="46">
        <v>0.41677185042291143</v>
      </c>
      <c r="N7753" s="46">
        <v>0</v>
      </c>
    </row>
    <row r="7754" spans="13:14" x14ac:dyDescent="0.35">
      <c r="M7754" s="46">
        <v>0.38757604985902955</v>
      </c>
      <c r="N7754" s="46">
        <v>0</v>
      </c>
    </row>
    <row r="7755" spans="13:14" x14ac:dyDescent="0.35">
      <c r="M7755" s="46">
        <v>0.35618266805163973</v>
      </c>
      <c r="N7755" s="46">
        <v>0</v>
      </c>
    </row>
    <row r="7756" spans="13:14" x14ac:dyDescent="0.35">
      <c r="M7756" s="46">
        <v>0.33425404362665084</v>
      </c>
      <c r="N7756" s="46">
        <v>0</v>
      </c>
    </row>
    <row r="7757" spans="13:14" x14ac:dyDescent="0.35">
      <c r="M7757" s="46">
        <v>0.31819453924914676</v>
      </c>
      <c r="N7757" s="46">
        <v>0</v>
      </c>
    </row>
    <row r="7758" spans="13:14" x14ac:dyDescent="0.35">
      <c r="M7758" s="46">
        <v>0.30574840480783499</v>
      </c>
      <c r="N7758" s="46">
        <v>0</v>
      </c>
    </row>
    <row r="7759" spans="13:14" x14ac:dyDescent="0.35">
      <c r="M7759" s="46">
        <v>0.29242454370084581</v>
      </c>
      <c r="N7759" s="46">
        <v>0</v>
      </c>
    </row>
    <row r="7760" spans="13:14" x14ac:dyDescent="0.35">
      <c r="M7760" s="46">
        <v>0.2843049413859623</v>
      </c>
      <c r="N7760" s="46">
        <v>0</v>
      </c>
    </row>
    <row r="7761" spans="13:14" x14ac:dyDescent="0.35">
      <c r="M7761" s="46">
        <v>0.28250934856803678</v>
      </c>
      <c r="N7761" s="46">
        <v>0</v>
      </c>
    </row>
    <row r="7762" spans="13:14" x14ac:dyDescent="0.35">
      <c r="M7762" s="46">
        <v>0.28123727556017214</v>
      </c>
      <c r="N7762" s="46">
        <v>0</v>
      </c>
    </row>
    <row r="7763" spans="13:14" x14ac:dyDescent="0.35">
      <c r="M7763" s="46">
        <v>0.31050563881881582</v>
      </c>
      <c r="N7763" s="46">
        <v>0</v>
      </c>
    </row>
    <row r="7764" spans="13:14" x14ac:dyDescent="0.35">
      <c r="M7764" s="46">
        <v>0.35287587179106689</v>
      </c>
      <c r="N7764" s="46">
        <v>0</v>
      </c>
    </row>
    <row r="7765" spans="13:14" x14ac:dyDescent="0.35">
      <c r="M7765" s="46">
        <v>0.39198338032349012</v>
      </c>
      <c r="N7765" s="46">
        <v>0</v>
      </c>
    </row>
    <row r="7766" spans="13:14" x14ac:dyDescent="0.35">
      <c r="M7766" s="46">
        <v>0.42181184151951329</v>
      </c>
      <c r="N7766" s="46">
        <v>0</v>
      </c>
    </row>
    <row r="7767" spans="13:14" x14ac:dyDescent="0.35">
      <c r="M7767" s="46">
        <v>0.42588811396349607</v>
      </c>
      <c r="N7767" s="46">
        <v>0</v>
      </c>
    </row>
    <row r="7768" spans="13:14" x14ac:dyDescent="0.35">
      <c r="M7768" s="46">
        <v>0.40247907701439384</v>
      </c>
      <c r="N7768" s="46">
        <v>0</v>
      </c>
    </row>
    <row r="7769" spans="13:14" x14ac:dyDescent="0.35">
      <c r="M7769" s="46">
        <v>0.362526561804422</v>
      </c>
      <c r="N7769" s="46">
        <v>0</v>
      </c>
    </row>
    <row r="7770" spans="13:14" x14ac:dyDescent="0.35">
      <c r="M7770" s="46">
        <v>0.29863466389672061</v>
      </c>
      <c r="N7770" s="46">
        <v>0</v>
      </c>
    </row>
    <row r="7771" spans="13:14" x14ac:dyDescent="0.35">
      <c r="M7771" s="46">
        <v>0.22436214571894939</v>
      </c>
      <c r="N7771" s="46">
        <v>0</v>
      </c>
    </row>
    <row r="7772" spans="13:14" x14ac:dyDescent="0.35">
      <c r="M7772" s="46">
        <v>0.16098100608398874</v>
      </c>
      <c r="N7772" s="46">
        <v>0</v>
      </c>
    </row>
    <row r="7773" spans="13:14" x14ac:dyDescent="0.35">
      <c r="M7773" s="46">
        <v>0.13141348864816738</v>
      </c>
      <c r="N7773" s="46">
        <v>0</v>
      </c>
    </row>
    <row r="7774" spans="13:14" x14ac:dyDescent="0.35">
      <c r="M7774" s="46">
        <v>9.6571598159964397E-2</v>
      </c>
      <c r="N7774" s="46">
        <v>0</v>
      </c>
    </row>
    <row r="7775" spans="13:14" x14ac:dyDescent="0.35">
      <c r="M7775" s="46">
        <v>7.0747291883068705E-2</v>
      </c>
      <c r="N7775" s="46">
        <v>0</v>
      </c>
    </row>
    <row r="7776" spans="13:14" x14ac:dyDescent="0.35">
      <c r="M7776" s="46">
        <v>4.8318519068110993E-2</v>
      </c>
      <c r="N7776" s="46">
        <v>0</v>
      </c>
    </row>
    <row r="7777" spans="13:14" x14ac:dyDescent="0.35">
      <c r="M7777" s="46">
        <v>3.5408443389226892E-2</v>
      </c>
      <c r="N7777" s="46">
        <v>0</v>
      </c>
    </row>
    <row r="7778" spans="13:14" x14ac:dyDescent="0.35">
      <c r="M7778" s="46">
        <v>2.9888262353464905E-2</v>
      </c>
      <c r="N7778" s="46">
        <v>0</v>
      </c>
    </row>
    <row r="7779" spans="13:14" x14ac:dyDescent="0.35">
      <c r="M7779" s="46">
        <v>2.8138893010832465E-2</v>
      </c>
      <c r="N7779" s="46">
        <v>0</v>
      </c>
    </row>
    <row r="7780" spans="13:14" x14ac:dyDescent="0.35">
      <c r="M7780" s="46">
        <v>2.8683039026561802E-2</v>
      </c>
      <c r="N7780" s="46">
        <v>0</v>
      </c>
    </row>
    <row r="7781" spans="13:14" x14ac:dyDescent="0.35">
      <c r="M7781" s="46">
        <v>3.0029455408814364E-2</v>
      </c>
      <c r="N7781" s="46">
        <v>0</v>
      </c>
    </row>
    <row r="7782" spans="13:14" x14ac:dyDescent="0.35">
      <c r="M7782" s="46">
        <v>3.4598159964386407E-2</v>
      </c>
      <c r="N7782" s="46">
        <v>0</v>
      </c>
    </row>
    <row r="7783" spans="13:14" x14ac:dyDescent="0.35">
      <c r="M7783" s="46">
        <v>4.3020106840777568E-2</v>
      </c>
      <c r="N7783" s="46">
        <v>0</v>
      </c>
    </row>
    <row r="7784" spans="13:14" x14ac:dyDescent="0.35">
      <c r="M7784" s="46">
        <v>4.6739798189642377E-2</v>
      </c>
      <c r="N7784" s="46">
        <v>0</v>
      </c>
    </row>
    <row r="7785" spans="13:14" x14ac:dyDescent="0.35">
      <c r="M7785" s="46">
        <v>4.4149948063510906E-2</v>
      </c>
      <c r="N7785" s="46">
        <v>0</v>
      </c>
    </row>
    <row r="7786" spans="13:14" x14ac:dyDescent="0.35">
      <c r="M7786" s="46">
        <v>4.7650319038433003E-2</v>
      </c>
      <c r="N7786" s="46">
        <v>0</v>
      </c>
    </row>
    <row r="7787" spans="13:14" x14ac:dyDescent="0.35">
      <c r="M7787" s="46">
        <v>0.11271479447989316</v>
      </c>
      <c r="N7787" s="46">
        <v>0</v>
      </c>
    </row>
    <row r="7788" spans="13:14" x14ac:dyDescent="0.35">
      <c r="M7788" s="46">
        <v>0.21173467873571747</v>
      </c>
      <c r="N7788" s="46">
        <v>0</v>
      </c>
    </row>
    <row r="7789" spans="13:14" x14ac:dyDescent="0.35">
      <c r="M7789" s="46">
        <v>0.30144709897610922</v>
      </c>
      <c r="N7789" s="46">
        <v>0</v>
      </c>
    </row>
    <row r="7790" spans="13:14" x14ac:dyDescent="0.35">
      <c r="M7790" s="46">
        <v>0.35635606173022699</v>
      </c>
      <c r="N7790" s="46">
        <v>0</v>
      </c>
    </row>
    <row r="7791" spans="13:14" x14ac:dyDescent="0.35">
      <c r="M7791" s="46">
        <v>0.37108895978631845</v>
      </c>
      <c r="N7791" s="46">
        <v>0</v>
      </c>
    </row>
    <row r="7792" spans="13:14" x14ac:dyDescent="0.35">
      <c r="M7792" s="46">
        <v>0.34915291586288766</v>
      </c>
      <c r="N7792" s="46">
        <v>0</v>
      </c>
    </row>
    <row r="7793" spans="13:14" x14ac:dyDescent="0.35">
      <c r="M7793" s="46">
        <v>0.28854666864519962</v>
      </c>
      <c r="N7793" s="46">
        <v>0</v>
      </c>
    </row>
    <row r="7794" spans="13:14" x14ac:dyDescent="0.35">
      <c r="M7794" s="46">
        <v>0.20563755750111293</v>
      </c>
      <c r="N7794" s="46">
        <v>0</v>
      </c>
    </row>
    <row r="7795" spans="13:14" x14ac:dyDescent="0.35">
      <c r="M7795" s="46">
        <v>0.12145207004006529</v>
      </c>
      <c r="N7795" s="46">
        <v>0</v>
      </c>
    </row>
    <row r="7796" spans="13:14" x14ac:dyDescent="0.35">
      <c r="M7796" s="46">
        <v>7.7818073898204485E-2</v>
      </c>
      <c r="N7796" s="46">
        <v>0</v>
      </c>
    </row>
    <row r="7797" spans="13:14" x14ac:dyDescent="0.35">
      <c r="M7797" s="46">
        <v>8.8118934560023732E-2</v>
      </c>
      <c r="N7797" s="46">
        <v>0</v>
      </c>
    </row>
    <row r="7798" spans="13:14" x14ac:dyDescent="0.35">
      <c r="M7798" s="46">
        <v>0.10157234010980858</v>
      </c>
      <c r="N7798" s="46">
        <v>0</v>
      </c>
    </row>
    <row r="7799" spans="13:14" x14ac:dyDescent="0.35">
      <c r="M7799" s="46">
        <v>0.11391385962308948</v>
      </c>
      <c r="N7799" s="46">
        <v>0</v>
      </c>
    </row>
    <row r="7800" spans="13:14" x14ac:dyDescent="0.35">
      <c r="M7800" s="46">
        <v>0.12362568630360589</v>
      </c>
      <c r="N7800" s="46">
        <v>0</v>
      </c>
    </row>
    <row r="7801" spans="13:14" x14ac:dyDescent="0.35">
      <c r="M7801" s="46">
        <v>0.13427296334767769</v>
      </c>
      <c r="N7801" s="46">
        <v>0</v>
      </c>
    </row>
    <row r="7802" spans="13:14" x14ac:dyDescent="0.35">
      <c r="M7802" s="46">
        <v>0.14256247217688084</v>
      </c>
      <c r="N7802" s="46">
        <v>0</v>
      </c>
    </row>
    <row r="7803" spans="13:14" x14ac:dyDescent="0.35">
      <c r="M7803" s="46">
        <v>0.15110409556313992</v>
      </c>
      <c r="N7803" s="46">
        <v>0</v>
      </c>
    </row>
    <row r="7804" spans="13:14" x14ac:dyDescent="0.35">
      <c r="M7804" s="46">
        <v>0.15259036949102239</v>
      </c>
      <c r="N7804" s="46">
        <v>0</v>
      </c>
    </row>
    <row r="7805" spans="13:14" x14ac:dyDescent="0.35">
      <c r="M7805" s="46">
        <v>0.1551359994064401</v>
      </c>
      <c r="N7805" s="46">
        <v>0</v>
      </c>
    </row>
    <row r="7806" spans="13:14" x14ac:dyDescent="0.35">
      <c r="M7806" s="46">
        <v>0.17000779047336398</v>
      </c>
      <c r="N7806" s="46">
        <v>0</v>
      </c>
    </row>
    <row r="7807" spans="13:14" x14ac:dyDescent="0.35">
      <c r="M7807" s="46">
        <v>0.19223757234010982</v>
      </c>
      <c r="N7807" s="46">
        <v>0</v>
      </c>
    </row>
    <row r="7808" spans="13:14" x14ac:dyDescent="0.35">
      <c r="M7808" s="46">
        <v>0.20973964979967355</v>
      </c>
      <c r="N7808" s="46">
        <v>0</v>
      </c>
    </row>
    <row r="7809" spans="13:14" x14ac:dyDescent="0.35">
      <c r="M7809" s="46">
        <v>0.23529685413266063</v>
      </c>
      <c r="N7809" s="46">
        <v>0</v>
      </c>
    </row>
    <row r="7810" spans="13:14" x14ac:dyDescent="0.35">
      <c r="M7810" s="46">
        <v>0.26769483602908445</v>
      </c>
      <c r="N7810" s="46">
        <v>0</v>
      </c>
    </row>
    <row r="7811" spans="13:14" x14ac:dyDescent="0.35">
      <c r="M7811" s="46">
        <v>0.3660761982489984</v>
      </c>
      <c r="N7811" s="46">
        <v>0</v>
      </c>
    </row>
    <row r="7812" spans="13:14" x14ac:dyDescent="0.35">
      <c r="M7812" s="46">
        <v>0.49702374239501412</v>
      </c>
      <c r="N7812" s="46">
        <v>0</v>
      </c>
    </row>
    <row r="7813" spans="13:14" x14ac:dyDescent="0.35">
      <c r="M7813" s="46">
        <v>0.60776480189939153</v>
      </c>
      <c r="N7813" s="46">
        <v>0</v>
      </c>
    </row>
    <row r="7814" spans="13:14" x14ac:dyDescent="0.35">
      <c r="M7814" s="46">
        <v>0.67285235198100601</v>
      </c>
      <c r="N7814" s="46">
        <v>0</v>
      </c>
    </row>
    <row r="7815" spans="13:14" x14ac:dyDescent="0.35">
      <c r="M7815" s="46">
        <v>0.69011477964089629</v>
      </c>
      <c r="N7815" s="46">
        <v>0</v>
      </c>
    </row>
    <row r="7816" spans="13:14" x14ac:dyDescent="0.35">
      <c r="M7816" s="46">
        <v>0.65880835435524554</v>
      </c>
      <c r="N7816" s="46">
        <v>0</v>
      </c>
    </row>
    <row r="7817" spans="13:14" x14ac:dyDescent="0.35">
      <c r="M7817" s="46">
        <v>0.59406736904585256</v>
      </c>
      <c r="N7817" s="46">
        <v>0</v>
      </c>
    </row>
    <row r="7818" spans="13:14" x14ac:dyDescent="0.35">
      <c r="M7818" s="46">
        <v>0.50379329277340856</v>
      </c>
      <c r="N7818" s="46">
        <v>0</v>
      </c>
    </row>
    <row r="7819" spans="13:14" x14ac:dyDescent="0.35">
      <c r="M7819" s="46">
        <v>0.40611715388039771</v>
      </c>
      <c r="N7819" s="46">
        <v>0</v>
      </c>
    </row>
    <row r="7820" spans="13:14" x14ac:dyDescent="0.35">
      <c r="M7820" s="46">
        <v>0.35476569223920462</v>
      </c>
      <c r="N7820" s="46">
        <v>0</v>
      </c>
    </row>
    <row r="7821" spans="13:14" x14ac:dyDescent="0.35">
      <c r="M7821" s="46">
        <v>0.35905802047781571</v>
      </c>
      <c r="N7821" s="46">
        <v>0</v>
      </c>
    </row>
    <row r="7822" spans="13:14" x14ac:dyDescent="0.35">
      <c r="M7822" s="46">
        <v>0.36744516990651432</v>
      </c>
      <c r="N7822" s="46">
        <v>0</v>
      </c>
    </row>
    <row r="7823" spans="13:14" x14ac:dyDescent="0.35">
      <c r="M7823" s="46">
        <v>0.37167146460899242</v>
      </c>
      <c r="N7823" s="46">
        <v>0</v>
      </c>
    </row>
    <row r="7824" spans="13:14" x14ac:dyDescent="0.35">
      <c r="M7824" s="46">
        <v>0.34784767769698771</v>
      </c>
      <c r="N7824" s="46">
        <v>0</v>
      </c>
    </row>
    <row r="7825" spans="13:14" x14ac:dyDescent="0.35">
      <c r="M7825" s="46">
        <v>0.30125396943166644</v>
      </c>
      <c r="N7825" s="46">
        <v>0</v>
      </c>
    </row>
    <row r="7826" spans="13:14" x14ac:dyDescent="0.35">
      <c r="M7826" s="46">
        <v>0.23468348419646831</v>
      </c>
      <c r="N7826" s="46">
        <v>0</v>
      </c>
    </row>
    <row r="7827" spans="13:14" x14ac:dyDescent="0.35">
      <c r="M7827" s="46">
        <v>0.17765647722213979</v>
      </c>
      <c r="N7827" s="46">
        <v>0</v>
      </c>
    </row>
    <row r="7828" spans="13:14" x14ac:dyDescent="0.35">
      <c r="M7828" s="46">
        <v>0.14240762724439826</v>
      </c>
      <c r="N7828" s="46">
        <v>0</v>
      </c>
    </row>
    <row r="7829" spans="13:14" x14ac:dyDescent="0.35">
      <c r="M7829" s="46">
        <v>0.12600563881881585</v>
      </c>
      <c r="N7829" s="46">
        <v>0</v>
      </c>
    </row>
    <row r="7830" spans="13:14" x14ac:dyDescent="0.35">
      <c r="M7830" s="46">
        <v>0.13956061730227037</v>
      </c>
      <c r="N7830" s="46">
        <v>0</v>
      </c>
    </row>
    <row r="7831" spans="13:14" x14ac:dyDescent="0.35">
      <c r="M7831" s="46">
        <v>0.17289375278231192</v>
      </c>
      <c r="N7831" s="46">
        <v>0</v>
      </c>
    </row>
    <row r="7832" spans="13:14" x14ac:dyDescent="0.35">
      <c r="M7832" s="46">
        <v>0.225781866745808</v>
      </c>
      <c r="N7832" s="46">
        <v>0</v>
      </c>
    </row>
    <row r="7833" spans="13:14" x14ac:dyDescent="0.35">
      <c r="M7833" s="46">
        <v>0.28287498145125389</v>
      </c>
      <c r="N7833" s="46">
        <v>0</v>
      </c>
    </row>
    <row r="7834" spans="13:14" x14ac:dyDescent="0.35">
      <c r="M7834" s="46">
        <v>0.33661136667161301</v>
      </c>
      <c r="N7834" s="46">
        <v>0</v>
      </c>
    </row>
    <row r="7835" spans="13:14" x14ac:dyDescent="0.35">
      <c r="M7835" s="46">
        <v>0.41017198397388333</v>
      </c>
      <c r="N7835" s="46">
        <v>0</v>
      </c>
    </row>
    <row r="7836" spans="13:14" x14ac:dyDescent="0.35">
      <c r="M7836" s="46">
        <v>0.4742547113815106</v>
      </c>
      <c r="N7836" s="46">
        <v>0</v>
      </c>
    </row>
    <row r="7837" spans="13:14" x14ac:dyDescent="0.35">
      <c r="M7837" s="46">
        <v>0.50682482564178655</v>
      </c>
      <c r="N7837" s="46">
        <v>0</v>
      </c>
    </row>
    <row r="7838" spans="13:14" x14ac:dyDescent="0.35">
      <c r="M7838" s="46">
        <v>0.50908799525152104</v>
      </c>
      <c r="N7838" s="46">
        <v>0</v>
      </c>
    </row>
    <row r="7839" spans="13:14" x14ac:dyDescent="0.35">
      <c r="M7839" s="46">
        <v>0.48729841222733344</v>
      </c>
      <c r="N7839" s="46">
        <v>0</v>
      </c>
    </row>
    <row r="7840" spans="13:14" x14ac:dyDescent="0.35">
      <c r="M7840" s="46">
        <v>0.46131332541920167</v>
      </c>
      <c r="N7840" s="46">
        <v>0</v>
      </c>
    </row>
    <row r="7841" spans="13:14" x14ac:dyDescent="0.35">
      <c r="M7841" s="46">
        <v>0.44252470692981155</v>
      </c>
      <c r="N7841" s="46">
        <v>0</v>
      </c>
    </row>
    <row r="7842" spans="13:14" x14ac:dyDescent="0.35">
      <c r="M7842" s="46">
        <v>0.42711411188603654</v>
      </c>
      <c r="N7842" s="46">
        <v>0</v>
      </c>
    </row>
    <row r="7843" spans="13:14" x14ac:dyDescent="0.35">
      <c r="M7843" s="46">
        <v>0.41853257159815999</v>
      </c>
      <c r="N7843" s="46">
        <v>0</v>
      </c>
    </row>
    <row r="7844" spans="13:14" x14ac:dyDescent="0.35">
      <c r="M7844" s="46">
        <v>0.43013369936192308</v>
      </c>
      <c r="N7844" s="46">
        <v>0</v>
      </c>
    </row>
    <row r="7845" spans="13:14" x14ac:dyDescent="0.35">
      <c r="M7845" s="46">
        <v>0.43316092892120495</v>
      </c>
      <c r="N7845" s="46">
        <v>0</v>
      </c>
    </row>
    <row r="7846" spans="13:14" x14ac:dyDescent="0.35">
      <c r="M7846" s="46">
        <v>0.40412056684968095</v>
      </c>
      <c r="N7846" s="46">
        <v>0</v>
      </c>
    </row>
    <row r="7847" spans="13:14" x14ac:dyDescent="0.35">
      <c r="M7847" s="46">
        <v>0.3687090072711085</v>
      </c>
      <c r="N7847" s="46">
        <v>0</v>
      </c>
    </row>
    <row r="7848" spans="13:14" x14ac:dyDescent="0.35">
      <c r="M7848" s="46">
        <v>0.32595577978928625</v>
      </c>
      <c r="N7848" s="46">
        <v>0</v>
      </c>
    </row>
    <row r="7849" spans="13:14" x14ac:dyDescent="0.35">
      <c r="M7849" s="46">
        <v>0.30333521293960525</v>
      </c>
      <c r="N7849" s="46">
        <v>0</v>
      </c>
    </row>
    <row r="7850" spans="13:14" x14ac:dyDescent="0.35">
      <c r="M7850" s="46">
        <v>0.27888277192461791</v>
      </c>
      <c r="N7850" s="46">
        <v>0</v>
      </c>
    </row>
    <row r="7851" spans="13:14" x14ac:dyDescent="0.35">
      <c r="M7851" s="46">
        <v>0.25850749369342635</v>
      </c>
      <c r="N7851" s="46">
        <v>0</v>
      </c>
    </row>
    <row r="7852" spans="13:14" x14ac:dyDescent="0.35">
      <c r="M7852" s="46">
        <v>0.24815759014690608</v>
      </c>
      <c r="N7852" s="46">
        <v>0</v>
      </c>
    </row>
    <row r="7853" spans="13:14" x14ac:dyDescent="0.35">
      <c r="M7853" s="46">
        <v>0.24063599940644012</v>
      </c>
      <c r="N7853" s="46">
        <v>0</v>
      </c>
    </row>
    <row r="7854" spans="13:14" x14ac:dyDescent="0.35">
      <c r="M7854" s="46">
        <v>0.23063332838700104</v>
      </c>
      <c r="N7854" s="46">
        <v>0</v>
      </c>
    </row>
    <row r="7855" spans="13:14" x14ac:dyDescent="0.35">
      <c r="M7855" s="46">
        <v>0.21890391749517735</v>
      </c>
      <c r="N7855" s="46">
        <v>0</v>
      </c>
    </row>
    <row r="7856" spans="13:14" x14ac:dyDescent="0.35">
      <c r="M7856" s="46">
        <v>0.213375352426176</v>
      </c>
      <c r="N7856" s="46">
        <v>0</v>
      </c>
    </row>
    <row r="7857" spans="13:14" x14ac:dyDescent="0.35">
      <c r="M7857" s="46">
        <v>0.22081599643864075</v>
      </c>
      <c r="N7857" s="46">
        <v>0</v>
      </c>
    </row>
    <row r="7858" spans="13:14" x14ac:dyDescent="0.35">
      <c r="M7858" s="46">
        <v>0.23509994064401246</v>
      </c>
      <c r="N7858" s="46">
        <v>0</v>
      </c>
    </row>
    <row r="7859" spans="13:14" x14ac:dyDescent="0.35">
      <c r="M7859" s="46">
        <v>0.30706914972547855</v>
      </c>
      <c r="N7859" s="46">
        <v>0</v>
      </c>
    </row>
    <row r="7860" spans="13:14" x14ac:dyDescent="0.35">
      <c r="M7860" s="46">
        <v>0.40581851906811101</v>
      </c>
      <c r="N7860" s="46">
        <v>0</v>
      </c>
    </row>
    <row r="7861" spans="13:14" x14ac:dyDescent="0.35">
      <c r="M7861" s="46">
        <v>0.49344457634663896</v>
      </c>
      <c r="N7861" s="46">
        <v>0</v>
      </c>
    </row>
    <row r="7862" spans="13:14" x14ac:dyDescent="0.35">
      <c r="M7862" s="46">
        <v>0.56488173319483603</v>
      </c>
      <c r="N7862" s="46">
        <v>0</v>
      </c>
    </row>
    <row r="7863" spans="13:14" x14ac:dyDescent="0.35">
      <c r="M7863" s="46">
        <v>0.60472221397833503</v>
      </c>
      <c r="N7863" s="46">
        <v>0</v>
      </c>
    </row>
    <row r="7864" spans="13:14" x14ac:dyDescent="0.35">
      <c r="M7864" s="46">
        <v>0.6054494732156106</v>
      </c>
      <c r="N7864" s="46">
        <v>0</v>
      </c>
    </row>
    <row r="7865" spans="13:14" x14ac:dyDescent="0.35">
      <c r="M7865" s="46">
        <v>0.568715833209675</v>
      </c>
      <c r="N7865" s="46">
        <v>0</v>
      </c>
    </row>
    <row r="7866" spans="13:14" x14ac:dyDescent="0.35">
      <c r="M7866" s="46">
        <v>0.51859704703962006</v>
      </c>
      <c r="N7866" s="46">
        <v>0</v>
      </c>
    </row>
    <row r="7867" spans="13:14" x14ac:dyDescent="0.35">
      <c r="M7867" s="46">
        <v>0.45952819409407925</v>
      </c>
      <c r="N7867" s="46">
        <v>0</v>
      </c>
    </row>
    <row r="7868" spans="13:14" x14ac:dyDescent="0.35">
      <c r="M7868" s="46">
        <v>0.43509163080575752</v>
      </c>
      <c r="N7868" s="46">
        <v>0</v>
      </c>
    </row>
    <row r="7869" spans="13:14" x14ac:dyDescent="0.35">
      <c r="M7869" s="46">
        <v>0.44437535242617598</v>
      </c>
      <c r="N7869" s="46">
        <v>0</v>
      </c>
    </row>
    <row r="7870" spans="13:14" x14ac:dyDescent="0.35">
      <c r="M7870" s="46">
        <v>0.43421494286986201</v>
      </c>
      <c r="N7870" s="46">
        <v>0</v>
      </c>
    </row>
    <row r="7871" spans="13:14" x14ac:dyDescent="0.35">
      <c r="M7871" s="46">
        <v>0.40139961418608106</v>
      </c>
      <c r="N7871" s="46">
        <v>0</v>
      </c>
    </row>
    <row r="7872" spans="13:14" x14ac:dyDescent="0.35">
      <c r="M7872" s="46">
        <v>0.34985702626502446</v>
      </c>
      <c r="N7872" s="46">
        <v>0</v>
      </c>
    </row>
    <row r="7873" spans="13:14" x14ac:dyDescent="0.35">
      <c r="M7873" s="46">
        <v>0.29785205520106839</v>
      </c>
      <c r="N7873" s="46">
        <v>0</v>
      </c>
    </row>
    <row r="7874" spans="13:14" x14ac:dyDescent="0.35">
      <c r="M7874" s="46">
        <v>0.24800845822822376</v>
      </c>
      <c r="N7874" s="46">
        <v>0</v>
      </c>
    </row>
    <row r="7875" spans="13:14" x14ac:dyDescent="0.35">
      <c r="M7875" s="46">
        <v>0.21492157590146907</v>
      </c>
      <c r="N7875" s="46">
        <v>0</v>
      </c>
    </row>
    <row r="7876" spans="13:14" x14ac:dyDescent="0.35">
      <c r="M7876" s="46">
        <v>0.19016345155067518</v>
      </c>
      <c r="N7876" s="46">
        <v>0</v>
      </c>
    </row>
    <row r="7877" spans="13:14" x14ac:dyDescent="0.35">
      <c r="M7877" s="46">
        <v>0.167437676213088</v>
      </c>
      <c r="N7877" s="46">
        <v>0</v>
      </c>
    </row>
    <row r="7878" spans="13:14" x14ac:dyDescent="0.35">
      <c r="M7878" s="46">
        <v>0.14630479299599347</v>
      </c>
      <c r="N7878" s="46">
        <v>0</v>
      </c>
    </row>
    <row r="7879" spans="13:14" x14ac:dyDescent="0.35">
      <c r="M7879" s="46">
        <v>0.12879974773705297</v>
      </c>
      <c r="N7879" s="46">
        <v>0</v>
      </c>
    </row>
    <row r="7880" spans="13:14" x14ac:dyDescent="0.35">
      <c r="M7880" s="46">
        <v>0.1120327199881288</v>
      </c>
      <c r="N7880" s="46">
        <v>0</v>
      </c>
    </row>
    <row r="7881" spans="13:14" x14ac:dyDescent="0.35">
      <c r="M7881" s="46">
        <v>0.10004956224959194</v>
      </c>
      <c r="N7881" s="46">
        <v>0</v>
      </c>
    </row>
    <row r="7882" spans="13:14" x14ac:dyDescent="0.35">
      <c r="M7882" s="46">
        <v>9.5351981006083983E-2</v>
      </c>
      <c r="N7882" s="46">
        <v>0</v>
      </c>
    </row>
    <row r="7883" spans="13:14" x14ac:dyDescent="0.35">
      <c r="M7883" s="46">
        <v>0.13850957115299006</v>
      </c>
      <c r="N7883" s="46">
        <v>0</v>
      </c>
    </row>
    <row r="7884" spans="13:14" x14ac:dyDescent="0.35">
      <c r="M7884" s="46">
        <v>0.22974862739278826</v>
      </c>
      <c r="N7884" s="46">
        <v>0</v>
      </c>
    </row>
    <row r="7885" spans="13:14" x14ac:dyDescent="0.35">
      <c r="M7885" s="46">
        <v>0.33276391155957857</v>
      </c>
      <c r="N7885" s="46">
        <v>0</v>
      </c>
    </row>
    <row r="7886" spans="13:14" x14ac:dyDescent="0.35">
      <c r="M7886" s="46">
        <v>0.40564475441460157</v>
      </c>
      <c r="N7886" s="46">
        <v>0</v>
      </c>
    </row>
    <row r="7887" spans="13:14" x14ac:dyDescent="0.35">
      <c r="M7887" s="46">
        <v>0.44677429885739722</v>
      </c>
      <c r="N7887" s="46">
        <v>0</v>
      </c>
    </row>
    <row r="7888" spans="13:14" x14ac:dyDescent="0.35">
      <c r="M7888" s="46">
        <v>0.44801038729781867</v>
      </c>
      <c r="N7888" s="46">
        <v>0</v>
      </c>
    </row>
    <row r="7889" spans="13:14" x14ac:dyDescent="0.35">
      <c r="M7889" s="46">
        <v>0.41507597566404514</v>
      </c>
      <c r="N7889" s="46">
        <v>0</v>
      </c>
    </row>
    <row r="7890" spans="13:14" x14ac:dyDescent="0.35">
      <c r="M7890" s="46">
        <v>0.36026598901914231</v>
      </c>
      <c r="N7890" s="46">
        <v>0</v>
      </c>
    </row>
    <row r="7891" spans="13:14" x14ac:dyDescent="0.35">
      <c r="M7891" s="46">
        <v>0.28906083988722364</v>
      </c>
      <c r="N7891" s="46">
        <v>0</v>
      </c>
    </row>
    <row r="7892" spans="13:14" x14ac:dyDescent="0.35">
      <c r="M7892" s="46">
        <v>0.25646305089775928</v>
      </c>
      <c r="N7892" s="46">
        <v>0</v>
      </c>
    </row>
    <row r="7893" spans="13:14" x14ac:dyDescent="0.35">
      <c r="M7893" s="46">
        <v>0.29270930405104617</v>
      </c>
      <c r="N7893" s="46">
        <v>0</v>
      </c>
    </row>
    <row r="7894" spans="13:14" x14ac:dyDescent="0.35">
      <c r="M7894" s="46">
        <v>0.33597855764950291</v>
      </c>
      <c r="N7894" s="46">
        <v>0</v>
      </c>
    </row>
    <row r="7895" spans="13:14" x14ac:dyDescent="0.35">
      <c r="M7895" s="46">
        <v>0.37613184448731268</v>
      </c>
      <c r="N7895" s="46">
        <v>0</v>
      </c>
    </row>
    <row r="7896" spans="13:14" x14ac:dyDescent="0.35">
      <c r="M7896" s="46">
        <v>0.41507337883959045</v>
      </c>
      <c r="N7896" s="46">
        <v>0</v>
      </c>
    </row>
    <row r="7897" spans="13:14" x14ac:dyDescent="0.35">
      <c r="M7897" s="46">
        <v>0.43998159964386407</v>
      </c>
      <c r="N7897" s="46">
        <v>0</v>
      </c>
    </row>
    <row r="7898" spans="13:14" x14ac:dyDescent="0.35">
      <c r="M7898" s="46">
        <v>0.44916463867042589</v>
      </c>
      <c r="N7898" s="46">
        <v>0</v>
      </c>
    </row>
    <row r="7899" spans="13:14" x14ac:dyDescent="0.35">
      <c r="M7899" s="46">
        <v>0.45017309689864965</v>
      </c>
      <c r="N7899" s="46">
        <v>0</v>
      </c>
    </row>
    <row r="7900" spans="13:14" x14ac:dyDescent="0.35">
      <c r="M7900" s="46">
        <v>0.44353160706336253</v>
      </c>
      <c r="N7900" s="46">
        <v>0</v>
      </c>
    </row>
    <row r="7901" spans="13:14" x14ac:dyDescent="0.35">
      <c r="M7901" s="46">
        <v>0.44543122124944351</v>
      </c>
      <c r="N7901" s="46">
        <v>0</v>
      </c>
    </row>
    <row r="7902" spans="13:14" x14ac:dyDescent="0.35">
      <c r="M7902" s="46">
        <v>0.45381733194836033</v>
      </c>
      <c r="N7902" s="46">
        <v>0</v>
      </c>
    </row>
    <row r="7903" spans="13:14" x14ac:dyDescent="0.35">
      <c r="M7903" s="46">
        <v>0.45929930256714646</v>
      </c>
      <c r="N7903" s="46">
        <v>0</v>
      </c>
    </row>
    <row r="7904" spans="13:14" x14ac:dyDescent="0.35">
      <c r="M7904" s="46">
        <v>0.4713164416085473</v>
      </c>
      <c r="N7904" s="46">
        <v>0</v>
      </c>
    </row>
    <row r="7905" spans="13:14" x14ac:dyDescent="0.35">
      <c r="M7905" s="46">
        <v>0.47777667309689864</v>
      </c>
      <c r="N7905" s="46">
        <v>0</v>
      </c>
    </row>
    <row r="7906" spans="13:14" x14ac:dyDescent="0.35">
      <c r="M7906" s="46">
        <v>0.48724514022852056</v>
      </c>
      <c r="N7906" s="46">
        <v>0</v>
      </c>
    </row>
    <row r="7907" spans="13:14" x14ac:dyDescent="0.35">
      <c r="M7907" s="46">
        <v>0.53795303457486277</v>
      </c>
      <c r="N7907" s="46">
        <v>0</v>
      </c>
    </row>
    <row r="7908" spans="13:14" x14ac:dyDescent="0.35">
      <c r="M7908" s="46">
        <v>0.60788292031458679</v>
      </c>
      <c r="N7908" s="46">
        <v>0</v>
      </c>
    </row>
    <row r="7909" spans="13:14" x14ac:dyDescent="0.35">
      <c r="M7909" s="46">
        <v>0.65938247514468018</v>
      </c>
      <c r="N7909" s="46">
        <v>0</v>
      </c>
    </row>
    <row r="7910" spans="13:14" x14ac:dyDescent="0.35">
      <c r="M7910" s="46">
        <v>0.67078364742543406</v>
      </c>
      <c r="N7910" s="46">
        <v>0</v>
      </c>
    </row>
    <row r="7911" spans="13:14" x14ac:dyDescent="0.35">
      <c r="M7911" s="46">
        <v>0.67444138596230885</v>
      </c>
      <c r="N7911" s="46">
        <v>0</v>
      </c>
    </row>
    <row r="7912" spans="13:14" x14ac:dyDescent="0.35">
      <c r="M7912" s="46">
        <v>0.64585494880546079</v>
      </c>
      <c r="N7912" s="46">
        <v>0</v>
      </c>
    </row>
    <row r="7913" spans="13:14" x14ac:dyDescent="0.35">
      <c r="M7913" s="46">
        <v>0.62359623089479155</v>
      </c>
      <c r="N7913" s="46">
        <v>0</v>
      </c>
    </row>
    <row r="7914" spans="13:14" x14ac:dyDescent="0.35">
      <c r="M7914" s="46">
        <v>0.5836290992728892</v>
      </c>
      <c r="N7914" s="46">
        <v>0</v>
      </c>
    </row>
    <row r="7915" spans="13:14" x14ac:dyDescent="0.35">
      <c r="M7915" s="46">
        <v>0.54636236830390272</v>
      </c>
      <c r="N7915" s="46">
        <v>0</v>
      </c>
    </row>
    <row r="7916" spans="13:14" x14ac:dyDescent="0.35">
      <c r="M7916" s="46">
        <v>0.52578446357026265</v>
      </c>
      <c r="N7916" s="46">
        <v>0</v>
      </c>
    </row>
    <row r="7917" spans="13:14" x14ac:dyDescent="0.35">
      <c r="M7917" s="46">
        <v>0.5323300192906959</v>
      </c>
      <c r="N7917" s="46">
        <v>0</v>
      </c>
    </row>
    <row r="7918" spans="13:14" x14ac:dyDescent="0.35">
      <c r="M7918" s="46">
        <v>0.52346394123757234</v>
      </c>
      <c r="N7918" s="46">
        <v>0</v>
      </c>
    </row>
    <row r="7919" spans="13:14" x14ac:dyDescent="0.35">
      <c r="M7919" s="46">
        <v>0.51117428401840037</v>
      </c>
      <c r="N7919" s="46">
        <v>0</v>
      </c>
    </row>
    <row r="7920" spans="13:14" x14ac:dyDescent="0.35">
      <c r="M7920" s="46">
        <v>0.49457812731859324</v>
      </c>
      <c r="N7920" s="46">
        <v>0</v>
      </c>
    </row>
    <row r="7921" spans="13:14" x14ac:dyDescent="0.35">
      <c r="M7921" s="46">
        <v>0.49449896127021814</v>
      </c>
      <c r="N7921" s="46">
        <v>0</v>
      </c>
    </row>
    <row r="7922" spans="13:14" x14ac:dyDescent="0.35">
      <c r="M7922" s="46">
        <v>0.49794628283128056</v>
      </c>
      <c r="N7922" s="46">
        <v>0</v>
      </c>
    </row>
    <row r="7923" spans="13:14" x14ac:dyDescent="0.35">
      <c r="M7923" s="46">
        <v>0.51213317999703223</v>
      </c>
      <c r="N7923" s="46">
        <v>0</v>
      </c>
    </row>
    <row r="7924" spans="13:14" x14ac:dyDescent="0.35">
      <c r="M7924" s="46">
        <v>0.53159163080575755</v>
      </c>
      <c r="N7924" s="46">
        <v>0</v>
      </c>
    </row>
    <row r="7925" spans="13:14" x14ac:dyDescent="0.35">
      <c r="M7925" s="46">
        <v>0.55535487461047639</v>
      </c>
      <c r="N7925" s="46">
        <v>0</v>
      </c>
    </row>
    <row r="7926" spans="13:14" x14ac:dyDescent="0.35">
      <c r="M7926" s="46">
        <v>0.58183513874462089</v>
      </c>
      <c r="N7926" s="46">
        <v>0</v>
      </c>
    </row>
    <row r="7927" spans="13:14" x14ac:dyDescent="0.35">
      <c r="M7927" s="46">
        <v>0.60840384330019281</v>
      </c>
      <c r="N7927" s="46">
        <v>0</v>
      </c>
    </row>
    <row r="7928" spans="13:14" x14ac:dyDescent="0.35">
      <c r="M7928" s="46">
        <v>0.62688440421427505</v>
      </c>
      <c r="N7928" s="46">
        <v>0</v>
      </c>
    </row>
    <row r="7929" spans="13:14" x14ac:dyDescent="0.35">
      <c r="M7929" s="46">
        <v>0.6384751446802196</v>
      </c>
      <c r="N7929" s="46">
        <v>0</v>
      </c>
    </row>
    <row r="7930" spans="13:14" x14ac:dyDescent="0.35">
      <c r="M7930" s="46">
        <v>0.64709170500074198</v>
      </c>
      <c r="N7930" s="46">
        <v>0</v>
      </c>
    </row>
    <row r="7931" spans="13:14" x14ac:dyDescent="0.35">
      <c r="M7931" s="46">
        <v>0.68151595192165004</v>
      </c>
      <c r="N7931" s="46">
        <v>0</v>
      </c>
    </row>
    <row r="7932" spans="13:14" x14ac:dyDescent="0.35">
      <c r="M7932" s="46">
        <v>0.74214356729485098</v>
      </c>
      <c r="N7932" s="46">
        <v>0</v>
      </c>
    </row>
    <row r="7933" spans="13:14" x14ac:dyDescent="0.35">
      <c r="M7933" s="46">
        <v>0.80594650541623392</v>
      </c>
      <c r="N7933" s="46">
        <v>0</v>
      </c>
    </row>
    <row r="7934" spans="13:14" x14ac:dyDescent="0.35">
      <c r="M7934" s="46">
        <v>0.86017146460899241</v>
      </c>
      <c r="N7934" s="46">
        <v>0</v>
      </c>
    </row>
    <row r="7935" spans="13:14" x14ac:dyDescent="0.35">
      <c r="M7935" s="46">
        <v>0.89157100460008898</v>
      </c>
      <c r="N7935" s="46">
        <v>0</v>
      </c>
    </row>
    <row r="7936" spans="13:14" x14ac:dyDescent="0.35">
      <c r="M7936" s="46">
        <v>0.89419772963347677</v>
      </c>
      <c r="N7936" s="46">
        <v>0</v>
      </c>
    </row>
    <row r="7937" spans="13:14" x14ac:dyDescent="0.35">
      <c r="M7937" s="46">
        <v>0.84745659593411493</v>
      </c>
      <c r="N7937" s="46">
        <v>0</v>
      </c>
    </row>
    <row r="7938" spans="13:14" x14ac:dyDescent="0.35">
      <c r="M7938" s="46">
        <v>0.77207590146906069</v>
      </c>
      <c r="N7938" s="46">
        <v>0</v>
      </c>
    </row>
    <row r="7939" spans="13:14" x14ac:dyDescent="0.35">
      <c r="M7939" s="46">
        <v>0.69585836177474403</v>
      </c>
      <c r="N7939" s="46">
        <v>0</v>
      </c>
    </row>
    <row r="7940" spans="13:14" x14ac:dyDescent="0.35">
      <c r="M7940" s="46">
        <v>0.64774024335954894</v>
      </c>
      <c r="N7940" s="46">
        <v>0</v>
      </c>
    </row>
    <row r="7941" spans="13:14" x14ac:dyDescent="0.35">
      <c r="M7941" s="46">
        <v>0.64551854874610481</v>
      </c>
      <c r="N7941" s="46">
        <v>0</v>
      </c>
    </row>
    <row r="7942" spans="13:14" x14ac:dyDescent="0.35">
      <c r="M7942" s="46">
        <v>0.64275589850126136</v>
      </c>
      <c r="N7942" s="46">
        <v>0</v>
      </c>
    </row>
    <row r="7943" spans="13:14" x14ac:dyDescent="0.35">
      <c r="M7943" s="46">
        <v>0.63129581540287871</v>
      </c>
      <c r="N7943" s="46">
        <v>0</v>
      </c>
    </row>
    <row r="7944" spans="13:14" x14ac:dyDescent="0.35">
      <c r="M7944" s="46">
        <v>0.60870136518771323</v>
      </c>
      <c r="N7944" s="46">
        <v>0</v>
      </c>
    </row>
    <row r="7945" spans="13:14" x14ac:dyDescent="0.35">
      <c r="M7945" s="46">
        <v>0.59715833209675029</v>
      </c>
      <c r="N7945" s="46">
        <v>0</v>
      </c>
    </row>
    <row r="7946" spans="13:14" x14ac:dyDescent="0.35">
      <c r="M7946" s="46">
        <v>0.57978557649502893</v>
      </c>
      <c r="N7946" s="46">
        <v>0</v>
      </c>
    </row>
    <row r="7947" spans="13:14" x14ac:dyDescent="0.35">
      <c r="M7947" s="46">
        <v>0.56444286986199732</v>
      </c>
      <c r="N7947" s="46">
        <v>0</v>
      </c>
    </row>
    <row r="7948" spans="13:14" x14ac:dyDescent="0.35">
      <c r="M7948" s="46">
        <v>0.55962004748479</v>
      </c>
      <c r="N7948" s="46">
        <v>0</v>
      </c>
    </row>
    <row r="7949" spans="13:14" x14ac:dyDescent="0.35">
      <c r="M7949" s="46">
        <v>0.5594255082356433</v>
      </c>
      <c r="N7949" s="46">
        <v>0</v>
      </c>
    </row>
    <row r="7950" spans="13:14" x14ac:dyDescent="0.35">
      <c r="M7950" s="46">
        <v>0.56389583024187562</v>
      </c>
      <c r="N7950" s="46">
        <v>0</v>
      </c>
    </row>
    <row r="7951" spans="13:14" x14ac:dyDescent="0.35">
      <c r="M7951" s="46">
        <v>0.57143760201810356</v>
      </c>
      <c r="N7951" s="46">
        <v>0</v>
      </c>
    </row>
    <row r="7952" spans="13:14" x14ac:dyDescent="0.35">
      <c r="M7952" s="46">
        <v>0.57399488054607506</v>
      </c>
      <c r="N7952" s="46">
        <v>0</v>
      </c>
    </row>
    <row r="7953" spans="13:14" x14ac:dyDescent="0.35">
      <c r="M7953" s="46">
        <v>0.58117547113815105</v>
      </c>
      <c r="N7953" s="46">
        <v>0</v>
      </c>
    </row>
    <row r="7954" spans="13:14" x14ac:dyDescent="0.35">
      <c r="M7954" s="46">
        <v>0.57899881288024935</v>
      </c>
      <c r="N7954" s="46">
        <v>0</v>
      </c>
    </row>
    <row r="7955" spans="13:14" x14ac:dyDescent="0.35">
      <c r="M7955" s="46">
        <v>0.64051951328090229</v>
      </c>
      <c r="N7955" s="46">
        <v>0</v>
      </c>
    </row>
    <row r="7956" spans="13:14" x14ac:dyDescent="0.35">
      <c r="M7956" s="46">
        <v>0.72828557649502901</v>
      </c>
      <c r="N7956" s="46">
        <v>0</v>
      </c>
    </row>
    <row r="7957" spans="13:14" x14ac:dyDescent="0.35">
      <c r="M7957" s="46">
        <v>0.81611166345155062</v>
      </c>
      <c r="N7957" s="46">
        <v>0</v>
      </c>
    </row>
    <row r="7958" spans="13:14" x14ac:dyDescent="0.35">
      <c r="M7958" s="46">
        <v>0.83319735865855471</v>
      </c>
      <c r="N7958" s="46">
        <v>0</v>
      </c>
    </row>
    <row r="7959" spans="13:14" x14ac:dyDescent="0.35">
      <c r="M7959" s="46">
        <v>0.80818481970618783</v>
      </c>
      <c r="N7959" s="46">
        <v>0</v>
      </c>
    </row>
    <row r="7960" spans="13:14" x14ac:dyDescent="0.35">
      <c r="M7960" s="46">
        <v>0.7653606618192611</v>
      </c>
      <c r="N7960" s="46">
        <v>0</v>
      </c>
    </row>
    <row r="7961" spans="13:14" x14ac:dyDescent="0.35">
      <c r="M7961" s="46">
        <v>0.73465885146164123</v>
      </c>
      <c r="N7961" s="46">
        <v>0</v>
      </c>
    </row>
    <row r="7962" spans="13:14" x14ac:dyDescent="0.35">
      <c r="M7962" s="46">
        <v>0.68647136073601422</v>
      </c>
      <c r="N7962" s="46">
        <v>0</v>
      </c>
    </row>
    <row r="7963" spans="13:14" x14ac:dyDescent="0.35">
      <c r="M7963" s="46">
        <v>0.64448523519810053</v>
      </c>
      <c r="N7963" s="46">
        <v>0</v>
      </c>
    </row>
    <row r="7964" spans="13:14" x14ac:dyDescent="0.35">
      <c r="M7964" s="46">
        <v>0.63210461492803083</v>
      </c>
      <c r="N7964" s="46">
        <v>0</v>
      </c>
    </row>
    <row r="7965" spans="13:14" x14ac:dyDescent="0.35">
      <c r="M7965" s="46">
        <v>0.6321720581688679</v>
      </c>
      <c r="N7965" s="46">
        <v>0</v>
      </c>
    </row>
    <row r="7966" spans="13:14" x14ac:dyDescent="0.35">
      <c r="M7966" s="46">
        <v>0.63070581688677851</v>
      </c>
      <c r="N7966" s="46">
        <v>0</v>
      </c>
    </row>
    <row r="7967" spans="13:14" x14ac:dyDescent="0.35">
      <c r="M7967" s="46">
        <v>0.62212650244843448</v>
      </c>
      <c r="N7967" s="46">
        <v>0</v>
      </c>
    </row>
    <row r="7968" spans="13:14" x14ac:dyDescent="0.35">
      <c r="M7968" s="46">
        <v>0.61190495622495911</v>
      </c>
      <c r="N7968" s="46">
        <v>0</v>
      </c>
    </row>
    <row r="7969" spans="13:14" x14ac:dyDescent="0.35">
      <c r="M7969" s="46">
        <v>0.61026205668496802</v>
      </c>
      <c r="N7969" s="46">
        <v>0</v>
      </c>
    </row>
    <row r="7970" spans="13:14" x14ac:dyDescent="0.35">
      <c r="M7970" s="46">
        <v>0.60536140376910519</v>
      </c>
      <c r="N7970" s="46">
        <v>0</v>
      </c>
    </row>
    <row r="7971" spans="13:14" x14ac:dyDescent="0.35">
      <c r="M7971" s="46">
        <v>0.6059484344858288</v>
      </c>
      <c r="N7971" s="46">
        <v>0</v>
      </c>
    </row>
    <row r="7972" spans="13:14" x14ac:dyDescent="0.35">
      <c r="M7972" s="46">
        <v>0.60664586733936787</v>
      </c>
      <c r="N7972" s="46">
        <v>0</v>
      </c>
    </row>
    <row r="7973" spans="13:14" x14ac:dyDescent="0.35">
      <c r="M7973" s="46">
        <v>0.60599295147648025</v>
      </c>
      <c r="N7973" s="46">
        <v>0</v>
      </c>
    </row>
    <row r="7974" spans="13:14" x14ac:dyDescent="0.35">
      <c r="M7974" s="46">
        <v>0.60990191423059803</v>
      </c>
      <c r="N7974" s="46">
        <v>0</v>
      </c>
    </row>
    <row r="7975" spans="13:14" x14ac:dyDescent="0.35">
      <c r="M7975" s="46">
        <v>0.61313280902211009</v>
      </c>
      <c r="N7975" s="46">
        <v>0</v>
      </c>
    </row>
    <row r="7976" spans="13:14" x14ac:dyDescent="0.35">
      <c r="M7976" s="46">
        <v>0.61159081466092902</v>
      </c>
      <c r="N7976" s="46">
        <v>0</v>
      </c>
    </row>
    <row r="7977" spans="13:14" x14ac:dyDescent="0.35">
      <c r="M7977" s="46">
        <v>0.59932126428253452</v>
      </c>
      <c r="N7977" s="46">
        <v>0</v>
      </c>
    </row>
    <row r="7978" spans="13:14" x14ac:dyDescent="0.35">
      <c r="M7978" s="46">
        <v>0.57925975664045115</v>
      </c>
      <c r="N7978" s="46">
        <v>0</v>
      </c>
    </row>
    <row r="7979" spans="13:14" x14ac:dyDescent="0.35">
      <c r="M7979" s="46">
        <v>0.59943448582875791</v>
      </c>
      <c r="N7979" s="46">
        <v>0</v>
      </c>
    </row>
    <row r="7980" spans="13:14" x14ac:dyDescent="0.35">
      <c r="M7980" s="46">
        <v>0.65484626799228374</v>
      </c>
      <c r="N7980" s="46">
        <v>0</v>
      </c>
    </row>
    <row r="7981" spans="13:14" x14ac:dyDescent="0.35">
      <c r="M7981" s="46">
        <v>0.72007115299005786</v>
      </c>
      <c r="N7981" s="46">
        <v>0</v>
      </c>
    </row>
    <row r="7982" spans="13:14" x14ac:dyDescent="0.35">
      <c r="M7982" s="46">
        <v>0.77198887075233713</v>
      </c>
      <c r="N7982" s="46">
        <v>0</v>
      </c>
    </row>
    <row r="7983" spans="13:14" x14ac:dyDescent="0.35">
      <c r="M7983" s="46">
        <v>0.78937572340109807</v>
      </c>
      <c r="N7983" s="46">
        <v>0</v>
      </c>
    </row>
    <row r="7984" spans="13:14" x14ac:dyDescent="0.35">
      <c r="M7984" s="46">
        <v>0.76613177029232826</v>
      </c>
      <c r="N7984" s="46">
        <v>0</v>
      </c>
    </row>
    <row r="7985" spans="13:14" x14ac:dyDescent="0.35">
      <c r="M7985" s="46">
        <v>0.68940324974031753</v>
      </c>
      <c r="N7985" s="46">
        <v>0</v>
      </c>
    </row>
    <row r="7986" spans="13:14" x14ac:dyDescent="0.35">
      <c r="M7986" s="46">
        <v>0.6078539100756789</v>
      </c>
      <c r="N7986" s="46">
        <v>0</v>
      </c>
    </row>
    <row r="7987" spans="13:14" x14ac:dyDescent="0.35">
      <c r="M7987" s="46">
        <v>0.54987119750704849</v>
      </c>
      <c r="N7987" s="46">
        <v>0</v>
      </c>
    </row>
    <row r="7988" spans="13:14" x14ac:dyDescent="0.35">
      <c r="M7988" s="46">
        <v>0.52802700697432847</v>
      </c>
      <c r="N7988" s="46">
        <v>0</v>
      </c>
    </row>
    <row r="7989" spans="13:14" x14ac:dyDescent="0.35">
      <c r="M7989" s="46">
        <v>0.51570737498145125</v>
      </c>
      <c r="N7989" s="46">
        <v>0</v>
      </c>
    </row>
    <row r="7990" spans="13:14" x14ac:dyDescent="0.35">
      <c r="M7990" s="46">
        <v>0.47312056684968096</v>
      </c>
      <c r="N7990" s="46">
        <v>0</v>
      </c>
    </row>
    <row r="7991" spans="13:14" x14ac:dyDescent="0.35">
      <c r="M7991" s="46">
        <v>0.40650704852351982</v>
      </c>
      <c r="N7991" s="46">
        <v>0</v>
      </c>
    </row>
    <row r="7992" spans="13:14" x14ac:dyDescent="0.35">
      <c r="M7992" s="46">
        <v>0.32558191126279867</v>
      </c>
      <c r="N7992" s="46">
        <v>0</v>
      </c>
    </row>
    <row r="7993" spans="13:14" x14ac:dyDescent="0.35">
      <c r="M7993" s="46">
        <v>0.27614505119453925</v>
      </c>
      <c r="N7993" s="46">
        <v>0</v>
      </c>
    </row>
    <row r="7994" spans="13:14" x14ac:dyDescent="0.35">
      <c r="M7994" s="46">
        <v>0.23046720581688679</v>
      </c>
      <c r="N7994" s="46">
        <v>0</v>
      </c>
    </row>
    <row r="7995" spans="13:14" x14ac:dyDescent="0.35">
      <c r="M7995" s="46">
        <v>0.20121531384478408</v>
      </c>
      <c r="N7995" s="46">
        <v>0</v>
      </c>
    </row>
    <row r="7996" spans="13:14" x14ac:dyDescent="0.35">
      <c r="M7996" s="46">
        <v>0.17348041252411336</v>
      </c>
      <c r="N7996" s="46">
        <v>0</v>
      </c>
    </row>
    <row r="7997" spans="13:14" x14ac:dyDescent="0.35">
      <c r="M7997" s="46">
        <v>0.15549599347084136</v>
      </c>
      <c r="N7997" s="46">
        <v>0</v>
      </c>
    </row>
    <row r="7998" spans="13:14" x14ac:dyDescent="0.35">
      <c r="M7998" s="46">
        <v>0.14097492209526635</v>
      </c>
      <c r="N7998" s="46">
        <v>0</v>
      </c>
    </row>
    <row r="7999" spans="13:14" x14ac:dyDescent="0.35">
      <c r="M7999" s="46">
        <v>0.12311715388039769</v>
      </c>
      <c r="N7999" s="46">
        <v>0</v>
      </c>
    </row>
    <row r="8000" spans="13:14" x14ac:dyDescent="0.35">
      <c r="M8000" s="46">
        <v>0.11226398575456299</v>
      </c>
      <c r="N8000" s="46">
        <v>0</v>
      </c>
    </row>
    <row r="8001" spans="13:14" x14ac:dyDescent="0.35">
      <c r="M8001" s="46">
        <v>0.10282304496216055</v>
      </c>
      <c r="N8001" s="46">
        <v>0</v>
      </c>
    </row>
    <row r="8002" spans="13:14" x14ac:dyDescent="0.35">
      <c r="M8002" s="46">
        <v>0.10371969134886481</v>
      </c>
      <c r="N8002" s="46">
        <v>0</v>
      </c>
    </row>
    <row r="8003" spans="13:14" x14ac:dyDescent="0.35">
      <c r="M8003" s="46">
        <v>0.1517682890636593</v>
      </c>
      <c r="N8003" s="46">
        <v>0</v>
      </c>
    </row>
    <row r="8004" spans="13:14" x14ac:dyDescent="0.35">
      <c r="M8004" s="46">
        <v>0.25867769698768361</v>
      </c>
      <c r="N8004" s="46">
        <v>0</v>
      </c>
    </row>
    <row r="8005" spans="13:14" x14ac:dyDescent="0.35">
      <c r="M8005" s="46">
        <v>0.35960795370232973</v>
      </c>
      <c r="N8005" s="46">
        <v>0</v>
      </c>
    </row>
    <row r="8006" spans="13:14" x14ac:dyDescent="0.35">
      <c r="M8006" s="46">
        <v>0.4132840925953406</v>
      </c>
      <c r="N8006" s="46">
        <v>0</v>
      </c>
    </row>
    <row r="8007" spans="13:14" x14ac:dyDescent="0.35">
      <c r="M8007" s="46">
        <v>0.425424395310877</v>
      </c>
      <c r="N8007" s="46">
        <v>0</v>
      </c>
    </row>
    <row r="8008" spans="13:14" x14ac:dyDescent="0.35">
      <c r="M8008" s="46">
        <v>0.40498968689716575</v>
      </c>
      <c r="N8008" s="46">
        <v>0</v>
      </c>
    </row>
    <row r="8009" spans="13:14" x14ac:dyDescent="0.35">
      <c r="M8009" s="46">
        <v>0.36233580649948061</v>
      </c>
      <c r="N8009" s="46">
        <v>0</v>
      </c>
    </row>
    <row r="8010" spans="13:14" x14ac:dyDescent="0.35">
      <c r="M8010" s="46">
        <v>0.29946883810654401</v>
      </c>
      <c r="N8010" s="46">
        <v>0</v>
      </c>
    </row>
    <row r="8011" spans="13:14" x14ac:dyDescent="0.35">
      <c r="M8011" s="46">
        <v>0.2318127318593263</v>
      </c>
      <c r="N8011" s="46">
        <v>0</v>
      </c>
    </row>
    <row r="8012" spans="13:14" x14ac:dyDescent="0.35">
      <c r="M8012" s="46">
        <v>0.18937245882178366</v>
      </c>
      <c r="N8012" s="46">
        <v>0</v>
      </c>
    </row>
    <row r="8013" spans="13:14" x14ac:dyDescent="0.35">
      <c r="M8013" s="46">
        <v>0.17847217688084285</v>
      </c>
      <c r="N8013" s="46">
        <v>0</v>
      </c>
    </row>
    <row r="8014" spans="13:14" x14ac:dyDescent="0.35">
      <c r="M8014" s="46">
        <v>0.17074617895830241</v>
      </c>
      <c r="N8014" s="46">
        <v>0</v>
      </c>
    </row>
    <row r="8015" spans="13:14" x14ac:dyDescent="0.35">
      <c r="M8015" s="46">
        <v>0.16259326309541475</v>
      </c>
      <c r="N8015" s="46">
        <v>0</v>
      </c>
    </row>
    <row r="8016" spans="13:14" x14ac:dyDescent="0.35">
      <c r="M8016" s="46">
        <v>0.16404629767027751</v>
      </c>
      <c r="N8016" s="46">
        <v>0</v>
      </c>
    </row>
    <row r="8017" spans="13:14" x14ac:dyDescent="0.35">
      <c r="M8017" s="46">
        <v>0.17015573527229558</v>
      </c>
      <c r="N8017" s="46">
        <v>0</v>
      </c>
    </row>
    <row r="8018" spans="13:14" x14ac:dyDescent="0.35">
      <c r="M8018" s="46">
        <v>0.14317754859771481</v>
      </c>
      <c r="N8018" s="46">
        <v>0</v>
      </c>
    </row>
    <row r="8019" spans="13:14" x14ac:dyDescent="0.35">
      <c r="M8019" s="46">
        <v>0.14729470247811249</v>
      </c>
      <c r="N8019" s="46">
        <v>0</v>
      </c>
    </row>
    <row r="8020" spans="13:14" x14ac:dyDescent="0.35">
      <c r="M8020" s="46">
        <v>0.14643404065885146</v>
      </c>
      <c r="N8020" s="46">
        <v>0</v>
      </c>
    </row>
    <row r="8021" spans="13:14" x14ac:dyDescent="0.35">
      <c r="M8021" s="46">
        <v>0.14524833061285056</v>
      </c>
      <c r="N8021" s="46">
        <v>0</v>
      </c>
    </row>
    <row r="8022" spans="13:14" x14ac:dyDescent="0.35">
      <c r="M8022" s="46">
        <v>0.14346638967205819</v>
      </c>
      <c r="N8022" s="46">
        <v>0</v>
      </c>
    </row>
    <row r="8023" spans="13:14" x14ac:dyDescent="0.35">
      <c r="M8023" s="46">
        <v>0.14785561656032054</v>
      </c>
      <c r="N8023" s="46">
        <v>0</v>
      </c>
    </row>
    <row r="8024" spans="13:14" x14ac:dyDescent="0.35">
      <c r="M8024" s="46">
        <v>0.14621872681406739</v>
      </c>
      <c r="N8024" s="46">
        <v>0</v>
      </c>
    </row>
    <row r="8025" spans="13:14" x14ac:dyDescent="0.35">
      <c r="M8025" s="46">
        <v>0.14497158332096749</v>
      </c>
      <c r="N8025" s="46">
        <v>0</v>
      </c>
    </row>
    <row r="8026" spans="13:14" x14ac:dyDescent="0.35">
      <c r="M8026" s="46">
        <v>0.13348820299747738</v>
      </c>
      <c r="N8026" s="46">
        <v>0</v>
      </c>
    </row>
    <row r="8027" spans="13:14" x14ac:dyDescent="0.35">
      <c r="M8027" s="46">
        <v>0.17380716723549486</v>
      </c>
      <c r="N8027" s="46">
        <v>0</v>
      </c>
    </row>
    <row r="8028" spans="13:14" x14ac:dyDescent="0.35">
      <c r="M8028" s="46">
        <v>0.24188032349013208</v>
      </c>
      <c r="N8028" s="46">
        <v>0</v>
      </c>
    </row>
    <row r="8029" spans="13:14" x14ac:dyDescent="0.35">
      <c r="M8029" s="46">
        <v>0.30449384181629319</v>
      </c>
      <c r="N8029" s="46">
        <v>0</v>
      </c>
    </row>
    <row r="8030" spans="13:14" x14ac:dyDescent="0.35">
      <c r="M8030" s="46">
        <v>0.32765425137260717</v>
      </c>
      <c r="N8030" s="46">
        <v>0</v>
      </c>
    </row>
    <row r="8031" spans="13:14" x14ac:dyDescent="0.35">
      <c r="M8031" s="46">
        <v>0.32505601721323635</v>
      </c>
      <c r="N8031" s="46">
        <v>0</v>
      </c>
    </row>
    <row r="8032" spans="13:14" x14ac:dyDescent="0.35">
      <c r="M8032" s="46">
        <v>0.29505483009348565</v>
      </c>
      <c r="N8032" s="46">
        <v>0</v>
      </c>
    </row>
    <row r="8033" spans="13:14" x14ac:dyDescent="0.35">
      <c r="M8033" s="46">
        <v>0.2622137557501113</v>
      </c>
      <c r="N8033" s="46">
        <v>0</v>
      </c>
    </row>
    <row r="8034" spans="13:14" x14ac:dyDescent="0.35">
      <c r="M8034" s="46">
        <v>0.20586414898352873</v>
      </c>
      <c r="N8034" s="46">
        <v>0</v>
      </c>
    </row>
    <row r="8035" spans="13:14" x14ac:dyDescent="0.35">
      <c r="M8035" s="46">
        <v>0.1474170500074195</v>
      </c>
      <c r="N8035" s="46">
        <v>0</v>
      </c>
    </row>
    <row r="8036" spans="13:14" x14ac:dyDescent="0.35">
      <c r="M8036" s="46">
        <v>0.12475485977147945</v>
      </c>
      <c r="N8036" s="46">
        <v>0</v>
      </c>
    </row>
    <row r="8037" spans="13:14" x14ac:dyDescent="0.35">
      <c r="M8037" s="46">
        <v>0.12521768808428549</v>
      </c>
      <c r="N8037" s="46">
        <v>0</v>
      </c>
    </row>
    <row r="8038" spans="13:14" x14ac:dyDescent="0.35">
      <c r="M8038" s="46">
        <v>0.12202745214423505</v>
      </c>
      <c r="N8038" s="46">
        <v>0</v>
      </c>
    </row>
    <row r="8039" spans="13:14" x14ac:dyDescent="0.35">
      <c r="M8039" s="46">
        <v>0.11615892565662561</v>
      </c>
      <c r="N8039" s="46">
        <v>0</v>
      </c>
    </row>
    <row r="8040" spans="13:14" x14ac:dyDescent="0.35">
      <c r="M8040" s="46">
        <v>0.11031488351387447</v>
      </c>
      <c r="N8040" s="46">
        <v>0</v>
      </c>
    </row>
    <row r="8041" spans="13:14" x14ac:dyDescent="0.35">
      <c r="M8041" s="46">
        <v>0.10539108176287283</v>
      </c>
      <c r="N8041" s="46">
        <v>0</v>
      </c>
    </row>
    <row r="8042" spans="13:14" x14ac:dyDescent="0.35">
      <c r="M8042" s="46">
        <v>0.10124321115892566</v>
      </c>
      <c r="N8042" s="46">
        <v>0</v>
      </c>
    </row>
    <row r="8043" spans="13:14" x14ac:dyDescent="0.35">
      <c r="M8043" s="46">
        <v>9.7783944205371717E-2</v>
      </c>
      <c r="N8043" s="46">
        <v>0</v>
      </c>
    </row>
    <row r="8044" spans="13:14" x14ac:dyDescent="0.35">
      <c r="M8044" s="46">
        <v>9.6171538803976858E-2</v>
      </c>
      <c r="N8044" s="46">
        <v>0</v>
      </c>
    </row>
    <row r="8045" spans="13:14" x14ac:dyDescent="0.35">
      <c r="M8045" s="46">
        <v>9.6003635554236522E-2</v>
      </c>
      <c r="N8045" s="46">
        <v>0</v>
      </c>
    </row>
    <row r="8046" spans="13:14" x14ac:dyDescent="0.35">
      <c r="M8046" s="46">
        <v>9.7296408962754127E-2</v>
      </c>
      <c r="N8046" s="46">
        <v>0</v>
      </c>
    </row>
    <row r="8047" spans="13:14" x14ac:dyDescent="0.35">
      <c r="M8047" s="46">
        <v>0.10420611366671613</v>
      </c>
      <c r="N8047" s="46">
        <v>0</v>
      </c>
    </row>
    <row r="8048" spans="13:14" x14ac:dyDescent="0.35">
      <c r="M8048" s="46">
        <v>0.11430664787060395</v>
      </c>
      <c r="N8048" s="46">
        <v>0</v>
      </c>
    </row>
    <row r="8049" spans="13:14" x14ac:dyDescent="0.35">
      <c r="M8049" s="46">
        <v>0.11976814067369045</v>
      </c>
      <c r="N8049" s="46">
        <v>0</v>
      </c>
    </row>
    <row r="8050" spans="13:14" x14ac:dyDescent="0.35">
      <c r="M8050" s="46">
        <v>0.11868548746104764</v>
      </c>
      <c r="N8050" s="46">
        <v>0</v>
      </c>
    </row>
    <row r="8051" spans="13:14" x14ac:dyDescent="0.35">
      <c r="M8051" s="46">
        <v>0.15340458525003708</v>
      </c>
      <c r="N8051" s="46">
        <v>0</v>
      </c>
    </row>
    <row r="8052" spans="13:14" x14ac:dyDescent="0.35">
      <c r="M8052" s="46">
        <v>0.22013503487164268</v>
      </c>
      <c r="N8052" s="46">
        <v>0</v>
      </c>
    </row>
    <row r="8053" spans="13:14" x14ac:dyDescent="0.35">
      <c r="M8053" s="46">
        <v>0.277354281050601</v>
      </c>
      <c r="N8053" s="46">
        <v>0</v>
      </c>
    </row>
    <row r="8054" spans="13:14" x14ac:dyDescent="0.35">
      <c r="M8054" s="46">
        <v>0.31718793589553346</v>
      </c>
      <c r="N8054" s="46">
        <v>0</v>
      </c>
    </row>
    <row r="8055" spans="13:14" x14ac:dyDescent="0.35">
      <c r="M8055" s="46">
        <v>0.3289349309986645</v>
      </c>
      <c r="N8055" s="46">
        <v>0</v>
      </c>
    </row>
    <row r="8056" spans="13:14" x14ac:dyDescent="0.35">
      <c r="M8056" s="46">
        <v>0.31223393678587325</v>
      </c>
      <c r="N8056" s="46">
        <v>0</v>
      </c>
    </row>
    <row r="8057" spans="13:14" x14ac:dyDescent="0.35">
      <c r="M8057" s="46">
        <v>0.28773846267992287</v>
      </c>
      <c r="N8057" s="46">
        <v>0</v>
      </c>
    </row>
    <row r="8058" spans="13:14" x14ac:dyDescent="0.35">
      <c r="M8058" s="46">
        <v>0.23755549784834545</v>
      </c>
      <c r="N8058" s="46">
        <v>0</v>
      </c>
    </row>
    <row r="8059" spans="13:14" x14ac:dyDescent="0.35">
      <c r="M8059" s="46">
        <v>0.18086756195281201</v>
      </c>
      <c r="N8059" s="46">
        <v>0</v>
      </c>
    </row>
    <row r="8060" spans="13:14" x14ac:dyDescent="0.35">
      <c r="M8060" s="46">
        <v>0.14821204926546966</v>
      </c>
      <c r="N8060" s="46">
        <v>0</v>
      </c>
    </row>
    <row r="8061" spans="13:14" x14ac:dyDescent="0.35">
      <c r="M8061" s="46">
        <v>0.16207694019884256</v>
      </c>
      <c r="N8061" s="46">
        <v>0</v>
      </c>
    </row>
    <row r="8062" spans="13:14" x14ac:dyDescent="0.35">
      <c r="M8062" s="46">
        <v>0.17207204332987089</v>
      </c>
      <c r="N8062" s="46">
        <v>0</v>
      </c>
    </row>
    <row r="8063" spans="13:14" x14ac:dyDescent="0.35">
      <c r="M8063" s="46">
        <v>0.18497128654102984</v>
      </c>
      <c r="N8063" s="46">
        <v>0</v>
      </c>
    </row>
    <row r="8064" spans="13:14" x14ac:dyDescent="0.35">
      <c r="M8064" s="46">
        <v>0.188929885739724</v>
      </c>
      <c r="N8064" s="46">
        <v>0</v>
      </c>
    </row>
    <row r="8065" spans="13:14" x14ac:dyDescent="0.35">
      <c r="M8065" s="46">
        <v>0.19745637334916161</v>
      </c>
      <c r="N8065" s="46">
        <v>0</v>
      </c>
    </row>
    <row r="8066" spans="13:14" x14ac:dyDescent="0.35">
      <c r="M8066" s="46">
        <v>0.21215892565662561</v>
      </c>
      <c r="N8066" s="46">
        <v>0</v>
      </c>
    </row>
    <row r="8067" spans="13:14" x14ac:dyDescent="0.35">
      <c r="M8067" s="46">
        <v>0.22920596527674728</v>
      </c>
      <c r="N8067" s="46">
        <v>0</v>
      </c>
    </row>
    <row r="8068" spans="13:14" x14ac:dyDescent="0.35">
      <c r="M8068" s="46">
        <v>0.23782653212642824</v>
      </c>
      <c r="N8068" s="46">
        <v>0</v>
      </c>
    </row>
    <row r="8069" spans="13:14" x14ac:dyDescent="0.35">
      <c r="M8069" s="46">
        <v>0.24714438343967948</v>
      </c>
      <c r="N8069" s="46">
        <v>0</v>
      </c>
    </row>
    <row r="8070" spans="13:14" x14ac:dyDescent="0.35">
      <c r="M8070" s="46">
        <v>0.25470366523223031</v>
      </c>
      <c r="N8070" s="46">
        <v>0</v>
      </c>
    </row>
    <row r="8071" spans="13:14" x14ac:dyDescent="0.35">
      <c r="M8071" s="46">
        <v>0.26050875500816145</v>
      </c>
      <c r="N8071" s="46">
        <v>0</v>
      </c>
    </row>
    <row r="8072" spans="13:14" x14ac:dyDescent="0.35">
      <c r="M8072" s="46">
        <v>0.25847840925953403</v>
      </c>
      <c r="N8072" s="46">
        <v>0</v>
      </c>
    </row>
    <row r="8073" spans="13:14" x14ac:dyDescent="0.35">
      <c r="M8073" s="46">
        <v>0.2575540881436415</v>
      </c>
      <c r="N8073" s="46">
        <v>0</v>
      </c>
    </row>
    <row r="8074" spans="13:14" x14ac:dyDescent="0.35">
      <c r="M8074" s="46">
        <v>0.26030813177029233</v>
      </c>
      <c r="N8074" s="46">
        <v>0</v>
      </c>
    </row>
    <row r="8075" spans="13:14" x14ac:dyDescent="0.35">
      <c r="M8075" s="46">
        <v>0.30284908740169164</v>
      </c>
      <c r="N8075" s="46">
        <v>0</v>
      </c>
    </row>
    <row r="8076" spans="13:14" x14ac:dyDescent="0.35">
      <c r="M8076" s="46">
        <v>0.36535005193648912</v>
      </c>
      <c r="N8076" s="46">
        <v>0</v>
      </c>
    </row>
    <row r="8077" spans="13:14" x14ac:dyDescent="0.35">
      <c r="M8077" s="46">
        <v>0.41689434634218725</v>
      </c>
      <c r="N8077" s="46">
        <v>0</v>
      </c>
    </row>
    <row r="8078" spans="13:14" x14ac:dyDescent="0.35">
      <c r="M8078" s="46">
        <v>0.473929885739724</v>
      </c>
      <c r="N8078" s="46">
        <v>0</v>
      </c>
    </row>
    <row r="8079" spans="13:14" x14ac:dyDescent="0.35">
      <c r="M8079" s="46">
        <v>0.50235695207004005</v>
      </c>
      <c r="N8079" s="46">
        <v>0</v>
      </c>
    </row>
    <row r="8080" spans="13:14" x14ac:dyDescent="0.35">
      <c r="M8080" s="46">
        <v>0.49180968986496509</v>
      </c>
      <c r="N8080" s="46">
        <v>0</v>
      </c>
    </row>
    <row r="8081" spans="13:14" x14ac:dyDescent="0.35">
      <c r="M8081" s="46">
        <v>0.46116241282089326</v>
      </c>
      <c r="N8081" s="46">
        <v>0</v>
      </c>
    </row>
    <row r="8082" spans="13:14" x14ac:dyDescent="0.35">
      <c r="M8082" s="46">
        <v>0.41531288024929519</v>
      </c>
      <c r="N8082" s="46">
        <v>0</v>
      </c>
    </row>
    <row r="8083" spans="13:14" x14ac:dyDescent="0.35">
      <c r="M8083" s="46">
        <v>0.35789048820299751</v>
      </c>
      <c r="N8083" s="46">
        <v>0</v>
      </c>
    </row>
    <row r="8084" spans="13:14" x14ac:dyDescent="0.35">
      <c r="M8084" s="46">
        <v>0.31939649799673542</v>
      </c>
      <c r="N8084" s="46">
        <v>0</v>
      </c>
    </row>
    <row r="8085" spans="13:14" x14ac:dyDescent="0.35">
      <c r="M8085" s="46">
        <v>0.32661069891675326</v>
      </c>
      <c r="N8085" s="46">
        <v>0</v>
      </c>
    </row>
    <row r="8086" spans="13:14" x14ac:dyDescent="0.35">
      <c r="M8086" s="46">
        <v>0.33458450808725326</v>
      </c>
      <c r="N8086" s="46">
        <v>0</v>
      </c>
    </row>
    <row r="8087" spans="13:14" x14ac:dyDescent="0.35">
      <c r="M8087" s="46">
        <v>0.34663421872681405</v>
      </c>
      <c r="N8087" s="46">
        <v>0</v>
      </c>
    </row>
    <row r="8088" spans="13:14" x14ac:dyDescent="0.35">
      <c r="M8088" s="46">
        <v>0.36357998219320375</v>
      </c>
      <c r="N8088" s="46">
        <v>0</v>
      </c>
    </row>
    <row r="8089" spans="13:14" x14ac:dyDescent="0.35">
      <c r="M8089" s="46">
        <v>0.3738348419646832</v>
      </c>
      <c r="N8089" s="46">
        <v>0</v>
      </c>
    </row>
    <row r="8090" spans="13:14" x14ac:dyDescent="0.35">
      <c r="M8090" s="46">
        <v>0.38413867042587924</v>
      </c>
      <c r="N8090" s="46">
        <v>0</v>
      </c>
    </row>
    <row r="8091" spans="13:14" x14ac:dyDescent="0.35">
      <c r="M8091" s="46">
        <v>0.38397165751595191</v>
      </c>
      <c r="N8091" s="46">
        <v>0</v>
      </c>
    </row>
    <row r="8092" spans="13:14" x14ac:dyDescent="0.35">
      <c r="M8092" s="46">
        <v>0.37705052678438933</v>
      </c>
      <c r="N8092" s="46">
        <v>0</v>
      </c>
    </row>
    <row r="8093" spans="13:14" x14ac:dyDescent="0.35">
      <c r="M8093" s="46">
        <v>0.37187794925063067</v>
      </c>
      <c r="N8093" s="46">
        <v>0</v>
      </c>
    </row>
    <row r="8094" spans="13:14" x14ac:dyDescent="0.35">
      <c r="M8094" s="46">
        <v>0.36630842855022999</v>
      </c>
      <c r="N8094" s="46">
        <v>0</v>
      </c>
    </row>
    <row r="8095" spans="13:14" x14ac:dyDescent="0.35">
      <c r="M8095" s="46">
        <v>0.35372614631250926</v>
      </c>
      <c r="N8095" s="46">
        <v>0</v>
      </c>
    </row>
    <row r="8096" spans="13:14" x14ac:dyDescent="0.35">
      <c r="M8096" s="46">
        <v>0.32251031310283423</v>
      </c>
      <c r="N8096" s="46">
        <v>0</v>
      </c>
    </row>
    <row r="8097" spans="13:14" x14ac:dyDescent="0.35">
      <c r="M8097" s="46">
        <v>0.28079069594895384</v>
      </c>
      <c r="N8097" s="46">
        <v>0</v>
      </c>
    </row>
    <row r="8098" spans="13:14" x14ac:dyDescent="0.35">
      <c r="M8098" s="46">
        <v>0.25580338329128949</v>
      </c>
      <c r="N8098" s="46">
        <v>0</v>
      </c>
    </row>
    <row r="8099" spans="13:14" x14ac:dyDescent="0.35">
      <c r="M8099" s="46">
        <v>0.27329269921353316</v>
      </c>
      <c r="N8099" s="46">
        <v>0</v>
      </c>
    </row>
    <row r="8100" spans="13:14" x14ac:dyDescent="0.35">
      <c r="M8100" s="46">
        <v>0.308329499925805</v>
      </c>
      <c r="N8100" s="46">
        <v>0</v>
      </c>
    </row>
    <row r="8101" spans="13:14" x14ac:dyDescent="0.35">
      <c r="M8101" s="46">
        <v>0.34744413117673245</v>
      </c>
      <c r="N8101" s="46">
        <v>0</v>
      </c>
    </row>
    <row r="8102" spans="13:14" x14ac:dyDescent="0.35">
      <c r="M8102" s="46">
        <v>0.39086563288321713</v>
      </c>
      <c r="N8102" s="46">
        <v>0</v>
      </c>
    </row>
    <row r="8103" spans="13:14" x14ac:dyDescent="0.35">
      <c r="M8103" s="46">
        <v>0.41948849977741504</v>
      </c>
      <c r="N8103" s="46">
        <v>0</v>
      </c>
    </row>
    <row r="8104" spans="13:14" x14ac:dyDescent="0.35">
      <c r="M8104" s="46">
        <v>0.41423104318148096</v>
      </c>
      <c r="N8104" s="46">
        <v>0</v>
      </c>
    </row>
    <row r="8105" spans="13:14" x14ac:dyDescent="0.35">
      <c r="M8105" s="46">
        <v>0.36054555572043329</v>
      </c>
      <c r="N8105" s="46">
        <v>0</v>
      </c>
    </row>
    <row r="8106" spans="13:14" x14ac:dyDescent="0.35">
      <c r="M8106" s="46">
        <v>0.29074387891378545</v>
      </c>
      <c r="N8106" s="46">
        <v>0</v>
      </c>
    </row>
    <row r="8107" spans="13:14" x14ac:dyDescent="0.35">
      <c r="M8107" s="46">
        <v>0.22234381955779789</v>
      </c>
      <c r="N8107" s="46">
        <v>0</v>
      </c>
    </row>
    <row r="8108" spans="13:14" x14ac:dyDescent="0.35">
      <c r="M8108" s="46">
        <v>0.19417821635257457</v>
      </c>
      <c r="N8108" s="46">
        <v>0</v>
      </c>
    </row>
    <row r="8109" spans="13:14" x14ac:dyDescent="0.35">
      <c r="M8109" s="46">
        <v>0.19785806499480638</v>
      </c>
      <c r="N8109" s="46">
        <v>0</v>
      </c>
    </row>
    <row r="8110" spans="13:14" x14ac:dyDescent="0.35">
      <c r="M8110" s="46">
        <v>0.19325055646238312</v>
      </c>
      <c r="N8110" s="46">
        <v>0</v>
      </c>
    </row>
    <row r="8111" spans="13:14" x14ac:dyDescent="0.35">
      <c r="M8111" s="46">
        <v>0.18174365632883219</v>
      </c>
      <c r="N8111" s="46">
        <v>0</v>
      </c>
    </row>
    <row r="8112" spans="13:14" x14ac:dyDescent="0.35">
      <c r="M8112" s="46">
        <v>0.15588202997477371</v>
      </c>
      <c r="N8112" s="46">
        <v>0</v>
      </c>
    </row>
    <row r="8113" spans="13:14" x14ac:dyDescent="0.35">
      <c r="M8113" s="46">
        <v>0.13198226739872385</v>
      </c>
      <c r="N8113" s="46">
        <v>0</v>
      </c>
    </row>
    <row r="8114" spans="13:14" x14ac:dyDescent="0.35">
      <c r="M8114" s="46">
        <v>0.11209318890043032</v>
      </c>
      <c r="N8114" s="46">
        <v>0</v>
      </c>
    </row>
    <row r="8115" spans="13:14" x14ac:dyDescent="0.35">
      <c r="M8115" s="46">
        <v>9.9264059949547415E-2</v>
      </c>
      <c r="N8115" s="46">
        <v>0</v>
      </c>
    </row>
    <row r="8116" spans="13:14" x14ac:dyDescent="0.35">
      <c r="M8116" s="46">
        <v>9.0808651135183271E-2</v>
      </c>
      <c r="N8116" s="46">
        <v>0</v>
      </c>
    </row>
    <row r="8117" spans="13:14" x14ac:dyDescent="0.35">
      <c r="M8117" s="46">
        <v>8.1181480931888997E-2</v>
      </c>
      <c r="N8117" s="46">
        <v>0</v>
      </c>
    </row>
    <row r="8118" spans="13:14" x14ac:dyDescent="0.35">
      <c r="M8118" s="46">
        <v>7.1592298560617301E-2</v>
      </c>
      <c r="N8118" s="46">
        <v>0</v>
      </c>
    </row>
    <row r="8119" spans="13:14" x14ac:dyDescent="0.35">
      <c r="M8119" s="46">
        <v>6.0969802641341442E-2</v>
      </c>
      <c r="N8119" s="46">
        <v>0</v>
      </c>
    </row>
    <row r="8120" spans="13:14" x14ac:dyDescent="0.35">
      <c r="M8120" s="46">
        <v>5.0187119750704855E-2</v>
      </c>
      <c r="N8120" s="46">
        <v>0</v>
      </c>
    </row>
    <row r="8121" spans="13:14" x14ac:dyDescent="0.35">
      <c r="M8121" s="46">
        <v>4.0766063214126728E-2</v>
      </c>
      <c r="N8121" s="46">
        <v>0</v>
      </c>
    </row>
    <row r="8122" spans="13:14" x14ac:dyDescent="0.35">
      <c r="M8122" s="46">
        <v>3.2891526932779344E-2</v>
      </c>
      <c r="N8122" s="46">
        <v>0</v>
      </c>
    </row>
    <row r="8123" spans="13:14" x14ac:dyDescent="0.35">
      <c r="M8123" s="46">
        <v>0.10000126131473512</v>
      </c>
      <c r="N8123" s="46">
        <v>0</v>
      </c>
    </row>
    <row r="8124" spans="13:14" x14ac:dyDescent="0.35">
      <c r="M8124" s="46">
        <v>0.22122948508680815</v>
      </c>
      <c r="N8124" s="46">
        <v>0</v>
      </c>
    </row>
    <row r="8125" spans="13:14" x14ac:dyDescent="0.35">
      <c r="M8125" s="46">
        <v>0.33256551417124203</v>
      </c>
      <c r="N8125" s="46">
        <v>0</v>
      </c>
    </row>
    <row r="8126" spans="13:14" x14ac:dyDescent="0.35">
      <c r="M8126" s="46">
        <v>0.41944583766137411</v>
      </c>
      <c r="N8126" s="46">
        <v>0</v>
      </c>
    </row>
    <row r="8127" spans="13:14" x14ac:dyDescent="0.35">
      <c r="M8127" s="46">
        <v>0.45540154325567594</v>
      </c>
      <c r="N8127" s="46">
        <v>0</v>
      </c>
    </row>
    <row r="8128" spans="13:14" x14ac:dyDescent="0.35">
      <c r="M8128" s="46">
        <v>0.44362420240391753</v>
      </c>
      <c r="N8128" s="46">
        <v>0</v>
      </c>
    </row>
    <row r="8129" spans="13:14" x14ac:dyDescent="0.35">
      <c r="M8129" s="46">
        <v>0.40538952366820002</v>
      </c>
      <c r="N8129" s="46">
        <v>0</v>
      </c>
    </row>
    <row r="8130" spans="13:14" x14ac:dyDescent="0.35">
      <c r="M8130" s="46">
        <v>0.32755171390414012</v>
      </c>
      <c r="N8130" s="46">
        <v>0</v>
      </c>
    </row>
    <row r="8131" spans="13:14" x14ac:dyDescent="0.35">
      <c r="M8131" s="46">
        <v>0.23122926250185485</v>
      </c>
      <c r="N8131" s="46">
        <v>0</v>
      </c>
    </row>
    <row r="8132" spans="13:14" x14ac:dyDescent="0.35">
      <c r="M8132" s="46">
        <v>0.20261270218133254</v>
      </c>
      <c r="N8132" s="46">
        <v>0</v>
      </c>
    </row>
    <row r="8133" spans="13:14" x14ac:dyDescent="0.35">
      <c r="M8133" s="46">
        <v>0.23273133996141862</v>
      </c>
      <c r="N8133" s="46">
        <v>0</v>
      </c>
    </row>
    <row r="8134" spans="13:14" x14ac:dyDescent="0.35">
      <c r="M8134" s="46">
        <v>0.260548152544888</v>
      </c>
      <c r="N8134" s="46">
        <v>0</v>
      </c>
    </row>
    <row r="8135" spans="13:14" x14ac:dyDescent="0.35">
      <c r="M8135" s="46">
        <v>0.28514623831428998</v>
      </c>
      <c r="N8135" s="46">
        <v>0</v>
      </c>
    </row>
    <row r="8136" spans="13:14" x14ac:dyDescent="0.35">
      <c r="M8136" s="46">
        <v>0.317144309244695</v>
      </c>
      <c r="N8136" s="46">
        <v>0</v>
      </c>
    </row>
    <row r="8137" spans="13:14" x14ac:dyDescent="0.35">
      <c r="M8137" s="46">
        <v>0.35172406885294555</v>
      </c>
      <c r="N8137" s="46">
        <v>0</v>
      </c>
    </row>
    <row r="8138" spans="13:14" x14ac:dyDescent="0.35">
      <c r="M8138" s="46">
        <v>0.38076955037839438</v>
      </c>
      <c r="N8138" s="46">
        <v>0</v>
      </c>
    </row>
    <row r="8139" spans="13:14" x14ac:dyDescent="0.35">
      <c r="M8139" s="46">
        <v>0.40859326309541477</v>
      </c>
      <c r="N8139" s="46">
        <v>0</v>
      </c>
    </row>
    <row r="8140" spans="13:14" x14ac:dyDescent="0.35">
      <c r="M8140" s="46">
        <v>0.42765247069298112</v>
      </c>
      <c r="N8140" s="46">
        <v>0</v>
      </c>
    </row>
    <row r="8141" spans="13:14" x14ac:dyDescent="0.35">
      <c r="M8141" s="46">
        <v>0.44473453034574861</v>
      </c>
      <c r="N8141" s="46">
        <v>0</v>
      </c>
    </row>
    <row r="8142" spans="13:14" x14ac:dyDescent="0.35">
      <c r="M8142" s="46">
        <v>0.46074469505861404</v>
      </c>
      <c r="N8142" s="46">
        <v>0</v>
      </c>
    </row>
    <row r="8143" spans="13:14" x14ac:dyDescent="0.35">
      <c r="M8143" s="46">
        <v>0.46287705891081765</v>
      </c>
      <c r="N8143" s="46">
        <v>0</v>
      </c>
    </row>
    <row r="8144" spans="13:14" x14ac:dyDescent="0.35">
      <c r="M8144" s="46">
        <v>0.44653131028342485</v>
      </c>
      <c r="N8144" s="46">
        <v>0</v>
      </c>
    </row>
    <row r="8145" spans="13:14" x14ac:dyDescent="0.35">
      <c r="M8145" s="46">
        <v>0.40632438047188008</v>
      </c>
      <c r="N8145" s="46">
        <v>0</v>
      </c>
    </row>
    <row r="8146" spans="13:14" x14ac:dyDescent="0.35">
      <c r="M8146" s="46">
        <v>0.3548017510016323</v>
      </c>
      <c r="N8146" s="46">
        <v>0</v>
      </c>
    </row>
    <row r="8147" spans="13:14" x14ac:dyDescent="0.35">
      <c r="M8147" s="46">
        <v>0.35005876242765988</v>
      </c>
      <c r="N8147" s="46">
        <v>0</v>
      </c>
    </row>
    <row r="8148" spans="13:14" x14ac:dyDescent="0.35">
      <c r="M8148" s="46">
        <v>0.36212338625908885</v>
      </c>
      <c r="N8148" s="46">
        <v>0</v>
      </c>
    </row>
    <row r="8149" spans="13:14" x14ac:dyDescent="0.35">
      <c r="M8149" s="46">
        <v>0.37248056091408216</v>
      </c>
      <c r="N8149" s="46">
        <v>0</v>
      </c>
    </row>
    <row r="8150" spans="13:14" x14ac:dyDescent="0.35">
      <c r="M8150" s="46">
        <v>0.37235873274966613</v>
      </c>
      <c r="N8150" s="46">
        <v>0</v>
      </c>
    </row>
    <row r="8151" spans="13:14" x14ac:dyDescent="0.35">
      <c r="M8151" s="46">
        <v>0.35807471434930999</v>
      </c>
      <c r="N8151" s="46">
        <v>0</v>
      </c>
    </row>
    <row r="8152" spans="13:14" x14ac:dyDescent="0.35">
      <c r="M8152" s="46">
        <v>0.31904807834990356</v>
      </c>
      <c r="N8152" s="46">
        <v>0</v>
      </c>
    </row>
    <row r="8153" spans="13:14" x14ac:dyDescent="0.35">
      <c r="M8153" s="46">
        <v>0.26248686748775779</v>
      </c>
      <c r="N8153" s="46">
        <v>0</v>
      </c>
    </row>
    <row r="8154" spans="13:14" x14ac:dyDescent="0.35">
      <c r="M8154" s="46">
        <v>0.18906848197061879</v>
      </c>
      <c r="N8154" s="46">
        <v>0</v>
      </c>
    </row>
    <row r="8155" spans="13:14" x14ac:dyDescent="0.35">
      <c r="M8155" s="46">
        <v>0.11688373645941534</v>
      </c>
      <c r="N8155" s="46">
        <v>0</v>
      </c>
    </row>
    <row r="8156" spans="13:14" x14ac:dyDescent="0.35">
      <c r="M8156" s="46">
        <v>8.0527229559281793E-2</v>
      </c>
      <c r="N8156" s="46">
        <v>0</v>
      </c>
    </row>
    <row r="8157" spans="13:14" x14ac:dyDescent="0.35">
      <c r="M8157" s="46">
        <v>7.2029307018845523E-2</v>
      </c>
      <c r="N8157" s="46">
        <v>0</v>
      </c>
    </row>
    <row r="8158" spans="13:14" x14ac:dyDescent="0.35">
      <c r="M8158" s="46">
        <v>6.4133625166938713E-2</v>
      </c>
      <c r="N8158" s="46">
        <v>0</v>
      </c>
    </row>
    <row r="8159" spans="13:14" x14ac:dyDescent="0.35">
      <c r="M8159" s="46">
        <v>5.565744175693723E-2</v>
      </c>
      <c r="N8159" s="46">
        <v>0</v>
      </c>
    </row>
    <row r="8160" spans="13:14" x14ac:dyDescent="0.35">
      <c r="M8160" s="46">
        <v>4.9451624870158778E-2</v>
      </c>
      <c r="N8160" s="46">
        <v>0</v>
      </c>
    </row>
    <row r="8161" spans="13:14" x14ac:dyDescent="0.35">
      <c r="M8161" s="46">
        <v>4.7578127318593268E-2</v>
      </c>
      <c r="N8161" s="46">
        <v>0</v>
      </c>
    </row>
    <row r="8162" spans="13:14" x14ac:dyDescent="0.35">
      <c r="M8162" s="46">
        <v>4.3703294257308206E-2</v>
      </c>
      <c r="N8162" s="46">
        <v>0</v>
      </c>
    </row>
    <row r="8163" spans="13:14" x14ac:dyDescent="0.35">
      <c r="M8163" s="46">
        <v>4.0374165306425285E-2</v>
      </c>
      <c r="N8163" s="46">
        <v>0</v>
      </c>
    </row>
    <row r="8164" spans="13:14" x14ac:dyDescent="0.35">
      <c r="M8164" s="46">
        <v>3.7316812583469361E-2</v>
      </c>
      <c r="N8164" s="46">
        <v>0</v>
      </c>
    </row>
    <row r="8165" spans="13:14" x14ac:dyDescent="0.35">
      <c r="M8165" s="46">
        <v>3.3892046297670279E-2</v>
      </c>
      <c r="N8165" s="46">
        <v>0</v>
      </c>
    </row>
    <row r="8166" spans="13:14" x14ac:dyDescent="0.35">
      <c r="M8166" s="46">
        <v>3.0439160112776378E-2</v>
      </c>
      <c r="N8166" s="46">
        <v>0</v>
      </c>
    </row>
    <row r="8167" spans="13:14" x14ac:dyDescent="0.35">
      <c r="M8167" s="46">
        <v>2.6115744175693723E-2</v>
      </c>
      <c r="N8167" s="46">
        <v>0</v>
      </c>
    </row>
    <row r="8168" spans="13:14" x14ac:dyDescent="0.35">
      <c r="M8168" s="46">
        <v>2.2219913933818076E-2</v>
      </c>
      <c r="N8168" s="46">
        <v>0</v>
      </c>
    </row>
    <row r="8169" spans="13:14" x14ac:dyDescent="0.35">
      <c r="M8169" s="46">
        <v>1.981896423801751E-2</v>
      </c>
      <c r="N8169" s="46">
        <v>0</v>
      </c>
    </row>
    <row r="8170" spans="13:14" x14ac:dyDescent="0.35">
      <c r="M8170" s="46">
        <v>1.9397388336548447E-2</v>
      </c>
      <c r="N8170" s="46">
        <v>0</v>
      </c>
    </row>
    <row r="8171" spans="13:14" x14ac:dyDescent="0.35">
      <c r="M8171" s="46">
        <v>6.2772073007864665E-2</v>
      </c>
      <c r="N8171" s="46">
        <v>0</v>
      </c>
    </row>
    <row r="8172" spans="13:14" x14ac:dyDescent="0.35">
      <c r="M8172" s="46">
        <v>0.15226992135331652</v>
      </c>
      <c r="N8172" s="46">
        <v>0</v>
      </c>
    </row>
    <row r="8173" spans="13:14" x14ac:dyDescent="0.35">
      <c r="M8173" s="46">
        <v>0.23999206113666716</v>
      </c>
      <c r="N8173" s="46">
        <v>0</v>
      </c>
    </row>
    <row r="8174" spans="13:14" x14ac:dyDescent="0.35">
      <c r="M8174" s="46">
        <v>0.32003398130286392</v>
      </c>
      <c r="N8174" s="46">
        <v>0</v>
      </c>
    </row>
    <row r="8175" spans="13:14" x14ac:dyDescent="0.35">
      <c r="M8175" s="46">
        <v>0.36048768363258643</v>
      </c>
      <c r="N8175" s="46">
        <v>0</v>
      </c>
    </row>
    <row r="8176" spans="13:14" x14ac:dyDescent="0.35">
      <c r="M8176" s="46">
        <v>0.34861774744027302</v>
      </c>
      <c r="N8176" s="46">
        <v>0</v>
      </c>
    </row>
    <row r="8177" spans="13:14" x14ac:dyDescent="0.35">
      <c r="M8177" s="46">
        <v>0.28111641193055353</v>
      </c>
      <c r="N8177" s="46">
        <v>0</v>
      </c>
    </row>
    <row r="8178" spans="13:14" x14ac:dyDescent="0.35">
      <c r="M8178" s="46">
        <v>0.18536733936785874</v>
      </c>
      <c r="N8178" s="46">
        <v>0</v>
      </c>
    </row>
    <row r="8179" spans="13:14" x14ac:dyDescent="0.35">
      <c r="M8179" s="46">
        <v>8.4062917346787364E-2</v>
      </c>
      <c r="N8179" s="46">
        <v>0</v>
      </c>
    </row>
    <row r="8180" spans="13:14" x14ac:dyDescent="0.35">
      <c r="M8180" s="46">
        <v>3.2176064698026412E-2</v>
      </c>
      <c r="N8180" s="46">
        <v>0</v>
      </c>
    </row>
    <row r="8181" spans="13:14" x14ac:dyDescent="0.35">
      <c r="M8181" s="46">
        <v>3.6434263243804714E-2</v>
      </c>
      <c r="N8181" s="46">
        <v>0</v>
      </c>
    </row>
    <row r="8182" spans="13:14" x14ac:dyDescent="0.35">
      <c r="M8182" s="46">
        <v>4.3609511797002523E-2</v>
      </c>
      <c r="N8182" s="46">
        <v>0</v>
      </c>
    </row>
    <row r="8183" spans="13:14" x14ac:dyDescent="0.35">
      <c r="M8183" s="46">
        <v>5.0651802938121382E-2</v>
      </c>
      <c r="N8183" s="46">
        <v>0</v>
      </c>
    </row>
    <row r="8184" spans="13:14" x14ac:dyDescent="0.35">
      <c r="M8184" s="46">
        <v>6.0475070485235198E-2</v>
      </c>
      <c r="N8184" s="46">
        <v>0</v>
      </c>
    </row>
    <row r="8185" spans="13:14" x14ac:dyDescent="0.35">
      <c r="M8185" s="46">
        <v>7.6361255379136364E-2</v>
      </c>
      <c r="N8185" s="46">
        <v>0</v>
      </c>
    </row>
    <row r="8186" spans="13:14" x14ac:dyDescent="0.35">
      <c r="M8186" s="46">
        <v>9.0530271553642974E-2</v>
      </c>
      <c r="N8186" s="46">
        <v>0</v>
      </c>
    </row>
    <row r="8187" spans="13:14" x14ac:dyDescent="0.35">
      <c r="M8187" s="46">
        <v>0.10477800860661821</v>
      </c>
      <c r="N8187" s="46">
        <v>0</v>
      </c>
    </row>
    <row r="8188" spans="13:14" x14ac:dyDescent="0.35">
      <c r="M8188" s="46">
        <v>0.12011225701142603</v>
      </c>
      <c r="N8188" s="46">
        <v>0</v>
      </c>
    </row>
    <row r="8189" spans="13:14" x14ac:dyDescent="0.35">
      <c r="M8189" s="46">
        <v>0.12937067814215758</v>
      </c>
      <c r="N8189" s="46">
        <v>0</v>
      </c>
    </row>
    <row r="8190" spans="13:14" x14ac:dyDescent="0.35">
      <c r="M8190" s="46">
        <v>0.13772800118711975</v>
      </c>
      <c r="N8190" s="46">
        <v>0</v>
      </c>
    </row>
    <row r="8191" spans="13:14" x14ac:dyDescent="0.35">
      <c r="M8191" s="46">
        <v>0.14056907553049414</v>
      </c>
      <c r="N8191" s="46">
        <v>0</v>
      </c>
    </row>
    <row r="8192" spans="13:14" x14ac:dyDescent="0.35">
      <c r="M8192" s="46">
        <v>0.1437208042736311</v>
      </c>
      <c r="N8192" s="46">
        <v>0</v>
      </c>
    </row>
    <row r="8193" spans="13:14" x14ac:dyDescent="0.35">
      <c r="M8193" s="46">
        <v>0.1514446505416234</v>
      </c>
      <c r="N8193" s="46">
        <v>0</v>
      </c>
    </row>
    <row r="8194" spans="13:14" x14ac:dyDescent="0.35">
      <c r="M8194" s="46">
        <v>0.15678913785428106</v>
      </c>
      <c r="N8194" s="46">
        <v>0</v>
      </c>
    </row>
    <row r="8195" spans="13:14" x14ac:dyDescent="0.35">
      <c r="M8195" s="46">
        <v>0.22020863629618639</v>
      </c>
      <c r="N8195" s="46">
        <v>0</v>
      </c>
    </row>
    <row r="8196" spans="13:14" x14ac:dyDescent="0.35">
      <c r="M8196" s="46">
        <v>0.33149206113666718</v>
      </c>
      <c r="N8196" s="46">
        <v>0</v>
      </c>
    </row>
    <row r="8197" spans="13:14" x14ac:dyDescent="0.35">
      <c r="M8197" s="46">
        <v>0.44037386852648763</v>
      </c>
      <c r="N8197" s="46">
        <v>0</v>
      </c>
    </row>
    <row r="8198" spans="13:14" x14ac:dyDescent="0.35">
      <c r="M8198" s="46">
        <v>0.52555772369787801</v>
      </c>
      <c r="N8198" s="46">
        <v>0</v>
      </c>
    </row>
    <row r="8199" spans="13:14" x14ac:dyDescent="0.35">
      <c r="M8199" s="46">
        <v>0.56462242172429145</v>
      </c>
      <c r="N8199" s="46">
        <v>0</v>
      </c>
    </row>
    <row r="8200" spans="13:14" x14ac:dyDescent="0.35">
      <c r="M8200" s="46">
        <v>0.54160112776376312</v>
      </c>
      <c r="N8200" s="46">
        <v>0</v>
      </c>
    </row>
    <row r="8201" spans="13:14" x14ac:dyDescent="0.35">
      <c r="M8201" s="46">
        <v>0.47819513280902209</v>
      </c>
      <c r="N8201" s="46">
        <v>0</v>
      </c>
    </row>
    <row r="8202" spans="13:14" x14ac:dyDescent="0.35">
      <c r="M8202" s="46">
        <v>0.39836771034278079</v>
      </c>
      <c r="N8202" s="46">
        <v>0</v>
      </c>
    </row>
    <row r="8203" spans="13:14" x14ac:dyDescent="0.35">
      <c r="M8203" s="46">
        <v>0.3336290992728892</v>
      </c>
      <c r="N8203" s="46">
        <v>0</v>
      </c>
    </row>
    <row r="8204" spans="13:14" x14ac:dyDescent="0.35">
      <c r="M8204" s="46">
        <v>0.30226702774892417</v>
      </c>
      <c r="N8204" s="46">
        <v>0</v>
      </c>
    </row>
    <row r="8205" spans="13:14" x14ac:dyDescent="0.35">
      <c r="M8205" s="46">
        <v>0.32287713310580207</v>
      </c>
      <c r="N8205" s="46">
        <v>0</v>
      </c>
    </row>
    <row r="8206" spans="13:14" x14ac:dyDescent="0.35">
      <c r="M8206" s="46">
        <v>0.33936882326754708</v>
      </c>
      <c r="N8206" s="46">
        <v>0</v>
      </c>
    </row>
    <row r="8207" spans="13:14" x14ac:dyDescent="0.35">
      <c r="M8207" s="46">
        <v>0.36028891526932783</v>
      </c>
      <c r="N8207" s="46">
        <v>0</v>
      </c>
    </row>
    <row r="8208" spans="13:14" x14ac:dyDescent="0.35">
      <c r="M8208" s="46">
        <v>0.37588158480486716</v>
      </c>
      <c r="N8208" s="46">
        <v>0</v>
      </c>
    </row>
    <row r="8209" spans="13:14" x14ac:dyDescent="0.35">
      <c r="M8209" s="46">
        <v>0.39250393233417419</v>
      </c>
      <c r="N8209" s="46">
        <v>0</v>
      </c>
    </row>
    <row r="8210" spans="13:14" x14ac:dyDescent="0.35">
      <c r="M8210" s="46">
        <v>0.41292313399614183</v>
      </c>
      <c r="N8210" s="46">
        <v>0</v>
      </c>
    </row>
    <row r="8211" spans="13:14" x14ac:dyDescent="0.35">
      <c r="M8211" s="46">
        <v>0.43758487906217541</v>
      </c>
      <c r="N8211" s="46">
        <v>0</v>
      </c>
    </row>
    <row r="8212" spans="13:14" x14ac:dyDescent="0.35">
      <c r="M8212" s="46">
        <v>0.46584708413711234</v>
      </c>
      <c r="N8212" s="46">
        <v>0</v>
      </c>
    </row>
    <row r="8213" spans="13:14" x14ac:dyDescent="0.35">
      <c r="M8213" s="46">
        <v>0.48389694316664189</v>
      </c>
      <c r="N8213" s="46">
        <v>0</v>
      </c>
    </row>
    <row r="8214" spans="13:14" x14ac:dyDescent="0.35">
      <c r="M8214" s="46">
        <v>0.49886095859919871</v>
      </c>
      <c r="N8214" s="46">
        <v>0</v>
      </c>
    </row>
    <row r="8215" spans="13:14" x14ac:dyDescent="0.35">
      <c r="M8215" s="46">
        <v>0.51532386110698913</v>
      </c>
      <c r="N8215" s="46">
        <v>0</v>
      </c>
    </row>
    <row r="8216" spans="13:14" x14ac:dyDescent="0.35">
      <c r="M8216" s="46">
        <v>0.53419609734381956</v>
      </c>
      <c r="N8216" s="46">
        <v>0</v>
      </c>
    </row>
    <row r="8217" spans="13:14" x14ac:dyDescent="0.35">
      <c r="M8217" s="46">
        <v>0.5516336251669387</v>
      </c>
      <c r="N8217" s="46">
        <v>0</v>
      </c>
    </row>
    <row r="8218" spans="13:14" x14ac:dyDescent="0.35">
      <c r="M8218" s="46">
        <v>0.57098486422317851</v>
      </c>
      <c r="N8218" s="46">
        <v>0</v>
      </c>
    </row>
    <row r="8219" spans="13:14" x14ac:dyDescent="0.35">
      <c r="M8219" s="46">
        <v>0.62287564920611371</v>
      </c>
      <c r="N8219" s="46">
        <v>0</v>
      </c>
    </row>
    <row r="8220" spans="13:14" x14ac:dyDescent="0.35">
      <c r="M8220" s="46">
        <v>0.70811774744027312</v>
      </c>
      <c r="N8220" s="46">
        <v>0</v>
      </c>
    </row>
    <row r="8221" spans="13:14" x14ac:dyDescent="0.35">
      <c r="M8221" s="46">
        <v>0.78156254637186529</v>
      </c>
      <c r="N8221" s="46">
        <v>0</v>
      </c>
    </row>
    <row r="8222" spans="13:14" x14ac:dyDescent="0.35">
      <c r="M8222" s="46">
        <v>0.82961826680516393</v>
      </c>
      <c r="N8222" s="46">
        <v>0</v>
      </c>
    </row>
    <row r="8223" spans="13:14" x14ac:dyDescent="0.35">
      <c r="M8223" s="46">
        <v>0.84862583469357478</v>
      </c>
      <c r="N8223" s="46">
        <v>0</v>
      </c>
    </row>
    <row r="8224" spans="13:14" x14ac:dyDescent="0.35">
      <c r="M8224" s="46">
        <v>0.82697507048523511</v>
      </c>
      <c r="N8224" s="46">
        <v>0</v>
      </c>
    </row>
    <row r="8225" spans="13:14" x14ac:dyDescent="0.35">
      <c r="M8225" s="46">
        <v>0.77324862739278821</v>
      </c>
      <c r="N8225" s="46">
        <v>0</v>
      </c>
    </row>
    <row r="8226" spans="13:14" x14ac:dyDescent="0.35">
      <c r="M8226" s="46">
        <v>0.70879225404362667</v>
      </c>
      <c r="N8226" s="46">
        <v>0</v>
      </c>
    </row>
    <row r="8227" spans="13:14" x14ac:dyDescent="0.35">
      <c r="M8227" s="46">
        <v>0.65615202552307461</v>
      </c>
      <c r="N8227" s="46">
        <v>0</v>
      </c>
    </row>
    <row r="8228" spans="13:14" x14ac:dyDescent="0.35">
      <c r="M8228" s="46">
        <v>0.63837668793589553</v>
      </c>
      <c r="N8228" s="46">
        <v>0</v>
      </c>
    </row>
    <row r="8229" spans="13:14" x14ac:dyDescent="0.35">
      <c r="M8229" s="46">
        <v>0.64185042291141126</v>
      </c>
      <c r="N8229" s="46">
        <v>0</v>
      </c>
    </row>
    <row r="8230" spans="13:14" x14ac:dyDescent="0.35">
      <c r="M8230" s="46">
        <v>0.64618110995696687</v>
      </c>
      <c r="N8230" s="46">
        <v>0</v>
      </c>
    </row>
    <row r="8231" spans="13:14" x14ac:dyDescent="0.35">
      <c r="M8231" s="46">
        <v>0.64850393233417425</v>
      </c>
      <c r="N8231" s="46">
        <v>0</v>
      </c>
    </row>
    <row r="8232" spans="13:14" x14ac:dyDescent="0.35">
      <c r="M8232" s="46">
        <v>0.64830820596527672</v>
      </c>
      <c r="N8232" s="46">
        <v>0</v>
      </c>
    </row>
    <row r="8233" spans="13:14" x14ac:dyDescent="0.35">
      <c r="M8233" s="46">
        <v>0.64780071227185054</v>
      </c>
      <c r="N8233" s="46">
        <v>0</v>
      </c>
    </row>
    <row r="8234" spans="13:14" x14ac:dyDescent="0.35">
      <c r="M8234" s="46">
        <v>0.64876821486867486</v>
      </c>
      <c r="N8234" s="46">
        <v>0</v>
      </c>
    </row>
    <row r="8235" spans="13:14" x14ac:dyDescent="0.35">
      <c r="M8235" s="46">
        <v>0.64663659296631548</v>
      </c>
      <c r="N8235" s="46">
        <v>0</v>
      </c>
    </row>
    <row r="8236" spans="13:14" x14ac:dyDescent="0.35">
      <c r="M8236" s="46">
        <v>0.64566701290992723</v>
      </c>
      <c r="N8236" s="46">
        <v>0</v>
      </c>
    </row>
    <row r="8237" spans="13:14" x14ac:dyDescent="0.35">
      <c r="M8237" s="46">
        <v>0.63964653509422764</v>
      </c>
      <c r="N8237" s="46">
        <v>0</v>
      </c>
    </row>
    <row r="8238" spans="13:14" x14ac:dyDescent="0.35">
      <c r="M8238" s="46">
        <v>0.6327160557946282</v>
      </c>
      <c r="N8238" s="46">
        <v>0</v>
      </c>
    </row>
    <row r="8239" spans="13:14" x14ac:dyDescent="0.35">
      <c r="M8239" s="46">
        <v>0.62850712271850429</v>
      </c>
      <c r="N8239" s="46">
        <v>0</v>
      </c>
    </row>
    <row r="8240" spans="13:14" x14ac:dyDescent="0.35">
      <c r="M8240" s="46">
        <v>0.61964045110550525</v>
      </c>
      <c r="N8240" s="46">
        <v>0</v>
      </c>
    </row>
    <row r="8241" spans="13:14" x14ac:dyDescent="0.35">
      <c r="M8241" s="46">
        <v>0.60531963199287731</v>
      </c>
      <c r="N8241" s="46">
        <v>0</v>
      </c>
    </row>
    <row r="8242" spans="13:14" x14ac:dyDescent="0.35">
      <c r="M8242" s="46">
        <v>0.59190057872087853</v>
      </c>
      <c r="N8242" s="46">
        <v>0</v>
      </c>
    </row>
    <row r="8243" spans="13:14" x14ac:dyDescent="0.35">
      <c r="M8243" s="46">
        <v>0.64683766137409104</v>
      </c>
      <c r="N8243" s="46">
        <v>0</v>
      </c>
    </row>
    <row r="8244" spans="13:14" x14ac:dyDescent="0.35">
      <c r="M8244" s="46">
        <v>0.75570774595637336</v>
      </c>
      <c r="N8244" s="46">
        <v>0</v>
      </c>
    </row>
    <row r="8245" spans="13:14" x14ac:dyDescent="0.35">
      <c r="M8245" s="46">
        <v>0.86290005935598746</v>
      </c>
      <c r="N8245" s="46">
        <v>0</v>
      </c>
    </row>
    <row r="8246" spans="13:14" x14ac:dyDescent="0.35">
      <c r="M8246" s="46">
        <v>0.91377541178216348</v>
      </c>
      <c r="N8246" s="46">
        <v>0</v>
      </c>
    </row>
    <row r="8247" spans="13:14" x14ac:dyDescent="0.35">
      <c r="M8247" s="46">
        <v>0.91649651283573241</v>
      </c>
      <c r="N8247" s="46">
        <v>0</v>
      </c>
    </row>
    <row r="8248" spans="13:14" x14ac:dyDescent="0.35">
      <c r="M8248" s="46">
        <v>0.87197002522629474</v>
      </c>
      <c r="N8248" s="46">
        <v>0</v>
      </c>
    </row>
    <row r="8249" spans="13:14" x14ac:dyDescent="0.35">
      <c r="M8249" s="46">
        <v>0.80911388930108319</v>
      </c>
      <c r="N8249" s="46">
        <v>0</v>
      </c>
    </row>
    <row r="8250" spans="13:14" x14ac:dyDescent="0.35">
      <c r="M8250" s="46">
        <v>0.72674135628431524</v>
      </c>
      <c r="N8250" s="46">
        <v>0</v>
      </c>
    </row>
    <row r="8251" spans="13:14" x14ac:dyDescent="0.35">
      <c r="M8251" s="46">
        <v>0.65566656774002086</v>
      </c>
      <c r="N8251" s="46">
        <v>0</v>
      </c>
    </row>
    <row r="8252" spans="13:14" x14ac:dyDescent="0.35">
      <c r="M8252" s="46">
        <v>0.6329795963792848</v>
      </c>
      <c r="N8252" s="46">
        <v>0</v>
      </c>
    </row>
    <row r="8253" spans="13:14" x14ac:dyDescent="0.35">
      <c r="M8253" s="46">
        <v>0.63645014097047048</v>
      </c>
      <c r="N8253" s="46">
        <v>0</v>
      </c>
    </row>
    <row r="8254" spans="13:14" x14ac:dyDescent="0.35">
      <c r="M8254" s="46">
        <v>0.63536207152396496</v>
      </c>
      <c r="N8254" s="46">
        <v>0</v>
      </c>
    </row>
    <row r="8255" spans="13:14" x14ac:dyDescent="0.35">
      <c r="M8255" s="46">
        <v>0.62447803828461201</v>
      </c>
      <c r="N8255" s="46">
        <v>0</v>
      </c>
    </row>
    <row r="8256" spans="13:14" x14ac:dyDescent="0.35">
      <c r="M8256" s="46">
        <v>0.59718266805163978</v>
      </c>
      <c r="N8256" s="46">
        <v>0</v>
      </c>
    </row>
    <row r="8257" spans="13:14" x14ac:dyDescent="0.35">
      <c r="M8257" s="46">
        <v>0.57567406143344713</v>
      </c>
      <c r="N8257" s="46">
        <v>0</v>
      </c>
    </row>
    <row r="8258" spans="13:14" x14ac:dyDescent="0.35">
      <c r="M8258" s="46">
        <v>0.54145066033536127</v>
      </c>
      <c r="N8258" s="46">
        <v>0</v>
      </c>
    </row>
    <row r="8259" spans="13:14" x14ac:dyDescent="0.35">
      <c r="M8259" s="46">
        <v>0.50272718504229108</v>
      </c>
      <c r="N8259" s="46">
        <v>0</v>
      </c>
    </row>
    <row r="8260" spans="13:14" x14ac:dyDescent="0.35">
      <c r="M8260" s="46">
        <v>0.46575018548746105</v>
      </c>
      <c r="N8260" s="46">
        <v>0</v>
      </c>
    </row>
    <row r="8261" spans="13:14" x14ac:dyDescent="0.35">
      <c r="M8261" s="46">
        <v>0.44896030568333584</v>
      </c>
      <c r="N8261" s="46">
        <v>0</v>
      </c>
    </row>
    <row r="8262" spans="13:14" x14ac:dyDescent="0.35">
      <c r="M8262" s="46">
        <v>0.44147091556610779</v>
      </c>
      <c r="N8262" s="46">
        <v>0</v>
      </c>
    </row>
    <row r="8263" spans="13:14" x14ac:dyDescent="0.35">
      <c r="M8263" s="46">
        <v>0.43330204778157</v>
      </c>
      <c r="N8263" s="46">
        <v>0</v>
      </c>
    </row>
    <row r="8264" spans="13:14" x14ac:dyDescent="0.35">
      <c r="M8264" s="46">
        <v>0.41964928030865117</v>
      </c>
      <c r="N8264" s="46">
        <v>0</v>
      </c>
    </row>
    <row r="8265" spans="13:14" x14ac:dyDescent="0.35">
      <c r="M8265" s="46">
        <v>0.39758243062768955</v>
      </c>
      <c r="N8265" s="46">
        <v>0</v>
      </c>
    </row>
    <row r="8266" spans="13:14" x14ac:dyDescent="0.35">
      <c r="M8266" s="46">
        <v>0.36458124350793886</v>
      </c>
      <c r="N8266" s="46">
        <v>0</v>
      </c>
    </row>
    <row r="8267" spans="13:14" x14ac:dyDescent="0.35">
      <c r="M8267" s="46">
        <v>0.3938991690161745</v>
      </c>
      <c r="N8267" s="46">
        <v>0</v>
      </c>
    </row>
    <row r="8268" spans="13:14" x14ac:dyDescent="0.35">
      <c r="M8268" s="46">
        <v>0.47972273334322602</v>
      </c>
      <c r="N8268" s="46">
        <v>0</v>
      </c>
    </row>
    <row r="8269" spans="13:14" x14ac:dyDescent="0.35">
      <c r="M8269" s="46">
        <v>0.56210016322896572</v>
      </c>
      <c r="N8269" s="46">
        <v>0</v>
      </c>
    </row>
    <row r="8270" spans="13:14" x14ac:dyDescent="0.35">
      <c r="M8270" s="46">
        <v>0.61455705594301824</v>
      </c>
      <c r="N8270" s="46">
        <v>0</v>
      </c>
    </row>
    <row r="8271" spans="13:14" x14ac:dyDescent="0.35">
      <c r="M8271" s="46">
        <v>0.6224563733491616</v>
      </c>
      <c r="N8271" s="46">
        <v>0</v>
      </c>
    </row>
    <row r="8272" spans="13:14" x14ac:dyDescent="0.35">
      <c r="M8272" s="46">
        <v>0.58020232972251073</v>
      </c>
      <c r="N8272" s="46">
        <v>0</v>
      </c>
    </row>
    <row r="8273" spans="13:14" x14ac:dyDescent="0.35">
      <c r="M8273" s="46">
        <v>0.49171464608992432</v>
      </c>
      <c r="N8273" s="46">
        <v>0</v>
      </c>
    </row>
    <row r="8274" spans="13:14" x14ac:dyDescent="0.35">
      <c r="M8274" s="46">
        <v>0.37247685116486129</v>
      </c>
      <c r="N8274" s="46">
        <v>0</v>
      </c>
    </row>
    <row r="8275" spans="13:14" x14ac:dyDescent="0.35">
      <c r="M8275" s="46">
        <v>0.24968467131621902</v>
      </c>
      <c r="N8275" s="46">
        <v>0</v>
      </c>
    </row>
    <row r="8276" spans="13:14" x14ac:dyDescent="0.35">
      <c r="M8276" s="46">
        <v>0.19859125983083542</v>
      </c>
      <c r="N8276" s="46">
        <v>0</v>
      </c>
    </row>
    <row r="8277" spans="13:14" x14ac:dyDescent="0.35">
      <c r="M8277" s="46">
        <v>0.19985161003116189</v>
      </c>
      <c r="N8277" s="46">
        <v>0</v>
      </c>
    </row>
    <row r="8278" spans="13:14" x14ac:dyDescent="0.35">
      <c r="M8278" s="46">
        <v>0.18785791660483753</v>
      </c>
      <c r="N8278" s="46">
        <v>0</v>
      </c>
    </row>
    <row r="8279" spans="13:14" x14ac:dyDescent="0.35">
      <c r="M8279" s="46">
        <v>0.16907115299005787</v>
      </c>
      <c r="N8279" s="46">
        <v>0</v>
      </c>
    </row>
    <row r="8280" spans="13:14" x14ac:dyDescent="0.35">
      <c r="M8280" s="46">
        <v>0.14993700845822824</v>
      </c>
      <c r="N8280" s="46">
        <v>0</v>
      </c>
    </row>
    <row r="8281" spans="13:14" x14ac:dyDescent="0.35">
      <c r="M8281" s="46">
        <v>0.13985264876094375</v>
      </c>
      <c r="N8281" s="46">
        <v>0</v>
      </c>
    </row>
    <row r="8282" spans="13:14" x14ac:dyDescent="0.35">
      <c r="M8282" s="46">
        <v>0.1296161151506158</v>
      </c>
      <c r="N8282" s="46">
        <v>0</v>
      </c>
    </row>
    <row r="8283" spans="13:14" x14ac:dyDescent="0.35">
      <c r="M8283" s="46">
        <v>0.12211344413117674</v>
      </c>
      <c r="N8283" s="46">
        <v>0</v>
      </c>
    </row>
    <row r="8284" spans="13:14" x14ac:dyDescent="0.35">
      <c r="M8284" s="46">
        <v>0.11609103724588217</v>
      </c>
      <c r="N8284" s="46">
        <v>0</v>
      </c>
    </row>
    <row r="8285" spans="13:14" x14ac:dyDescent="0.35">
      <c r="M8285" s="46">
        <v>0.10992654696542513</v>
      </c>
      <c r="N8285" s="46">
        <v>0</v>
      </c>
    </row>
    <row r="8286" spans="13:14" x14ac:dyDescent="0.35">
      <c r="M8286" s="46">
        <v>0.10907501112924767</v>
      </c>
      <c r="N8286" s="46">
        <v>0</v>
      </c>
    </row>
    <row r="8287" spans="13:14" x14ac:dyDescent="0.35">
      <c r="M8287" s="46">
        <v>0.10891972102685858</v>
      </c>
      <c r="N8287" s="46">
        <v>0</v>
      </c>
    </row>
    <row r="8288" spans="13:14" x14ac:dyDescent="0.35">
      <c r="M8288" s="46">
        <v>0.11124202403917495</v>
      </c>
      <c r="N8288" s="46">
        <v>0</v>
      </c>
    </row>
    <row r="8289" spans="13:14" x14ac:dyDescent="0.35">
      <c r="M8289" s="46">
        <v>0.11311782163525747</v>
      </c>
      <c r="N8289" s="46">
        <v>0</v>
      </c>
    </row>
    <row r="8290" spans="13:14" x14ac:dyDescent="0.35">
      <c r="M8290" s="46">
        <v>0.11414045110550526</v>
      </c>
      <c r="N8290" s="46">
        <v>0</v>
      </c>
    </row>
    <row r="8291" spans="13:14" x14ac:dyDescent="0.35">
      <c r="M8291" s="46">
        <v>0.19357159815996439</v>
      </c>
      <c r="N8291" s="46">
        <v>0</v>
      </c>
    </row>
    <row r="8292" spans="13:14" x14ac:dyDescent="0.35">
      <c r="M8292" s="46">
        <v>0.33761158925656626</v>
      </c>
      <c r="N8292" s="46">
        <v>0</v>
      </c>
    </row>
    <row r="8293" spans="13:14" x14ac:dyDescent="0.35">
      <c r="M8293" s="46">
        <v>0.46511285057130142</v>
      </c>
      <c r="N8293" s="46">
        <v>0</v>
      </c>
    </row>
    <row r="8294" spans="13:14" x14ac:dyDescent="0.35">
      <c r="M8294" s="46">
        <v>0.54101469060691498</v>
      </c>
      <c r="N8294" s="46">
        <v>0</v>
      </c>
    </row>
    <row r="8295" spans="13:14" x14ac:dyDescent="0.35">
      <c r="M8295" s="46">
        <v>0.55346008309838257</v>
      </c>
      <c r="N8295" s="46">
        <v>0</v>
      </c>
    </row>
    <row r="8296" spans="13:14" x14ac:dyDescent="0.35">
      <c r="M8296" s="46">
        <v>0.50776161151506161</v>
      </c>
      <c r="N8296" s="46">
        <v>0</v>
      </c>
    </row>
    <row r="8297" spans="13:14" x14ac:dyDescent="0.35">
      <c r="M8297" s="46">
        <v>0.41705586882326751</v>
      </c>
      <c r="N8297" s="46">
        <v>0</v>
      </c>
    </row>
    <row r="8298" spans="13:14" x14ac:dyDescent="0.35">
      <c r="M8298" s="46">
        <v>0.29372607211752488</v>
      </c>
      <c r="N8298" s="46">
        <v>0</v>
      </c>
    </row>
    <row r="8299" spans="13:14" x14ac:dyDescent="0.35">
      <c r="M8299" s="46">
        <v>0.164007790473364</v>
      </c>
      <c r="N8299" s="46">
        <v>0</v>
      </c>
    </row>
    <row r="8300" spans="13:14" x14ac:dyDescent="0.35">
      <c r="M8300" s="46">
        <v>0.11195385071969134</v>
      </c>
      <c r="N8300" s="46">
        <v>0</v>
      </c>
    </row>
    <row r="8301" spans="13:14" x14ac:dyDescent="0.35">
      <c r="M8301" s="46">
        <v>0.12055104614928031</v>
      </c>
      <c r="N8301" s="46">
        <v>0</v>
      </c>
    </row>
    <row r="8302" spans="13:14" x14ac:dyDescent="0.35">
      <c r="M8302" s="46">
        <v>0.12652804570411041</v>
      </c>
      <c r="N8302" s="46">
        <v>0</v>
      </c>
    </row>
    <row r="8303" spans="13:14" x14ac:dyDescent="0.35">
      <c r="M8303" s="46">
        <v>0.12488588811396349</v>
      </c>
      <c r="N8303" s="46">
        <v>0</v>
      </c>
    </row>
    <row r="8304" spans="13:14" x14ac:dyDescent="0.35">
      <c r="M8304" s="46">
        <v>0.12187705891081764</v>
      </c>
      <c r="N8304" s="46">
        <v>0</v>
      </c>
    </row>
    <row r="8305" spans="13:14" x14ac:dyDescent="0.35">
      <c r="M8305" s="46">
        <v>0.12424654993322451</v>
      </c>
      <c r="N8305" s="46">
        <v>0</v>
      </c>
    </row>
    <row r="8306" spans="13:14" x14ac:dyDescent="0.35">
      <c r="M8306" s="46">
        <v>0.12350838403323935</v>
      </c>
      <c r="N8306" s="46">
        <v>0</v>
      </c>
    </row>
    <row r="8307" spans="13:14" x14ac:dyDescent="0.35">
      <c r="M8307" s="46">
        <v>0.11803323935301974</v>
      </c>
      <c r="N8307" s="46">
        <v>0</v>
      </c>
    </row>
    <row r="8308" spans="13:14" x14ac:dyDescent="0.35">
      <c r="M8308" s="46">
        <v>0.10982675471138151</v>
      </c>
      <c r="N8308" s="46">
        <v>0</v>
      </c>
    </row>
    <row r="8309" spans="13:14" x14ac:dyDescent="0.35">
      <c r="M8309" s="46">
        <v>9.9058985012613149E-2</v>
      </c>
      <c r="N8309" s="46">
        <v>0</v>
      </c>
    </row>
    <row r="8310" spans="13:14" x14ac:dyDescent="0.35">
      <c r="M8310" s="46">
        <v>8.7770069743285342E-2</v>
      </c>
      <c r="N8310" s="46">
        <v>0</v>
      </c>
    </row>
    <row r="8311" spans="13:14" x14ac:dyDescent="0.35">
      <c r="M8311" s="46">
        <v>7.9227407627244395E-2</v>
      </c>
      <c r="N8311" s="46">
        <v>0</v>
      </c>
    </row>
    <row r="8312" spans="13:14" x14ac:dyDescent="0.35">
      <c r="M8312" s="46">
        <v>7.1956373349161593E-2</v>
      </c>
      <c r="N8312" s="46">
        <v>0</v>
      </c>
    </row>
    <row r="8313" spans="13:14" x14ac:dyDescent="0.35">
      <c r="M8313" s="46">
        <v>7.1661670871049118E-2</v>
      </c>
      <c r="N8313" s="46">
        <v>0</v>
      </c>
    </row>
    <row r="8314" spans="13:14" x14ac:dyDescent="0.35">
      <c r="M8314" s="46">
        <v>7.0553791363703808E-2</v>
      </c>
      <c r="N8314" s="46">
        <v>0</v>
      </c>
    </row>
    <row r="8315" spans="13:14" x14ac:dyDescent="0.35">
      <c r="M8315" s="46">
        <v>0.13645266359994063</v>
      </c>
      <c r="N8315" s="46">
        <v>0</v>
      </c>
    </row>
    <row r="8316" spans="13:14" x14ac:dyDescent="0.35">
      <c r="M8316" s="46">
        <v>0.26438796557352723</v>
      </c>
      <c r="N8316" s="46">
        <v>0</v>
      </c>
    </row>
    <row r="8317" spans="13:14" x14ac:dyDescent="0.35">
      <c r="M8317" s="46">
        <v>0.37475983083543551</v>
      </c>
      <c r="N8317" s="46">
        <v>0</v>
      </c>
    </row>
    <row r="8318" spans="13:14" x14ac:dyDescent="0.35">
      <c r="M8318" s="46">
        <v>0.4347320077162784</v>
      </c>
      <c r="N8318" s="46">
        <v>0</v>
      </c>
    </row>
    <row r="8319" spans="13:14" x14ac:dyDescent="0.35">
      <c r="M8319" s="46">
        <v>0.4355144680219617</v>
      </c>
      <c r="N8319" s="46">
        <v>0</v>
      </c>
    </row>
    <row r="8320" spans="13:14" x14ac:dyDescent="0.35">
      <c r="M8320" s="46">
        <v>0.38265009645347975</v>
      </c>
      <c r="N8320" s="46">
        <v>0</v>
      </c>
    </row>
    <row r="8321" spans="13:14" x14ac:dyDescent="0.35">
      <c r="M8321" s="46">
        <v>0.29644146015729339</v>
      </c>
      <c r="N8321" s="46">
        <v>0</v>
      </c>
    </row>
    <row r="8322" spans="13:14" x14ac:dyDescent="0.35">
      <c r="M8322" s="46">
        <v>0.18962056684968098</v>
      </c>
      <c r="N8322" s="46">
        <v>0</v>
      </c>
    </row>
    <row r="8323" spans="13:14" x14ac:dyDescent="0.35">
      <c r="M8323" s="46">
        <v>8.0761388930108327E-2</v>
      </c>
      <c r="N8323" s="46">
        <v>0</v>
      </c>
    </row>
    <row r="8324" spans="13:14" x14ac:dyDescent="0.35">
      <c r="M8324" s="46">
        <v>3.6369194242469212E-2</v>
      </c>
      <c r="N8324" s="46">
        <v>0</v>
      </c>
    </row>
    <row r="8325" spans="13:14" x14ac:dyDescent="0.35">
      <c r="M8325" s="46">
        <v>5.1094450215165454E-2</v>
      </c>
      <c r="N8325" s="46">
        <v>0</v>
      </c>
    </row>
    <row r="8326" spans="13:14" x14ac:dyDescent="0.35">
      <c r="M8326" s="46">
        <v>6.421360736014245E-2</v>
      </c>
      <c r="N8326" s="46">
        <v>0</v>
      </c>
    </row>
    <row r="8327" spans="13:14" x14ac:dyDescent="0.35">
      <c r="M8327" s="46">
        <v>7.5000296779937678E-2</v>
      </c>
      <c r="N8327" s="46">
        <v>0</v>
      </c>
    </row>
    <row r="8328" spans="13:14" x14ac:dyDescent="0.35">
      <c r="M8328" s="46">
        <v>7.7558094672800115E-2</v>
      </c>
      <c r="N8328" s="46">
        <v>0</v>
      </c>
    </row>
    <row r="8329" spans="13:14" x14ac:dyDescent="0.35">
      <c r="M8329" s="46">
        <v>7.8320893307612396E-2</v>
      </c>
      <c r="N8329" s="46">
        <v>0</v>
      </c>
    </row>
    <row r="8330" spans="13:14" x14ac:dyDescent="0.35">
      <c r="M8330" s="46">
        <v>8.1444724736607799E-2</v>
      </c>
      <c r="N8330" s="46">
        <v>0</v>
      </c>
    </row>
    <row r="8331" spans="13:14" x14ac:dyDescent="0.35">
      <c r="M8331" s="46">
        <v>7.3351239056239803E-2</v>
      </c>
      <c r="N8331" s="46">
        <v>0</v>
      </c>
    </row>
    <row r="8332" spans="13:14" x14ac:dyDescent="0.35">
      <c r="M8332" s="46">
        <v>7.1466167087104918E-2</v>
      </c>
      <c r="N8332" s="46">
        <v>0</v>
      </c>
    </row>
    <row r="8333" spans="13:14" x14ac:dyDescent="0.35">
      <c r="M8333" s="46">
        <v>7.6320225552752641E-2</v>
      </c>
      <c r="N8333" s="46">
        <v>0</v>
      </c>
    </row>
    <row r="8334" spans="13:14" x14ac:dyDescent="0.35">
      <c r="M8334" s="46">
        <v>8.0755082356432695E-2</v>
      </c>
      <c r="N8334" s="46">
        <v>0</v>
      </c>
    </row>
    <row r="8335" spans="13:14" x14ac:dyDescent="0.35">
      <c r="M8335" s="46">
        <v>8.614208339516248E-2</v>
      </c>
      <c r="N8335" s="46">
        <v>0</v>
      </c>
    </row>
    <row r="8336" spans="13:14" x14ac:dyDescent="0.35">
      <c r="M8336" s="46">
        <v>0.10220166196765099</v>
      </c>
      <c r="N8336" s="46">
        <v>0</v>
      </c>
    </row>
    <row r="8337" spans="13:14" x14ac:dyDescent="0.35">
      <c r="M8337" s="46">
        <v>0.11496401543255676</v>
      </c>
      <c r="N8337" s="46">
        <v>0</v>
      </c>
    </row>
    <row r="8338" spans="13:14" x14ac:dyDescent="0.35">
      <c r="M8338" s="46">
        <v>0.11659860513429293</v>
      </c>
      <c r="N8338" s="46">
        <v>0</v>
      </c>
    </row>
    <row r="8339" spans="13:14" x14ac:dyDescent="0.35">
      <c r="M8339" s="46">
        <v>0.14793582133847752</v>
      </c>
      <c r="N8339" s="46">
        <v>0</v>
      </c>
    </row>
    <row r="8340" spans="13:14" x14ac:dyDescent="0.35">
      <c r="M8340" s="46">
        <v>0.21192639857545631</v>
      </c>
      <c r="N8340" s="46">
        <v>0</v>
      </c>
    </row>
    <row r="8341" spans="13:14" x14ac:dyDescent="0.35">
      <c r="M8341" s="46">
        <v>0.26703101350348718</v>
      </c>
      <c r="N8341" s="46">
        <v>0</v>
      </c>
    </row>
    <row r="8342" spans="13:14" x14ac:dyDescent="0.35">
      <c r="M8342" s="46">
        <v>0.31603093930850273</v>
      </c>
      <c r="N8342" s="46">
        <v>0</v>
      </c>
    </row>
    <row r="8343" spans="13:14" x14ac:dyDescent="0.35">
      <c r="M8343" s="46">
        <v>0.33513399614186079</v>
      </c>
      <c r="N8343" s="46">
        <v>0</v>
      </c>
    </row>
    <row r="8344" spans="13:14" x14ac:dyDescent="0.35">
      <c r="M8344" s="46">
        <v>0.31959823415937083</v>
      </c>
      <c r="N8344" s="46">
        <v>0</v>
      </c>
    </row>
    <row r="8345" spans="13:14" x14ac:dyDescent="0.35">
      <c r="M8345" s="46">
        <v>0.25493604392343078</v>
      </c>
      <c r="N8345" s="46">
        <v>0</v>
      </c>
    </row>
    <row r="8346" spans="13:14" x14ac:dyDescent="0.35">
      <c r="M8346" s="46">
        <v>0.18518110995696691</v>
      </c>
      <c r="N8346" s="46">
        <v>0</v>
      </c>
    </row>
    <row r="8347" spans="13:14" x14ac:dyDescent="0.35">
      <c r="M8347" s="46">
        <v>0.11581072859474699</v>
      </c>
      <c r="N8347" s="46">
        <v>0</v>
      </c>
    </row>
    <row r="8348" spans="13:14" x14ac:dyDescent="0.35">
      <c r="M8348" s="46">
        <v>8.554110402136815E-2</v>
      </c>
      <c r="N8348" s="46">
        <v>0</v>
      </c>
    </row>
    <row r="8349" spans="13:14" x14ac:dyDescent="0.35">
      <c r="M8349" s="46">
        <v>9.4492803086511354E-2</v>
      </c>
      <c r="N8349" s="46">
        <v>0</v>
      </c>
    </row>
    <row r="8350" spans="13:14" x14ac:dyDescent="0.35">
      <c r="M8350" s="46">
        <v>9.3339813028639265E-2</v>
      </c>
      <c r="N8350" s="46">
        <v>0</v>
      </c>
    </row>
    <row r="8351" spans="13:14" x14ac:dyDescent="0.35">
      <c r="M8351" s="46">
        <v>8.6594153435227778E-2</v>
      </c>
      <c r="N8351" s="46">
        <v>0</v>
      </c>
    </row>
    <row r="8352" spans="13:14" x14ac:dyDescent="0.35">
      <c r="M8352" s="46">
        <v>8.284374536281347E-2</v>
      </c>
      <c r="N8352" s="46">
        <v>0</v>
      </c>
    </row>
    <row r="8353" spans="13:14" x14ac:dyDescent="0.35">
      <c r="M8353" s="46">
        <v>8.5145718949399027E-2</v>
      </c>
      <c r="N8353" s="46">
        <v>0</v>
      </c>
    </row>
    <row r="8354" spans="13:14" x14ac:dyDescent="0.35">
      <c r="M8354" s="46">
        <v>8.8245288618489376E-2</v>
      </c>
      <c r="N8354" s="46">
        <v>0</v>
      </c>
    </row>
    <row r="8355" spans="13:14" x14ac:dyDescent="0.35">
      <c r="M8355" s="46">
        <v>9.4141193055349459E-2</v>
      </c>
      <c r="N8355" s="46">
        <v>0</v>
      </c>
    </row>
    <row r="8356" spans="13:14" x14ac:dyDescent="0.35">
      <c r="M8356" s="46">
        <v>9.9247662857990804E-2</v>
      </c>
      <c r="N8356" s="46">
        <v>0</v>
      </c>
    </row>
    <row r="8357" spans="13:14" x14ac:dyDescent="0.35">
      <c r="M8357" s="46">
        <v>9.9660483751298407E-2</v>
      </c>
      <c r="N8357" s="46">
        <v>0</v>
      </c>
    </row>
    <row r="8358" spans="13:14" x14ac:dyDescent="0.35">
      <c r="M8358" s="46">
        <v>9.7961937972993018E-2</v>
      </c>
      <c r="N8358" s="46">
        <v>0</v>
      </c>
    </row>
    <row r="8359" spans="13:14" x14ac:dyDescent="0.35">
      <c r="M8359" s="46">
        <v>9.4911188603650387E-2</v>
      </c>
      <c r="N8359" s="46">
        <v>0</v>
      </c>
    </row>
    <row r="8360" spans="13:14" x14ac:dyDescent="0.35">
      <c r="M8360" s="46">
        <v>9.4315625463718647E-2</v>
      </c>
      <c r="N8360" s="46">
        <v>0</v>
      </c>
    </row>
    <row r="8361" spans="13:14" x14ac:dyDescent="0.35">
      <c r="M8361" s="46">
        <v>9.7956670129099269E-2</v>
      </c>
      <c r="N8361" s="46">
        <v>0</v>
      </c>
    </row>
    <row r="8362" spans="13:14" x14ac:dyDescent="0.35">
      <c r="M8362" s="46">
        <v>0.10246023148835139</v>
      </c>
      <c r="N8362" s="46">
        <v>0</v>
      </c>
    </row>
    <row r="8363" spans="13:14" x14ac:dyDescent="0.35">
      <c r="M8363" s="46">
        <v>0.16310053420388779</v>
      </c>
      <c r="N8363" s="46">
        <v>0</v>
      </c>
    </row>
    <row r="8364" spans="13:14" x14ac:dyDescent="0.35">
      <c r="M8364" s="46">
        <v>0.29124358213384777</v>
      </c>
      <c r="N8364" s="46">
        <v>0</v>
      </c>
    </row>
    <row r="8365" spans="13:14" x14ac:dyDescent="0.35">
      <c r="M8365" s="46">
        <v>0.4163630360587624</v>
      </c>
      <c r="N8365" s="46">
        <v>0</v>
      </c>
    </row>
    <row r="8366" spans="13:14" x14ac:dyDescent="0.35">
      <c r="M8366" s="46">
        <v>0.51423341742098228</v>
      </c>
      <c r="N8366" s="46">
        <v>0</v>
      </c>
    </row>
    <row r="8367" spans="13:14" x14ac:dyDescent="0.35">
      <c r="M8367" s="46">
        <v>0.53723133996141859</v>
      </c>
      <c r="N8367" s="46">
        <v>0</v>
      </c>
    </row>
    <row r="8368" spans="13:14" x14ac:dyDescent="0.35">
      <c r="M8368" s="46">
        <v>0.50022577533758716</v>
      </c>
      <c r="N8368" s="46">
        <v>0</v>
      </c>
    </row>
    <row r="8369" spans="13:14" x14ac:dyDescent="0.35">
      <c r="M8369" s="46">
        <v>0.38995570559430187</v>
      </c>
      <c r="N8369" s="46">
        <v>0</v>
      </c>
    </row>
    <row r="8370" spans="13:14" x14ac:dyDescent="0.35">
      <c r="M8370" s="46">
        <v>0.26106002374239501</v>
      </c>
      <c r="N8370" s="46">
        <v>0</v>
      </c>
    </row>
    <row r="8371" spans="13:14" x14ac:dyDescent="0.35">
      <c r="M8371" s="46">
        <v>0.14101201958747589</v>
      </c>
      <c r="N8371" s="46">
        <v>0</v>
      </c>
    </row>
    <row r="8372" spans="13:14" x14ac:dyDescent="0.35">
      <c r="M8372" s="46">
        <v>9.0551565514171234E-2</v>
      </c>
      <c r="N8372" s="46">
        <v>0</v>
      </c>
    </row>
    <row r="8373" spans="13:14" x14ac:dyDescent="0.35">
      <c r="M8373" s="46">
        <v>0.10168326161151507</v>
      </c>
      <c r="N8373" s="46">
        <v>0</v>
      </c>
    </row>
    <row r="8374" spans="13:14" x14ac:dyDescent="0.35">
      <c r="M8374" s="46">
        <v>0.11174076272443982</v>
      </c>
      <c r="N8374" s="46">
        <v>0</v>
      </c>
    </row>
    <row r="8375" spans="13:14" x14ac:dyDescent="0.35">
      <c r="M8375" s="46">
        <v>0.11535531978038285</v>
      </c>
      <c r="N8375" s="46">
        <v>0</v>
      </c>
    </row>
    <row r="8376" spans="13:14" x14ac:dyDescent="0.35">
      <c r="M8376" s="46">
        <v>0.11743656328832171</v>
      </c>
      <c r="N8376" s="46">
        <v>0</v>
      </c>
    </row>
    <row r="8377" spans="13:14" x14ac:dyDescent="0.35">
      <c r="M8377" s="46">
        <v>0.12100103872978188</v>
      </c>
      <c r="N8377" s="46">
        <v>0</v>
      </c>
    </row>
    <row r="8378" spans="13:14" x14ac:dyDescent="0.35">
      <c r="M8378" s="46">
        <v>0.11862635405846565</v>
      </c>
      <c r="N8378" s="46">
        <v>0</v>
      </c>
    </row>
    <row r="8379" spans="13:14" x14ac:dyDescent="0.35">
      <c r="M8379" s="46">
        <v>0.11743856655290102</v>
      </c>
      <c r="N8379" s="46">
        <v>0</v>
      </c>
    </row>
    <row r="8380" spans="13:14" x14ac:dyDescent="0.35">
      <c r="M8380" s="46">
        <v>0.11622065588366226</v>
      </c>
      <c r="N8380" s="46">
        <v>0</v>
      </c>
    </row>
    <row r="8381" spans="13:14" x14ac:dyDescent="0.35">
      <c r="M8381" s="46">
        <v>0.11012613147351238</v>
      </c>
      <c r="N8381" s="46">
        <v>0</v>
      </c>
    </row>
    <row r="8382" spans="13:14" x14ac:dyDescent="0.35">
      <c r="M8382" s="46">
        <v>0.10058576940198842</v>
      </c>
      <c r="N8382" s="46">
        <v>0</v>
      </c>
    </row>
    <row r="8383" spans="13:14" x14ac:dyDescent="0.35">
      <c r="M8383" s="46">
        <v>9.3037023297225102E-2</v>
      </c>
      <c r="N8383" s="46">
        <v>0</v>
      </c>
    </row>
    <row r="8384" spans="13:14" x14ac:dyDescent="0.35">
      <c r="M8384" s="46">
        <v>9.1498664490280462E-2</v>
      </c>
      <c r="N8384" s="46">
        <v>0</v>
      </c>
    </row>
    <row r="8385" spans="13:14" x14ac:dyDescent="0.35">
      <c r="M8385" s="46">
        <v>9.2896868971657526E-2</v>
      </c>
      <c r="N8385" s="46">
        <v>0</v>
      </c>
    </row>
    <row r="8386" spans="13:14" x14ac:dyDescent="0.35">
      <c r="M8386" s="46">
        <v>9.2567443240836919E-2</v>
      </c>
      <c r="N8386" s="46">
        <v>0</v>
      </c>
    </row>
    <row r="8387" spans="13:14" x14ac:dyDescent="0.35">
      <c r="M8387" s="46">
        <v>0.14207723697878022</v>
      </c>
      <c r="N8387" s="46">
        <v>0</v>
      </c>
    </row>
    <row r="8388" spans="13:14" x14ac:dyDescent="0.35">
      <c r="M8388" s="46">
        <v>0.25668170351684227</v>
      </c>
      <c r="N8388" s="46">
        <v>0</v>
      </c>
    </row>
    <row r="8389" spans="13:14" x14ac:dyDescent="0.35">
      <c r="M8389" s="46">
        <v>0.36951699065143201</v>
      </c>
      <c r="N8389" s="46">
        <v>0</v>
      </c>
    </row>
    <row r="8390" spans="13:14" x14ac:dyDescent="0.35">
      <c r="M8390" s="46">
        <v>0.44242884700994212</v>
      </c>
      <c r="N8390" s="46">
        <v>0</v>
      </c>
    </row>
    <row r="8391" spans="13:14" x14ac:dyDescent="0.35">
      <c r="M8391" s="46">
        <v>0.45853694910224069</v>
      </c>
      <c r="N8391" s="46">
        <v>0</v>
      </c>
    </row>
    <row r="8392" spans="13:14" x14ac:dyDescent="0.35">
      <c r="M8392" s="46">
        <v>0.41694613444131179</v>
      </c>
      <c r="N8392" s="46">
        <v>0</v>
      </c>
    </row>
    <row r="8393" spans="13:14" x14ac:dyDescent="0.35">
      <c r="M8393" s="46">
        <v>0.33107812731859326</v>
      </c>
      <c r="N8393" s="46">
        <v>0</v>
      </c>
    </row>
    <row r="8394" spans="13:14" x14ac:dyDescent="0.35">
      <c r="M8394" s="46">
        <v>0.218517880991245</v>
      </c>
      <c r="N8394" s="46">
        <v>0</v>
      </c>
    </row>
    <row r="8395" spans="13:14" x14ac:dyDescent="0.35">
      <c r="M8395" s="46">
        <v>9.780345748627392E-2</v>
      </c>
      <c r="N8395" s="46">
        <v>0</v>
      </c>
    </row>
    <row r="8396" spans="13:14" x14ac:dyDescent="0.35">
      <c r="M8396" s="46">
        <v>4.118133254192017E-2</v>
      </c>
      <c r="N8396" s="46">
        <v>0</v>
      </c>
    </row>
    <row r="8397" spans="13:14" x14ac:dyDescent="0.35">
      <c r="M8397" s="46">
        <v>4.9613295741207895E-2</v>
      </c>
      <c r="N8397" s="46">
        <v>0</v>
      </c>
    </row>
    <row r="8398" spans="13:14" x14ac:dyDescent="0.35">
      <c r="M8398" s="46">
        <v>5.8100311618934565E-2</v>
      </c>
      <c r="N8398" s="46">
        <v>0</v>
      </c>
    </row>
    <row r="8399" spans="13:14" x14ac:dyDescent="0.35">
      <c r="M8399" s="46">
        <v>6.2149577088588814E-2</v>
      </c>
      <c r="N8399" s="46">
        <v>0</v>
      </c>
    </row>
    <row r="8400" spans="13:14" x14ac:dyDescent="0.35">
      <c r="M8400" s="46">
        <v>6.1138893010832467E-2</v>
      </c>
      <c r="N8400" s="46">
        <v>0</v>
      </c>
    </row>
    <row r="8401" spans="13:14" x14ac:dyDescent="0.35">
      <c r="M8401" s="46">
        <v>5.9576866003858135E-2</v>
      </c>
      <c r="N8401" s="46">
        <v>0</v>
      </c>
    </row>
    <row r="8402" spans="13:14" x14ac:dyDescent="0.35">
      <c r="M8402" s="46">
        <v>5.8824899836771034E-2</v>
      </c>
      <c r="N8402" s="46">
        <v>0</v>
      </c>
    </row>
    <row r="8403" spans="13:14" x14ac:dyDescent="0.35">
      <c r="M8403" s="46">
        <v>5.8557797892862438E-2</v>
      </c>
      <c r="N8403" s="46">
        <v>0</v>
      </c>
    </row>
    <row r="8404" spans="13:14" x14ac:dyDescent="0.35">
      <c r="M8404" s="46">
        <v>5.7086511351832618E-2</v>
      </c>
      <c r="N8404" s="46">
        <v>0</v>
      </c>
    </row>
    <row r="8405" spans="13:14" x14ac:dyDescent="0.35">
      <c r="M8405" s="46">
        <v>5.5912153138447836E-2</v>
      </c>
      <c r="N8405" s="46">
        <v>0</v>
      </c>
    </row>
    <row r="8406" spans="13:14" x14ac:dyDescent="0.35">
      <c r="M8406" s="46">
        <v>5.0672429143789874E-2</v>
      </c>
      <c r="N8406" s="46">
        <v>0</v>
      </c>
    </row>
    <row r="8407" spans="13:14" x14ac:dyDescent="0.35">
      <c r="M8407" s="46">
        <v>4.7035316812583473E-2</v>
      </c>
      <c r="N8407" s="46">
        <v>0</v>
      </c>
    </row>
    <row r="8408" spans="13:14" x14ac:dyDescent="0.35">
      <c r="M8408" s="46">
        <v>4.512642825345007E-2</v>
      </c>
      <c r="N8408" s="46">
        <v>0</v>
      </c>
    </row>
    <row r="8409" spans="13:14" x14ac:dyDescent="0.35">
      <c r="M8409" s="46">
        <v>4.529143789879804E-2</v>
      </c>
      <c r="N8409" s="46">
        <v>0</v>
      </c>
    </row>
    <row r="8410" spans="13:14" x14ac:dyDescent="0.35">
      <c r="M8410" s="46">
        <v>4.6561507642083395E-2</v>
      </c>
      <c r="N8410" s="46">
        <v>0</v>
      </c>
    </row>
    <row r="8411" spans="13:14" x14ac:dyDescent="0.35">
      <c r="M8411" s="46">
        <v>0.10567880991244992</v>
      </c>
      <c r="N8411" s="46">
        <v>0</v>
      </c>
    </row>
    <row r="8412" spans="13:14" x14ac:dyDescent="0.35">
      <c r="M8412" s="46">
        <v>0.23159830835435524</v>
      </c>
      <c r="N8412" s="46">
        <v>0</v>
      </c>
    </row>
    <row r="8413" spans="13:14" x14ac:dyDescent="0.35">
      <c r="M8413" s="46">
        <v>0.34930123163674132</v>
      </c>
      <c r="N8413" s="46">
        <v>0</v>
      </c>
    </row>
    <row r="8414" spans="13:14" x14ac:dyDescent="0.35">
      <c r="M8414" s="46">
        <v>0.43264994806351093</v>
      </c>
      <c r="N8414" s="46">
        <v>0</v>
      </c>
    </row>
    <row r="8415" spans="13:14" x14ac:dyDescent="0.35">
      <c r="M8415" s="46">
        <v>0.4591693129544443</v>
      </c>
      <c r="N8415" s="46">
        <v>0</v>
      </c>
    </row>
    <row r="8416" spans="13:14" x14ac:dyDescent="0.35">
      <c r="M8416" s="46">
        <v>0.42726598901914231</v>
      </c>
      <c r="N8416" s="46">
        <v>0</v>
      </c>
    </row>
    <row r="8417" spans="13:14" x14ac:dyDescent="0.35">
      <c r="M8417" s="46">
        <v>0.34180931889004301</v>
      </c>
      <c r="N8417" s="46">
        <v>0</v>
      </c>
    </row>
    <row r="8418" spans="13:14" x14ac:dyDescent="0.35">
      <c r="M8418" s="46">
        <v>0.22385227778602168</v>
      </c>
      <c r="N8418" s="46">
        <v>0</v>
      </c>
    </row>
    <row r="8419" spans="13:14" x14ac:dyDescent="0.35">
      <c r="M8419" s="46">
        <v>9.37978928624425E-2</v>
      </c>
      <c r="N8419" s="46">
        <v>0</v>
      </c>
    </row>
    <row r="8420" spans="13:14" x14ac:dyDescent="0.35">
      <c r="M8420" s="46">
        <v>3.4593337290399172E-2</v>
      </c>
      <c r="N8420" s="46">
        <v>0</v>
      </c>
    </row>
    <row r="8421" spans="13:14" x14ac:dyDescent="0.35">
      <c r="M8421" s="46">
        <v>4.2058539842706633E-2</v>
      </c>
      <c r="N8421" s="46">
        <v>0</v>
      </c>
    </row>
    <row r="8422" spans="13:14" x14ac:dyDescent="0.35">
      <c r="M8422" s="46">
        <v>4.616538062027007E-2</v>
      </c>
      <c r="N8422" s="46">
        <v>0</v>
      </c>
    </row>
    <row r="8423" spans="13:14" x14ac:dyDescent="0.35">
      <c r="M8423" s="46">
        <v>4.9013726072117521E-2</v>
      </c>
      <c r="N8423" s="46">
        <v>0</v>
      </c>
    </row>
    <row r="8424" spans="13:14" x14ac:dyDescent="0.35">
      <c r="M8424" s="46">
        <v>4.6538803976851166E-2</v>
      </c>
      <c r="N8424" s="46">
        <v>0</v>
      </c>
    </row>
    <row r="8425" spans="13:14" x14ac:dyDescent="0.35">
      <c r="M8425" s="46">
        <v>4.548271256863036E-2</v>
      </c>
      <c r="N8425" s="46">
        <v>0</v>
      </c>
    </row>
    <row r="8426" spans="13:14" x14ac:dyDescent="0.35">
      <c r="M8426" s="46">
        <v>4.5647648018993917E-2</v>
      </c>
      <c r="N8426" s="46">
        <v>0</v>
      </c>
    </row>
    <row r="8427" spans="13:14" x14ac:dyDescent="0.35">
      <c r="M8427" s="46">
        <v>4.8429217984864228E-2</v>
      </c>
      <c r="N8427" s="46">
        <v>0</v>
      </c>
    </row>
    <row r="8428" spans="13:14" x14ac:dyDescent="0.35">
      <c r="M8428" s="46">
        <v>5.4918682297076714E-2</v>
      </c>
      <c r="N8428" s="46">
        <v>0</v>
      </c>
    </row>
    <row r="8429" spans="13:14" x14ac:dyDescent="0.35">
      <c r="M8429" s="46">
        <v>6.4354652025523068E-2</v>
      </c>
      <c r="N8429" s="46">
        <v>0</v>
      </c>
    </row>
    <row r="8430" spans="13:14" x14ac:dyDescent="0.35">
      <c r="M8430" s="46">
        <v>7.7674877578275708E-2</v>
      </c>
      <c r="N8430" s="46">
        <v>0</v>
      </c>
    </row>
    <row r="8431" spans="13:14" x14ac:dyDescent="0.35">
      <c r="M8431" s="46">
        <v>9.133996141860809E-2</v>
      </c>
      <c r="N8431" s="46">
        <v>0</v>
      </c>
    </row>
    <row r="8432" spans="13:14" x14ac:dyDescent="0.35">
      <c r="M8432" s="46">
        <v>0.10933721620418459</v>
      </c>
      <c r="N8432" s="46">
        <v>0</v>
      </c>
    </row>
    <row r="8433" spans="13:14" x14ac:dyDescent="0.35">
      <c r="M8433" s="46">
        <v>0.13450081614482862</v>
      </c>
      <c r="N8433" s="46">
        <v>0</v>
      </c>
    </row>
    <row r="8434" spans="13:14" x14ac:dyDescent="0.35">
      <c r="M8434" s="46">
        <v>0.15399517732601276</v>
      </c>
      <c r="N8434" s="46">
        <v>0</v>
      </c>
    </row>
    <row r="8435" spans="13:14" x14ac:dyDescent="0.35">
      <c r="M8435" s="46">
        <v>0.21093574714349311</v>
      </c>
      <c r="N8435" s="46">
        <v>0</v>
      </c>
    </row>
    <row r="8436" spans="13:14" x14ac:dyDescent="0.35">
      <c r="M8436" s="46">
        <v>0.30013399614186081</v>
      </c>
      <c r="N8436" s="46">
        <v>0</v>
      </c>
    </row>
    <row r="8437" spans="13:14" x14ac:dyDescent="0.35">
      <c r="M8437" s="46">
        <v>0.38342343077607954</v>
      </c>
      <c r="N8437" s="46">
        <v>0</v>
      </c>
    </row>
    <row r="8438" spans="13:14" x14ac:dyDescent="0.35">
      <c r="M8438" s="46">
        <v>0.43778060543107289</v>
      </c>
      <c r="N8438" s="46">
        <v>0</v>
      </c>
    </row>
    <row r="8439" spans="13:14" x14ac:dyDescent="0.35">
      <c r="M8439" s="46">
        <v>0.46204822673987239</v>
      </c>
      <c r="N8439" s="46">
        <v>0</v>
      </c>
    </row>
    <row r="8440" spans="13:14" x14ac:dyDescent="0.35">
      <c r="M8440" s="46">
        <v>0.46633521293960528</v>
      </c>
      <c r="N8440" s="46">
        <v>0</v>
      </c>
    </row>
    <row r="8441" spans="13:14" x14ac:dyDescent="0.35">
      <c r="M8441" s="46">
        <v>0.46675345006677549</v>
      </c>
      <c r="N8441" s="46">
        <v>0</v>
      </c>
    </row>
    <row r="8442" spans="13:14" x14ac:dyDescent="0.35">
      <c r="M8442" s="46">
        <v>0.46275678884107435</v>
      </c>
      <c r="N8442" s="46">
        <v>0</v>
      </c>
    </row>
    <row r="8443" spans="13:14" x14ac:dyDescent="0.35">
      <c r="M8443" s="46">
        <v>0.46258213384775188</v>
      </c>
      <c r="N8443" s="46">
        <v>0</v>
      </c>
    </row>
    <row r="8444" spans="13:14" x14ac:dyDescent="0.35">
      <c r="M8444" s="46">
        <v>0.48471115892565664</v>
      </c>
      <c r="N8444" s="46">
        <v>0</v>
      </c>
    </row>
    <row r="8445" spans="13:14" x14ac:dyDescent="0.35">
      <c r="M8445" s="46">
        <v>0.51293812138299455</v>
      </c>
      <c r="N8445" s="46">
        <v>0</v>
      </c>
    </row>
    <row r="8446" spans="13:14" x14ac:dyDescent="0.35">
      <c r="M8446" s="46">
        <v>0.53691519513280894</v>
      </c>
      <c r="N8446" s="46">
        <v>0</v>
      </c>
    </row>
    <row r="8447" spans="13:14" x14ac:dyDescent="0.35">
      <c r="M8447" s="46">
        <v>0.55205928179255082</v>
      </c>
      <c r="N8447" s="46">
        <v>0</v>
      </c>
    </row>
    <row r="8448" spans="13:14" x14ac:dyDescent="0.35">
      <c r="M8448" s="46">
        <v>0.55408198545778309</v>
      </c>
      <c r="N8448" s="46">
        <v>0</v>
      </c>
    </row>
    <row r="8449" spans="13:14" x14ac:dyDescent="0.35">
      <c r="M8449" s="46">
        <v>0.57196342187268134</v>
      </c>
      <c r="N8449" s="46">
        <v>0</v>
      </c>
    </row>
    <row r="8450" spans="13:14" x14ac:dyDescent="0.35">
      <c r="M8450" s="46">
        <v>0.5884907256269476</v>
      </c>
      <c r="N8450" s="46">
        <v>0</v>
      </c>
    </row>
    <row r="8451" spans="13:14" x14ac:dyDescent="0.35">
      <c r="M8451" s="46">
        <v>0.6039982193203739</v>
      </c>
      <c r="N8451" s="46">
        <v>0</v>
      </c>
    </row>
    <row r="8452" spans="13:14" x14ac:dyDescent="0.35">
      <c r="M8452" s="46">
        <v>0.6161396349606767</v>
      </c>
      <c r="N8452" s="46">
        <v>0</v>
      </c>
    </row>
    <row r="8453" spans="13:14" x14ac:dyDescent="0.35">
      <c r="M8453" s="46">
        <v>0.61855431072859479</v>
      </c>
      <c r="N8453" s="46">
        <v>0</v>
      </c>
    </row>
    <row r="8454" spans="13:14" x14ac:dyDescent="0.35">
      <c r="M8454" s="46">
        <v>0.62178305386555865</v>
      </c>
      <c r="N8454" s="46">
        <v>0</v>
      </c>
    </row>
    <row r="8455" spans="13:14" x14ac:dyDescent="0.35">
      <c r="M8455" s="46">
        <v>0.61572963347677701</v>
      </c>
      <c r="N8455" s="46">
        <v>0</v>
      </c>
    </row>
    <row r="8456" spans="13:14" x14ac:dyDescent="0.35">
      <c r="M8456" s="46">
        <v>0.60415669980709297</v>
      </c>
      <c r="N8456" s="46">
        <v>0</v>
      </c>
    </row>
    <row r="8457" spans="13:14" x14ac:dyDescent="0.35">
      <c r="M8457" s="46">
        <v>0.60214015432556767</v>
      </c>
      <c r="N8457" s="46">
        <v>0</v>
      </c>
    </row>
    <row r="8458" spans="13:14" x14ac:dyDescent="0.35">
      <c r="M8458" s="46">
        <v>0.58937906217539693</v>
      </c>
      <c r="N8458" s="46">
        <v>0</v>
      </c>
    </row>
    <row r="8459" spans="13:14" x14ac:dyDescent="0.35">
      <c r="M8459" s="46">
        <v>0.61803405549784829</v>
      </c>
      <c r="N8459" s="46">
        <v>0</v>
      </c>
    </row>
    <row r="8460" spans="13:14" x14ac:dyDescent="0.35">
      <c r="M8460" s="46">
        <v>0.69952478112479599</v>
      </c>
      <c r="N8460" s="46">
        <v>0</v>
      </c>
    </row>
    <row r="8461" spans="13:14" x14ac:dyDescent="0.35">
      <c r="M8461" s="46">
        <v>0.76635294554088151</v>
      </c>
      <c r="N8461" s="46">
        <v>0</v>
      </c>
    </row>
    <row r="8462" spans="13:14" x14ac:dyDescent="0.35">
      <c r="M8462" s="46">
        <v>0.78116285799079987</v>
      </c>
      <c r="N8462" s="46">
        <v>0</v>
      </c>
    </row>
    <row r="8463" spans="13:14" x14ac:dyDescent="0.35">
      <c r="M8463" s="46">
        <v>0.75345117970025222</v>
      </c>
      <c r="N8463" s="46">
        <v>0</v>
      </c>
    </row>
    <row r="8464" spans="13:14" x14ac:dyDescent="0.35">
      <c r="M8464" s="46">
        <v>0.68201246475738242</v>
      </c>
      <c r="N8464" s="46">
        <v>0</v>
      </c>
    </row>
    <row r="8465" spans="13:14" x14ac:dyDescent="0.35">
      <c r="M8465" s="46">
        <v>0.60875070485235194</v>
      </c>
      <c r="N8465" s="46">
        <v>0</v>
      </c>
    </row>
    <row r="8466" spans="13:14" x14ac:dyDescent="0.35">
      <c r="M8466" s="46">
        <v>0.52609252114557059</v>
      </c>
      <c r="N8466" s="46">
        <v>0</v>
      </c>
    </row>
    <row r="8467" spans="13:14" x14ac:dyDescent="0.35">
      <c r="M8467" s="46">
        <v>0.43501684226146314</v>
      </c>
      <c r="N8467" s="46">
        <v>0</v>
      </c>
    </row>
    <row r="8468" spans="13:14" x14ac:dyDescent="0.35">
      <c r="M8468" s="46">
        <v>0.37921620418459712</v>
      </c>
      <c r="N8468" s="46">
        <v>0</v>
      </c>
    </row>
    <row r="8469" spans="13:14" x14ac:dyDescent="0.35">
      <c r="M8469" s="46">
        <v>0.36197418014542215</v>
      </c>
      <c r="N8469" s="46">
        <v>0</v>
      </c>
    </row>
    <row r="8470" spans="13:14" x14ac:dyDescent="0.35">
      <c r="M8470" s="46">
        <v>0.33099614186081022</v>
      </c>
      <c r="N8470" s="46">
        <v>0</v>
      </c>
    </row>
    <row r="8471" spans="13:14" x14ac:dyDescent="0.35">
      <c r="M8471" s="46">
        <v>0.29302055201068411</v>
      </c>
      <c r="N8471" s="46">
        <v>0</v>
      </c>
    </row>
    <row r="8472" spans="13:14" x14ac:dyDescent="0.35">
      <c r="M8472" s="46">
        <v>0.24047217688084285</v>
      </c>
      <c r="N8472" s="46">
        <v>0</v>
      </c>
    </row>
    <row r="8473" spans="13:14" x14ac:dyDescent="0.35">
      <c r="M8473" s="46">
        <v>0.20999213533165156</v>
      </c>
      <c r="N8473" s="46">
        <v>0</v>
      </c>
    </row>
    <row r="8474" spans="13:14" x14ac:dyDescent="0.35">
      <c r="M8474" s="46">
        <v>0.18852032942573083</v>
      </c>
      <c r="N8474" s="46">
        <v>0</v>
      </c>
    </row>
    <row r="8475" spans="13:14" x14ac:dyDescent="0.35">
      <c r="M8475" s="46">
        <v>0.18113273482712566</v>
      </c>
      <c r="N8475" s="46">
        <v>0</v>
      </c>
    </row>
    <row r="8476" spans="13:14" x14ac:dyDescent="0.35">
      <c r="M8476" s="46">
        <v>0.17197358658554682</v>
      </c>
      <c r="N8476" s="46">
        <v>0</v>
      </c>
    </row>
    <row r="8477" spans="13:14" x14ac:dyDescent="0.35">
      <c r="M8477" s="46">
        <v>0.16667220655883661</v>
      </c>
      <c r="N8477" s="46">
        <v>0</v>
      </c>
    </row>
    <row r="8478" spans="13:14" x14ac:dyDescent="0.35">
      <c r="M8478" s="46">
        <v>0.16424091111440867</v>
      </c>
      <c r="N8478" s="46">
        <v>0</v>
      </c>
    </row>
    <row r="8479" spans="13:14" x14ac:dyDescent="0.35">
      <c r="M8479" s="46">
        <v>0.1622515209971806</v>
      </c>
      <c r="N8479" s="46">
        <v>0</v>
      </c>
    </row>
    <row r="8480" spans="13:14" x14ac:dyDescent="0.35">
      <c r="M8480" s="46">
        <v>0.16560246327348269</v>
      </c>
      <c r="N8480" s="46">
        <v>0</v>
      </c>
    </row>
    <row r="8481" spans="13:14" x14ac:dyDescent="0.35">
      <c r="M8481" s="46">
        <v>0.1753079833803235</v>
      </c>
      <c r="N8481" s="46">
        <v>0</v>
      </c>
    </row>
    <row r="8482" spans="13:14" x14ac:dyDescent="0.35">
      <c r="M8482" s="46">
        <v>0.17359022110105357</v>
      </c>
      <c r="N8482" s="46">
        <v>0</v>
      </c>
    </row>
    <row r="8483" spans="13:14" x14ac:dyDescent="0.35">
      <c r="M8483" s="46">
        <v>0.20922688826235347</v>
      </c>
      <c r="N8483" s="46">
        <v>0</v>
      </c>
    </row>
    <row r="8484" spans="13:14" x14ac:dyDescent="0.35">
      <c r="M8484" s="46">
        <v>0.28917472918830683</v>
      </c>
      <c r="N8484" s="46">
        <v>0</v>
      </c>
    </row>
    <row r="8485" spans="13:14" x14ac:dyDescent="0.35">
      <c r="M8485" s="46">
        <v>0.35927192461789581</v>
      </c>
      <c r="N8485" s="46">
        <v>0</v>
      </c>
    </row>
    <row r="8486" spans="13:14" x14ac:dyDescent="0.35">
      <c r="M8486" s="46">
        <v>0.40840169164564477</v>
      </c>
      <c r="N8486" s="46">
        <v>0</v>
      </c>
    </row>
    <row r="8487" spans="13:14" x14ac:dyDescent="0.35">
      <c r="M8487" s="46">
        <v>0.42640465944502154</v>
      </c>
      <c r="N8487" s="46">
        <v>0</v>
      </c>
    </row>
    <row r="8488" spans="13:14" x14ac:dyDescent="0.35">
      <c r="M8488" s="46">
        <v>0.40795207004006528</v>
      </c>
      <c r="N8488" s="46">
        <v>0</v>
      </c>
    </row>
    <row r="8489" spans="13:14" x14ac:dyDescent="0.35">
      <c r="M8489" s="46">
        <v>0.35593010832467725</v>
      </c>
      <c r="N8489" s="46">
        <v>0</v>
      </c>
    </row>
    <row r="8490" spans="13:14" x14ac:dyDescent="0.35">
      <c r="M8490" s="46">
        <v>0.29091979522184297</v>
      </c>
      <c r="N8490" s="46">
        <v>0</v>
      </c>
    </row>
    <row r="8491" spans="13:14" x14ac:dyDescent="0.35">
      <c r="M8491" s="46">
        <v>0.23104629767027748</v>
      </c>
      <c r="N8491" s="46">
        <v>0</v>
      </c>
    </row>
    <row r="8492" spans="13:14" x14ac:dyDescent="0.35">
      <c r="M8492" s="46">
        <v>0.21340710787950734</v>
      </c>
      <c r="N8492" s="46">
        <v>0</v>
      </c>
    </row>
    <row r="8493" spans="13:14" x14ac:dyDescent="0.35">
      <c r="M8493" s="46">
        <v>0.23762323786912007</v>
      </c>
      <c r="N8493" s="46">
        <v>0</v>
      </c>
    </row>
    <row r="8494" spans="13:14" x14ac:dyDescent="0.35">
      <c r="M8494" s="46">
        <v>0.2516560320522333</v>
      </c>
      <c r="N8494" s="46">
        <v>0</v>
      </c>
    </row>
    <row r="8495" spans="13:14" x14ac:dyDescent="0.35">
      <c r="M8495" s="46">
        <v>0.25936822970767176</v>
      </c>
      <c r="N8495" s="46">
        <v>0</v>
      </c>
    </row>
    <row r="8496" spans="13:14" x14ac:dyDescent="0.35">
      <c r="M8496" s="46">
        <v>0.25209163080575753</v>
      </c>
      <c r="N8496" s="46">
        <v>0</v>
      </c>
    </row>
    <row r="8497" spans="13:14" x14ac:dyDescent="0.35">
      <c r="M8497" s="46">
        <v>0.25868511648612552</v>
      </c>
      <c r="N8497" s="46">
        <v>0</v>
      </c>
    </row>
    <row r="8498" spans="13:14" x14ac:dyDescent="0.35">
      <c r="M8498" s="46">
        <v>0.26402886184893903</v>
      </c>
      <c r="N8498" s="46">
        <v>0</v>
      </c>
    </row>
    <row r="8499" spans="13:14" x14ac:dyDescent="0.35">
      <c r="M8499" s="46">
        <v>0.27600623237869121</v>
      </c>
      <c r="N8499" s="46">
        <v>0</v>
      </c>
    </row>
    <row r="8500" spans="13:14" x14ac:dyDescent="0.35">
      <c r="M8500" s="46">
        <v>0.29895555720433298</v>
      </c>
      <c r="N8500" s="46">
        <v>0</v>
      </c>
    </row>
    <row r="8501" spans="13:14" x14ac:dyDescent="0.35">
      <c r="M8501" s="46">
        <v>0.32548078349903548</v>
      </c>
      <c r="N8501" s="46">
        <v>0</v>
      </c>
    </row>
    <row r="8502" spans="13:14" x14ac:dyDescent="0.35">
      <c r="M8502" s="46">
        <v>0.35152032942573086</v>
      </c>
      <c r="N8502" s="46">
        <v>0</v>
      </c>
    </row>
    <row r="8503" spans="13:14" x14ac:dyDescent="0.35">
      <c r="M8503" s="46">
        <v>0.37850185487461052</v>
      </c>
      <c r="N8503" s="46">
        <v>0</v>
      </c>
    </row>
    <row r="8504" spans="13:14" x14ac:dyDescent="0.35">
      <c r="M8504" s="46">
        <v>0.41339716575159519</v>
      </c>
      <c r="N8504" s="46">
        <v>0</v>
      </c>
    </row>
    <row r="8505" spans="13:14" x14ac:dyDescent="0.35">
      <c r="M8505" s="46">
        <v>0.45395704110402135</v>
      </c>
      <c r="N8505" s="46">
        <v>0</v>
      </c>
    </row>
    <row r="8506" spans="13:14" x14ac:dyDescent="0.35">
      <c r="M8506" s="46">
        <v>0.48952760053420391</v>
      </c>
      <c r="N8506" s="46">
        <v>0</v>
      </c>
    </row>
    <row r="8507" spans="13:14" x14ac:dyDescent="0.35">
      <c r="M8507" s="46">
        <v>0.55480968986496515</v>
      </c>
      <c r="N8507" s="46">
        <v>0</v>
      </c>
    </row>
    <row r="8508" spans="13:14" x14ac:dyDescent="0.35">
      <c r="M8508" s="46">
        <v>0.65600920017806785</v>
      </c>
      <c r="N8508" s="46">
        <v>0</v>
      </c>
    </row>
    <row r="8509" spans="13:14" x14ac:dyDescent="0.35">
      <c r="M8509" s="46">
        <v>0.75736481673838851</v>
      </c>
      <c r="N8509" s="46">
        <v>0</v>
      </c>
    </row>
    <row r="8510" spans="13:14" x14ac:dyDescent="0.35">
      <c r="M8510" s="46">
        <v>0.8238393678587328</v>
      </c>
      <c r="N8510" s="46">
        <v>0</v>
      </c>
    </row>
    <row r="8511" spans="13:14" x14ac:dyDescent="0.35">
      <c r="M8511" s="46">
        <v>0.85547009942127916</v>
      </c>
      <c r="N8511" s="46">
        <v>0</v>
      </c>
    </row>
    <row r="8512" spans="13:14" x14ac:dyDescent="0.35">
      <c r="M8512" s="46">
        <v>0.84281399317406147</v>
      </c>
      <c r="N8512" s="46">
        <v>0</v>
      </c>
    </row>
    <row r="8513" spans="13:14" x14ac:dyDescent="0.35">
      <c r="M8513" s="46">
        <v>0.79510238907849828</v>
      </c>
      <c r="N8513" s="46">
        <v>0</v>
      </c>
    </row>
    <row r="8514" spans="13:14" x14ac:dyDescent="0.35">
      <c r="M8514" s="46">
        <v>0.72173571746549936</v>
      </c>
      <c r="N8514" s="46">
        <v>0</v>
      </c>
    </row>
    <row r="8515" spans="13:14" x14ac:dyDescent="0.35">
      <c r="M8515" s="46">
        <v>0.64809111144086662</v>
      </c>
      <c r="N8515" s="46">
        <v>0</v>
      </c>
    </row>
    <row r="8516" spans="13:14" x14ac:dyDescent="0.35">
      <c r="M8516" s="46">
        <v>0.60933521293960535</v>
      </c>
      <c r="N8516" s="46">
        <v>0</v>
      </c>
    </row>
    <row r="8517" spans="13:14" x14ac:dyDescent="0.35">
      <c r="M8517" s="46">
        <v>0.60654711381510618</v>
      </c>
      <c r="N8517" s="46">
        <v>0</v>
      </c>
    </row>
    <row r="8518" spans="13:14" x14ac:dyDescent="0.35">
      <c r="M8518" s="46">
        <v>0.59399280308651137</v>
      </c>
      <c r="N8518" s="46">
        <v>0</v>
      </c>
    </row>
    <row r="8519" spans="13:14" x14ac:dyDescent="0.35">
      <c r="M8519" s="46">
        <v>0.57944657961121826</v>
      </c>
      <c r="N8519" s="46">
        <v>0</v>
      </c>
    </row>
    <row r="8520" spans="13:14" x14ac:dyDescent="0.35">
      <c r="M8520" s="46">
        <v>0.5539827125686303</v>
      </c>
      <c r="N8520" s="46">
        <v>0</v>
      </c>
    </row>
    <row r="8521" spans="13:14" x14ac:dyDescent="0.35">
      <c r="M8521" s="46">
        <v>0.54447974476925354</v>
      </c>
      <c r="N8521" s="46">
        <v>0</v>
      </c>
    </row>
    <row r="8522" spans="13:14" x14ac:dyDescent="0.35">
      <c r="M8522" s="46">
        <v>0.53870730078646689</v>
      </c>
      <c r="N8522" s="46">
        <v>0</v>
      </c>
    </row>
    <row r="8523" spans="13:14" x14ac:dyDescent="0.35">
      <c r="M8523" s="46">
        <v>0.53552960379878323</v>
      </c>
      <c r="N8523" s="46">
        <v>0</v>
      </c>
    </row>
    <row r="8524" spans="13:14" x14ac:dyDescent="0.35">
      <c r="M8524" s="46">
        <v>0.53044205371716868</v>
      </c>
      <c r="N8524" s="46">
        <v>0</v>
      </c>
    </row>
    <row r="8525" spans="13:14" x14ac:dyDescent="0.35">
      <c r="M8525" s="46">
        <v>0.5305088292031459</v>
      </c>
      <c r="N8525" s="46">
        <v>0</v>
      </c>
    </row>
    <row r="8526" spans="13:14" x14ac:dyDescent="0.35">
      <c r="M8526" s="46">
        <v>0.5391167829054756</v>
      </c>
      <c r="N8526" s="46">
        <v>0</v>
      </c>
    </row>
    <row r="8527" spans="13:14" x14ac:dyDescent="0.35">
      <c r="M8527" s="46">
        <v>0.54567450660335359</v>
      </c>
      <c r="N8527" s="46">
        <v>0</v>
      </c>
    </row>
    <row r="8528" spans="13:14" x14ac:dyDescent="0.35">
      <c r="M8528" s="46">
        <v>0.55327845377652474</v>
      </c>
      <c r="N8528" s="46">
        <v>0</v>
      </c>
    </row>
    <row r="8529" spans="13:14" x14ac:dyDescent="0.35">
      <c r="M8529" s="46">
        <v>0.56717487757827567</v>
      </c>
      <c r="N8529" s="46">
        <v>0</v>
      </c>
    </row>
    <row r="8530" spans="13:14" x14ac:dyDescent="0.35">
      <c r="M8530" s="46">
        <v>0.57585613592521145</v>
      </c>
      <c r="N8530" s="46">
        <v>0</v>
      </c>
    </row>
    <row r="8531" spans="13:14" x14ac:dyDescent="0.35">
      <c r="M8531" s="46">
        <v>0.64006662709600826</v>
      </c>
      <c r="N8531" s="46">
        <v>0</v>
      </c>
    </row>
    <row r="8532" spans="13:14" x14ac:dyDescent="0.35">
      <c r="M8532" s="46">
        <v>0.77443619231339966</v>
      </c>
      <c r="N8532" s="46">
        <v>0</v>
      </c>
    </row>
    <row r="8533" spans="13:14" x14ac:dyDescent="0.35">
      <c r="M8533" s="46">
        <v>0.90168689716575157</v>
      </c>
      <c r="N8533" s="46">
        <v>0</v>
      </c>
    </row>
    <row r="8534" spans="13:14" x14ac:dyDescent="0.35">
      <c r="M8534" s="46">
        <v>0.97315543849235797</v>
      </c>
      <c r="N8534" s="46">
        <v>0</v>
      </c>
    </row>
    <row r="8535" spans="13:14" x14ac:dyDescent="0.35">
      <c r="M8535" s="46">
        <v>0.9939603798783202</v>
      </c>
      <c r="N8535" s="46">
        <v>0</v>
      </c>
    </row>
    <row r="8536" spans="13:14" x14ac:dyDescent="0.35">
      <c r="M8536" s="46">
        <v>0.95187802344561512</v>
      </c>
      <c r="N8536" s="46">
        <v>0</v>
      </c>
    </row>
    <row r="8537" spans="13:14" x14ac:dyDescent="0.35">
      <c r="M8537" s="46">
        <v>0.87546082504822664</v>
      </c>
      <c r="N8537" s="46">
        <v>0</v>
      </c>
    </row>
    <row r="8538" spans="13:14" x14ac:dyDescent="0.35">
      <c r="M8538" s="46">
        <v>0.7722661374091111</v>
      </c>
      <c r="N8538" s="46">
        <v>0</v>
      </c>
    </row>
    <row r="8539" spans="13:14" x14ac:dyDescent="0.35">
      <c r="M8539" s="46">
        <v>0.64801765840629177</v>
      </c>
      <c r="N8539" s="46">
        <v>0</v>
      </c>
    </row>
    <row r="8540" spans="13:14" x14ac:dyDescent="0.35">
      <c r="M8540" s="46">
        <v>0.57304592669535537</v>
      </c>
      <c r="N8540" s="46">
        <v>0</v>
      </c>
    </row>
    <row r="8541" spans="13:14" x14ac:dyDescent="0.35">
      <c r="M8541" s="46">
        <v>0.57352418756492063</v>
      </c>
      <c r="N8541" s="46">
        <v>0</v>
      </c>
    </row>
    <row r="8542" spans="13:14" x14ac:dyDescent="0.35">
      <c r="M8542" s="46">
        <v>0.56581725775337588</v>
      </c>
      <c r="N8542" s="46">
        <v>0</v>
      </c>
    </row>
    <row r="8543" spans="13:14" x14ac:dyDescent="0.35">
      <c r="M8543" s="46">
        <v>0.54989835287134592</v>
      </c>
      <c r="N8543" s="46">
        <v>0</v>
      </c>
    </row>
    <row r="8544" spans="13:14" x14ac:dyDescent="0.35">
      <c r="M8544" s="46">
        <v>0.51497217688084285</v>
      </c>
      <c r="N8544" s="46">
        <v>0</v>
      </c>
    </row>
    <row r="8545" spans="13:14" x14ac:dyDescent="0.35">
      <c r="M8545" s="46">
        <v>0.4806204184597121</v>
      </c>
      <c r="N8545" s="46">
        <v>0</v>
      </c>
    </row>
    <row r="8546" spans="13:14" x14ac:dyDescent="0.35">
      <c r="M8546" s="46">
        <v>0.45761225701142605</v>
      </c>
      <c r="N8546" s="46">
        <v>0</v>
      </c>
    </row>
    <row r="8547" spans="13:14" x14ac:dyDescent="0.35">
      <c r="M8547" s="46">
        <v>0.43162346045407335</v>
      </c>
      <c r="N8547" s="46">
        <v>0</v>
      </c>
    </row>
    <row r="8548" spans="13:14" x14ac:dyDescent="0.35">
      <c r="M8548" s="46">
        <v>0.41242113073156256</v>
      </c>
      <c r="N8548" s="46">
        <v>0</v>
      </c>
    </row>
    <row r="8549" spans="13:14" x14ac:dyDescent="0.35">
      <c r="M8549" s="46">
        <v>0.39075671464608991</v>
      </c>
      <c r="N8549" s="46">
        <v>0</v>
      </c>
    </row>
    <row r="8550" spans="13:14" x14ac:dyDescent="0.35">
      <c r="M8550" s="46">
        <v>0.37375048226739871</v>
      </c>
      <c r="N8550" s="46">
        <v>0</v>
      </c>
    </row>
    <row r="8551" spans="13:14" x14ac:dyDescent="0.35">
      <c r="M8551" s="46">
        <v>0.36188566552901025</v>
      </c>
      <c r="N8551" s="46">
        <v>0</v>
      </c>
    </row>
    <row r="8552" spans="13:14" x14ac:dyDescent="0.35">
      <c r="M8552" s="46">
        <v>0.3538907107879507</v>
      </c>
      <c r="N8552" s="46">
        <v>0</v>
      </c>
    </row>
    <row r="8553" spans="13:14" x14ac:dyDescent="0.35">
      <c r="M8553" s="46">
        <v>0.34600482267398724</v>
      </c>
      <c r="N8553" s="46">
        <v>0</v>
      </c>
    </row>
    <row r="8554" spans="13:14" x14ac:dyDescent="0.35">
      <c r="M8554" s="46">
        <v>0.33961470544591188</v>
      </c>
      <c r="N8554" s="46">
        <v>0</v>
      </c>
    </row>
    <row r="8555" spans="13:14" x14ac:dyDescent="0.35">
      <c r="M8555" s="46">
        <v>0.39322243656328831</v>
      </c>
      <c r="N8555" s="46">
        <v>0</v>
      </c>
    </row>
    <row r="8556" spans="13:14" x14ac:dyDescent="0.35">
      <c r="M8556" s="46">
        <v>0.52931161893456002</v>
      </c>
      <c r="N8556" s="46">
        <v>0</v>
      </c>
    </row>
    <row r="8557" spans="13:14" x14ac:dyDescent="0.35">
      <c r="M8557" s="46">
        <v>0.65959088885591333</v>
      </c>
      <c r="N8557" s="46">
        <v>0</v>
      </c>
    </row>
    <row r="8558" spans="13:14" x14ac:dyDescent="0.35">
      <c r="M8558" s="46">
        <v>0.73985710046000885</v>
      </c>
      <c r="N8558" s="46">
        <v>0</v>
      </c>
    </row>
    <row r="8559" spans="13:14" x14ac:dyDescent="0.35">
      <c r="M8559" s="46">
        <v>0.75827222139783357</v>
      </c>
      <c r="N8559" s="46">
        <v>0</v>
      </c>
    </row>
    <row r="8560" spans="13:14" x14ac:dyDescent="0.35">
      <c r="M8560" s="46">
        <v>0.72789753672651725</v>
      </c>
      <c r="N8560" s="46">
        <v>0</v>
      </c>
    </row>
    <row r="8561" spans="13:14" x14ac:dyDescent="0.35">
      <c r="M8561" s="46">
        <v>0.66270158777266652</v>
      </c>
      <c r="N8561" s="46">
        <v>0</v>
      </c>
    </row>
    <row r="8562" spans="13:14" x14ac:dyDescent="0.35">
      <c r="M8562" s="46">
        <v>0.57812509274373058</v>
      </c>
      <c r="N8562" s="46">
        <v>0</v>
      </c>
    </row>
    <row r="8563" spans="13:14" x14ac:dyDescent="0.35">
      <c r="M8563" s="46">
        <v>0.48455052678438937</v>
      </c>
      <c r="N8563" s="46">
        <v>0</v>
      </c>
    </row>
    <row r="8564" spans="13:14" x14ac:dyDescent="0.35">
      <c r="M8564" s="46">
        <v>0.44552240688529454</v>
      </c>
      <c r="N8564" s="46">
        <v>0</v>
      </c>
    </row>
    <row r="8565" spans="13:14" x14ac:dyDescent="0.35">
      <c r="M8565" s="46">
        <v>0.46897848345451848</v>
      </c>
      <c r="N8565" s="46">
        <v>0</v>
      </c>
    </row>
    <row r="8566" spans="13:14" x14ac:dyDescent="0.35">
      <c r="M8566" s="46">
        <v>0.46319305534945837</v>
      </c>
      <c r="N8566" s="46">
        <v>0</v>
      </c>
    </row>
    <row r="8567" spans="13:14" x14ac:dyDescent="0.35">
      <c r="M8567" s="46">
        <v>0.4305708562101202</v>
      </c>
      <c r="N8567" s="46">
        <v>0</v>
      </c>
    </row>
    <row r="8568" spans="13:14" x14ac:dyDescent="0.35">
      <c r="M8568" s="46">
        <v>0.3806509125983083</v>
      </c>
      <c r="N8568" s="46">
        <v>0</v>
      </c>
    </row>
    <row r="8569" spans="13:14" x14ac:dyDescent="0.35">
      <c r="M8569" s="46">
        <v>0.3342274076272444</v>
      </c>
      <c r="N8569" s="46">
        <v>0</v>
      </c>
    </row>
    <row r="8570" spans="13:14" x14ac:dyDescent="0.35">
      <c r="M8570" s="46">
        <v>0.28535287134589699</v>
      </c>
      <c r="N8570" s="46">
        <v>0</v>
      </c>
    </row>
    <row r="8571" spans="13:14" x14ac:dyDescent="0.35">
      <c r="M8571" s="46">
        <v>0.24456165603205224</v>
      </c>
      <c r="N8571" s="46">
        <v>0</v>
      </c>
    </row>
    <row r="8572" spans="13:14" x14ac:dyDescent="0.35">
      <c r="M8572" s="46">
        <v>0.21979158628876688</v>
      </c>
      <c r="N8572" s="46">
        <v>0</v>
      </c>
    </row>
    <row r="8573" spans="13:14" x14ac:dyDescent="0.35">
      <c r="M8573" s="46">
        <v>0.20202329722510756</v>
      </c>
      <c r="N8573" s="46">
        <v>0</v>
      </c>
    </row>
    <row r="8574" spans="13:14" x14ac:dyDescent="0.35">
      <c r="M8574" s="46">
        <v>0.19427377949250632</v>
      </c>
      <c r="N8574" s="46">
        <v>0</v>
      </c>
    </row>
    <row r="8575" spans="13:14" x14ac:dyDescent="0.35">
      <c r="M8575" s="46">
        <v>0.19411581837067815</v>
      </c>
      <c r="N8575" s="46">
        <v>0</v>
      </c>
    </row>
    <row r="8576" spans="13:14" x14ac:dyDescent="0.35">
      <c r="M8576" s="46">
        <v>0.19968118415195132</v>
      </c>
      <c r="N8576" s="46">
        <v>0</v>
      </c>
    </row>
    <row r="8577" spans="13:14" x14ac:dyDescent="0.35">
      <c r="M8577" s="46">
        <v>0.20762205074936935</v>
      </c>
      <c r="N8577" s="46">
        <v>0</v>
      </c>
    </row>
    <row r="8578" spans="13:14" x14ac:dyDescent="0.35">
      <c r="M8578" s="46">
        <v>0.21209496958005639</v>
      </c>
      <c r="N8578" s="46">
        <v>0</v>
      </c>
    </row>
    <row r="8579" spans="13:14" x14ac:dyDescent="0.35">
      <c r="M8579" s="46">
        <v>0.27569238759459863</v>
      </c>
      <c r="N8579" s="46">
        <v>0</v>
      </c>
    </row>
    <row r="8580" spans="13:14" x14ac:dyDescent="0.35">
      <c r="M8580" s="46">
        <v>0.42566374833061282</v>
      </c>
      <c r="N8580" s="46">
        <v>0</v>
      </c>
    </row>
    <row r="8581" spans="13:14" x14ac:dyDescent="0.35">
      <c r="M8581" s="46">
        <v>0.55902863926398572</v>
      </c>
      <c r="N8581" s="46">
        <v>0</v>
      </c>
    </row>
    <row r="8582" spans="13:14" x14ac:dyDescent="0.35">
      <c r="M8582" s="46">
        <v>0.63290169164564469</v>
      </c>
      <c r="N8582" s="46">
        <v>0</v>
      </c>
    </row>
    <row r="8583" spans="13:14" x14ac:dyDescent="0.35">
      <c r="M8583" s="46">
        <v>0.6435181777711827</v>
      </c>
      <c r="N8583" s="46">
        <v>0</v>
      </c>
    </row>
    <row r="8584" spans="13:14" x14ac:dyDescent="0.35">
      <c r="M8584" s="46">
        <v>0.59729210565365776</v>
      </c>
      <c r="N8584" s="46">
        <v>0</v>
      </c>
    </row>
    <row r="8585" spans="13:14" x14ac:dyDescent="0.35">
      <c r="M8585" s="46">
        <v>0.51062613147351243</v>
      </c>
      <c r="N8585" s="46">
        <v>0</v>
      </c>
    </row>
    <row r="8586" spans="13:14" x14ac:dyDescent="0.35">
      <c r="M8586" s="46">
        <v>0.39293626650838404</v>
      </c>
      <c r="N8586" s="46">
        <v>0</v>
      </c>
    </row>
    <row r="8587" spans="13:14" x14ac:dyDescent="0.35">
      <c r="M8587" s="46">
        <v>0.27500771627837961</v>
      </c>
      <c r="N8587" s="46">
        <v>0</v>
      </c>
    </row>
    <row r="8588" spans="13:14" x14ac:dyDescent="0.35">
      <c r="M8588" s="46">
        <v>0.22701469060691498</v>
      </c>
      <c r="N8588" s="46">
        <v>0</v>
      </c>
    </row>
    <row r="8589" spans="13:14" x14ac:dyDescent="0.35">
      <c r="M8589" s="46">
        <v>0.25478579907998222</v>
      </c>
      <c r="N8589" s="46">
        <v>0</v>
      </c>
    </row>
    <row r="8590" spans="13:14" x14ac:dyDescent="0.35">
      <c r="M8590" s="46">
        <v>0.25616352574565959</v>
      </c>
      <c r="N8590" s="46">
        <v>0</v>
      </c>
    </row>
    <row r="8591" spans="13:14" x14ac:dyDescent="0.35">
      <c r="M8591" s="46">
        <v>0.24551943908591778</v>
      </c>
      <c r="N8591" s="46">
        <v>0</v>
      </c>
    </row>
    <row r="8592" spans="13:14" x14ac:dyDescent="0.35">
      <c r="M8592" s="46">
        <v>0.22047967057426918</v>
      </c>
      <c r="N8592" s="46">
        <v>0</v>
      </c>
    </row>
    <row r="8593" spans="13:14" x14ac:dyDescent="0.35">
      <c r="M8593" s="46">
        <v>0.19557545629915418</v>
      </c>
      <c r="N8593" s="46">
        <v>0</v>
      </c>
    </row>
    <row r="8594" spans="13:14" x14ac:dyDescent="0.35">
      <c r="M8594" s="46">
        <v>0.17742780828016025</v>
      </c>
      <c r="N8594" s="46">
        <v>0</v>
      </c>
    </row>
    <row r="8595" spans="13:14" x14ac:dyDescent="0.35">
      <c r="M8595" s="46">
        <v>0.16065951921650098</v>
      </c>
      <c r="N8595" s="46">
        <v>0</v>
      </c>
    </row>
    <row r="8596" spans="13:14" x14ac:dyDescent="0.35">
      <c r="M8596" s="46">
        <v>0.14763622199139337</v>
      </c>
      <c r="N8596" s="46">
        <v>0</v>
      </c>
    </row>
    <row r="8597" spans="13:14" x14ac:dyDescent="0.35">
      <c r="M8597" s="46">
        <v>0.13512078943463421</v>
      </c>
      <c r="N8597" s="46">
        <v>0</v>
      </c>
    </row>
    <row r="8598" spans="13:14" x14ac:dyDescent="0.35">
      <c r="M8598" s="46">
        <v>0.12674091111440866</v>
      </c>
      <c r="N8598" s="46">
        <v>0</v>
      </c>
    </row>
    <row r="8599" spans="13:14" x14ac:dyDescent="0.35">
      <c r="M8599" s="46">
        <v>0.12108510164712864</v>
      </c>
      <c r="N8599" s="46">
        <v>0</v>
      </c>
    </row>
    <row r="8600" spans="13:14" x14ac:dyDescent="0.35">
      <c r="M8600" s="46">
        <v>0.11903813622199139</v>
      </c>
      <c r="N8600" s="46">
        <v>0</v>
      </c>
    </row>
    <row r="8601" spans="13:14" x14ac:dyDescent="0.35">
      <c r="M8601" s="46">
        <v>0.11876977296334768</v>
      </c>
      <c r="N8601" s="46">
        <v>0</v>
      </c>
    </row>
    <row r="8602" spans="13:14" x14ac:dyDescent="0.35">
      <c r="M8602" s="46">
        <v>0.12030286392639858</v>
      </c>
      <c r="N8602" s="46">
        <v>0</v>
      </c>
    </row>
    <row r="8603" spans="13:14" x14ac:dyDescent="0.35">
      <c r="M8603" s="46">
        <v>0.17646549933224515</v>
      </c>
      <c r="N8603" s="46">
        <v>0</v>
      </c>
    </row>
    <row r="8604" spans="13:14" x14ac:dyDescent="0.35">
      <c r="M8604" s="46">
        <v>0.32089620121679774</v>
      </c>
      <c r="N8604" s="46">
        <v>0</v>
      </c>
    </row>
    <row r="8605" spans="13:14" x14ac:dyDescent="0.35">
      <c r="M8605" s="46">
        <v>0.45471382994509568</v>
      </c>
      <c r="N8605" s="46">
        <v>0</v>
      </c>
    </row>
    <row r="8606" spans="13:14" x14ac:dyDescent="0.35">
      <c r="M8606" s="46">
        <v>0.5411410446653806</v>
      </c>
      <c r="N8606" s="46">
        <v>0</v>
      </c>
    </row>
    <row r="8607" spans="13:14" x14ac:dyDescent="0.35">
      <c r="M8607" s="46">
        <v>0.56566938714942872</v>
      </c>
      <c r="N8607" s="46">
        <v>0</v>
      </c>
    </row>
    <row r="8608" spans="13:14" x14ac:dyDescent="0.35">
      <c r="M8608" s="46">
        <v>0.52874217242914379</v>
      </c>
      <c r="N8608" s="46">
        <v>0</v>
      </c>
    </row>
    <row r="8609" spans="13:14" x14ac:dyDescent="0.35">
      <c r="M8609" s="46">
        <v>0.44035583914527376</v>
      </c>
      <c r="N8609" s="46">
        <v>0</v>
      </c>
    </row>
    <row r="8610" spans="13:14" x14ac:dyDescent="0.35">
      <c r="M8610" s="46">
        <v>0.31013295741207891</v>
      </c>
      <c r="N8610" s="46">
        <v>0</v>
      </c>
    </row>
    <row r="8611" spans="13:14" x14ac:dyDescent="0.35">
      <c r="M8611" s="46">
        <v>0.16025345006677549</v>
      </c>
      <c r="N8611" s="46">
        <v>0</v>
      </c>
    </row>
    <row r="8612" spans="13:14" x14ac:dyDescent="0.35">
      <c r="M8612" s="46">
        <v>7.6931369639412384E-2</v>
      </c>
      <c r="N8612" s="46">
        <v>0</v>
      </c>
    </row>
    <row r="8613" spans="13:14" x14ac:dyDescent="0.35">
      <c r="M8613" s="46">
        <v>7.4806944650541621E-2</v>
      </c>
      <c r="N8613" s="46">
        <v>0</v>
      </c>
    </row>
    <row r="8614" spans="13:14" x14ac:dyDescent="0.35">
      <c r="M8614" s="46">
        <v>7.4143047929959932E-2</v>
      </c>
      <c r="N8614" s="46">
        <v>0</v>
      </c>
    </row>
    <row r="8615" spans="13:14" x14ac:dyDescent="0.35">
      <c r="M8615" s="46">
        <v>7.3231043181480937E-2</v>
      </c>
      <c r="N8615" s="46">
        <v>0</v>
      </c>
    </row>
    <row r="8616" spans="13:14" x14ac:dyDescent="0.35">
      <c r="M8616" s="46">
        <v>6.6427066330316073E-2</v>
      </c>
      <c r="N8616" s="46">
        <v>0</v>
      </c>
    </row>
    <row r="8617" spans="13:14" x14ac:dyDescent="0.35">
      <c r="M8617" s="46">
        <v>6.0530494138596236E-2</v>
      </c>
      <c r="N8617" s="46">
        <v>0</v>
      </c>
    </row>
    <row r="8618" spans="13:14" x14ac:dyDescent="0.35">
      <c r="M8618" s="46">
        <v>5.6885071969134886E-2</v>
      </c>
      <c r="N8618" s="46">
        <v>0</v>
      </c>
    </row>
    <row r="8619" spans="13:14" x14ac:dyDescent="0.35">
      <c r="M8619" s="46">
        <v>5.7345526042439532E-2</v>
      </c>
      <c r="N8619" s="46">
        <v>0</v>
      </c>
    </row>
    <row r="8620" spans="13:14" x14ac:dyDescent="0.35">
      <c r="M8620" s="46">
        <v>5.8683261611515061E-2</v>
      </c>
      <c r="N8620" s="46">
        <v>0</v>
      </c>
    </row>
    <row r="8621" spans="13:14" x14ac:dyDescent="0.35">
      <c r="M8621" s="46">
        <v>5.7737720730078643E-2</v>
      </c>
      <c r="N8621" s="46">
        <v>0</v>
      </c>
    </row>
    <row r="8622" spans="13:14" x14ac:dyDescent="0.35">
      <c r="M8622" s="46">
        <v>5.8523668200029681E-2</v>
      </c>
      <c r="N8622" s="46">
        <v>0</v>
      </c>
    </row>
    <row r="8623" spans="13:14" x14ac:dyDescent="0.35">
      <c r="M8623" s="46">
        <v>5.8320596527674726E-2</v>
      </c>
      <c r="N8623" s="46">
        <v>0</v>
      </c>
    </row>
    <row r="8624" spans="13:14" x14ac:dyDescent="0.35">
      <c r="M8624" s="46">
        <v>5.9713384775189199E-2</v>
      </c>
      <c r="N8624" s="46">
        <v>0</v>
      </c>
    </row>
    <row r="8625" spans="13:14" x14ac:dyDescent="0.35">
      <c r="M8625" s="46">
        <v>6.4358510164712862E-2</v>
      </c>
      <c r="N8625" s="46">
        <v>0</v>
      </c>
    </row>
    <row r="8626" spans="13:14" x14ac:dyDescent="0.35">
      <c r="M8626" s="46">
        <v>6.8697284463570263E-2</v>
      </c>
      <c r="N8626" s="46">
        <v>0</v>
      </c>
    </row>
    <row r="8627" spans="13:14" x14ac:dyDescent="0.35">
      <c r="M8627" s="46">
        <v>0.1025443686006826</v>
      </c>
      <c r="N8627" s="46">
        <v>0</v>
      </c>
    </row>
    <row r="8628" spans="13:14" x14ac:dyDescent="0.35">
      <c r="M8628" s="46">
        <v>0.19517673245288619</v>
      </c>
      <c r="N8628" s="46">
        <v>0</v>
      </c>
    </row>
    <row r="8629" spans="13:14" x14ac:dyDescent="0.35">
      <c r="M8629" s="46">
        <v>0.28528208933076127</v>
      </c>
      <c r="N8629" s="46">
        <v>0</v>
      </c>
    </row>
    <row r="8630" spans="13:14" x14ac:dyDescent="0.35">
      <c r="M8630" s="46">
        <v>0.34870054904288472</v>
      </c>
      <c r="N8630" s="46">
        <v>0</v>
      </c>
    </row>
    <row r="8631" spans="13:14" x14ac:dyDescent="0.35">
      <c r="M8631" s="46">
        <v>0.37183595488944943</v>
      </c>
      <c r="N8631" s="46">
        <v>0</v>
      </c>
    </row>
    <row r="8632" spans="13:14" x14ac:dyDescent="0.35">
      <c r="M8632" s="46">
        <v>0.3531946876391156</v>
      </c>
      <c r="N8632" s="46">
        <v>0</v>
      </c>
    </row>
    <row r="8633" spans="13:14" x14ac:dyDescent="0.35">
      <c r="M8633" s="46">
        <v>0.29411307315625462</v>
      </c>
      <c r="N8633" s="46">
        <v>0</v>
      </c>
    </row>
    <row r="8634" spans="13:14" x14ac:dyDescent="0.35">
      <c r="M8634" s="46">
        <v>0.21551350348716425</v>
      </c>
      <c r="N8634" s="46">
        <v>0</v>
      </c>
    </row>
    <row r="8635" spans="13:14" x14ac:dyDescent="0.35">
      <c r="M8635" s="46">
        <v>0.13996416382252558</v>
      </c>
      <c r="N8635" s="46">
        <v>0</v>
      </c>
    </row>
    <row r="8636" spans="13:14" x14ac:dyDescent="0.35">
      <c r="M8636" s="46">
        <v>0.11106633031607063</v>
      </c>
      <c r="N8636" s="46">
        <v>0</v>
      </c>
    </row>
    <row r="8637" spans="13:14" x14ac:dyDescent="0.35">
      <c r="M8637" s="46">
        <v>0.14278290547558986</v>
      </c>
      <c r="N8637" s="46">
        <v>0</v>
      </c>
    </row>
    <row r="8638" spans="13:14" x14ac:dyDescent="0.35">
      <c r="M8638" s="46">
        <v>0.18157293366968391</v>
      </c>
      <c r="N8638" s="46">
        <v>0</v>
      </c>
    </row>
    <row r="8639" spans="13:14" x14ac:dyDescent="0.35">
      <c r="M8639" s="46">
        <v>0.22519758124350794</v>
      </c>
      <c r="N8639" s="46">
        <v>0</v>
      </c>
    </row>
    <row r="8640" spans="13:14" x14ac:dyDescent="0.35">
      <c r="M8640" s="46">
        <v>0.26059125983083542</v>
      </c>
      <c r="N8640" s="46">
        <v>0</v>
      </c>
    </row>
    <row r="8641" spans="13:14" x14ac:dyDescent="0.35">
      <c r="M8641" s="46">
        <v>0.2935961566998071</v>
      </c>
      <c r="N8641" s="46">
        <v>0</v>
      </c>
    </row>
    <row r="8642" spans="13:14" x14ac:dyDescent="0.35">
      <c r="M8642" s="46">
        <v>0.32023223030123166</v>
      </c>
      <c r="N8642" s="46">
        <v>0</v>
      </c>
    </row>
    <row r="8643" spans="13:14" x14ac:dyDescent="0.35">
      <c r="M8643" s="46">
        <v>0.34140733046446065</v>
      </c>
      <c r="N8643" s="46">
        <v>0</v>
      </c>
    </row>
    <row r="8644" spans="13:14" x14ac:dyDescent="0.35">
      <c r="M8644" s="46">
        <v>0.34891593708265323</v>
      </c>
      <c r="N8644" s="46">
        <v>0</v>
      </c>
    </row>
    <row r="8645" spans="13:14" x14ac:dyDescent="0.35">
      <c r="M8645" s="46">
        <v>0.35953420388781715</v>
      </c>
      <c r="N8645" s="46">
        <v>0</v>
      </c>
    </row>
    <row r="8646" spans="13:14" x14ac:dyDescent="0.35">
      <c r="M8646" s="46">
        <v>0.37713466389672057</v>
      </c>
      <c r="N8646" s="46">
        <v>0</v>
      </c>
    </row>
    <row r="8647" spans="13:14" x14ac:dyDescent="0.35">
      <c r="M8647" s="46">
        <v>0.38349020626205665</v>
      </c>
      <c r="N8647" s="46">
        <v>0</v>
      </c>
    </row>
    <row r="8648" spans="13:14" x14ac:dyDescent="0.35">
      <c r="M8648" s="46">
        <v>0.39604332987090074</v>
      </c>
      <c r="N8648" s="46">
        <v>0</v>
      </c>
    </row>
    <row r="8649" spans="13:14" x14ac:dyDescent="0.35">
      <c r="M8649" s="46">
        <v>0.40734723252708116</v>
      </c>
      <c r="N8649" s="46">
        <v>0</v>
      </c>
    </row>
    <row r="8650" spans="13:14" x14ac:dyDescent="0.35">
      <c r="M8650" s="46">
        <v>0.42214497699955483</v>
      </c>
      <c r="N8650" s="46">
        <v>0</v>
      </c>
    </row>
    <row r="8651" spans="13:14" x14ac:dyDescent="0.35">
      <c r="M8651" s="46">
        <v>0.48066100311618937</v>
      </c>
      <c r="N8651" s="46">
        <v>0</v>
      </c>
    </row>
    <row r="8652" spans="13:14" x14ac:dyDescent="0.35">
      <c r="M8652" s="46">
        <v>0.61293359548894499</v>
      </c>
      <c r="N8652" s="46">
        <v>0</v>
      </c>
    </row>
    <row r="8653" spans="13:14" x14ac:dyDescent="0.35">
      <c r="M8653" s="46">
        <v>0.7631792550823564</v>
      </c>
      <c r="N8653" s="46">
        <v>0</v>
      </c>
    </row>
    <row r="8654" spans="13:14" x14ac:dyDescent="0.35">
      <c r="M8654" s="46">
        <v>0.85934233565810958</v>
      </c>
      <c r="N8654" s="46">
        <v>0</v>
      </c>
    </row>
    <row r="8655" spans="13:14" x14ac:dyDescent="0.35">
      <c r="M8655" s="46">
        <v>0.89485413266063207</v>
      </c>
      <c r="N8655" s="46">
        <v>0</v>
      </c>
    </row>
    <row r="8656" spans="13:14" x14ac:dyDescent="0.35">
      <c r="M8656" s="46">
        <v>0.88401261314735124</v>
      </c>
      <c r="N8656" s="46">
        <v>0</v>
      </c>
    </row>
    <row r="8657" spans="13:14" x14ac:dyDescent="0.35">
      <c r="M8657" s="46">
        <v>0.85992513726072117</v>
      </c>
      <c r="N8657" s="46">
        <v>0</v>
      </c>
    </row>
    <row r="8658" spans="13:14" x14ac:dyDescent="0.35">
      <c r="M8658" s="46">
        <v>0.79885309393085024</v>
      </c>
      <c r="N8658" s="46">
        <v>0</v>
      </c>
    </row>
    <row r="8659" spans="13:14" x14ac:dyDescent="0.35">
      <c r="M8659" s="46">
        <v>0.73213058317257762</v>
      </c>
      <c r="N8659" s="46">
        <v>0</v>
      </c>
    </row>
    <row r="8660" spans="13:14" x14ac:dyDescent="0.35">
      <c r="M8660" s="46">
        <v>0.68577177622792707</v>
      </c>
      <c r="N8660" s="46">
        <v>0</v>
      </c>
    </row>
    <row r="8661" spans="13:14" x14ac:dyDescent="0.35">
      <c r="M8661" s="46">
        <v>0.68704778156996593</v>
      </c>
      <c r="N8661" s="46">
        <v>0</v>
      </c>
    </row>
    <row r="8662" spans="13:14" x14ac:dyDescent="0.35">
      <c r="M8662" s="46">
        <v>0.68615284166790336</v>
      </c>
      <c r="N8662" s="46">
        <v>0</v>
      </c>
    </row>
    <row r="8663" spans="13:14" x14ac:dyDescent="0.35">
      <c r="M8663" s="46">
        <v>0.6863795073453034</v>
      </c>
      <c r="N8663" s="46">
        <v>0</v>
      </c>
    </row>
    <row r="8664" spans="13:14" x14ac:dyDescent="0.35">
      <c r="M8664" s="46">
        <v>0.68734715833209681</v>
      </c>
      <c r="N8664" s="46">
        <v>0</v>
      </c>
    </row>
    <row r="8665" spans="13:14" x14ac:dyDescent="0.35">
      <c r="M8665" s="46">
        <v>0.68965974180145428</v>
      </c>
      <c r="N8665" s="46">
        <v>0</v>
      </c>
    </row>
    <row r="8666" spans="13:14" x14ac:dyDescent="0.35">
      <c r="M8666" s="46">
        <v>0.69113377355690764</v>
      </c>
      <c r="N8666" s="46">
        <v>0</v>
      </c>
    </row>
    <row r="8667" spans="13:14" x14ac:dyDescent="0.35">
      <c r="M8667" s="46">
        <v>0.69126235346490583</v>
      </c>
      <c r="N8667" s="46">
        <v>0</v>
      </c>
    </row>
    <row r="8668" spans="13:14" x14ac:dyDescent="0.35">
      <c r="M8668" s="46">
        <v>0.68836644902804567</v>
      </c>
      <c r="N8668" s="46">
        <v>0</v>
      </c>
    </row>
    <row r="8669" spans="13:14" x14ac:dyDescent="0.35">
      <c r="M8669" s="46">
        <v>0.68606388188158485</v>
      </c>
      <c r="N8669" s="46">
        <v>0</v>
      </c>
    </row>
    <row r="8670" spans="13:14" x14ac:dyDescent="0.35">
      <c r="M8670" s="46">
        <v>0.68520373942721469</v>
      </c>
      <c r="N8670" s="46">
        <v>0</v>
      </c>
    </row>
    <row r="8671" spans="13:14" x14ac:dyDescent="0.35">
      <c r="M8671" s="46">
        <v>0.67964193500519365</v>
      </c>
      <c r="N8671" s="46">
        <v>0</v>
      </c>
    </row>
    <row r="8672" spans="13:14" x14ac:dyDescent="0.35">
      <c r="M8672" s="46">
        <v>0.67984359697284469</v>
      </c>
      <c r="N8672" s="46">
        <v>0</v>
      </c>
    </row>
    <row r="8673" spans="13:14" x14ac:dyDescent="0.35">
      <c r="M8673" s="46">
        <v>0.67564141564030267</v>
      </c>
      <c r="N8673" s="46">
        <v>0</v>
      </c>
    </row>
    <row r="8674" spans="13:14" x14ac:dyDescent="0.35">
      <c r="M8674" s="46">
        <v>0.67530605431072854</v>
      </c>
      <c r="N8674" s="46">
        <v>0</v>
      </c>
    </row>
    <row r="8675" spans="13:14" x14ac:dyDescent="0.35">
      <c r="M8675" s="46">
        <v>0.71018852945540889</v>
      </c>
      <c r="N8675" s="46">
        <v>0</v>
      </c>
    </row>
    <row r="8676" spans="13:14" x14ac:dyDescent="0.35">
      <c r="M8676" s="46">
        <v>0.81863451550675181</v>
      </c>
      <c r="N8676" s="46">
        <v>0</v>
      </c>
    </row>
    <row r="8677" spans="13:14" x14ac:dyDescent="0.35">
      <c r="M8677" s="46">
        <v>0.93188922688826237</v>
      </c>
      <c r="N8677" s="46">
        <v>0</v>
      </c>
    </row>
    <row r="8678" spans="13:14" x14ac:dyDescent="0.35">
      <c r="M8678" s="46">
        <v>0.98744925063065736</v>
      </c>
      <c r="N8678" s="46">
        <v>0</v>
      </c>
    </row>
    <row r="8679" spans="13:14" x14ac:dyDescent="0.35">
      <c r="M8679" s="46">
        <v>0.98791504674284025</v>
      </c>
      <c r="N8679" s="46">
        <v>0</v>
      </c>
    </row>
    <row r="8680" spans="13:14" x14ac:dyDescent="0.35">
      <c r="M8680" s="46">
        <v>0.94226005342038888</v>
      </c>
      <c r="N8680" s="46">
        <v>0</v>
      </c>
    </row>
    <row r="8681" spans="13:14" x14ac:dyDescent="0.35">
      <c r="M8681" s="46">
        <v>0.90065491912746698</v>
      </c>
      <c r="N8681" s="46">
        <v>0</v>
      </c>
    </row>
    <row r="8682" spans="13:14" x14ac:dyDescent="0.35">
      <c r="M8682" s="46">
        <v>0.82659170500074197</v>
      </c>
      <c r="N8682" s="46">
        <v>0</v>
      </c>
    </row>
    <row r="8683" spans="13:14" x14ac:dyDescent="0.35">
      <c r="M8683" s="46">
        <v>0.73383810654399761</v>
      </c>
      <c r="N8683" s="46">
        <v>0</v>
      </c>
    </row>
    <row r="8684" spans="13:14" x14ac:dyDescent="0.35">
      <c r="M8684" s="46">
        <v>0.66017205816886781</v>
      </c>
      <c r="N8684" s="46">
        <v>0</v>
      </c>
    </row>
    <row r="8685" spans="13:14" x14ac:dyDescent="0.35">
      <c r="M8685" s="46">
        <v>0.66002418756492065</v>
      </c>
      <c r="N8685" s="46">
        <v>0</v>
      </c>
    </row>
    <row r="8686" spans="13:14" x14ac:dyDescent="0.35">
      <c r="M8686" s="46">
        <v>0.66213703813622193</v>
      </c>
      <c r="N8686" s="46">
        <v>0</v>
      </c>
    </row>
    <row r="8687" spans="13:14" x14ac:dyDescent="0.35">
      <c r="M8687" s="46">
        <v>0.66172525597269627</v>
      </c>
      <c r="N8687" s="46">
        <v>0</v>
      </c>
    </row>
    <row r="8688" spans="13:14" x14ac:dyDescent="0.35">
      <c r="M8688" s="46">
        <v>0.65969409407924029</v>
      </c>
      <c r="N8688" s="46">
        <v>0</v>
      </c>
    </row>
    <row r="8689" spans="13:14" x14ac:dyDescent="0.35">
      <c r="M8689" s="46">
        <v>0.65604741059504379</v>
      </c>
      <c r="N8689" s="46">
        <v>0</v>
      </c>
    </row>
    <row r="8690" spans="13:14" x14ac:dyDescent="0.35">
      <c r="M8690" s="46">
        <v>0.65266820002967796</v>
      </c>
      <c r="N8690" s="46">
        <v>0</v>
      </c>
    </row>
    <row r="8691" spans="13:14" x14ac:dyDescent="0.35">
      <c r="M8691" s="46">
        <v>0.64906699807093038</v>
      </c>
      <c r="N8691" s="46">
        <v>0</v>
      </c>
    </row>
    <row r="8692" spans="13:14" x14ac:dyDescent="0.35">
      <c r="M8692" s="46">
        <v>0.64553806202700692</v>
      </c>
      <c r="N8692" s="46">
        <v>0</v>
      </c>
    </row>
    <row r="8693" spans="13:14" x14ac:dyDescent="0.35">
      <c r="M8693" s="46">
        <v>0.63962027006974331</v>
      </c>
      <c r="N8693" s="46">
        <v>0</v>
      </c>
    </row>
    <row r="8694" spans="13:14" x14ac:dyDescent="0.35">
      <c r="M8694" s="46">
        <v>0.63945756046891233</v>
      </c>
      <c r="N8694" s="46">
        <v>0</v>
      </c>
    </row>
    <row r="8695" spans="13:14" x14ac:dyDescent="0.35">
      <c r="M8695" s="46">
        <v>0.64135739723994656</v>
      </c>
      <c r="N8695" s="46">
        <v>0</v>
      </c>
    </row>
    <row r="8696" spans="13:14" x14ac:dyDescent="0.35">
      <c r="M8696" s="46">
        <v>0.64084923579166053</v>
      </c>
      <c r="N8696" s="46">
        <v>0</v>
      </c>
    </row>
    <row r="8697" spans="13:14" x14ac:dyDescent="0.35">
      <c r="M8697" s="46">
        <v>0.64019721026858578</v>
      </c>
      <c r="N8697" s="46">
        <v>0</v>
      </c>
    </row>
    <row r="8698" spans="13:14" x14ac:dyDescent="0.35">
      <c r="M8698" s="46">
        <v>0.64036221991393383</v>
      </c>
      <c r="N8698" s="46">
        <v>0</v>
      </c>
    </row>
    <row r="8699" spans="13:14" x14ac:dyDescent="0.35">
      <c r="M8699" s="46">
        <v>0.69389442053717165</v>
      </c>
      <c r="N8699" s="46">
        <v>0</v>
      </c>
    </row>
    <row r="8700" spans="13:14" x14ac:dyDescent="0.35">
      <c r="M8700" s="46">
        <v>0.83861878617005492</v>
      </c>
      <c r="N8700" s="46">
        <v>0</v>
      </c>
    </row>
    <row r="8701" spans="13:14" x14ac:dyDescent="0.35">
      <c r="M8701" s="46">
        <v>0.98231577385368751</v>
      </c>
      <c r="N8701" s="46">
        <v>0</v>
      </c>
    </row>
    <row r="8702" spans="13:14" x14ac:dyDescent="0.35">
      <c r="M8702" s="46">
        <v>1</v>
      </c>
      <c r="N8702" s="46">
        <v>0.10686708513879603</v>
      </c>
    </row>
    <row r="8703" spans="13:14" x14ac:dyDescent="0.35">
      <c r="M8703" s="46">
        <v>1</v>
      </c>
      <c r="N8703" s="46">
        <v>0.15347708301668053</v>
      </c>
    </row>
    <row r="8704" spans="13:14" x14ac:dyDescent="0.35">
      <c r="M8704" s="46">
        <v>1</v>
      </c>
      <c r="N8704" s="46">
        <v>0.11114872765791897</v>
      </c>
    </row>
    <row r="8705" spans="13:14" x14ac:dyDescent="0.35">
      <c r="M8705" s="46">
        <v>0.99542513726072124</v>
      </c>
      <c r="N8705" s="46">
        <v>0</v>
      </c>
    </row>
    <row r="8706" spans="13:14" x14ac:dyDescent="0.35">
      <c r="M8706" s="46">
        <v>0.86853138447840927</v>
      </c>
      <c r="N8706" s="46">
        <v>0</v>
      </c>
    </row>
    <row r="8707" spans="13:14" x14ac:dyDescent="0.35">
      <c r="M8707" s="46">
        <v>0.72523282386110699</v>
      </c>
      <c r="N8707" s="46">
        <v>0</v>
      </c>
    </row>
    <row r="8708" spans="13:14" x14ac:dyDescent="0.35">
      <c r="M8708" s="46">
        <v>0.63926702774892408</v>
      </c>
      <c r="N8708" s="46">
        <v>0</v>
      </c>
    </row>
    <row r="8709" spans="13:14" x14ac:dyDescent="0.35">
      <c r="M8709" s="46">
        <v>0.63693975367265177</v>
      </c>
      <c r="N8709" s="46">
        <v>0</v>
      </c>
    </row>
    <row r="8710" spans="13:14" x14ac:dyDescent="0.35">
      <c r="M8710" s="46">
        <v>0.63135257456595939</v>
      </c>
      <c r="N8710" s="46">
        <v>0</v>
      </c>
    </row>
    <row r="8711" spans="13:14" x14ac:dyDescent="0.35">
      <c r="M8711" s="46">
        <v>0.61819120047484788</v>
      </c>
      <c r="N8711" s="46">
        <v>0</v>
      </c>
    </row>
    <row r="8712" spans="13:14" x14ac:dyDescent="0.35">
      <c r="M8712" s="46">
        <v>0.58256744324083687</v>
      </c>
      <c r="N8712" s="46">
        <v>0</v>
      </c>
    </row>
    <row r="8713" spans="13:14" x14ac:dyDescent="0.35">
      <c r="M8713" s="46">
        <v>0.54139197210268586</v>
      </c>
      <c r="N8713" s="46">
        <v>0</v>
      </c>
    </row>
    <row r="8714" spans="13:14" x14ac:dyDescent="0.35">
      <c r="M8714" s="46">
        <v>0.49122362368303907</v>
      </c>
      <c r="N8714" s="46">
        <v>0</v>
      </c>
    </row>
    <row r="8715" spans="13:14" x14ac:dyDescent="0.35">
      <c r="M8715" s="46">
        <v>0.44862828312806052</v>
      </c>
      <c r="N8715" s="46">
        <v>0</v>
      </c>
    </row>
    <row r="8716" spans="13:14" x14ac:dyDescent="0.35">
      <c r="M8716" s="46">
        <v>0.40196245733788394</v>
      </c>
      <c r="N8716" s="46">
        <v>0</v>
      </c>
    </row>
    <row r="8717" spans="13:14" x14ac:dyDescent="0.35">
      <c r="M8717" s="46">
        <v>0.35454102982638375</v>
      </c>
      <c r="N8717" s="46">
        <v>0</v>
      </c>
    </row>
    <row r="8718" spans="13:14" x14ac:dyDescent="0.35">
      <c r="M8718" s="46">
        <v>0.32389442053717166</v>
      </c>
      <c r="N8718" s="46">
        <v>0</v>
      </c>
    </row>
    <row r="8719" spans="13:14" x14ac:dyDescent="0.35">
      <c r="M8719" s="46">
        <v>0.29131703516842261</v>
      </c>
      <c r="N8719" s="46">
        <v>0</v>
      </c>
    </row>
    <row r="8720" spans="13:14" x14ac:dyDescent="0.35">
      <c r="M8720" s="46">
        <v>0.26063941237572341</v>
      </c>
      <c r="N8720" s="46">
        <v>0</v>
      </c>
    </row>
    <row r="8721" spans="13:14" x14ac:dyDescent="0.35">
      <c r="M8721" s="46">
        <v>0.22253435227778604</v>
      </c>
      <c r="N8721" s="46">
        <v>0</v>
      </c>
    </row>
    <row r="8722" spans="13:14" x14ac:dyDescent="0.35">
      <c r="M8722" s="46">
        <v>0.19509333729039915</v>
      </c>
      <c r="N8722" s="46">
        <v>0</v>
      </c>
    </row>
    <row r="8723" spans="13:14" x14ac:dyDescent="0.35">
      <c r="M8723" s="46">
        <v>0.21878765395459268</v>
      </c>
      <c r="N8723" s="46">
        <v>0</v>
      </c>
    </row>
    <row r="8724" spans="13:14" x14ac:dyDescent="0.35">
      <c r="M8724" s="46">
        <v>0.32225834693574718</v>
      </c>
      <c r="N8724" s="46">
        <v>0</v>
      </c>
    </row>
    <row r="8725" spans="13:14" x14ac:dyDescent="0.35">
      <c r="M8725" s="46">
        <v>0.43726190829499928</v>
      </c>
      <c r="N8725" s="46">
        <v>0</v>
      </c>
    </row>
    <row r="8726" spans="13:14" x14ac:dyDescent="0.35">
      <c r="M8726" s="46">
        <v>0.51205149131918681</v>
      </c>
      <c r="N8726" s="46">
        <v>0</v>
      </c>
    </row>
    <row r="8727" spans="13:14" x14ac:dyDescent="0.35">
      <c r="M8727" s="46">
        <v>0.53638959786318441</v>
      </c>
      <c r="N8727" s="46">
        <v>0</v>
      </c>
    </row>
    <row r="8728" spans="13:14" x14ac:dyDescent="0.35">
      <c r="M8728" s="46">
        <v>0.50191890488202995</v>
      </c>
      <c r="N8728" s="46">
        <v>0</v>
      </c>
    </row>
    <row r="8729" spans="13:14" x14ac:dyDescent="0.35">
      <c r="M8729" s="46">
        <v>0.43017027748924175</v>
      </c>
      <c r="N8729" s="46">
        <v>0</v>
      </c>
    </row>
    <row r="8730" spans="13:14" x14ac:dyDescent="0.35">
      <c r="M8730" s="46">
        <v>0.32339167532274815</v>
      </c>
      <c r="N8730" s="46">
        <v>0</v>
      </c>
    </row>
    <row r="8731" spans="13:14" x14ac:dyDescent="0.35">
      <c r="M8731" s="46">
        <v>0.19863288321709452</v>
      </c>
      <c r="N8731" s="46">
        <v>0</v>
      </c>
    </row>
    <row r="8732" spans="13:14" x14ac:dyDescent="0.35">
      <c r="M8732" s="46">
        <v>0.13020678142157591</v>
      </c>
      <c r="N8732" s="46">
        <v>0</v>
      </c>
    </row>
    <row r="8733" spans="13:14" x14ac:dyDescent="0.35">
      <c r="M8733" s="46">
        <v>0.14635739723994659</v>
      </c>
      <c r="N8733" s="46">
        <v>0</v>
      </c>
    </row>
    <row r="8734" spans="13:14" x14ac:dyDescent="0.35">
      <c r="M8734" s="46">
        <v>0.15542105653657812</v>
      </c>
      <c r="N8734" s="46">
        <v>0</v>
      </c>
    </row>
    <row r="8735" spans="13:14" x14ac:dyDescent="0.35">
      <c r="M8735" s="46">
        <v>0.15209712123460456</v>
      </c>
      <c r="N8735" s="46">
        <v>0</v>
      </c>
    </row>
    <row r="8736" spans="13:14" x14ac:dyDescent="0.35">
      <c r="M8736" s="46">
        <v>0.13487297818667457</v>
      </c>
      <c r="N8736" s="46">
        <v>0</v>
      </c>
    </row>
    <row r="8737" spans="13:14" x14ac:dyDescent="0.35">
      <c r="M8737" s="46">
        <v>0.12241289508829203</v>
      </c>
      <c r="N8737" s="46">
        <v>0</v>
      </c>
    </row>
    <row r="8738" spans="13:14" x14ac:dyDescent="0.35">
      <c r="M8738" s="46">
        <v>0.10925196616708711</v>
      </c>
      <c r="N8738" s="46">
        <v>0</v>
      </c>
    </row>
    <row r="8739" spans="13:14" x14ac:dyDescent="0.35">
      <c r="M8739" s="46">
        <v>9.9257234010980855E-2</v>
      </c>
      <c r="N8739" s="46">
        <v>0</v>
      </c>
    </row>
    <row r="8740" spans="13:14" x14ac:dyDescent="0.35">
      <c r="M8740" s="46">
        <v>8.9534278082801594E-2</v>
      </c>
      <c r="N8740" s="46">
        <v>0</v>
      </c>
    </row>
    <row r="8741" spans="13:14" x14ac:dyDescent="0.35">
      <c r="M8741" s="46">
        <v>8.2110698916753239E-2</v>
      </c>
      <c r="N8741" s="46">
        <v>0</v>
      </c>
    </row>
    <row r="8742" spans="13:14" x14ac:dyDescent="0.35">
      <c r="M8742" s="46">
        <v>7.7831354800415489E-2</v>
      </c>
      <c r="N8742" s="46">
        <v>0</v>
      </c>
    </row>
    <row r="8743" spans="13:14" x14ac:dyDescent="0.35">
      <c r="M8743" s="46">
        <v>7.284634218726814E-2</v>
      </c>
      <c r="N8743" s="46">
        <v>0</v>
      </c>
    </row>
    <row r="8744" spans="13:14" x14ac:dyDescent="0.35">
      <c r="M8744" s="46">
        <v>7.6437972993025668E-2</v>
      </c>
      <c r="N8744" s="46">
        <v>0</v>
      </c>
    </row>
    <row r="8745" spans="13:14" x14ac:dyDescent="0.35">
      <c r="M8745" s="46">
        <v>7.4921204926546969E-2</v>
      </c>
      <c r="N8745" s="46">
        <v>0</v>
      </c>
    </row>
    <row r="8746" spans="13:14" x14ac:dyDescent="0.35">
      <c r="M8746" s="46">
        <v>7.278987980412524E-2</v>
      </c>
      <c r="N8746" s="46">
        <v>0</v>
      </c>
    </row>
    <row r="8747" spans="13:14" x14ac:dyDescent="0.35">
      <c r="M8747" s="46">
        <v>0.12489753672651728</v>
      </c>
      <c r="N8747" s="46">
        <v>0</v>
      </c>
    </row>
    <row r="8748" spans="13:14" x14ac:dyDescent="0.35">
      <c r="M8748" s="46">
        <v>0.26890132067072264</v>
      </c>
      <c r="N8748" s="46">
        <v>0</v>
      </c>
    </row>
    <row r="8749" spans="13:14" x14ac:dyDescent="0.35">
      <c r="M8749" s="46">
        <v>0.40805816886778451</v>
      </c>
      <c r="N8749" s="46">
        <v>0</v>
      </c>
    </row>
    <row r="8750" spans="13:14" x14ac:dyDescent="0.35">
      <c r="M8750" s="46">
        <v>0.49684752930701886</v>
      </c>
      <c r="N8750" s="46">
        <v>0</v>
      </c>
    </row>
    <row r="8751" spans="13:14" x14ac:dyDescent="0.35">
      <c r="M8751" s="46">
        <v>0.52352411336993621</v>
      </c>
      <c r="N8751" s="46">
        <v>0</v>
      </c>
    </row>
    <row r="8752" spans="13:14" x14ac:dyDescent="0.35">
      <c r="M8752" s="46">
        <v>0.4888807686600386</v>
      </c>
      <c r="N8752" s="46">
        <v>0</v>
      </c>
    </row>
    <row r="8753" spans="13:14" x14ac:dyDescent="0.35">
      <c r="M8753" s="46">
        <v>0.41174833061285054</v>
      </c>
      <c r="N8753" s="46">
        <v>0</v>
      </c>
    </row>
    <row r="8754" spans="13:14" x14ac:dyDescent="0.35">
      <c r="M8754" s="46">
        <v>0.28695889597863183</v>
      </c>
      <c r="N8754" s="46">
        <v>0</v>
      </c>
    </row>
    <row r="8755" spans="13:14" x14ac:dyDescent="0.35">
      <c r="M8755" s="46">
        <v>0.14270477815699659</v>
      </c>
      <c r="N8755" s="46">
        <v>0</v>
      </c>
    </row>
    <row r="8756" spans="13:14" x14ac:dyDescent="0.35">
      <c r="M8756" s="46">
        <v>5.4998145125389523E-2</v>
      </c>
      <c r="N8756" s="46">
        <v>0</v>
      </c>
    </row>
    <row r="8757" spans="13:14" x14ac:dyDescent="0.35">
      <c r="M8757" s="46">
        <v>6.2864371568481972E-2</v>
      </c>
      <c r="N8757" s="46">
        <v>0</v>
      </c>
    </row>
    <row r="8758" spans="13:14" x14ac:dyDescent="0.35">
      <c r="M8758" s="46">
        <v>7.4210194390859185E-2</v>
      </c>
      <c r="N8758" s="46">
        <v>0</v>
      </c>
    </row>
    <row r="8759" spans="13:14" x14ac:dyDescent="0.35">
      <c r="M8759" s="46">
        <v>7.6998145125389522E-2</v>
      </c>
      <c r="N8759" s="46">
        <v>0</v>
      </c>
    </row>
    <row r="8760" spans="13:14" x14ac:dyDescent="0.35">
      <c r="M8760" s="46">
        <v>7.2292773408517585E-2</v>
      </c>
      <c r="N8760" s="46">
        <v>0</v>
      </c>
    </row>
    <row r="8761" spans="13:14" x14ac:dyDescent="0.35">
      <c r="M8761" s="46">
        <v>6.7813399614186087E-2</v>
      </c>
      <c r="N8761" s="46">
        <v>0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13639-1819-4052-B2D7-B9E472FED938}">
  <dimension ref="A1:AN8762"/>
  <sheetViews>
    <sheetView workbookViewId="0">
      <selection activeCell="AH19" sqref="AH19"/>
    </sheetView>
  </sheetViews>
  <sheetFormatPr baseColWidth="10" defaultRowHeight="14.5" x14ac:dyDescent="0.35"/>
  <cols>
    <col min="1" max="1" width="18.7265625" style="5" customWidth="1"/>
    <col min="2" max="3" width="10.90625" style="5"/>
    <col min="4" max="4" width="7.1796875" style="5" bestFit="1" customWidth="1"/>
    <col min="5" max="7" width="19.1796875" style="46" bestFit="1" customWidth="1"/>
    <col min="8" max="10" width="22.1796875" style="46" bestFit="1" customWidth="1"/>
    <col min="11" max="11" width="22.1796875" style="46" customWidth="1"/>
    <col min="12" max="12" width="19.08984375" style="46" bestFit="1" customWidth="1"/>
    <col min="13" max="13" width="25.7265625" style="18" bestFit="1" customWidth="1"/>
    <col min="14" max="14" width="19.26953125" style="18" bestFit="1" customWidth="1"/>
    <col min="15" max="15" width="19.26953125" style="18" customWidth="1"/>
    <col min="16" max="16" width="19.08984375" style="46" customWidth="1"/>
    <col min="17" max="17" width="19.08984375" style="46" bestFit="1" customWidth="1"/>
    <col min="18" max="19" width="19.08984375" style="46" customWidth="1"/>
    <col min="20" max="23" width="10.90625" style="18"/>
    <col min="24" max="24" width="20.26953125" style="18" bestFit="1" customWidth="1"/>
    <col min="25" max="28" width="10.90625" style="18"/>
    <col min="29" max="29" width="15.08984375" style="18" customWidth="1"/>
    <col min="30" max="30" width="10.90625" style="18"/>
    <col min="31" max="31" width="10.90625" style="5"/>
    <col min="32" max="32" width="18.08984375" style="5" bestFit="1" customWidth="1"/>
    <col min="33" max="34" width="10.90625" style="5"/>
    <col min="35" max="35" width="16.6328125" style="5" bestFit="1" customWidth="1"/>
    <col min="36" max="37" width="10.90625" style="5"/>
    <col min="38" max="38" width="16.6328125" style="5" bestFit="1" customWidth="1"/>
    <col min="39" max="16384" width="10.90625" style="5"/>
  </cols>
  <sheetData>
    <row r="1" spans="1:40" ht="26" x14ac:dyDescent="0.6">
      <c r="A1" s="71" t="s">
        <v>144</v>
      </c>
    </row>
    <row r="2" spans="1:40" x14ac:dyDescent="0.35">
      <c r="D2" s="72" t="s">
        <v>145</v>
      </c>
      <c r="E2" s="73" t="s">
        <v>153</v>
      </c>
      <c r="F2" s="73" t="s">
        <v>139</v>
      </c>
      <c r="G2" s="73" t="s">
        <v>140</v>
      </c>
      <c r="H2" s="74" t="s">
        <v>156</v>
      </c>
      <c r="I2" s="74" t="s">
        <v>152</v>
      </c>
      <c r="J2" s="75" t="s">
        <v>58</v>
      </c>
      <c r="K2" s="76" t="s">
        <v>154</v>
      </c>
      <c r="L2" s="76" t="s">
        <v>142</v>
      </c>
      <c r="M2" s="76" t="s">
        <v>166</v>
      </c>
      <c r="N2" s="76" t="s">
        <v>167</v>
      </c>
      <c r="O2" s="76" t="s">
        <v>170</v>
      </c>
      <c r="P2" s="77" t="s">
        <v>157</v>
      </c>
      <c r="Q2" s="77" t="s">
        <v>155</v>
      </c>
      <c r="R2" s="76" t="s">
        <v>60</v>
      </c>
      <c r="S2" s="78"/>
      <c r="T2" s="18" t="s">
        <v>153</v>
      </c>
      <c r="U2" s="18" t="s">
        <v>163</v>
      </c>
      <c r="V2" s="18" t="s">
        <v>162</v>
      </c>
      <c r="W2" s="18" t="s">
        <v>163</v>
      </c>
      <c r="X2" s="18" t="s">
        <v>154</v>
      </c>
      <c r="Y2" s="18" t="s">
        <v>163</v>
      </c>
      <c r="Z2" s="18" t="s">
        <v>164</v>
      </c>
      <c r="AC2" s="79" t="s">
        <v>166</v>
      </c>
      <c r="AD2" s="79" t="s">
        <v>167</v>
      </c>
      <c r="AE2" s="19" t="s">
        <v>168</v>
      </c>
      <c r="AF2" s="19" t="s">
        <v>169</v>
      </c>
      <c r="AH2" s="19" t="s">
        <v>177</v>
      </c>
      <c r="AI2" s="19" t="s">
        <v>180</v>
      </c>
      <c r="AK2" s="19" t="s">
        <v>182</v>
      </c>
      <c r="AL2" s="19" t="s">
        <v>181</v>
      </c>
      <c r="AN2" s="5">
        <v>662.45600000000002</v>
      </c>
    </row>
    <row r="3" spans="1:40" x14ac:dyDescent="0.35">
      <c r="A3" s="18"/>
      <c r="B3" s="18"/>
      <c r="D3" s="80">
        <f>1</f>
        <v>1</v>
      </c>
      <c r="E3" s="81">
        <v>0</v>
      </c>
      <c r="F3" s="82">
        <v>0</v>
      </c>
      <c r="G3" s="82">
        <v>0</v>
      </c>
      <c r="H3" s="82">
        <v>31741.699000000001</v>
      </c>
      <c r="I3" s="82">
        <v>1169.32010313</v>
      </c>
      <c r="J3" s="82">
        <f>H3+I3</f>
        <v>32911.019103129998</v>
      </c>
      <c r="K3" s="81">
        <v>0</v>
      </c>
      <c r="L3" s="82">
        <v>0</v>
      </c>
      <c r="M3" s="82">
        <v>0.13200000000000001</v>
      </c>
      <c r="N3" s="82">
        <v>0.11900000000000001</v>
      </c>
      <c r="O3" s="82">
        <f>M3+N3</f>
        <v>0.251</v>
      </c>
      <c r="P3" s="82">
        <v>5108.7860000000001</v>
      </c>
      <c r="Q3" s="82">
        <v>0</v>
      </c>
      <c r="R3" s="83">
        <f>P3+Q3</f>
        <v>5108.7860000000001</v>
      </c>
      <c r="S3" s="82"/>
      <c r="T3" s="18">
        <v>0</v>
      </c>
      <c r="U3" s="18">
        <f>T3/$B$5</f>
        <v>0</v>
      </c>
      <c r="V3" s="18">
        <v>0</v>
      </c>
      <c r="W3" s="18">
        <f>V3/$B$6</f>
        <v>0</v>
      </c>
      <c r="X3" s="18">
        <v>0</v>
      </c>
      <c r="Y3" s="18">
        <f>X3/$B$8</f>
        <v>0</v>
      </c>
      <c r="Z3" s="18">
        <v>0</v>
      </c>
      <c r="AA3" s="18">
        <f>Z3/$B$9</f>
        <v>0</v>
      </c>
      <c r="AC3" s="84">
        <v>85.272000000000006</v>
      </c>
      <c r="AD3" s="18">
        <v>1385.5884000000001</v>
      </c>
      <c r="AE3" s="5">
        <f>AC3/$B$11</f>
        <v>0.13200000000000001</v>
      </c>
      <c r="AF3" s="20">
        <f>AD3/$B$10</f>
        <v>0.11900000000000001</v>
      </c>
      <c r="AH3" s="22">
        <v>662.45600000000002</v>
      </c>
      <c r="AI3" s="20">
        <f>AH3/$B$12</f>
        <v>0.2690001867898939</v>
      </c>
      <c r="AK3" s="22">
        <v>863.94200000000001</v>
      </c>
      <c r="AL3" s="20">
        <f>AK3/$B$13</f>
        <v>0.53761169881767268</v>
      </c>
      <c r="AN3" s="5">
        <v>657.53</v>
      </c>
    </row>
    <row r="4" spans="1:40" x14ac:dyDescent="0.35">
      <c r="A4" s="97" t="s">
        <v>146</v>
      </c>
      <c r="B4" s="98"/>
      <c r="D4" s="80">
        <f>1+D3</f>
        <v>2</v>
      </c>
      <c r="E4" s="81">
        <v>0</v>
      </c>
      <c r="F4" s="82">
        <v>0</v>
      </c>
      <c r="G4" s="82">
        <v>0</v>
      </c>
      <c r="H4" s="82">
        <v>30099.562999999998</v>
      </c>
      <c r="I4" s="82">
        <v>888.66789827000002</v>
      </c>
      <c r="J4" s="82">
        <f t="shared" ref="J4:J67" si="0">H4+I4</f>
        <v>30988.230898269998</v>
      </c>
      <c r="K4" s="81">
        <v>0</v>
      </c>
      <c r="L4" s="82">
        <v>0</v>
      </c>
      <c r="M4" s="82">
        <v>0.11799999999999999</v>
      </c>
      <c r="N4" s="82">
        <v>0.125</v>
      </c>
      <c r="O4" s="82">
        <f t="shared" ref="O4:O67" si="1">M4+N4</f>
        <v>0.24299999999999999</v>
      </c>
      <c r="P4" s="82">
        <v>4819.1030000000001</v>
      </c>
      <c r="Q4" s="82">
        <v>0</v>
      </c>
      <c r="R4" s="83">
        <f t="shared" ref="R4:R67" si="2">P4+Q4</f>
        <v>4819.1030000000001</v>
      </c>
      <c r="S4" s="82"/>
      <c r="T4" s="18">
        <v>0</v>
      </c>
      <c r="U4" s="18">
        <f t="shared" ref="U4:U67" si="3">T4/$B$5</f>
        <v>0</v>
      </c>
      <c r="V4" s="18">
        <v>0</v>
      </c>
      <c r="W4" s="18">
        <f t="shared" ref="W4:W67" si="4">V4/$B$6</f>
        <v>0</v>
      </c>
      <c r="X4" s="18">
        <v>0</v>
      </c>
      <c r="Y4" s="18">
        <f t="shared" ref="Y4:Y67" si="5">X4/$B$8</f>
        <v>0</v>
      </c>
      <c r="Z4" s="18">
        <v>0</v>
      </c>
      <c r="AA4" s="18">
        <f t="shared" ref="AA4:AA67" si="6">Z4/$B$9</f>
        <v>0</v>
      </c>
      <c r="AC4" s="84">
        <v>76.227999999999994</v>
      </c>
      <c r="AD4" s="18">
        <v>1455.45</v>
      </c>
      <c r="AE4" s="5">
        <f t="shared" ref="AE4:AE67" si="7">AC4/$B$11</f>
        <v>0.11799999999999999</v>
      </c>
      <c r="AF4" s="20">
        <f t="shared" ref="AF4:AF67" si="8">AD4/$B$10</f>
        <v>0.125</v>
      </c>
      <c r="AH4" s="22">
        <v>657.53</v>
      </c>
      <c r="AI4" s="20">
        <f t="shared" ref="AI4:AI67" si="9">AH4/$B$12</f>
        <v>0.26699991066570294</v>
      </c>
      <c r="AK4" s="22">
        <v>857.85199999999998</v>
      </c>
      <c r="AL4" s="20">
        <f t="shared" ref="AL4:AL67" si="10">AK4/$B$13</f>
        <v>0.53382202862476658</v>
      </c>
      <c r="AN4" s="5">
        <v>652.60500000000002</v>
      </c>
    </row>
    <row r="5" spans="1:40" x14ac:dyDescent="0.35">
      <c r="A5" s="85" t="s">
        <v>149</v>
      </c>
      <c r="B5" s="86">
        <v>83000</v>
      </c>
      <c r="D5" s="80">
        <f t="shared" ref="D5:D68" si="11">1+D4</f>
        <v>3</v>
      </c>
      <c r="E5" s="81">
        <v>0</v>
      </c>
      <c r="F5" s="82">
        <v>0</v>
      </c>
      <c r="G5" s="82">
        <v>0</v>
      </c>
      <c r="H5" s="82">
        <v>28885.16</v>
      </c>
      <c r="I5" s="82">
        <v>1460.14500662</v>
      </c>
      <c r="J5" s="82">
        <f t="shared" si="0"/>
        <v>30345.305006620001</v>
      </c>
      <c r="K5" s="81">
        <v>0</v>
      </c>
      <c r="L5" s="82">
        <v>0</v>
      </c>
      <c r="M5" s="82">
        <v>0.11</v>
      </c>
      <c r="N5" s="82">
        <v>0.13699999999999998</v>
      </c>
      <c r="O5" s="82">
        <f t="shared" si="1"/>
        <v>0.247</v>
      </c>
      <c r="P5" s="82">
        <v>4387.7039999999997</v>
      </c>
      <c r="Q5" s="82">
        <v>0</v>
      </c>
      <c r="R5" s="83">
        <f t="shared" si="2"/>
        <v>4387.7039999999997</v>
      </c>
      <c r="S5" s="82"/>
      <c r="T5" s="18">
        <v>0</v>
      </c>
      <c r="U5" s="18">
        <f t="shared" si="3"/>
        <v>0</v>
      </c>
      <c r="V5" s="18">
        <v>0</v>
      </c>
      <c r="W5" s="18">
        <f t="shared" si="4"/>
        <v>0</v>
      </c>
      <c r="X5" s="18">
        <v>0</v>
      </c>
      <c r="Y5" s="18">
        <f t="shared" si="5"/>
        <v>0</v>
      </c>
      <c r="Z5" s="18">
        <v>0</v>
      </c>
      <c r="AA5" s="18">
        <f t="shared" si="6"/>
        <v>0</v>
      </c>
      <c r="AC5" s="84">
        <v>71.06</v>
      </c>
      <c r="AD5" s="18">
        <v>1595.1732</v>
      </c>
      <c r="AE5" s="5">
        <f t="shared" si="7"/>
        <v>0.11</v>
      </c>
      <c r="AF5" s="20">
        <f t="shared" si="8"/>
        <v>0.13699999999999998</v>
      </c>
      <c r="AH5" s="22">
        <v>652.60500000000002</v>
      </c>
      <c r="AI5" s="20">
        <f t="shared" si="9"/>
        <v>0.26500004060649868</v>
      </c>
      <c r="AK5" s="22">
        <v>856.53800000000001</v>
      </c>
      <c r="AL5" s="20">
        <f t="shared" si="10"/>
        <v>0.53300435594275042</v>
      </c>
      <c r="AN5" s="5">
        <v>677.23099999999999</v>
      </c>
    </row>
    <row r="6" spans="1:40" x14ac:dyDescent="0.35">
      <c r="A6" s="84" t="s">
        <v>148</v>
      </c>
      <c r="B6" s="87">
        <v>4805</v>
      </c>
      <c r="D6" s="80">
        <f t="shared" si="11"/>
        <v>4</v>
      </c>
      <c r="E6" s="81">
        <v>0</v>
      </c>
      <c r="F6" s="82">
        <v>0</v>
      </c>
      <c r="G6" s="82">
        <v>0</v>
      </c>
      <c r="H6" s="82">
        <v>28278.065999999999</v>
      </c>
      <c r="I6" s="82">
        <v>2313.93280177</v>
      </c>
      <c r="J6" s="82">
        <f t="shared" si="0"/>
        <v>30591.998801769998</v>
      </c>
      <c r="K6" s="81">
        <v>0</v>
      </c>
      <c r="L6" s="82">
        <v>0</v>
      </c>
      <c r="M6" s="82">
        <v>0.105</v>
      </c>
      <c r="N6" s="82">
        <v>0.153</v>
      </c>
      <c r="O6" s="82">
        <f t="shared" si="1"/>
        <v>0.25800000000000001</v>
      </c>
      <c r="P6" s="82">
        <v>4234.8289999999997</v>
      </c>
      <c r="Q6" s="82">
        <v>0</v>
      </c>
      <c r="R6" s="83">
        <f t="shared" si="2"/>
        <v>4234.8289999999997</v>
      </c>
      <c r="S6" s="82"/>
      <c r="T6" s="18">
        <v>0</v>
      </c>
      <c r="U6" s="18">
        <f t="shared" si="3"/>
        <v>0</v>
      </c>
      <c r="V6" s="18">
        <v>0</v>
      </c>
      <c r="W6" s="18">
        <f t="shared" si="4"/>
        <v>0</v>
      </c>
      <c r="X6" s="18">
        <v>0</v>
      </c>
      <c r="Y6" s="18">
        <f t="shared" si="5"/>
        <v>0</v>
      </c>
      <c r="Z6" s="18">
        <v>0</v>
      </c>
      <c r="AA6" s="18">
        <f t="shared" si="6"/>
        <v>0</v>
      </c>
      <c r="AC6" s="84">
        <v>67.83</v>
      </c>
      <c r="AD6" s="18">
        <v>1781.4708000000001</v>
      </c>
      <c r="AE6" s="5">
        <f t="shared" si="7"/>
        <v>0.105</v>
      </c>
      <c r="AF6" s="20">
        <f t="shared" si="8"/>
        <v>0.153</v>
      </c>
      <c r="AH6" s="22">
        <v>677.23099999999999</v>
      </c>
      <c r="AI6" s="20">
        <f t="shared" si="9"/>
        <v>0.2749997969675067</v>
      </c>
      <c r="AK6" s="22">
        <v>866.279</v>
      </c>
      <c r="AL6" s="20">
        <f t="shared" si="10"/>
        <v>0.53906596141879282</v>
      </c>
      <c r="AN6" s="5">
        <v>687.08199999999999</v>
      </c>
    </row>
    <row r="7" spans="1:40" x14ac:dyDescent="0.35">
      <c r="A7" s="88" t="s">
        <v>147</v>
      </c>
      <c r="B7" s="89">
        <v>30000</v>
      </c>
      <c r="D7" s="80">
        <f t="shared" si="11"/>
        <v>5</v>
      </c>
      <c r="E7" s="81">
        <v>0</v>
      </c>
      <c r="F7" s="82">
        <v>0</v>
      </c>
      <c r="G7" s="82">
        <v>0</v>
      </c>
      <c r="H7" s="82">
        <v>28514.219000000001</v>
      </c>
      <c r="I7" s="82">
        <v>2602.54615109</v>
      </c>
      <c r="J7" s="82">
        <f t="shared" si="0"/>
        <v>31116.76515109</v>
      </c>
      <c r="K7" s="81">
        <v>0</v>
      </c>
      <c r="L7" s="82">
        <v>0</v>
      </c>
      <c r="M7" s="82">
        <v>0.10099999999999999</v>
      </c>
      <c r="N7" s="82">
        <v>0.16699999999999998</v>
      </c>
      <c r="O7" s="82">
        <f t="shared" si="1"/>
        <v>0.26799999999999996</v>
      </c>
      <c r="P7" s="82">
        <v>4222.5379999999996</v>
      </c>
      <c r="Q7" s="82">
        <v>0</v>
      </c>
      <c r="R7" s="83">
        <f t="shared" si="2"/>
        <v>4222.5379999999996</v>
      </c>
      <c r="S7" s="82"/>
      <c r="T7" s="18">
        <v>0</v>
      </c>
      <c r="U7" s="18">
        <f t="shared" si="3"/>
        <v>0</v>
      </c>
      <c r="V7" s="18">
        <v>0</v>
      </c>
      <c r="W7" s="18">
        <f t="shared" si="4"/>
        <v>0</v>
      </c>
      <c r="X7" s="18">
        <v>0</v>
      </c>
      <c r="Y7" s="18">
        <f t="shared" si="5"/>
        <v>0</v>
      </c>
      <c r="Z7" s="18">
        <v>0</v>
      </c>
      <c r="AA7" s="18">
        <f t="shared" si="6"/>
        <v>0</v>
      </c>
      <c r="AC7" s="84">
        <v>65.245999999999995</v>
      </c>
      <c r="AD7" s="18">
        <v>1944.4811999999999</v>
      </c>
      <c r="AE7" s="5">
        <f t="shared" si="7"/>
        <v>0.10099999999999999</v>
      </c>
      <c r="AF7" s="20">
        <f t="shared" si="8"/>
        <v>0.16699999999999998</v>
      </c>
      <c r="AH7" s="22">
        <v>687.08199999999999</v>
      </c>
      <c r="AI7" s="20">
        <f t="shared" si="9"/>
        <v>0.27899994315090187</v>
      </c>
      <c r="AK7" s="22">
        <v>871.28399999999999</v>
      </c>
      <c r="AL7" s="20">
        <f t="shared" si="10"/>
        <v>0.54218046048537649</v>
      </c>
      <c r="AN7" s="5">
        <v>716.63400000000001</v>
      </c>
    </row>
    <row r="8" spans="1:40" x14ac:dyDescent="0.35">
      <c r="A8" s="85" t="s">
        <v>150</v>
      </c>
      <c r="B8" s="86">
        <v>14378.2</v>
      </c>
      <c r="D8" s="80">
        <f t="shared" si="11"/>
        <v>6</v>
      </c>
      <c r="E8" s="81">
        <v>0</v>
      </c>
      <c r="F8" s="82">
        <v>0</v>
      </c>
      <c r="G8" s="82">
        <v>0</v>
      </c>
      <c r="H8" s="82">
        <v>29517.69</v>
      </c>
      <c r="I8" s="82">
        <v>2801.3606452399999</v>
      </c>
      <c r="J8" s="82">
        <f t="shared" si="0"/>
        <v>32319.05064524</v>
      </c>
      <c r="K8" s="81">
        <v>0</v>
      </c>
      <c r="L8" s="82">
        <v>0</v>
      </c>
      <c r="M8" s="82">
        <v>9.7000000000000003E-2</v>
      </c>
      <c r="N8" s="82">
        <v>0.17800000000000002</v>
      </c>
      <c r="O8" s="82">
        <f t="shared" si="1"/>
        <v>0.27500000000000002</v>
      </c>
      <c r="P8" s="82">
        <v>4353.5569999999998</v>
      </c>
      <c r="Q8" s="82">
        <v>0</v>
      </c>
      <c r="R8" s="83">
        <f t="shared" si="2"/>
        <v>4353.5569999999998</v>
      </c>
      <c r="S8" s="82"/>
      <c r="T8" s="18">
        <v>0</v>
      </c>
      <c r="U8" s="18">
        <f t="shared" si="3"/>
        <v>0</v>
      </c>
      <c r="V8" s="18">
        <v>0</v>
      </c>
      <c r="W8" s="18">
        <f t="shared" si="4"/>
        <v>0</v>
      </c>
      <c r="X8" s="18">
        <v>0</v>
      </c>
      <c r="Y8" s="18">
        <f t="shared" si="5"/>
        <v>0</v>
      </c>
      <c r="Z8" s="18">
        <v>0</v>
      </c>
      <c r="AA8" s="18">
        <f t="shared" si="6"/>
        <v>0</v>
      </c>
      <c r="AC8" s="84">
        <v>62.661999999999999</v>
      </c>
      <c r="AD8" s="18">
        <v>2072.5608000000002</v>
      </c>
      <c r="AE8" s="5">
        <f t="shared" si="7"/>
        <v>9.7000000000000003E-2</v>
      </c>
      <c r="AF8" s="20">
        <f t="shared" si="8"/>
        <v>0.17800000000000002</v>
      </c>
      <c r="AH8" s="22">
        <v>716.63400000000001</v>
      </c>
      <c r="AI8" s="20">
        <f t="shared" si="9"/>
        <v>0.2909999756361008</v>
      </c>
      <c r="AK8" s="22">
        <v>890.92200000000003</v>
      </c>
      <c r="AL8" s="20">
        <f t="shared" si="10"/>
        <v>0.55440074673304296</v>
      </c>
      <c r="AN8" s="5">
        <v>807.75199999999995</v>
      </c>
    </row>
    <row r="9" spans="1:40" x14ac:dyDescent="0.35">
      <c r="A9" s="88" t="s">
        <v>151</v>
      </c>
      <c r="B9" s="89">
        <v>9659.9</v>
      </c>
      <c r="D9" s="80">
        <f t="shared" si="11"/>
        <v>7</v>
      </c>
      <c r="E9" s="81">
        <v>0</v>
      </c>
      <c r="F9" s="82">
        <v>0</v>
      </c>
      <c r="G9" s="82">
        <v>0</v>
      </c>
      <c r="H9" s="82">
        <v>31303.323</v>
      </c>
      <c r="I9" s="82">
        <v>3547.0086195099998</v>
      </c>
      <c r="J9" s="82">
        <f t="shared" si="0"/>
        <v>34850.331619509998</v>
      </c>
      <c r="K9" s="81">
        <v>0</v>
      </c>
      <c r="L9" s="82">
        <v>0</v>
      </c>
      <c r="M9" s="82">
        <v>9.1999999999999998E-2</v>
      </c>
      <c r="N9" s="82">
        <v>0.183</v>
      </c>
      <c r="O9" s="82">
        <f t="shared" si="1"/>
        <v>0.27500000000000002</v>
      </c>
      <c r="P9" s="82">
        <v>4546.4669999999996</v>
      </c>
      <c r="Q9" s="82">
        <v>0</v>
      </c>
      <c r="R9" s="83">
        <f t="shared" si="2"/>
        <v>4546.4669999999996</v>
      </c>
      <c r="S9" s="82"/>
      <c r="T9" s="18">
        <v>0</v>
      </c>
      <c r="U9" s="18">
        <f t="shared" si="3"/>
        <v>0</v>
      </c>
      <c r="V9" s="18">
        <v>0</v>
      </c>
      <c r="W9" s="18">
        <f t="shared" si="4"/>
        <v>0</v>
      </c>
      <c r="X9" s="18">
        <v>0</v>
      </c>
      <c r="Y9" s="18">
        <f t="shared" si="5"/>
        <v>0</v>
      </c>
      <c r="Z9" s="18">
        <v>0</v>
      </c>
      <c r="AA9" s="18">
        <f t="shared" si="6"/>
        <v>0</v>
      </c>
      <c r="AC9" s="84">
        <v>59.432000000000002</v>
      </c>
      <c r="AD9" s="18">
        <v>2130.7788</v>
      </c>
      <c r="AE9" s="5">
        <f t="shared" si="7"/>
        <v>9.1999999999999998E-2</v>
      </c>
      <c r="AF9" s="20">
        <f t="shared" si="8"/>
        <v>0.183</v>
      </c>
      <c r="AH9" s="22">
        <v>807.75199999999995</v>
      </c>
      <c r="AI9" s="20">
        <f t="shared" si="9"/>
        <v>0.32799980508880644</v>
      </c>
      <c r="AK9" s="22">
        <v>907.654</v>
      </c>
      <c r="AL9" s="20">
        <f t="shared" si="10"/>
        <v>0.56481269446172988</v>
      </c>
      <c r="AN9" s="5">
        <v>881.63199999999995</v>
      </c>
    </row>
    <row r="10" spans="1:40" x14ac:dyDescent="0.35">
      <c r="A10" s="85" t="s">
        <v>167</v>
      </c>
      <c r="B10" s="86">
        <v>11643.6</v>
      </c>
      <c r="D10" s="80">
        <f t="shared" si="11"/>
        <v>8</v>
      </c>
      <c r="E10" s="81">
        <v>0</v>
      </c>
      <c r="F10" s="82">
        <v>0</v>
      </c>
      <c r="G10" s="82">
        <v>0</v>
      </c>
      <c r="H10" s="82">
        <v>33072.214</v>
      </c>
      <c r="I10" s="82">
        <v>3967.9018050700001</v>
      </c>
      <c r="J10" s="82">
        <f t="shared" si="0"/>
        <v>37040.115805070003</v>
      </c>
      <c r="K10" s="81">
        <v>0</v>
      </c>
      <c r="L10" s="82">
        <v>0</v>
      </c>
      <c r="M10" s="82">
        <v>9.0999999999999998E-2</v>
      </c>
      <c r="N10" s="82">
        <v>0.183</v>
      </c>
      <c r="O10" s="82">
        <f t="shared" si="1"/>
        <v>0.27400000000000002</v>
      </c>
      <c r="P10" s="82">
        <v>4670.4759999999997</v>
      </c>
      <c r="Q10" s="82">
        <v>0</v>
      </c>
      <c r="R10" s="83">
        <f t="shared" si="2"/>
        <v>4670.4759999999997</v>
      </c>
      <c r="S10" s="82"/>
      <c r="T10" s="18">
        <v>0</v>
      </c>
      <c r="U10" s="18">
        <f t="shared" si="3"/>
        <v>0</v>
      </c>
      <c r="V10" s="18">
        <v>0</v>
      </c>
      <c r="W10" s="18">
        <f t="shared" si="4"/>
        <v>0</v>
      </c>
      <c r="X10" s="18">
        <v>0</v>
      </c>
      <c r="Y10" s="18">
        <f t="shared" si="5"/>
        <v>0</v>
      </c>
      <c r="Z10" s="18">
        <v>0</v>
      </c>
      <c r="AA10" s="18">
        <f t="shared" si="6"/>
        <v>0</v>
      </c>
      <c r="AC10" s="84">
        <v>58.786000000000001</v>
      </c>
      <c r="AD10" s="18">
        <v>2130.7788</v>
      </c>
      <c r="AE10" s="5">
        <f t="shared" si="7"/>
        <v>9.0999999999999998E-2</v>
      </c>
      <c r="AF10" s="20">
        <f t="shared" si="8"/>
        <v>0.183</v>
      </c>
      <c r="AH10" s="22">
        <v>881.63199999999995</v>
      </c>
      <c r="AI10" s="20">
        <f t="shared" si="9"/>
        <v>0.35799988630180374</v>
      </c>
      <c r="AK10" s="22">
        <v>914.14400000000001</v>
      </c>
      <c r="AL10" s="20">
        <f t="shared" si="10"/>
        <v>0.56885127566894833</v>
      </c>
      <c r="AN10" s="5">
        <v>913.64700000000005</v>
      </c>
    </row>
    <row r="11" spans="1:40" x14ac:dyDescent="0.35">
      <c r="A11" s="88" t="s">
        <v>166</v>
      </c>
      <c r="B11" s="89">
        <v>646</v>
      </c>
      <c r="D11" s="80">
        <f t="shared" si="11"/>
        <v>9</v>
      </c>
      <c r="E11" s="81">
        <v>0</v>
      </c>
      <c r="F11" s="82">
        <v>0</v>
      </c>
      <c r="G11" s="82">
        <v>0</v>
      </c>
      <c r="H11" s="82">
        <v>34068.637999999999</v>
      </c>
      <c r="I11" s="82">
        <v>3830.0583072999998</v>
      </c>
      <c r="J11" s="82">
        <f t="shared" si="0"/>
        <v>37898.696307300001</v>
      </c>
      <c r="K11" s="81">
        <v>0</v>
      </c>
      <c r="L11" s="82">
        <v>0</v>
      </c>
      <c r="M11" s="82">
        <v>8.8999999999999996E-2</v>
      </c>
      <c r="N11" s="82">
        <v>0.17199999999999999</v>
      </c>
      <c r="O11" s="82">
        <f t="shared" si="1"/>
        <v>0.26100000000000001</v>
      </c>
      <c r="P11" s="82">
        <v>4713.0320000000002</v>
      </c>
      <c r="Q11" s="82">
        <v>0</v>
      </c>
      <c r="R11" s="83">
        <f t="shared" si="2"/>
        <v>4713.0320000000002</v>
      </c>
      <c r="S11" s="82"/>
      <c r="T11" s="18">
        <v>0</v>
      </c>
      <c r="U11" s="18">
        <f t="shared" si="3"/>
        <v>0</v>
      </c>
      <c r="V11" s="18">
        <v>0</v>
      </c>
      <c r="W11" s="18">
        <f t="shared" si="4"/>
        <v>0</v>
      </c>
      <c r="X11" s="18">
        <v>0</v>
      </c>
      <c r="Y11" s="18">
        <f t="shared" si="5"/>
        <v>0</v>
      </c>
      <c r="Z11" s="18">
        <v>0</v>
      </c>
      <c r="AA11" s="18">
        <f t="shared" si="6"/>
        <v>0</v>
      </c>
      <c r="AC11" s="84">
        <v>57.494</v>
      </c>
      <c r="AD11" s="18">
        <v>2002.6992</v>
      </c>
      <c r="AE11" s="5">
        <f t="shared" si="7"/>
        <v>8.8999999999999996E-2</v>
      </c>
      <c r="AF11" s="20">
        <f t="shared" si="8"/>
        <v>0.17199999999999999</v>
      </c>
      <c r="AH11" s="22">
        <v>913.64700000000005</v>
      </c>
      <c r="AI11" s="20">
        <f t="shared" si="9"/>
        <v>0.37100005684909815</v>
      </c>
      <c r="AK11" s="22">
        <v>911.74300000000005</v>
      </c>
      <c r="AL11" s="20">
        <f t="shared" si="10"/>
        <v>0.5673571873055383</v>
      </c>
      <c r="AN11" s="5">
        <v>962.9</v>
      </c>
    </row>
    <row r="12" spans="1:40" x14ac:dyDescent="0.35">
      <c r="A12" s="90" t="s">
        <v>178</v>
      </c>
      <c r="B12" s="91">
        <v>2462.66</v>
      </c>
      <c r="D12" s="80">
        <f t="shared" si="11"/>
        <v>10</v>
      </c>
      <c r="E12" s="81">
        <v>4.2000000000000003E-2</v>
      </c>
      <c r="F12" s="82">
        <v>7.0999999999999994E-2</v>
      </c>
      <c r="G12" s="82">
        <v>0.13100000000000001</v>
      </c>
      <c r="H12" s="82">
        <v>35359.432999999997</v>
      </c>
      <c r="I12" s="82">
        <v>2387.89148776</v>
      </c>
      <c r="J12" s="82">
        <f t="shared" si="0"/>
        <v>37747.324487759994</v>
      </c>
      <c r="K12" s="81">
        <v>1.4999999999999999E-2</v>
      </c>
      <c r="L12" s="82">
        <v>1.4999999999999999E-2</v>
      </c>
      <c r="M12" s="82">
        <v>8.8999999999999996E-2</v>
      </c>
      <c r="N12" s="82">
        <v>0.13400000000000001</v>
      </c>
      <c r="O12" s="82">
        <f t="shared" si="1"/>
        <v>0.223</v>
      </c>
      <c r="P12" s="82">
        <v>4911.3090000000002</v>
      </c>
      <c r="Q12" s="82">
        <v>0</v>
      </c>
      <c r="R12" s="83">
        <f t="shared" si="2"/>
        <v>4911.3090000000002</v>
      </c>
      <c r="S12" s="82"/>
      <c r="T12" s="18">
        <v>10126</v>
      </c>
      <c r="U12" s="18">
        <f t="shared" si="3"/>
        <v>0.122</v>
      </c>
      <c r="V12" s="18">
        <v>341.15499999999997</v>
      </c>
      <c r="W12" s="18">
        <f t="shared" si="4"/>
        <v>7.0999999999999994E-2</v>
      </c>
      <c r="X12" s="18">
        <v>1063.9867999999999</v>
      </c>
      <c r="Y12" s="18">
        <f t="shared" si="5"/>
        <v>7.3999999999999996E-2</v>
      </c>
      <c r="Z12" s="18">
        <v>367.07619999999997</v>
      </c>
      <c r="AA12" s="18">
        <f t="shared" si="6"/>
        <v>3.7999999999999999E-2</v>
      </c>
      <c r="AC12" s="84">
        <v>57.494</v>
      </c>
      <c r="AD12" s="18">
        <v>1560.2424000000001</v>
      </c>
      <c r="AE12" s="5">
        <f t="shared" si="7"/>
        <v>8.8999999999999996E-2</v>
      </c>
      <c r="AF12" s="20">
        <f t="shared" si="8"/>
        <v>0.13400000000000001</v>
      </c>
      <c r="AH12" s="22">
        <v>962.9</v>
      </c>
      <c r="AI12" s="20">
        <f t="shared" si="9"/>
        <v>0.39099997563610084</v>
      </c>
      <c r="AK12" s="22">
        <v>911.59100000000001</v>
      </c>
      <c r="AL12" s="20">
        <f t="shared" si="10"/>
        <v>0.56726260112009952</v>
      </c>
      <c r="AN12" s="5">
        <v>982.601</v>
      </c>
    </row>
    <row r="13" spans="1:40" x14ac:dyDescent="0.35">
      <c r="A13" s="88" t="s">
        <v>179</v>
      </c>
      <c r="B13" s="89">
        <v>1607</v>
      </c>
      <c r="D13" s="80">
        <f t="shared" si="11"/>
        <v>11</v>
      </c>
      <c r="E13" s="81">
        <v>0.157</v>
      </c>
      <c r="F13" s="82">
        <v>0.188</v>
      </c>
      <c r="G13" s="82">
        <v>0.30499999999999999</v>
      </c>
      <c r="H13" s="82">
        <v>35771.872000000003</v>
      </c>
      <c r="I13" s="82">
        <v>1889.8543081600001</v>
      </c>
      <c r="J13" s="82">
        <f t="shared" si="0"/>
        <v>37661.726308160003</v>
      </c>
      <c r="K13" s="81">
        <v>5.7999999999999996E-2</v>
      </c>
      <c r="L13" s="82">
        <v>6.5000000000000002E-2</v>
      </c>
      <c r="M13" s="82">
        <v>8.4999999999999992E-2</v>
      </c>
      <c r="N13" s="82">
        <v>7.1999999999999995E-2</v>
      </c>
      <c r="O13" s="82">
        <f t="shared" si="1"/>
        <v>0.15699999999999997</v>
      </c>
      <c r="P13" s="82">
        <v>5033.2820000000002</v>
      </c>
      <c r="Q13" s="82">
        <v>0</v>
      </c>
      <c r="R13" s="83">
        <f t="shared" si="2"/>
        <v>5033.2820000000002</v>
      </c>
      <c r="S13" s="82"/>
      <c r="T13" s="18">
        <v>25979</v>
      </c>
      <c r="U13" s="18">
        <f t="shared" si="3"/>
        <v>0.313</v>
      </c>
      <c r="V13" s="18">
        <v>903.34</v>
      </c>
      <c r="W13" s="18">
        <f t="shared" si="4"/>
        <v>0.188</v>
      </c>
      <c r="X13" s="18">
        <v>3810.223</v>
      </c>
      <c r="Y13" s="18">
        <f t="shared" si="5"/>
        <v>0.26499999999999996</v>
      </c>
      <c r="Z13" s="18">
        <v>1371.7058</v>
      </c>
      <c r="AA13" s="18">
        <f t="shared" si="6"/>
        <v>0.14199999999999999</v>
      </c>
      <c r="AC13" s="84">
        <v>54.91</v>
      </c>
      <c r="AD13" s="18">
        <v>838.33920000000001</v>
      </c>
      <c r="AE13" s="5">
        <f t="shared" si="7"/>
        <v>8.4999999999999992E-2</v>
      </c>
      <c r="AF13" s="20">
        <f t="shared" si="8"/>
        <v>7.1999999999999995E-2</v>
      </c>
      <c r="AH13" s="22">
        <v>982.601</v>
      </c>
      <c r="AI13" s="20">
        <f t="shared" si="9"/>
        <v>0.39899986193790454</v>
      </c>
      <c r="AK13" s="22">
        <v>918.27</v>
      </c>
      <c r="AL13" s="20">
        <f t="shared" si="10"/>
        <v>0.57141879278158059</v>
      </c>
      <c r="AN13" s="5">
        <v>997.37699999999995</v>
      </c>
    </row>
    <row r="14" spans="1:40" x14ac:dyDescent="0.35">
      <c r="D14" s="80">
        <f t="shared" si="11"/>
        <v>12</v>
      </c>
      <c r="E14" s="81">
        <v>0.22800000000000001</v>
      </c>
      <c r="F14" s="82">
        <v>0.31</v>
      </c>
      <c r="G14" s="82">
        <v>0.442</v>
      </c>
      <c r="H14" s="82">
        <v>36558.857000000004</v>
      </c>
      <c r="I14" s="82">
        <v>2380.3125980899999</v>
      </c>
      <c r="J14" s="82">
        <f t="shared" si="0"/>
        <v>38939.169598090004</v>
      </c>
      <c r="K14" s="81">
        <v>9.0999999999999998E-2</v>
      </c>
      <c r="L14" s="82">
        <v>0.115</v>
      </c>
      <c r="M14" s="82">
        <v>8.2000000000000003E-2</v>
      </c>
      <c r="N14" s="82">
        <v>3.7999999999999999E-2</v>
      </c>
      <c r="O14" s="82">
        <f t="shared" si="1"/>
        <v>0.12</v>
      </c>
      <c r="P14" s="82">
        <v>5241.0720000000001</v>
      </c>
      <c r="Q14" s="82">
        <v>0</v>
      </c>
      <c r="R14" s="83">
        <f t="shared" si="2"/>
        <v>5241.0720000000001</v>
      </c>
      <c r="S14" s="82"/>
      <c r="T14" s="18">
        <v>31457</v>
      </c>
      <c r="U14" s="18">
        <f t="shared" si="3"/>
        <v>0.379</v>
      </c>
      <c r="V14" s="18">
        <v>1489.55</v>
      </c>
      <c r="W14" s="18">
        <f t="shared" si="4"/>
        <v>0.31</v>
      </c>
      <c r="X14" s="18">
        <v>6355.1643999999997</v>
      </c>
      <c r="Y14" s="18">
        <f t="shared" si="5"/>
        <v>0.44199999999999995</v>
      </c>
      <c r="Z14" s="18">
        <v>2424.6349</v>
      </c>
      <c r="AA14" s="18">
        <f t="shared" si="6"/>
        <v>0.251</v>
      </c>
      <c r="AC14" s="84">
        <v>52.972000000000001</v>
      </c>
      <c r="AD14" s="18">
        <v>442.45679999999999</v>
      </c>
      <c r="AE14" s="5">
        <f t="shared" si="7"/>
        <v>8.2000000000000003E-2</v>
      </c>
      <c r="AF14" s="20">
        <f t="shared" si="8"/>
        <v>3.7999999999999999E-2</v>
      </c>
      <c r="AH14" s="22">
        <v>997.37699999999995</v>
      </c>
      <c r="AI14" s="20">
        <f t="shared" si="9"/>
        <v>0.40499987818050404</v>
      </c>
      <c r="AK14" s="22">
        <v>914.43200000000002</v>
      </c>
      <c r="AL14" s="20">
        <f t="shared" si="10"/>
        <v>0.56903049159925323</v>
      </c>
      <c r="AN14" s="5">
        <v>994.91499999999996</v>
      </c>
    </row>
    <row r="15" spans="1:40" x14ac:dyDescent="0.35">
      <c r="D15" s="80">
        <f t="shared" si="11"/>
        <v>13</v>
      </c>
      <c r="E15" s="81">
        <v>0.245</v>
      </c>
      <c r="F15" s="82">
        <v>0.38900000000000001</v>
      </c>
      <c r="G15" s="82">
        <v>0.51</v>
      </c>
      <c r="H15" s="82">
        <v>37443.358999999997</v>
      </c>
      <c r="I15" s="82">
        <v>2602.6944411600002</v>
      </c>
      <c r="J15" s="82">
        <f t="shared" si="0"/>
        <v>40046.053441159995</v>
      </c>
      <c r="K15" s="81">
        <v>0.10199999999999999</v>
      </c>
      <c r="L15" s="82">
        <v>0.13699999999999998</v>
      </c>
      <c r="M15" s="82">
        <v>7.8E-2</v>
      </c>
      <c r="N15" s="82">
        <v>3.6999999999999998E-2</v>
      </c>
      <c r="O15" s="82">
        <f t="shared" si="1"/>
        <v>0.11499999999999999</v>
      </c>
      <c r="P15" s="82">
        <v>5572.7849999999999</v>
      </c>
      <c r="Q15" s="82">
        <v>0</v>
      </c>
      <c r="R15" s="83">
        <f t="shared" si="2"/>
        <v>5572.7849999999999</v>
      </c>
      <c r="S15" s="82"/>
      <c r="T15" s="18">
        <v>32453</v>
      </c>
      <c r="U15" s="18">
        <f t="shared" si="3"/>
        <v>0.39100000000000001</v>
      </c>
      <c r="V15" s="18">
        <v>1869.145</v>
      </c>
      <c r="W15" s="18">
        <f t="shared" si="4"/>
        <v>0.38900000000000001</v>
      </c>
      <c r="X15" s="18">
        <v>7879.2536</v>
      </c>
      <c r="Y15" s="18">
        <f t="shared" si="5"/>
        <v>0.54799999999999993</v>
      </c>
      <c r="Z15" s="18">
        <v>3120.1477</v>
      </c>
      <c r="AA15" s="18">
        <f t="shared" si="6"/>
        <v>0.32300000000000001</v>
      </c>
      <c r="AC15" s="84">
        <v>50.387999999999998</v>
      </c>
      <c r="AD15" s="18">
        <v>430.81319999999999</v>
      </c>
      <c r="AE15" s="5">
        <f t="shared" si="7"/>
        <v>7.8E-2</v>
      </c>
      <c r="AF15" s="20">
        <f t="shared" si="8"/>
        <v>3.6999999999999998E-2</v>
      </c>
      <c r="AH15" s="22">
        <v>994.91499999999996</v>
      </c>
      <c r="AI15" s="20">
        <f t="shared" si="9"/>
        <v>0.40400014618339519</v>
      </c>
      <c r="AK15" s="22">
        <v>916.05899999999997</v>
      </c>
      <c r="AL15" s="20">
        <f t="shared" si="10"/>
        <v>0.5700429371499689</v>
      </c>
      <c r="AN15" s="5">
        <v>999.84</v>
      </c>
    </row>
    <row r="16" spans="1:40" x14ac:dyDescent="0.35">
      <c r="D16" s="80">
        <f t="shared" si="11"/>
        <v>14</v>
      </c>
      <c r="E16" s="81">
        <v>0.23500000000000001</v>
      </c>
      <c r="F16" s="82">
        <v>0.39899999999999997</v>
      </c>
      <c r="G16" s="82">
        <v>0.51100000000000001</v>
      </c>
      <c r="H16" s="82">
        <v>37784.137000000002</v>
      </c>
      <c r="I16" s="82">
        <v>2314.1030445299998</v>
      </c>
      <c r="J16" s="82">
        <f t="shared" si="0"/>
        <v>40098.240044530001</v>
      </c>
      <c r="K16" s="81">
        <v>9.8000000000000004E-2</v>
      </c>
      <c r="L16" s="82">
        <v>0.13</v>
      </c>
      <c r="M16" s="82">
        <v>0.08</v>
      </c>
      <c r="N16" s="82">
        <v>4.2999999999999997E-2</v>
      </c>
      <c r="O16" s="82">
        <f t="shared" si="1"/>
        <v>0.123</v>
      </c>
      <c r="P16" s="82">
        <v>5282.482</v>
      </c>
      <c r="Q16" s="82">
        <v>0</v>
      </c>
      <c r="R16" s="83">
        <f t="shared" si="2"/>
        <v>5282.482</v>
      </c>
      <c r="S16" s="82"/>
      <c r="T16" s="18">
        <v>32287</v>
      </c>
      <c r="U16" s="18">
        <f t="shared" si="3"/>
        <v>0.38900000000000001</v>
      </c>
      <c r="V16" s="18">
        <v>1917.1949999999999</v>
      </c>
      <c r="W16" s="18">
        <f t="shared" si="4"/>
        <v>0.39899999999999997</v>
      </c>
      <c r="X16" s="18">
        <v>8353.7342000000008</v>
      </c>
      <c r="Y16" s="18">
        <f t="shared" si="5"/>
        <v>0.58100000000000007</v>
      </c>
      <c r="Z16" s="18">
        <v>3361.6451999999999</v>
      </c>
      <c r="AA16" s="18">
        <f t="shared" si="6"/>
        <v>0.34800000000000003</v>
      </c>
      <c r="AC16" s="84">
        <v>51.68</v>
      </c>
      <c r="AD16" s="18">
        <v>500.6748</v>
      </c>
      <c r="AE16" s="5">
        <f t="shared" si="7"/>
        <v>0.08</v>
      </c>
      <c r="AF16" s="20">
        <f t="shared" si="8"/>
        <v>4.2999999999999997E-2</v>
      </c>
      <c r="AH16" s="22">
        <v>999.84</v>
      </c>
      <c r="AI16" s="20">
        <f t="shared" si="9"/>
        <v>0.40600001624259952</v>
      </c>
      <c r="AK16" s="22">
        <v>911.99199999999996</v>
      </c>
      <c r="AL16" s="20">
        <f t="shared" si="10"/>
        <v>0.5675121344119477</v>
      </c>
      <c r="AN16" s="5">
        <v>1004.765</v>
      </c>
    </row>
    <row r="17" spans="4:40" x14ac:dyDescent="0.35">
      <c r="D17" s="80">
        <f t="shared" si="11"/>
        <v>15</v>
      </c>
      <c r="E17" s="81">
        <v>0.15</v>
      </c>
      <c r="F17" s="82">
        <v>0.34799999999999998</v>
      </c>
      <c r="G17" s="82">
        <v>0.45100000000000001</v>
      </c>
      <c r="H17" s="82">
        <v>37011.836000000003</v>
      </c>
      <c r="I17" s="82">
        <v>1735.9122407699999</v>
      </c>
      <c r="J17" s="82">
        <f t="shared" si="0"/>
        <v>38747.748240770001</v>
      </c>
      <c r="K17" s="81">
        <v>0.09</v>
      </c>
      <c r="L17" s="82">
        <v>9.9000000000000005E-2</v>
      </c>
      <c r="M17" s="82">
        <v>8.7999999999999995E-2</v>
      </c>
      <c r="N17" s="82">
        <v>4.9999999999999996E-2</v>
      </c>
      <c r="O17" s="82">
        <f t="shared" si="1"/>
        <v>0.13799999999999998</v>
      </c>
      <c r="P17" s="82">
        <v>5002.3549999999996</v>
      </c>
      <c r="Q17" s="82">
        <v>0</v>
      </c>
      <c r="R17" s="83">
        <f t="shared" si="2"/>
        <v>5002.3549999999996</v>
      </c>
      <c r="S17" s="82"/>
      <c r="T17" s="18">
        <v>31374</v>
      </c>
      <c r="U17" s="18">
        <f t="shared" si="3"/>
        <v>0.378</v>
      </c>
      <c r="V17" s="18">
        <v>1672.14</v>
      </c>
      <c r="W17" s="18">
        <f t="shared" si="4"/>
        <v>0.34800000000000003</v>
      </c>
      <c r="X17" s="18">
        <v>7792.9844000000003</v>
      </c>
      <c r="Y17" s="18">
        <f t="shared" si="5"/>
        <v>0.54200000000000004</v>
      </c>
      <c r="Z17" s="18">
        <v>3120.1477</v>
      </c>
      <c r="AA17" s="18">
        <f t="shared" si="6"/>
        <v>0.32300000000000001</v>
      </c>
      <c r="AC17" s="84">
        <v>56.847999999999999</v>
      </c>
      <c r="AD17" s="18">
        <v>582.17999999999995</v>
      </c>
      <c r="AE17" s="5">
        <f t="shared" si="7"/>
        <v>8.7999999999999995E-2</v>
      </c>
      <c r="AF17" s="20">
        <f t="shared" si="8"/>
        <v>4.9999999999999996E-2</v>
      </c>
      <c r="AH17" s="22">
        <v>1004.765</v>
      </c>
      <c r="AI17" s="20">
        <f t="shared" si="9"/>
        <v>0.40799988630180378</v>
      </c>
      <c r="AK17" s="22">
        <v>906.76800000000003</v>
      </c>
      <c r="AL17" s="20">
        <f t="shared" si="10"/>
        <v>0.56426135656502807</v>
      </c>
      <c r="AN17" s="5">
        <v>1002.303</v>
      </c>
    </row>
    <row r="18" spans="4:40" x14ac:dyDescent="0.35">
      <c r="D18" s="80">
        <f t="shared" si="11"/>
        <v>16</v>
      </c>
      <c r="E18" s="81">
        <v>0.03</v>
      </c>
      <c r="F18" s="82">
        <v>0.253</v>
      </c>
      <c r="G18" s="82">
        <v>0.34899999999999998</v>
      </c>
      <c r="H18" s="82">
        <v>36719.425000000003</v>
      </c>
      <c r="I18" s="82">
        <v>1480.27747864</v>
      </c>
      <c r="J18" s="82">
        <f t="shared" si="0"/>
        <v>38199.70247864</v>
      </c>
      <c r="K18" s="81">
        <v>3.59999999999999E-2</v>
      </c>
      <c r="L18" s="82">
        <v>4.4999999999999998E-2</v>
      </c>
      <c r="M18" s="82">
        <v>0.10099999999999999</v>
      </c>
      <c r="N18" s="82">
        <v>5.7000000000000002E-2</v>
      </c>
      <c r="O18" s="82">
        <f t="shared" si="1"/>
        <v>0.158</v>
      </c>
      <c r="P18" s="82">
        <v>5027.03</v>
      </c>
      <c r="Q18" s="82">
        <v>0</v>
      </c>
      <c r="R18" s="83">
        <f t="shared" si="2"/>
        <v>5027.03</v>
      </c>
      <c r="S18" s="82"/>
      <c r="T18" s="18">
        <v>29465</v>
      </c>
      <c r="U18" s="18">
        <f t="shared" si="3"/>
        <v>0.35499999999999998</v>
      </c>
      <c r="V18" s="18">
        <v>1215.665</v>
      </c>
      <c r="W18" s="18">
        <f t="shared" si="4"/>
        <v>0.253</v>
      </c>
      <c r="X18" s="18">
        <v>6340.7861999999996</v>
      </c>
      <c r="Y18" s="18">
        <f t="shared" si="5"/>
        <v>0.44099999999999995</v>
      </c>
      <c r="Z18" s="18">
        <v>2424.6349</v>
      </c>
      <c r="AA18" s="18">
        <f t="shared" si="6"/>
        <v>0.251</v>
      </c>
      <c r="AC18" s="84">
        <v>65.245999999999995</v>
      </c>
      <c r="AD18" s="18">
        <v>663.68520000000001</v>
      </c>
      <c r="AE18" s="5">
        <f t="shared" si="7"/>
        <v>0.10099999999999999</v>
      </c>
      <c r="AF18" s="20">
        <f t="shared" si="8"/>
        <v>5.7000000000000002E-2</v>
      </c>
      <c r="AH18" s="22">
        <v>1002.303</v>
      </c>
      <c r="AI18" s="20">
        <f t="shared" si="9"/>
        <v>0.40700015430469494</v>
      </c>
      <c r="AK18" s="22">
        <v>900.34500000000003</v>
      </c>
      <c r="AL18" s="20">
        <f t="shared" si="10"/>
        <v>0.5602644679527069</v>
      </c>
      <c r="AN18" s="5">
        <v>1009.691</v>
      </c>
    </row>
    <row r="19" spans="4:40" x14ac:dyDescent="0.35">
      <c r="D19" s="80">
        <f t="shared" si="11"/>
        <v>17</v>
      </c>
      <c r="E19" s="81">
        <v>0</v>
      </c>
      <c r="F19" s="82">
        <v>0.128</v>
      </c>
      <c r="G19" s="82">
        <v>0.20699999999999999</v>
      </c>
      <c r="H19" s="82">
        <v>37509.415000000001</v>
      </c>
      <c r="I19" s="82">
        <v>1494.42451018</v>
      </c>
      <c r="J19" s="82">
        <f t="shared" si="0"/>
        <v>39003.839510179998</v>
      </c>
      <c r="K19" s="81">
        <v>0</v>
      </c>
      <c r="L19" s="82">
        <v>0</v>
      </c>
      <c r="M19" s="82">
        <v>0.111</v>
      </c>
      <c r="N19" s="82">
        <v>5.7999999999999996E-2</v>
      </c>
      <c r="O19" s="82">
        <f t="shared" si="1"/>
        <v>0.16899999999999998</v>
      </c>
      <c r="P19" s="82">
        <v>5250.4759999999997</v>
      </c>
      <c r="Q19" s="82">
        <v>0</v>
      </c>
      <c r="R19" s="83">
        <f t="shared" si="2"/>
        <v>5250.4759999999997</v>
      </c>
      <c r="S19" s="82"/>
      <c r="T19" s="18">
        <v>20916</v>
      </c>
      <c r="U19" s="18">
        <f t="shared" si="3"/>
        <v>0.252</v>
      </c>
      <c r="V19" s="18">
        <v>615.04</v>
      </c>
      <c r="W19" s="18">
        <f t="shared" si="4"/>
        <v>0.128</v>
      </c>
      <c r="X19" s="18">
        <v>4227.1908000000003</v>
      </c>
      <c r="Y19" s="18">
        <f t="shared" si="5"/>
        <v>0.29399999999999998</v>
      </c>
      <c r="Z19" s="18">
        <v>1468.3047999999999</v>
      </c>
      <c r="AA19" s="18">
        <f t="shared" si="6"/>
        <v>0.152</v>
      </c>
      <c r="AC19" s="84">
        <v>71.706000000000003</v>
      </c>
      <c r="AD19" s="18">
        <v>675.3288</v>
      </c>
      <c r="AE19" s="5">
        <f t="shared" si="7"/>
        <v>0.111</v>
      </c>
      <c r="AF19" s="20">
        <f t="shared" si="8"/>
        <v>5.7999999999999996E-2</v>
      </c>
      <c r="AH19" s="22">
        <v>1009.691</v>
      </c>
      <c r="AI19" s="20">
        <f t="shared" si="9"/>
        <v>0.41000016242599469</v>
      </c>
      <c r="AK19" s="22">
        <v>889.62300000000005</v>
      </c>
      <c r="AL19" s="20">
        <f t="shared" si="10"/>
        <v>0.55359240821406352</v>
      </c>
      <c r="AN19" s="5">
        <v>1049.0930000000001</v>
      </c>
    </row>
    <row r="20" spans="4:40" x14ac:dyDescent="0.35">
      <c r="D20" s="80">
        <f t="shared" si="11"/>
        <v>18</v>
      </c>
      <c r="E20" s="81">
        <v>0</v>
      </c>
      <c r="F20" s="82">
        <v>1.3000000000000001E-2</v>
      </c>
      <c r="G20" s="82">
        <v>5.2000000000000005E-2</v>
      </c>
      <c r="H20" s="82">
        <v>40069.400999999998</v>
      </c>
      <c r="I20" s="82">
        <v>1594.91699021</v>
      </c>
      <c r="J20" s="82">
        <f t="shared" si="0"/>
        <v>41664.317990209995</v>
      </c>
      <c r="K20" s="81">
        <v>0</v>
      </c>
      <c r="L20" s="82">
        <v>0</v>
      </c>
      <c r="M20" s="82">
        <v>0.125</v>
      </c>
      <c r="N20" s="82">
        <v>6.9000000000000006E-2</v>
      </c>
      <c r="O20" s="82">
        <f t="shared" si="1"/>
        <v>0.19400000000000001</v>
      </c>
      <c r="P20" s="82">
        <v>5897.9110000000001</v>
      </c>
      <c r="Q20" s="82">
        <v>0</v>
      </c>
      <c r="R20" s="83">
        <f t="shared" si="2"/>
        <v>5897.9110000000001</v>
      </c>
      <c r="S20" s="82"/>
      <c r="T20" s="18">
        <v>4565</v>
      </c>
      <c r="U20" s="18">
        <f t="shared" si="3"/>
        <v>5.5E-2</v>
      </c>
      <c r="V20" s="18">
        <v>62.465000000000003</v>
      </c>
      <c r="W20" s="18">
        <f t="shared" si="4"/>
        <v>1.3000000000000001E-2</v>
      </c>
      <c r="X20" s="18">
        <v>1739.7621999999999</v>
      </c>
      <c r="Y20" s="18">
        <f t="shared" si="5"/>
        <v>0.12099999999999998</v>
      </c>
      <c r="Z20" s="18">
        <v>511.97469999999998</v>
      </c>
      <c r="AA20" s="18">
        <f t="shared" si="6"/>
        <v>5.2999999999999999E-2</v>
      </c>
      <c r="AC20" s="84">
        <v>80.75</v>
      </c>
      <c r="AD20" s="18">
        <v>803.40840000000003</v>
      </c>
      <c r="AE20" s="5">
        <f t="shared" si="7"/>
        <v>0.125</v>
      </c>
      <c r="AF20" s="20">
        <f t="shared" si="8"/>
        <v>6.9000000000000006E-2</v>
      </c>
      <c r="AH20" s="22">
        <v>1049.0930000000001</v>
      </c>
      <c r="AI20" s="20">
        <f t="shared" si="9"/>
        <v>0.42599993502960221</v>
      </c>
      <c r="AK20" s="22">
        <v>875.74099999999999</v>
      </c>
      <c r="AL20" s="20">
        <f t="shared" si="10"/>
        <v>0.54495395146235215</v>
      </c>
      <c r="AN20" s="5">
        <v>1044.1679999999999</v>
      </c>
    </row>
    <row r="21" spans="4:40" x14ac:dyDescent="0.35">
      <c r="D21" s="80">
        <f t="shared" si="11"/>
        <v>19</v>
      </c>
      <c r="E21" s="81">
        <v>0</v>
      </c>
      <c r="F21" s="82">
        <v>0</v>
      </c>
      <c r="G21" s="82">
        <v>0</v>
      </c>
      <c r="H21" s="82">
        <v>41869.760999999999</v>
      </c>
      <c r="I21" s="82">
        <v>1721.6878512000001</v>
      </c>
      <c r="J21" s="82">
        <f t="shared" si="0"/>
        <v>43591.448851199995</v>
      </c>
      <c r="K21" s="81">
        <v>0</v>
      </c>
      <c r="L21" s="82">
        <v>0</v>
      </c>
      <c r="M21" s="82">
        <v>0.13999999999999999</v>
      </c>
      <c r="N21" s="82">
        <v>9.5999999999999988E-2</v>
      </c>
      <c r="O21" s="82">
        <f t="shared" si="1"/>
        <v>0.23599999999999999</v>
      </c>
      <c r="P21" s="82">
        <v>6460.5529999999999</v>
      </c>
      <c r="Q21" s="82">
        <v>202.78072</v>
      </c>
      <c r="R21" s="83">
        <f t="shared" si="2"/>
        <v>6663.3337199999996</v>
      </c>
      <c r="S21" s="82"/>
      <c r="T21" s="18">
        <v>0</v>
      </c>
      <c r="U21" s="18">
        <f t="shared" si="3"/>
        <v>0</v>
      </c>
      <c r="V21" s="18">
        <v>0</v>
      </c>
      <c r="W21" s="18">
        <f t="shared" si="4"/>
        <v>0</v>
      </c>
      <c r="X21" s="18">
        <v>0</v>
      </c>
      <c r="Y21" s="18">
        <f t="shared" si="5"/>
        <v>0</v>
      </c>
      <c r="Z21" s="18">
        <v>0</v>
      </c>
      <c r="AA21" s="18">
        <f t="shared" si="6"/>
        <v>0</v>
      </c>
      <c r="AC21" s="84">
        <v>90.44</v>
      </c>
      <c r="AD21" s="18">
        <v>1117.7855999999999</v>
      </c>
      <c r="AE21" s="5">
        <f t="shared" si="7"/>
        <v>0.13999999999999999</v>
      </c>
      <c r="AF21" s="20">
        <f t="shared" si="8"/>
        <v>9.5999999999999988E-2</v>
      </c>
      <c r="AH21" s="22">
        <v>1044.1679999999999</v>
      </c>
      <c r="AI21" s="20">
        <f t="shared" si="9"/>
        <v>0.42400006497039783</v>
      </c>
      <c r="AK21" s="22">
        <v>870.74099999999999</v>
      </c>
      <c r="AL21" s="20">
        <f t="shared" si="10"/>
        <v>0.54184256378344742</v>
      </c>
      <c r="AN21" s="5">
        <v>1044.1679999999999</v>
      </c>
    </row>
    <row r="22" spans="4:40" x14ac:dyDescent="0.35">
      <c r="D22" s="80">
        <f t="shared" si="11"/>
        <v>20</v>
      </c>
      <c r="E22" s="81">
        <v>0</v>
      </c>
      <c r="F22" s="82">
        <v>0</v>
      </c>
      <c r="G22" s="82">
        <v>0</v>
      </c>
      <c r="H22" s="82">
        <v>42326.976000000002</v>
      </c>
      <c r="I22" s="82">
        <v>1856.2611563999999</v>
      </c>
      <c r="J22" s="82">
        <f t="shared" si="0"/>
        <v>44183.237156400006</v>
      </c>
      <c r="K22" s="81">
        <v>0</v>
      </c>
      <c r="L22" s="82">
        <v>0</v>
      </c>
      <c r="M22" s="82">
        <v>0.14900000000000002</v>
      </c>
      <c r="N22" s="82">
        <v>0.11299999999999999</v>
      </c>
      <c r="O22" s="82">
        <f t="shared" si="1"/>
        <v>0.26200000000000001</v>
      </c>
      <c r="P22" s="82">
        <v>6579.66</v>
      </c>
      <c r="Q22" s="82">
        <v>199.60531915000001</v>
      </c>
      <c r="R22" s="83">
        <f t="shared" si="2"/>
        <v>6779.2653191499994</v>
      </c>
      <c r="S22" s="82"/>
      <c r="T22" s="18">
        <v>0</v>
      </c>
      <c r="U22" s="18">
        <f t="shared" si="3"/>
        <v>0</v>
      </c>
      <c r="V22" s="18">
        <v>0</v>
      </c>
      <c r="W22" s="18">
        <f t="shared" si="4"/>
        <v>0</v>
      </c>
      <c r="X22" s="18">
        <v>0</v>
      </c>
      <c r="Y22" s="18">
        <f t="shared" si="5"/>
        <v>0</v>
      </c>
      <c r="Z22" s="18">
        <v>0</v>
      </c>
      <c r="AA22" s="18">
        <f t="shared" si="6"/>
        <v>0</v>
      </c>
      <c r="AC22" s="84">
        <v>96.254000000000005</v>
      </c>
      <c r="AD22" s="18">
        <v>1315.7267999999999</v>
      </c>
      <c r="AE22" s="5">
        <f t="shared" si="7"/>
        <v>0.14900000000000002</v>
      </c>
      <c r="AF22" s="20">
        <f t="shared" si="8"/>
        <v>0.11299999999999999</v>
      </c>
      <c r="AH22" s="22">
        <v>1044.1679999999999</v>
      </c>
      <c r="AI22" s="20">
        <f t="shared" si="9"/>
        <v>0.42400006497039783</v>
      </c>
      <c r="AK22" s="22">
        <v>871.05899999999997</v>
      </c>
      <c r="AL22" s="20">
        <f t="shared" si="10"/>
        <v>0.54204044803982576</v>
      </c>
      <c r="AN22" s="5">
        <v>1049.0930000000001</v>
      </c>
    </row>
    <row r="23" spans="4:40" x14ac:dyDescent="0.35">
      <c r="D23" s="80">
        <f t="shared" si="11"/>
        <v>21</v>
      </c>
      <c r="E23" s="81">
        <v>0</v>
      </c>
      <c r="F23" s="82">
        <v>0</v>
      </c>
      <c r="G23" s="82">
        <v>0</v>
      </c>
      <c r="H23" s="82">
        <v>41738.434000000001</v>
      </c>
      <c r="I23" s="82">
        <v>1829.2845996900001</v>
      </c>
      <c r="J23" s="82">
        <f t="shared" si="0"/>
        <v>43567.718599690001</v>
      </c>
      <c r="K23" s="81">
        <v>0</v>
      </c>
      <c r="L23" s="82">
        <v>0</v>
      </c>
      <c r="M23" s="82">
        <v>0.153</v>
      </c>
      <c r="N23" s="82">
        <v>0.114</v>
      </c>
      <c r="O23" s="82">
        <f t="shared" si="1"/>
        <v>0.26700000000000002</v>
      </c>
      <c r="P23" s="82">
        <v>6401.134</v>
      </c>
      <c r="Q23" s="82">
        <v>122.0287234</v>
      </c>
      <c r="R23" s="83">
        <f t="shared" si="2"/>
        <v>6523.1627233999998</v>
      </c>
      <c r="S23" s="82"/>
      <c r="T23" s="18">
        <v>0</v>
      </c>
      <c r="U23" s="18">
        <f t="shared" si="3"/>
        <v>0</v>
      </c>
      <c r="V23" s="18">
        <v>0</v>
      </c>
      <c r="W23" s="18">
        <f t="shared" si="4"/>
        <v>0</v>
      </c>
      <c r="X23" s="18">
        <v>0</v>
      </c>
      <c r="Y23" s="18">
        <f t="shared" si="5"/>
        <v>0</v>
      </c>
      <c r="Z23" s="18">
        <v>0</v>
      </c>
      <c r="AA23" s="18">
        <f t="shared" si="6"/>
        <v>0</v>
      </c>
      <c r="AC23" s="84">
        <v>98.837999999999994</v>
      </c>
      <c r="AD23" s="18">
        <v>1327.3704</v>
      </c>
      <c r="AE23" s="5">
        <f t="shared" si="7"/>
        <v>0.153</v>
      </c>
      <c r="AF23" s="20">
        <f t="shared" si="8"/>
        <v>0.114</v>
      </c>
      <c r="AH23" s="22">
        <v>1049.0930000000001</v>
      </c>
      <c r="AI23" s="20">
        <f t="shared" si="9"/>
        <v>0.42599993502960221</v>
      </c>
      <c r="AK23" s="22">
        <v>872.11800000000005</v>
      </c>
      <c r="AL23" s="20">
        <f t="shared" si="10"/>
        <v>0.54269943995021785</v>
      </c>
      <c r="AN23" s="5">
        <v>1004.765</v>
      </c>
    </row>
    <row r="24" spans="4:40" x14ac:dyDescent="0.35">
      <c r="D24" s="80">
        <f t="shared" si="11"/>
        <v>22</v>
      </c>
      <c r="E24" s="81">
        <v>0</v>
      </c>
      <c r="F24" s="82">
        <v>0</v>
      </c>
      <c r="G24" s="82">
        <v>0</v>
      </c>
      <c r="H24" s="82">
        <v>40187.006000000001</v>
      </c>
      <c r="I24" s="82">
        <v>1756.4523769</v>
      </c>
      <c r="J24" s="82">
        <f t="shared" si="0"/>
        <v>41943.458376900002</v>
      </c>
      <c r="K24" s="81">
        <v>0</v>
      </c>
      <c r="L24" s="82">
        <v>0</v>
      </c>
      <c r="M24" s="82">
        <v>0.154</v>
      </c>
      <c r="N24" s="82">
        <v>0.114</v>
      </c>
      <c r="O24" s="82">
        <f t="shared" si="1"/>
        <v>0.26800000000000002</v>
      </c>
      <c r="P24" s="82">
        <v>6011.4380000000001</v>
      </c>
      <c r="Q24" s="82">
        <v>65.879787230000005</v>
      </c>
      <c r="R24" s="83">
        <f t="shared" si="2"/>
        <v>6077.3177872300002</v>
      </c>
      <c r="S24" s="82"/>
      <c r="T24" s="18">
        <v>0</v>
      </c>
      <c r="U24" s="18">
        <f t="shared" si="3"/>
        <v>0</v>
      </c>
      <c r="V24" s="18">
        <v>0</v>
      </c>
      <c r="W24" s="18">
        <f t="shared" si="4"/>
        <v>0</v>
      </c>
      <c r="X24" s="18">
        <v>0</v>
      </c>
      <c r="Y24" s="18">
        <f t="shared" si="5"/>
        <v>0</v>
      </c>
      <c r="Z24" s="18">
        <v>0</v>
      </c>
      <c r="AA24" s="18">
        <f t="shared" si="6"/>
        <v>0</v>
      </c>
      <c r="AC24" s="84">
        <v>99.483999999999995</v>
      </c>
      <c r="AD24" s="18">
        <v>1327.3704</v>
      </c>
      <c r="AE24" s="5">
        <f t="shared" si="7"/>
        <v>0.154</v>
      </c>
      <c r="AF24" s="20">
        <f t="shared" si="8"/>
        <v>0.114</v>
      </c>
      <c r="AH24" s="22">
        <v>1004.765</v>
      </c>
      <c r="AI24" s="20">
        <f t="shared" si="9"/>
        <v>0.40799988630180378</v>
      </c>
      <c r="AK24" s="22">
        <v>872.95899999999995</v>
      </c>
      <c r="AL24" s="20">
        <f t="shared" si="10"/>
        <v>0.5432227753578095</v>
      </c>
      <c r="AN24" s="5">
        <v>1012.153</v>
      </c>
    </row>
    <row r="25" spans="4:40" x14ac:dyDescent="0.35">
      <c r="D25" s="80">
        <f t="shared" si="11"/>
        <v>23</v>
      </c>
      <c r="E25" s="81">
        <v>0</v>
      </c>
      <c r="F25" s="82">
        <v>0</v>
      </c>
      <c r="G25" s="82">
        <v>0</v>
      </c>
      <c r="H25" s="82">
        <v>37830.438000000002</v>
      </c>
      <c r="I25" s="82">
        <v>1767.06476492</v>
      </c>
      <c r="J25" s="82">
        <f t="shared" si="0"/>
        <v>39597.502764920006</v>
      </c>
      <c r="K25" s="81">
        <v>0</v>
      </c>
      <c r="L25" s="82">
        <v>0</v>
      </c>
      <c r="M25" s="82">
        <v>0.14699999999999999</v>
      </c>
      <c r="N25" s="82">
        <v>0.12799999999999997</v>
      </c>
      <c r="O25" s="82">
        <f t="shared" si="1"/>
        <v>0.27499999999999997</v>
      </c>
      <c r="P25" s="82">
        <v>6214.9660000000003</v>
      </c>
      <c r="Q25" s="82">
        <v>233.64574468000001</v>
      </c>
      <c r="R25" s="83">
        <f t="shared" si="2"/>
        <v>6448.6117446799999</v>
      </c>
      <c r="S25" s="82"/>
      <c r="T25" s="18">
        <v>0</v>
      </c>
      <c r="U25" s="18">
        <f t="shared" si="3"/>
        <v>0</v>
      </c>
      <c r="V25" s="18">
        <v>0</v>
      </c>
      <c r="W25" s="18">
        <f t="shared" si="4"/>
        <v>0</v>
      </c>
      <c r="X25" s="18">
        <v>0</v>
      </c>
      <c r="Y25" s="18">
        <f t="shared" si="5"/>
        <v>0</v>
      </c>
      <c r="Z25" s="18">
        <v>0</v>
      </c>
      <c r="AA25" s="18">
        <f t="shared" si="6"/>
        <v>0</v>
      </c>
      <c r="AC25" s="84">
        <v>94.962000000000003</v>
      </c>
      <c r="AD25" s="18">
        <v>1490.3807999999999</v>
      </c>
      <c r="AE25" s="5">
        <f t="shared" si="7"/>
        <v>0.14699999999999999</v>
      </c>
      <c r="AF25" s="20">
        <f t="shared" si="8"/>
        <v>0.12799999999999997</v>
      </c>
      <c r="AH25" s="22">
        <v>1012.153</v>
      </c>
      <c r="AI25" s="20">
        <f t="shared" si="9"/>
        <v>0.41099989442310353</v>
      </c>
      <c r="AK25" s="22">
        <v>880.58399999999995</v>
      </c>
      <c r="AL25" s="20">
        <f t="shared" si="10"/>
        <v>0.54796764156813937</v>
      </c>
      <c r="AN25" s="5">
        <v>1004.765</v>
      </c>
    </row>
    <row r="26" spans="4:40" x14ac:dyDescent="0.35">
      <c r="D26" s="80">
        <f t="shared" si="11"/>
        <v>24</v>
      </c>
      <c r="E26" s="81">
        <v>0</v>
      </c>
      <c r="F26" s="82">
        <v>0</v>
      </c>
      <c r="G26" s="82">
        <v>0</v>
      </c>
      <c r="H26" s="82">
        <v>35243.232000000004</v>
      </c>
      <c r="I26" s="82">
        <v>1471.6367999399999</v>
      </c>
      <c r="J26" s="82">
        <f t="shared" si="0"/>
        <v>36714.868799940006</v>
      </c>
      <c r="K26" s="81">
        <v>0</v>
      </c>
      <c r="L26" s="82">
        <v>0</v>
      </c>
      <c r="M26" s="82">
        <v>0.13699999999999998</v>
      </c>
      <c r="N26" s="82">
        <v>0.156</v>
      </c>
      <c r="O26" s="82">
        <f t="shared" si="1"/>
        <v>0.29299999999999998</v>
      </c>
      <c r="P26" s="82">
        <v>5844.1</v>
      </c>
      <c r="Q26" s="82">
        <v>273.91840000000002</v>
      </c>
      <c r="R26" s="83">
        <f t="shared" si="2"/>
        <v>6118.0184000000008</v>
      </c>
      <c r="S26" s="82"/>
      <c r="T26" s="18">
        <v>0</v>
      </c>
      <c r="U26" s="18">
        <f t="shared" si="3"/>
        <v>0</v>
      </c>
      <c r="V26" s="18">
        <v>0</v>
      </c>
      <c r="W26" s="18">
        <f t="shared" si="4"/>
        <v>0</v>
      </c>
      <c r="X26" s="18">
        <v>0</v>
      </c>
      <c r="Y26" s="18">
        <f t="shared" si="5"/>
        <v>0</v>
      </c>
      <c r="Z26" s="18">
        <v>0</v>
      </c>
      <c r="AA26" s="18">
        <f t="shared" si="6"/>
        <v>0</v>
      </c>
      <c r="AC26" s="84">
        <v>88.501999999999995</v>
      </c>
      <c r="AD26" s="18">
        <v>1816.4015999999999</v>
      </c>
      <c r="AE26" s="5">
        <f t="shared" si="7"/>
        <v>0.13699999999999998</v>
      </c>
      <c r="AF26" s="20">
        <f t="shared" si="8"/>
        <v>0.156</v>
      </c>
      <c r="AH26" s="22">
        <v>1004.765</v>
      </c>
      <c r="AI26" s="20">
        <f t="shared" si="9"/>
        <v>0.40799988630180378</v>
      </c>
      <c r="AK26" s="22">
        <v>890.72900000000004</v>
      </c>
      <c r="AL26" s="20">
        <f t="shared" si="10"/>
        <v>0.55428064716863723</v>
      </c>
      <c r="AN26" s="5">
        <v>962.9</v>
      </c>
    </row>
    <row r="27" spans="4:40" x14ac:dyDescent="0.35">
      <c r="D27" s="80">
        <f t="shared" si="11"/>
        <v>25</v>
      </c>
      <c r="E27" s="81">
        <v>0</v>
      </c>
      <c r="F27" s="82">
        <v>0</v>
      </c>
      <c r="G27" s="82">
        <v>0</v>
      </c>
      <c r="H27" s="82">
        <v>33915.038</v>
      </c>
      <c r="I27" s="82">
        <v>1181.2321245000001</v>
      </c>
      <c r="J27" s="82">
        <f t="shared" si="0"/>
        <v>35096.270124499999</v>
      </c>
      <c r="K27" s="81">
        <v>0</v>
      </c>
      <c r="L27" s="82">
        <v>0</v>
      </c>
      <c r="M27" s="82">
        <v>0.125</v>
      </c>
      <c r="N27" s="82">
        <v>0.17699999999999999</v>
      </c>
      <c r="O27" s="82">
        <f t="shared" si="1"/>
        <v>0.30199999999999999</v>
      </c>
      <c r="P27" s="82">
        <v>5660.5590000000002</v>
      </c>
      <c r="Q27" s="82">
        <v>0</v>
      </c>
      <c r="R27" s="83">
        <f t="shared" si="2"/>
        <v>5660.5590000000002</v>
      </c>
      <c r="S27" s="82"/>
      <c r="T27" s="18">
        <v>0</v>
      </c>
      <c r="U27" s="18">
        <f t="shared" si="3"/>
        <v>0</v>
      </c>
      <c r="V27" s="18">
        <v>0</v>
      </c>
      <c r="W27" s="18">
        <f t="shared" si="4"/>
        <v>0</v>
      </c>
      <c r="X27" s="18">
        <v>0</v>
      </c>
      <c r="Y27" s="18">
        <f t="shared" si="5"/>
        <v>0</v>
      </c>
      <c r="Z27" s="18">
        <v>0</v>
      </c>
      <c r="AA27" s="18">
        <f t="shared" si="6"/>
        <v>0</v>
      </c>
      <c r="AC27" s="84">
        <v>80.75</v>
      </c>
      <c r="AD27" s="18">
        <v>2060.9171999999999</v>
      </c>
      <c r="AE27" s="5">
        <f t="shared" si="7"/>
        <v>0.125</v>
      </c>
      <c r="AF27" s="20">
        <f t="shared" si="8"/>
        <v>0.17699999999999999</v>
      </c>
      <c r="AH27" s="22">
        <v>962.9</v>
      </c>
      <c r="AI27" s="20">
        <f t="shared" si="9"/>
        <v>0.39099997563610084</v>
      </c>
      <c r="AK27" s="22">
        <v>891.79700000000003</v>
      </c>
      <c r="AL27" s="20">
        <f t="shared" si="10"/>
        <v>0.55494523957685127</v>
      </c>
      <c r="AN27" s="5">
        <v>953.04899999999998</v>
      </c>
    </row>
    <row r="28" spans="4:40" x14ac:dyDescent="0.35">
      <c r="D28" s="80">
        <f t="shared" si="11"/>
        <v>26</v>
      </c>
      <c r="E28" s="81">
        <v>0</v>
      </c>
      <c r="F28" s="82">
        <v>0</v>
      </c>
      <c r="G28" s="82">
        <v>0</v>
      </c>
      <c r="H28" s="82">
        <v>32036.166489359999</v>
      </c>
      <c r="I28" s="82">
        <v>902.25761518000002</v>
      </c>
      <c r="J28" s="82">
        <f t="shared" si="0"/>
        <v>32938.424104539998</v>
      </c>
      <c r="K28" s="81">
        <v>0</v>
      </c>
      <c r="L28" s="82">
        <v>0</v>
      </c>
      <c r="M28" s="82">
        <v>0.113</v>
      </c>
      <c r="N28" s="82">
        <v>0.183</v>
      </c>
      <c r="O28" s="82">
        <f t="shared" si="1"/>
        <v>0.29599999999999999</v>
      </c>
      <c r="P28" s="82">
        <v>5292.4740000000002</v>
      </c>
      <c r="Q28" s="82">
        <v>0</v>
      </c>
      <c r="R28" s="83">
        <f t="shared" si="2"/>
        <v>5292.4740000000002</v>
      </c>
      <c r="S28" s="82"/>
      <c r="T28" s="18">
        <v>0</v>
      </c>
      <c r="U28" s="18">
        <f t="shared" si="3"/>
        <v>0</v>
      </c>
      <c r="V28" s="18">
        <v>0</v>
      </c>
      <c r="W28" s="18">
        <f t="shared" si="4"/>
        <v>0</v>
      </c>
      <c r="X28" s="18">
        <v>0</v>
      </c>
      <c r="Y28" s="18">
        <f t="shared" si="5"/>
        <v>0</v>
      </c>
      <c r="Z28" s="18">
        <v>0</v>
      </c>
      <c r="AA28" s="18">
        <f t="shared" si="6"/>
        <v>0</v>
      </c>
      <c r="AC28" s="84">
        <v>72.998000000000005</v>
      </c>
      <c r="AD28" s="18">
        <v>2130.7788</v>
      </c>
      <c r="AE28" s="5">
        <f t="shared" si="7"/>
        <v>0.113</v>
      </c>
      <c r="AF28" s="20">
        <f t="shared" si="8"/>
        <v>0.183</v>
      </c>
      <c r="AH28" s="22">
        <v>953.04899999999998</v>
      </c>
      <c r="AI28" s="20">
        <f t="shared" si="9"/>
        <v>0.38699982945270561</v>
      </c>
      <c r="AK28" s="22">
        <v>890.97</v>
      </c>
      <c r="AL28" s="20">
        <f t="shared" si="10"/>
        <v>0.55443061605476041</v>
      </c>
      <c r="AN28" s="5">
        <v>953.04899999999998</v>
      </c>
    </row>
    <row r="29" spans="4:40" x14ac:dyDescent="0.35">
      <c r="D29" s="80">
        <f t="shared" si="11"/>
        <v>27</v>
      </c>
      <c r="E29" s="81">
        <v>0</v>
      </c>
      <c r="F29" s="82">
        <v>0</v>
      </c>
      <c r="G29" s="82">
        <v>0</v>
      </c>
      <c r="H29" s="82">
        <v>30970.332893620001</v>
      </c>
      <c r="I29" s="82">
        <v>1468.14928678</v>
      </c>
      <c r="J29" s="82">
        <f t="shared" si="0"/>
        <v>32438.482180400002</v>
      </c>
      <c r="K29" s="81">
        <v>0</v>
      </c>
      <c r="L29" s="82">
        <v>0</v>
      </c>
      <c r="M29" s="82">
        <v>0.10099999999999999</v>
      </c>
      <c r="N29" s="82">
        <v>0.183</v>
      </c>
      <c r="O29" s="82">
        <f t="shared" si="1"/>
        <v>0.28399999999999997</v>
      </c>
      <c r="P29" s="82">
        <v>4865.9650000000001</v>
      </c>
      <c r="Q29" s="82">
        <v>0</v>
      </c>
      <c r="R29" s="83">
        <f t="shared" si="2"/>
        <v>4865.9650000000001</v>
      </c>
      <c r="S29" s="82"/>
      <c r="T29" s="18">
        <v>0</v>
      </c>
      <c r="U29" s="18">
        <f t="shared" si="3"/>
        <v>0</v>
      </c>
      <c r="V29" s="18">
        <v>0</v>
      </c>
      <c r="W29" s="18">
        <f t="shared" si="4"/>
        <v>0</v>
      </c>
      <c r="X29" s="18">
        <v>0</v>
      </c>
      <c r="Y29" s="18">
        <f t="shared" si="5"/>
        <v>0</v>
      </c>
      <c r="Z29" s="18">
        <v>0</v>
      </c>
      <c r="AA29" s="18">
        <f t="shared" si="6"/>
        <v>0</v>
      </c>
      <c r="AC29" s="84">
        <v>65.245999999999995</v>
      </c>
      <c r="AD29" s="18">
        <v>2130.7788</v>
      </c>
      <c r="AE29" s="5">
        <f t="shared" si="7"/>
        <v>0.10099999999999999</v>
      </c>
      <c r="AF29" s="20">
        <f t="shared" si="8"/>
        <v>0.183</v>
      </c>
      <c r="AH29" s="22">
        <v>953.04899999999998</v>
      </c>
      <c r="AI29" s="20">
        <f t="shared" si="9"/>
        <v>0.38699982945270561</v>
      </c>
      <c r="AK29" s="22">
        <v>889.76499999999999</v>
      </c>
      <c r="AL29" s="20">
        <f t="shared" si="10"/>
        <v>0.55368077162414431</v>
      </c>
      <c r="AN29" s="5">
        <v>953.04899999999998</v>
      </c>
    </row>
    <row r="30" spans="4:40" x14ac:dyDescent="0.35">
      <c r="D30" s="80">
        <f t="shared" si="11"/>
        <v>28</v>
      </c>
      <c r="E30" s="81">
        <v>0</v>
      </c>
      <c r="F30" s="82">
        <v>0</v>
      </c>
      <c r="G30" s="82">
        <v>0</v>
      </c>
      <c r="H30" s="82">
        <v>30609.32887234</v>
      </c>
      <c r="I30" s="82">
        <v>2313.1030811800001</v>
      </c>
      <c r="J30" s="82">
        <f t="shared" si="0"/>
        <v>32922.431953519997</v>
      </c>
      <c r="K30" s="81">
        <v>0</v>
      </c>
      <c r="L30" s="82">
        <v>0</v>
      </c>
      <c r="M30" s="82">
        <v>9.1999999999999998E-2</v>
      </c>
      <c r="N30" s="82">
        <v>0.18</v>
      </c>
      <c r="O30" s="82">
        <f t="shared" si="1"/>
        <v>0.27200000000000002</v>
      </c>
      <c r="P30" s="82">
        <v>4748.2039999999997</v>
      </c>
      <c r="Q30" s="82">
        <v>0</v>
      </c>
      <c r="R30" s="83">
        <f t="shared" si="2"/>
        <v>4748.2039999999997</v>
      </c>
      <c r="S30" s="82"/>
      <c r="T30" s="18">
        <v>0</v>
      </c>
      <c r="U30" s="18">
        <f t="shared" si="3"/>
        <v>0</v>
      </c>
      <c r="V30" s="18">
        <v>0</v>
      </c>
      <c r="W30" s="18">
        <f t="shared" si="4"/>
        <v>0</v>
      </c>
      <c r="X30" s="18">
        <v>0</v>
      </c>
      <c r="Y30" s="18">
        <f t="shared" si="5"/>
        <v>0</v>
      </c>
      <c r="Z30" s="18">
        <v>0</v>
      </c>
      <c r="AA30" s="18">
        <f t="shared" si="6"/>
        <v>0</v>
      </c>
      <c r="AC30" s="84">
        <v>59.432000000000002</v>
      </c>
      <c r="AD30" s="18">
        <v>2095.848</v>
      </c>
      <c r="AE30" s="5">
        <f t="shared" si="7"/>
        <v>9.1999999999999998E-2</v>
      </c>
      <c r="AF30" s="20">
        <f t="shared" si="8"/>
        <v>0.18</v>
      </c>
      <c r="AH30" s="22">
        <v>953.04899999999998</v>
      </c>
      <c r="AI30" s="20">
        <f t="shared" si="9"/>
        <v>0.38699982945270561</v>
      </c>
      <c r="AK30" s="22">
        <v>883.24699999999996</v>
      </c>
      <c r="AL30" s="20">
        <f t="shared" si="10"/>
        <v>0.54962476664592408</v>
      </c>
      <c r="AN30" s="5">
        <v>953.04899999999998</v>
      </c>
    </row>
    <row r="31" spans="4:40" x14ac:dyDescent="0.35">
      <c r="D31" s="80">
        <f t="shared" si="11"/>
        <v>29</v>
      </c>
      <c r="E31" s="81">
        <v>0</v>
      </c>
      <c r="F31" s="82">
        <v>0</v>
      </c>
      <c r="G31" s="82">
        <v>0</v>
      </c>
      <c r="H31" s="82">
        <v>31420.484063830001</v>
      </c>
      <c r="I31" s="82">
        <v>2597.9589715799998</v>
      </c>
      <c r="J31" s="82">
        <f t="shared" si="0"/>
        <v>34018.443035410004</v>
      </c>
      <c r="K31" s="81">
        <v>0</v>
      </c>
      <c r="L31" s="82">
        <v>0</v>
      </c>
      <c r="M31" s="82">
        <v>8.4000000000000005E-2</v>
      </c>
      <c r="N31" s="82">
        <v>0.183</v>
      </c>
      <c r="O31" s="82">
        <f t="shared" si="1"/>
        <v>0.26700000000000002</v>
      </c>
      <c r="P31" s="82">
        <v>4751.924</v>
      </c>
      <c r="Q31" s="82">
        <v>164.99893617000001</v>
      </c>
      <c r="R31" s="83">
        <f t="shared" si="2"/>
        <v>4916.92293617</v>
      </c>
      <c r="S31" s="82"/>
      <c r="T31" s="18">
        <v>0</v>
      </c>
      <c r="U31" s="18">
        <f t="shared" si="3"/>
        <v>0</v>
      </c>
      <c r="V31" s="18">
        <v>0</v>
      </c>
      <c r="W31" s="18">
        <f t="shared" si="4"/>
        <v>0</v>
      </c>
      <c r="X31" s="18">
        <v>0</v>
      </c>
      <c r="Y31" s="18">
        <f t="shared" si="5"/>
        <v>0</v>
      </c>
      <c r="Z31" s="18">
        <v>0</v>
      </c>
      <c r="AA31" s="18">
        <f t="shared" si="6"/>
        <v>0</v>
      </c>
      <c r="AC31" s="84">
        <v>54.264000000000003</v>
      </c>
      <c r="AD31" s="18">
        <v>2130.7788</v>
      </c>
      <c r="AE31" s="5">
        <f t="shared" si="7"/>
        <v>8.4000000000000005E-2</v>
      </c>
      <c r="AF31" s="20">
        <f t="shared" si="8"/>
        <v>0.183</v>
      </c>
      <c r="AH31" s="22">
        <v>953.04899999999998</v>
      </c>
      <c r="AI31" s="20">
        <f t="shared" si="9"/>
        <v>0.38699982945270561</v>
      </c>
      <c r="AK31" s="22">
        <v>873.60900000000004</v>
      </c>
      <c r="AL31" s="20">
        <f t="shared" si="10"/>
        <v>0.54362725575606718</v>
      </c>
      <c r="AN31" s="5">
        <v>953.04899999999998</v>
      </c>
    </row>
    <row r="32" spans="4:40" x14ac:dyDescent="0.35">
      <c r="D32" s="80">
        <f t="shared" si="11"/>
        <v>30</v>
      </c>
      <c r="E32" s="81">
        <v>0</v>
      </c>
      <c r="F32" s="82">
        <v>0</v>
      </c>
      <c r="G32" s="82">
        <v>0</v>
      </c>
      <c r="H32" s="82">
        <v>33647.227234040001</v>
      </c>
      <c r="I32" s="82">
        <v>2814.0393533400002</v>
      </c>
      <c r="J32" s="82">
        <f t="shared" si="0"/>
        <v>36461.26658738</v>
      </c>
      <c r="K32" s="81">
        <v>0</v>
      </c>
      <c r="L32" s="82">
        <v>0</v>
      </c>
      <c r="M32" s="82">
        <v>7.8E-2</v>
      </c>
      <c r="N32" s="82">
        <v>0.18499999999999997</v>
      </c>
      <c r="O32" s="82">
        <f t="shared" si="1"/>
        <v>0.26299999999999996</v>
      </c>
      <c r="P32" s="82">
        <v>4887.5929999999998</v>
      </c>
      <c r="Q32" s="82">
        <v>99.419740000000004</v>
      </c>
      <c r="R32" s="83">
        <f t="shared" si="2"/>
        <v>4987.0127400000001</v>
      </c>
      <c r="S32" s="82"/>
      <c r="T32" s="18">
        <v>0</v>
      </c>
      <c r="U32" s="18">
        <f t="shared" si="3"/>
        <v>0</v>
      </c>
      <c r="V32" s="18">
        <v>0</v>
      </c>
      <c r="W32" s="18">
        <f t="shared" si="4"/>
        <v>0</v>
      </c>
      <c r="X32" s="18">
        <v>0</v>
      </c>
      <c r="Y32" s="18">
        <f t="shared" si="5"/>
        <v>0</v>
      </c>
      <c r="Z32" s="18">
        <v>0</v>
      </c>
      <c r="AA32" s="18">
        <f t="shared" si="6"/>
        <v>0</v>
      </c>
      <c r="AC32" s="84">
        <v>50.387999999999998</v>
      </c>
      <c r="AD32" s="18">
        <v>2154.0659999999998</v>
      </c>
      <c r="AE32" s="5">
        <f t="shared" si="7"/>
        <v>7.8E-2</v>
      </c>
      <c r="AF32" s="20">
        <f t="shared" si="8"/>
        <v>0.18499999999999997</v>
      </c>
      <c r="AH32" s="22">
        <v>953.04899999999998</v>
      </c>
      <c r="AI32" s="20">
        <f t="shared" si="9"/>
        <v>0.38699982945270561</v>
      </c>
      <c r="AK32" s="22">
        <v>868.92899999999997</v>
      </c>
      <c r="AL32" s="20">
        <f t="shared" si="10"/>
        <v>0.54071499688861235</v>
      </c>
      <c r="AN32" s="5">
        <v>962.9</v>
      </c>
    </row>
    <row r="33" spans="4:40" x14ac:dyDescent="0.35">
      <c r="D33" s="80">
        <f t="shared" si="11"/>
        <v>31</v>
      </c>
      <c r="E33" s="81">
        <v>0</v>
      </c>
      <c r="F33" s="82">
        <v>0</v>
      </c>
      <c r="G33" s="82">
        <v>0</v>
      </c>
      <c r="H33" s="82">
        <v>36828.191680000004</v>
      </c>
      <c r="I33" s="82">
        <v>3569.18761709</v>
      </c>
      <c r="J33" s="82">
        <f t="shared" si="0"/>
        <v>40397.379297090003</v>
      </c>
      <c r="K33" s="81">
        <v>0</v>
      </c>
      <c r="L33" s="82">
        <v>0</v>
      </c>
      <c r="M33" s="82">
        <v>7.5999999999999998E-2</v>
      </c>
      <c r="N33" s="82">
        <v>0.182</v>
      </c>
      <c r="O33" s="82">
        <f t="shared" si="1"/>
        <v>0.25800000000000001</v>
      </c>
      <c r="P33" s="82">
        <v>5244.3310000000001</v>
      </c>
      <c r="Q33" s="82">
        <v>78.138080000000002</v>
      </c>
      <c r="R33" s="83">
        <f t="shared" si="2"/>
        <v>5322.4690799999998</v>
      </c>
      <c r="S33" s="82"/>
      <c r="T33" s="18">
        <v>0</v>
      </c>
      <c r="U33" s="18">
        <f t="shared" si="3"/>
        <v>0</v>
      </c>
      <c r="V33" s="18">
        <v>0</v>
      </c>
      <c r="W33" s="18">
        <f t="shared" si="4"/>
        <v>0</v>
      </c>
      <c r="X33" s="18">
        <v>0</v>
      </c>
      <c r="Y33" s="18">
        <f t="shared" si="5"/>
        <v>0</v>
      </c>
      <c r="Z33" s="18">
        <v>0</v>
      </c>
      <c r="AA33" s="18">
        <f t="shared" si="6"/>
        <v>0</v>
      </c>
      <c r="AC33" s="84">
        <v>49.095999999999997</v>
      </c>
      <c r="AD33" s="18">
        <v>2119.1352000000002</v>
      </c>
      <c r="AE33" s="5">
        <f t="shared" si="7"/>
        <v>7.5999999999999998E-2</v>
      </c>
      <c r="AF33" s="20">
        <f t="shared" si="8"/>
        <v>0.182</v>
      </c>
      <c r="AH33" s="22">
        <v>962.9</v>
      </c>
      <c r="AI33" s="20">
        <f t="shared" si="9"/>
        <v>0.39099997563610084</v>
      </c>
      <c r="AK33" s="22">
        <v>886.81299999999999</v>
      </c>
      <c r="AL33" s="20">
        <f t="shared" si="10"/>
        <v>0.55184380833851898</v>
      </c>
      <c r="AN33" s="5">
        <v>1036.78</v>
      </c>
    </row>
    <row r="34" spans="4:40" x14ac:dyDescent="0.35">
      <c r="D34" s="80">
        <f t="shared" si="11"/>
        <v>32</v>
      </c>
      <c r="E34" s="81">
        <v>0</v>
      </c>
      <c r="F34" s="82">
        <v>0</v>
      </c>
      <c r="G34" s="82">
        <v>0</v>
      </c>
      <c r="H34" s="82">
        <v>39652.996679999997</v>
      </c>
      <c r="I34" s="82">
        <v>3984.4754517000001</v>
      </c>
      <c r="J34" s="82">
        <f t="shared" si="0"/>
        <v>43637.472131699993</v>
      </c>
      <c r="K34" s="81">
        <v>0</v>
      </c>
      <c r="L34" s="82">
        <v>0</v>
      </c>
      <c r="M34" s="82">
        <v>7.9000000000000001E-2</v>
      </c>
      <c r="N34" s="82">
        <v>0.16499999999999998</v>
      </c>
      <c r="O34" s="82">
        <f t="shared" si="1"/>
        <v>0.24399999999999999</v>
      </c>
      <c r="P34" s="82">
        <v>5780.6540000000005</v>
      </c>
      <c r="Q34" s="82">
        <v>78.138080000000002</v>
      </c>
      <c r="R34" s="83">
        <f t="shared" si="2"/>
        <v>5858.7920800000002</v>
      </c>
      <c r="S34" s="82"/>
      <c r="T34" s="18">
        <v>0</v>
      </c>
      <c r="U34" s="18">
        <f t="shared" si="3"/>
        <v>0</v>
      </c>
      <c r="V34" s="18">
        <v>0</v>
      </c>
      <c r="W34" s="18">
        <f t="shared" si="4"/>
        <v>0</v>
      </c>
      <c r="X34" s="18">
        <v>0</v>
      </c>
      <c r="Y34" s="18">
        <f t="shared" si="5"/>
        <v>0</v>
      </c>
      <c r="Z34" s="18">
        <v>0</v>
      </c>
      <c r="AA34" s="18">
        <f t="shared" si="6"/>
        <v>0</v>
      </c>
      <c r="AC34" s="84">
        <v>51.033999999999999</v>
      </c>
      <c r="AD34" s="18">
        <v>1921.194</v>
      </c>
      <c r="AE34" s="5">
        <f t="shared" si="7"/>
        <v>7.9000000000000001E-2</v>
      </c>
      <c r="AF34" s="20">
        <f t="shared" si="8"/>
        <v>0.16499999999999998</v>
      </c>
      <c r="AH34" s="22">
        <v>1036.78</v>
      </c>
      <c r="AI34" s="20">
        <f t="shared" si="9"/>
        <v>0.42100005684909814</v>
      </c>
      <c r="AK34" s="22">
        <v>959.12400000000002</v>
      </c>
      <c r="AL34" s="20">
        <f t="shared" si="10"/>
        <v>0.59684131922837591</v>
      </c>
      <c r="AN34" s="5">
        <v>1086.0329999999999</v>
      </c>
    </row>
    <row r="35" spans="4:40" x14ac:dyDescent="0.35">
      <c r="D35" s="80">
        <f t="shared" si="11"/>
        <v>33</v>
      </c>
      <c r="E35" s="81">
        <v>0</v>
      </c>
      <c r="F35" s="82">
        <v>0</v>
      </c>
      <c r="G35" s="82">
        <v>0</v>
      </c>
      <c r="H35" s="82">
        <v>41504.08268</v>
      </c>
      <c r="I35" s="82">
        <v>3824.4200530399999</v>
      </c>
      <c r="J35" s="82">
        <f t="shared" si="0"/>
        <v>45328.502733039997</v>
      </c>
      <c r="K35" s="81">
        <v>0</v>
      </c>
      <c r="L35" s="82">
        <v>0</v>
      </c>
      <c r="M35" s="82">
        <v>8.1000000000000003E-2</v>
      </c>
      <c r="N35" s="82">
        <v>0.13600000000000001</v>
      </c>
      <c r="O35" s="82">
        <f t="shared" si="1"/>
        <v>0.21700000000000003</v>
      </c>
      <c r="P35" s="82">
        <v>6278.93</v>
      </c>
      <c r="Q35" s="82">
        <v>78.138080000000002</v>
      </c>
      <c r="R35" s="83">
        <f t="shared" si="2"/>
        <v>6357.06808</v>
      </c>
      <c r="S35" s="82"/>
      <c r="T35" s="18">
        <v>0</v>
      </c>
      <c r="U35" s="18">
        <f t="shared" si="3"/>
        <v>0</v>
      </c>
      <c r="V35" s="18">
        <v>0</v>
      </c>
      <c r="W35" s="18">
        <f t="shared" si="4"/>
        <v>0</v>
      </c>
      <c r="X35" s="18">
        <v>0</v>
      </c>
      <c r="Y35" s="18">
        <f t="shared" si="5"/>
        <v>0</v>
      </c>
      <c r="Z35" s="18">
        <v>0</v>
      </c>
      <c r="AA35" s="18">
        <f t="shared" si="6"/>
        <v>0</v>
      </c>
      <c r="AC35" s="84">
        <v>52.326000000000001</v>
      </c>
      <c r="AD35" s="18">
        <v>1583.5296000000001</v>
      </c>
      <c r="AE35" s="5">
        <f t="shared" si="7"/>
        <v>8.1000000000000003E-2</v>
      </c>
      <c r="AF35" s="20">
        <f t="shared" si="8"/>
        <v>0.13600000000000001</v>
      </c>
      <c r="AH35" s="22">
        <v>1086.0329999999999</v>
      </c>
      <c r="AI35" s="20">
        <f t="shared" si="9"/>
        <v>0.44099997563610077</v>
      </c>
      <c r="AK35" s="22">
        <v>975.02</v>
      </c>
      <c r="AL35" s="20">
        <f t="shared" si="10"/>
        <v>0.60673304293714991</v>
      </c>
      <c r="AN35" s="5">
        <v>1081.1079999999999</v>
      </c>
    </row>
    <row r="36" spans="4:40" x14ac:dyDescent="0.35">
      <c r="D36" s="80">
        <f t="shared" si="11"/>
        <v>34</v>
      </c>
      <c r="E36" s="81">
        <v>7.6999999999999999E-2</v>
      </c>
      <c r="F36" s="82">
        <v>6.6000000000000003E-2</v>
      </c>
      <c r="G36" s="82">
        <v>0.113</v>
      </c>
      <c r="H36" s="82">
        <v>42690.08668</v>
      </c>
      <c r="I36" s="82">
        <v>2379.3491193099999</v>
      </c>
      <c r="J36" s="82">
        <f t="shared" si="0"/>
        <v>45069.435799309998</v>
      </c>
      <c r="K36" s="81">
        <v>0</v>
      </c>
      <c r="L36" s="82">
        <v>0</v>
      </c>
      <c r="M36" s="82">
        <v>8.1000000000000003E-2</v>
      </c>
      <c r="N36" s="82">
        <v>0.108</v>
      </c>
      <c r="O36" s="82">
        <f t="shared" si="1"/>
        <v>0.189</v>
      </c>
      <c r="P36" s="82">
        <v>6491.9089999999997</v>
      </c>
      <c r="Q36" s="82">
        <v>0</v>
      </c>
      <c r="R36" s="83">
        <f t="shared" si="2"/>
        <v>6491.9089999999997</v>
      </c>
      <c r="S36" s="82"/>
      <c r="T36" s="18">
        <v>8881</v>
      </c>
      <c r="U36" s="18">
        <f t="shared" si="3"/>
        <v>0.107</v>
      </c>
      <c r="V36" s="18">
        <v>317.13</v>
      </c>
      <c r="W36" s="18">
        <f t="shared" si="4"/>
        <v>6.6000000000000003E-2</v>
      </c>
      <c r="X36" s="18">
        <v>963.33939999999996</v>
      </c>
      <c r="Y36" s="18">
        <f t="shared" si="5"/>
        <v>6.699999999999999E-2</v>
      </c>
      <c r="Z36" s="18">
        <v>357.41629999999998</v>
      </c>
      <c r="AA36" s="18">
        <f t="shared" si="6"/>
        <v>3.6999999999999998E-2</v>
      </c>
      <c r="AC36" s="84">
        <v>52.326000000000001</v>
      </c>
      <c r="AD36" s="18">
        <v>1257.5088000000001</v>
      </c>
      <c r="AE36" s="5">
        <f t="shared" si="7"/>
        <v>8.1000000000000003E-2</v>
      </c>
      <c r="AF36" s="20">
        <f t="shared" si="8"/>
        <v>0.108</v>
      </c>
      <c r="AH36" s="22">
        <v>1081.1079999999999</v>
      </c>
      <c r="AI36" s="20">
        <f t="shared" si="9"/>
        <v>0.4390001055768965</v>
      </c>
      <c r="AK36" s="22">
        <v>987.63599999999997</v>
      </c>
      <c r="AL36" s="20">
        <f t="shared" si="10"/>
        <v>0.61458369632856247</v>
      </c>
      <c r="AN36" s="5">
        <v>1051.556</v>
      </c>
    </row>
    <row r="37" spans="4:40" x14ac:dyDescent="0.35">
      <c r="D37" s="80">
        <f t="shared" si="11"/>
        <v>35</v>
      </c>
      <c r="E37" s="81">
        <v>0.22</v>
      </c>
      <c r="F37" s="82">
        <v>0.17</v>
      </c>
      <c r="G37" s="82">
        <v>0.27399999999999997</v>
      </c>
      <c r="H37" s="82">
        <v>42575.571000000004</v>
      </c>
      <c r="I37" s="82">
        <v>1880.30818144</v>
      </c>
      <c r="J37" s="82">
        <f t="shared" si="0"/>
        <v>44455.879181440003</v>
      </c>
      <c r="K37" s="81">
        <v>0</v>
      </c>
      <c r="L37" s="82">
        <v>0</v>
      </c>
      <c r="M37" s="82">
        <v>7.8E-2</v>
      </c>
      <c r="N37" s="82">
        <v>6.7000000000000004E-2</v>
      </c>
      <c r="O37" s="82">
        <f t="shared" si="1"/>
        <v>0.14500000000000002</v>
      </c>
      <c r="P37" s="82">
        <v>6381.1840000000002</v>
      </c>
      <c r="Q37" s="82">
        <v>0</v>
      </c>
      <c r="R37" s="83">
        <f t="shared" si="2"/>
        <v>6381.1840000000002</v>
      </c>
      <c r="S37" s="82"/>
      <c r="T37" s="18">
        <v>23323</v>
      </c>
      <c r="U37" s="18">
        <f t="shared" si="3"/>
        <v>0.28100000000000003</v>
      </c>
      <c r="V37" s="18">
        <v>816.85</v>
      </c>
      <c r="W37" s="18">
        <f t="shared" si="4"/>
        <v>0.17</v>
      </c>
      <c r="X37" s="18">
        <v>3508.2808</v>
      </c>
      <c r="Y37" s="18">
        <f t="shared" si="5"/>
        <v>0.24399999999999999</v>
      </c>
      <c r="Z37" s="18">
        <v>1362.0459000000001</v>
      </c>
      <c r="AA37" s="18">
        <f t="shared" si="6"/>
        <v>0.14100000000000001</v>
      </c>
      <c r="AC37" s="84">
        <v>50.387999999999998</v>
      </c>
      <c r="AD37" s="18">
        <v>780.12120000000004</v>
      </c>
      <c r="AE37" s="5">
        <f t="shared" si="7"/>
        <v>7.8E-2</v>
      </c>
      <c r="AF37" s="20">
        <f t="shared" si="8"/>
        <v>6.7000000000000004E-2</v>
      </c>
      <c r="AH37" s="22">
        <v>1051.556</v>
      </c>
      <c r="AI37" s="20">
        <f t="shared" si="9"/>
        <v>0.42700007309169763</v>
      </c>
      <c r="AK37" s="22">
        <v>988.90899999999999</v>
      </c>
      <c r="AL37" s="20">
        <f t="shared" si="10"/>
        <v>0.61537585563161168</v>
      </c>
      <c r="AN37" s="5">
        <v>1046.6300000000001</v>
      </c>
    </row>
    <row r="38" spans="4:40" x14ac:dyDescent="0.35">
      <c r="D38" s="80">
        <f t="shared" si="11"/>
        <v>36</v>
      </c>
      <c r="E38" s="81">
        <v>0.28399999999999997</v>
      </c>
      <c r="F38" s="82">
        <v>0.28299999999999903</v>
      </c>
      <c r="G38" s="82">
        <v>0.40600000000000003</v>
      </c>
      <c r="H38" s="82">
        <v>42837.446000000004</v>
      </c>
      <c r="I38" s="82">
        <v>2343.1471163800002</v>
      </c>
      <c r="J38" s="82">
        <f t="shared" si="0"/>
        <v>45180.593116380005</v>
      </c>
      <c r="K38" s="81">
        <v>1.09999999999999E-2</v>
      </c>
      <c r="L38" s="82">
        <v>1.2E-2</v>
      </c>
      <c r="M38" s="82">
        <v>7.1999999999999995E-2</v>
      </c>
      <c r="N38" s="82">
        <v>4.1000000000000002E-2</v>
      </c>
      <c r="O38" s="82">
        <f t="shared" si="1"/>
        <v>0.11299999999999999</v>
      </c>
      <c r="P38" s="82">
        <v>6459.91</v>
      </c>
      <c r="Q38" s="82">
        <v>0</v>
      </c>
      <c r="R38" s="83">
        <f t="shared" si="2"/>
        <v>6459.91</v>
      </c>
      <c r="S38" s="82"/>
      <c r="T38" s="18">
        <v>29216</v>
      </c>
      <c r="U38" s="18">
        <f t="shared" si="3"/>
        <v>0.35199999999999998</v>
      </c>
      <c r="V38" s="18">
        <v>1359.8150000000001</v>
      </c>
      <c r="W38" s="18">
        <f t="shared" si="4"/>
        <v>0.28300000000000003</v>
      </c>
      <c r="X38" s="18">
        <v>5938.1966000000002</v>
      </c>
      <c r="Y38" s="18">
        <f t="shared" si="5"/>
        <v>0.41299999999999998</v>
      </c>
      <c r="Z38" s="18">
        <v>2414.9749999999999</v>
      </c>
      <c r="AA38" s="18">
        <f t="shared" si="6"/>
        <v>0.25</v>
      </c>
      <c r="AC38" s="84">
        <v>46.512</v>
      </c>
      <c r="AD38" s="18">
        <v>477.38760000000002</v>
      </c>
      <c r="AE38" s="5">
        <f t="shared" si="7"/>
        <v>7.1999999999999995E-2</v>
      </c>
      <c r="AF38" s="20">
        <f t="shared" si="8"/>
        <v>4.1000000000000002E-2</v>
      </c>
      <c r="AH38" s="22">
        <v>1046.6300000000001</v>
      </c>
      <c r="AI38" s="20">
        <f t="shared" si="9"/>
        <v>0.42499979696750673</v>
      </c>
      <c r="AK38" s="22">
        <v>984.81100000000004</v>
      </c>
      <c r="AL38" s="20">
        <f t="shared" si="10"/>
        <v>0.61282576228998131</v>
      </c>
      <c r="AN38" s="5">
        <v>1022.004</v>
      </c>
    </row>
    <row r="39" spans="4:40" x14ac:dyDescent="0.35">
      <c r="D39" s="80">
        <f t="shared" si="11"/>
        <v>37</v>
      </c>
      <c r="E39" s="81">
        <v>0.26</v>
      </c>
      <c r="F39" s="82">
        <v>0.36899999999999999</v>
      </c>
      <c r="G39" s="82">
        <v>0.49</v>
      </c>
      <c r="H39" s="82">
        <v>43054.642</v>
      </c>
      <c r="I39" s="82">
        <v>2542.0386568700001</v>
      </c>
      <c r="J39" s="82">
        <f t="shared" si="0"/>
        <v>45596.680656869998</v>
      </c>
      <c r="K39" s="81">
        <v>1.4999999999999999E-2</v>
      </c>
      <c r="L39" s="82">
        <v>1.3999999999999999E-2</v>
      </c>
      <c r="M39" s="82">
        <v>6.2E-2</v>
      </c>
      <c r="N39" s="82">
        <v>3.3000000000000002E-2</v>
      </c>
      <c r="O39" s="82">
        <f t="shared" si="1"/>
        <v>9.5000000000000001E-2</v>
      </c>
      <c r="P39" s="82">
        <v>6512.3739999999998</v>
      </c>
      <c r="Q39" s="82">
        <v>0</v>
      </c>
      <c r="R39" s="83">
        <f t="shared" si="2"/>
        <v>6512.3739999999998</v>
      </c>
      <c r="S39" s="82"/>
      <c r="T39" s="18">
        <v>31789</v>
      </c>
      <c r="U39" s="18">
        <f t="shared" si="3"/>
        <v>0.38300000000000001</v>
      </c>
      <c r="V39" s="18">
        <v>1773.0450000000001</v>
      </c>
      <c r="W39" s="18">
        <f t="shared" si="4"/>
        <v>0.36899999999999999</v>
      </c>
      <c r="X39" s="18">
        <v>7577.3113999999996</v>
      </c>
      <c r="Y39" s="18">
        <f t="shared" si="5"/>
        <v>0.52699999999999991</v>
      </c>
      <c r="Z39" s="18">
        <v>3197.4268999999999</v>
      </c>
      <c r="AA39" s="18">
        <f t="shared" si="6"/>
        <v>0.33100000000000002</v>
      </c>
      <c r="AC39" s="84">
        <v>40.052</v>
      </c>
      <c r="AD39" s="18">
        <v>384.23880000000003</v>
      </c>
      <c r="AE39" s="5">
        <f t="shared" si="7"/>
        <v>6.2E-2</v>
      </c>
      <c r="AF39" s="20">
        <f t="shared" si="8"/>
        <v>3.3000000000000002E-2</v>
      </c>
      <c r="AH39" s="22">
        <v>1022.004</v>
      </c>
      <c r="AI39" s="20">
        <f t="shared" si="9"/>
        <v>0.4150000406064987</v>
      </c>
      <c r="AK39" s="22">
        <v>987.846</v>
      </c>
      <c r="AL39" s="20">
        <f t="shared" si="10"/>
        <v>0.61471437461107659</v>
      </c>
      <c r="AN39" s="5">
        <v>1029.3920000000001</v>
      </c>
    </row>
    <row r="40" spans="4:40" x14ac:dyDescent="0.35">
      <c r="D40" s="80">
        <f t="shared" si="11"/>
        <v>38</v>
      </c>
      <c r="E40" s="81">
        <v>0.18</v>
      </c>
      <c r="F40" s="82">
        <v>0.4</v>
      </c>
      <c r="G40" s="82">
        <v>0.51100000000000001</v>
      </c>
      <c r="H40" s="82">
        <v>42919.839</v>
      </c>
      <c r="I40" s="82">
        <v>2244.6574105499999</v>
      </c>
      <c r="J40" s="82">
        <f t="shared" si="0"/>
        <v>45164.496410549997</v>
      </c>
      <c r="K40" s="81">
        <v>1.09999999999999E-2</v>
      </c>
      <c r="L40" s="82">
        <v>1.2E-2</v>
      </c>
      <c r="M40" s="82">
        <v>5.3999999999999999E-2</v>
      </c>
      <c r="N40" s="82">
        <v>2.4999999999999998E-2</v>
      </c>
      <c r="O40" s="82">
        <f t="shared" si="1"/>
        <v>7.9000000000000001E-2</v>
      </c>
      <c r="P40" s="82">
        <v>6237.08</v>
      </c>
      <c r="Q40" s="82">
        <v>0</v>
      </c>
      <c r="R40" s="83">
        <f t="shared" si="2"/>
        <v>6237.08</v>
      </c>
      <c r="S40" s="82"/>
      <c r="T40" s="18">
        <v>32702</v>
      </c>
      <c r="U40" s="18">
        <f t="shared" si="3"/>
        <v>0.39400000000000002</v>
      </c>
      <c r="V40" s="18">
        <v>1922</v>
      </c>
      <c r="W40" s="18">
        <f t="shared" si="4"/>
        <v>0.4</v>
      </c>
      <c r="X40" s="18">
        <v>8224.3304000000007</v>
      </c>
      <c r="Y40" s="18">
        <f t="shared" si="5"/>
        <v>0.57200000000000006</v>
      </c>
      <c r="Z40" s="18">
        <v>3516.2035999999998</v>
      </c>
      <c r="AA40" s="18">
        <f t="shared" si="6"/>
        <v>0.36399999999999999</v>
      </c>
      <c r="AC40" s="84">
        <v>34.884</v>
      </c>
      <c r="AD40" s="18">
        <v>291.08999999999997</v>
      </c>
      <c r="AE40" s="5">
        <f t="shared" si="7"/>
        <v>5.3999999999999999E-2</v>
      </c>
      <c r="AF40" s="20">
        <f t="shared" si="8"/>
        <v>2.4999999999999998E-2</v>
      </c>
      <c r="AH40" s="22">
        <v>1029.3920000000001</v>
      </c>
      <c r="AI40" s="20">
        <f t="shared" si="9"/>
        <v>0.41800004872779845</v>
      </c>
      <c r="AK40" s="22">
        <v>987.125</v>
      </c>
      <c r="AL40" s="20">
        <f t="shared" si="10"/>
        <v>0.61426571250777851</v>
      </c>
      <c r="AN40" s="5">
        <v>1058.944</v>
      </c>
    </row>
    <row r="41" spans="4:40" x14ac:dyDescent="0.35">
      <c r="D41" s="80">
        <f t="shared" si="11"/>
        <v>39</v>
      </c>
      <c r="E41" s="81">
        <v>6.7000000000000004E-2</v>
      </c>
      <c r="F41" s="82">
        <v>0.36299999999999999</v>
      </c>
      <c r="G41" s="82">
        <v>0.47</v>
      </c>
      <c r="H41" s="82">
        <v>42174.105000000003</v>
      </c>
      <c r="I41" s="82">
        <v>1668.47794946</v>
      </c>
      <c r="J41" s="82">
        <f t="shared" si="0"/>
        <v>43842.582949460004</v>
      </c>
      <c r="K41" s="81">
        <v>0</v>
      </c>
      <c r="L41" s="82">
        <v>0</v>
      </c>
      <c r="M41" s="82">
        <v>4.9999999999999996E-2</v>
      </c>
      <c r="N41" s="82">
        <v>2.1000000000000001E-2</v>
      </c>
      <c r="O41" s="82">
        <f t="shared" si="1"/>
        <v>7.0999999999999994E-2</v>
      </c>
      <c r="P41" s="82">
        <v>6179.3860000000004</v>
      </c>
      <c r="Q41" s="82">
        <v>0</v>
      </c>
      <c r="R41" s="83">
        <f t="shared" si="2"/>
        <v>6179.3860000000004</v>
      </c>
      <c r="S41" s="82"/>
      <c r="T41" s="18">
        <v>33034</v>
      </c>
      <c r="U41" s="18">
        <f t="shared" si="3"/>
        <v>0.39800000000000002</v>
      </c>
      <c r="V41" s="18">
        <v>1744.2149999999999</v>
      </c>
      <c r="W41" s="18">
        <f t="shared" si="4"/>
        <v>0.36299999999999999</v>
      </c>
      <c r="X41" s="18">
        <v>7821.7407999999996</v>
      </c>
      <c r="Y41" s="18">
        <f t="shared" si="5"/>
        <v>0.54399999999999993</v>
      </c>
      <c r="Z41" s="18">
        <v>3313.3456999999999</v>
      </c>
      <c r="AA41" s="18">
        <f t="shared" si="6"/>
        <v>0.34299999999999997</v>
      </c>
      <c r="AC41" s="84">
        <v>32.299999999999997</v>
      </c>
      <c r="AD41" s="18">
        <v>244.51560000000001</v>
      </c>
      <c r="AE41" s="5">
        <f t="shared" si="7"/>
        <v>4.9999999999999996E-2</v>
      </c>
      <c r="AF41" s="20">
        <f t="shared" si="8"/>
        <v>2.1000000000000001E-2</v>
      </c>
      <c r="AH41" s="22">
        <v>1058.944</v>
      </c>
      <c r="AI41" s="20">
        <f t="shared" si="9"/>
        <v>0.43000008121299732</v>
      </c>
      <c r="AK41" s="22">
        <v>974.24900000000002</v>
      </c>
      <c r="AL41" s="20">
        <f t="shared" si="10"/>
        <v>0.60625326695706283</v>
      </c>
      <c r="AN41" s="5">
        <v>1049.0930000000001</v>
      </c>
    </row>
    <row r="42" spans="4:40" x14ac:dyDescent="0.35">
      <c r="D42" s="80">
        <f t="shared" si="11"/>
        <v>40</v>
      </c>
      <c r="E42" s="81">
        <v>2.6000000000000002E-2</v>
      </c>
      <c r="F42" s="82">
        <v>0.26500000000000001</v>
      </c>
      <c r="G42" s="82">
        <v>0.36199999999999904</v>
      </c>
      <c r="H42" s="82">
        <v>42199.495000000003</v>
      </c>
      <c r="I42" s="82">
        <v>1405.1539164799999</v>
      </c>
      <c r="J42" s="82">
        <f t="shared" si="0"/>
        <v>43604.64891648</v>
      </c>
      <c r="K42" s="81">
        <v>0</v>
      </c>
      <c r="L42" s="82">
        <v>0</v>
      </c>
      <c r="M42" s="82">
        <v>5.0999999999999997E-2</v>
      </c>
      <c r="N42" s="82">
        <v>2.3E-2</v>
      </c>
      <c r="O42" s="82">
        <f t="shared" si="1"/>
        <v>7.3999999999999996E-2</v>
      </c>
      <c r="P42" s="82">
        <v>6194.5559999999996</v>
      </c>
      <c r="Q42" s="82">
        <v>0</v>
      </c>
      <c r="R42" s="83">
        <f t="shared" si="2"/>
        <v>6194.5559999999996</v>
      </c>
      <c r="S42" s="82"/>
      <c r="T42" s="18">
        <v>31125</v>
      </c>
      <c r="U42" s="18">
        <f t="shared" si="3"/>
        <v>0.375</v>
      </c>
      <c r="V42" s="18">
        <v>1273.325</v>
      </c>
      <c r="W42" s="18">
        <f t="shared" si="4"/>
        <v>0.26500000000000001</v>
      </c>
      <c r="X42" s="18">
        <v>6427.0554000000002</v>
      </c>
      <c r="Y42" s="18">
        <f t="shared" si="5"/>
        <v>0.44700000000000001</v>
      </c>
      <c r="Z42" s="18">
        <v>2608.1729999999998</v>
      </c>
      <c r="AA42" s="18">
        <f t="shared" si="6"/>
        <v>0.26999999999999996</v>
      </c>
      <c r="AC42" s="84">
        <v>32.945999999999998</v>
      </c>
      <c r="AD42" s="18">
        <v>267.80279999999999</v>
      </c>
      <c r="AE42" s="5">
        <f t="shared" si="7"/>
        <v>5.0999999999999997E-2</v>
      </c>
      <c r="AF42" s="20">
        <f t="shared" si="8"/>
        <v>2.3E-2</v>
      </c>
      <c r="AH42" s="22">
        <v>1049.0930000000001</v>
      </c>
      <c r="AI42" s="20">
        <f t="shared" si="9"/>
        <v>0.42599993502960221</v>
      </c>
      <c r="AK42" s="22">
        <v>966.42200000000003</v>
      </c>
      <c r="AL42" s="20">
        <f t="shared" si="10"/>
        <v>0.60138270068450528</v>
      </c>
      <c r="AN42" s="5">
        <v>1046.6300000000001</v>
      </c>
    </row>
    <row r="43" spans="4:40" x14ac:dyDescent="0.35">
      <c r="D43" s="80">
        <f t="shared" si="11"/>
        <v>41</v>
      </c>
      <c r="E43" s="81">
        <v>0</v>
      </c>
      <c r="F43" s="82">
        <v>0.13300000000000001</v>
      </c>
      <c r="G43" s="82">
        <v>0.21299999999999999</v>
      </c>
      <c r="H43" s="82">
        <v>42908.385000000002</v>
      </c>
      <c r="I43" s="82">
        <v>1406.3396975200001</v>
      </c>
      <c r="J43" s="82">
        <f t="shared" si="0"/>
        <v>44314.724697520003</v>
      </c>
      <c r="K43" s="81">
        <v>0</v>
      </c>
      <c r="L43" s="82">
        <v>0</v>
      </c>
      <c r="M43" s="82">
        <v>6.0999999999999999E-2</v>
      </c>
      <c r="N43" s="82">
        <v>3.3000000000000002E-2</v>
      </c>
      <c r="O43" s="82">
        <f t="shared" si="1"/>
        <v>9.4E-2</v>
      </c>
      <c r="P43" s="82">
        <v>6425.3190000000004</v>
      </c>
      <c r="Q43" s="82">
        <v>0</v>
      </c>
      <c r="R43" s="83">
        <f t="shared" si="2"/>
        <v>6425.3190000000004</v>
      </c>
      <c r="S43" s="82"/>
      <c r="T43" s="18">
        <v>21912</v>
      </c>
      <c r="U43" s="18">
        <f t="shared" si="3"/>
        <v>0.26400000000000001</v>
      </c>
      <c r="V43" s="18">
        <v>639.06500000000005</v>
      </c>
      <c r="W43" s="18">
        <f t="shared" si="4"/>
        <v>0.13300000000000001</v>
      </c>
      <c r="X43" s="18">
        <v>4327.8382000000001</v>
      </c>
      <c r="Y43" s="18">
        <f t="shared" si="5"/>
        <v>0.30099999999999999</v>
      </c>
      <c r="Z43" s="18">
        <v>1603.5434</v>
      </c>
      <c r="AA43" s="18">
        <f t="shared" si="6"/>
        <v>0.16600000000000001</v>
      </c>
      <c r="AC43" s="84">
        <v>39.405999999999999</v>
      </c>
      <c r="AD43" s="18">
        <v>384.23880000000003</v>
      </c>
      <c r="AE43" s="5">
        <f t="shared" si="7"/>
        <v>6.0999999999999999E-2</v>
      </c>
      <c r="AF43" s="20">
        <f t="shared" si="8"/>
        <v>3.3000000000000002E-2</v>
      </c>
      <c r="AH43" s="22">
        <v>1046.6300000000001</v>
      </c>
      <c r="AI43" s="20">
        <f t="shared" si="9"/>
        <v>0.42499979696750673</v>
      </c>
      <c r="AK43" s="22">
        <v>965.43600000000004</v>
      </c>
      <c r="AL43" s="20">
        <f t="shared" si="10"/>
        <v>0.60076913503422524</v>
      </c>
      <c r="AN43" s="5">
        <v>1058.944</v>
      </c>
    </row>
    <row r="44" spans="4:40" x14ac:dyDescent="0.35">
      <c r="D44" s="80">
        <f t="shared" si="11"/>
        <v>42</v>
      </c>
      <c r="E44" s="81">
        <v>0</v>
      </c>
      <c r="F44" s="82">
        <v>1.3000000000000001E-2</v>
      </c>
      <c r="G44" s="82">
        <v>5.4000000000000006E-2</v>
      </c>
      <c r="H44" s="82">
        <v>45150.703999999998</v>
      </c>
      <c r="I44" s="82">
        <v>2605.3519441799999</v>
      </c>
      <c r="J44" s="82">
        <f t="shared" si="0"/>
        <v>47756.05594418</v>
      </c>
      <c r="K44" s="81">
        <v>0</v>
      </c>
      <c r="L44" s="82">
        <v>0</v>
      </c>
      <c r="M44" s="82">
        <v>8.1000000000000003E-2</v>
      </c>
      <c r="N44" s="82">
        <v>5.8999999999999997E-2</v>
      </c>
      <c r="O44" s="82">
        <f t="shared" si="1"/>
        <v>0.14000000000000001</v>
      </c>
      <c r="P44" s="82">
        <v>6957.1009999999997</v>
      </c>
      <c r="Q44" s="82">
        <v>0</v>
      </c>
      <c r="R44" s="83">
        <f t="shared" si="2"/>
        <v>6957.1009999999997</v>
      </c>
      <c r="S44" s="82"/>
      <c r="T44" s="18">
        <v>4814</v>
      </c>
      <c r="U44" s="18">
        <f t="shared" si="3"/>
        <v>5.8000000000000003E-2</v>
      </c>
      <c r="V44" s="18">
        <v>62.465000000000003</v>
      </c>
      <c r="W44" s="18">
        <f t="shared" si="4"/>
        <v>1.3000000000000001E-2</v>
      </c>
      <c r="X44" s="18">
        <v>1811.6532</v>
      </c>
      <c r="Y44" s="18">
        <f t="shared" si="5"/>
        <v>0.126</v>
      </c>
      <c r="Z44" s="18">
        <v>579.59400000000005</v>
      </c>
      <c r="AA44" s="18">
        <f t="shared" si="6"/>
        <v>6.0000000000000005E-2</v>
      </c>
      <c r="AC44" s="84">
        <v>52.326000000000001</v>
      </c>
      <c r="AD44" s="18">
        <v>686.97239999999999</v>
      </c>
      <c r="AE44" s="5">
        <f t="shared" si="7"/>
        <v>8.1000000000000003E-2</v>
      </c>
      <c r="AF44" s="20">
        <f t="shared" si="8"/>
        <v>5.8999999999999997E-2</v>
      </c>
      <c r="AH44" s="22">
        <v>1058.944</v>
      </c>
      <c r="AI44" s="20">
        <f t="shared" si="9"/>
        <v>0.43000008121299732</v>
      </c>
      <c r="AK44" s="22">
        <v>969.31399999999996</v>
      </c>
      <c r="AL44" s="20">
        <f t="shared" si="10"/>
        <v>0.60318232731798382</v>
      </c>
      <c r="AN44" s="5">
        <v>1073.72</v>
      </c>
    </row>
    <row r="45" spans="4:40" x14ac:dyDescent="0.35">
      <c r="D45" s="80">
        <f t="shared" si="11"/>
        <v>43</v>
      </c>
      <c r="E45" s="81">
        <v>0</v>
      </c>
      <c r="F45" s="82">
        <v>0</v>
      </c>
      <c r="G45" s="82">
        <v>0</v>
      </c>
      <c r="H45" s="82">
        <v>46500.607000000004</v>
      </c>
      <c r="I45" s="82">
        <v>2788.4537903999999</v>
      </c>
      <c r="J45" s="82">
        <f t="shared" si="0"/>
        <v>49289.060790400006</v>
      </c>
      <c r="K45" s="81">
        <v>0</v>
      </c>
      <c r="L45" s="82">
        <v>0</v>
      </c>
      <c r="M45" s="82">
        <v>0.106</v>
      </c>
      <c r="N45" s="82">
        <v>0.159</v>
      </c>
      <c r="O45" s="82">
        <f t="shared" si="1"/>
        <v>0.26500000000000001</v>
      </c>
      <c r="P45" s="82">
        <v>7451.1549999999997</v>
      </c>
      <c r="Q45" s="82">
        <v>239.70212766</v>
      </c>
      <c r="R45" s="83">
        <f t="shared" si="2"/>
        <v>7690.8571276599996</v>
      </c>
      <c r="S45" s="82"/>
      <c r="T45" s="18">
        <v>0</v>
      </c>
      <c r="U45" s="18">
        <f t="shared" si="3"/>
        <v>0</v>
      </c>
      <c r="V45" s="18">
        <v>0</v>
      </c>
      <c r="W45" s="18">
        <f t="shared" si="4"/>
        <v>0</v>
      </c>
      <c r="X45" s="18">
        <v>0</v>
      </c>
      <c r="Y45" s="18">
        <f t="shared" si="5"/>
        <v>0</v>
      </c>
      <c r="Z45" s="18">
        <v>0</v>
      </c>
      <c r="AA45" s="18">
        <f t="shared" si="6"/>
        <v>0</v>
      </c>
      <c r="AC45" s="84">
        <v>68.475999999999999</v>
      </c>
      <c r="AD45" s="18">
        <v>1851.3324</v>
      </c>
      <c r="AE45" s="5">
        <f t="shared" si="7"/>
        <v>0.106</v>
      </c>
      <c r="AF45" s="20">
        <f t="shared" si="8"/>
        <v>0.159</v>
      </c>
      <c r="AH45" s="22">
        <v>1073.72</v>
      </c>
      <c r="AI45" s="20">
        <f t="shared" si="9"/>
        <v>0.43600009745559681</v>
      </c>
      <c r="AK45" s="22">
        <v>973.96</v>
      </c>
      <c r="AL45" s="20">
        <f t="shared" si="10"/>
        <v>0.60607342874922221</v>
      </c>
      <c r="AN45" s="5">
        <v>1090.9580000000001</v>
      </c>
    </row>
    <row r="46" spans="4:40" x14ac:dyDescent="0.35">
      <c r="D46" s="80">
        <f t="shared" si="11"/>
        <v>44</v>
      </c>
      <c r="E46" s="81">
        <v>0</v>
      </c>
      <c r="F46" s="82">
        <v>0</v>
      </c>
      <c r="G46" s="82">
        <v>0</v>
      </c>
      <c r="H46" s="82">
        <v>46170.290999999997</v>
      </c>
      <c r="I46" s="82">
        <v>2607.1684842300001</v>
      </c>
      <c r="J46" s="82">
        <f t="shared" si="0"/>
        <v>48777.459484229999</v>
      </c>
      <c r="K46" s="81">
        <v>0</v>
      </c>
      <c r="L46" s="82">
        <v>0</v>
      </c>
      <c r="M46" s="82">
        <v>0.124</v>
      </c>
      <c r="N46" s="82">
        <v>0.22199999999999998</v>
      </c>
      <c r="O46" s="82">
        <f t="shared" si="1"/>
        <v>0.34599999999999997</v>
      </c>
      <c r="P46" s="82">
        <v>7554.1670000000004</v>
      </c>
      <c r="Q46" s="82">
        <v>199.60531915000001</v>
      </c>
      <c r="R46" s="83">
        <f t="shared" si="2"/>
        <v>7753.7723191500008</v>
      </c>
      <c r="S46" s="82"/>
      <c r="T46" s="18">
        <v>0</v>
      </c>
      <c r="U46" s="18">
        <f t="shared" si="3"/>
        <v>0</v>
      </c>
      <c r="V46" s="18">
        <v>0</v>
      </c>
      <c r="W46" s="18">
        <f t="shared" si="4"/>
        <v>0</v>
      </c>
      <c r="X46" s="18">
        <v>0</v>
      </c>
      <c r="Y46" s="18">
        <f t="shared" si="5"/>
        <v>0</v>
      </c>
      <c r="Z46" s="18">
        <v>0</v>
      </c>
      <c r="AA46" s="18">
        <f t="shared" si="6"/>
        <v>0</v>
      </c>
      <c r="AC46" s="84">
        <v>80.103999999999999</v>
      </c>
      <c r="AD46" s="18">
        <v>2584.8791999999999</v>
      </c>
      <c r="AE46" s="5">
        <f t="shared" si="7"/>
        <v>0.124</v>
      </c>
      <c r="AF46" s="20">
        <f t="shared" si="8"/>
        <v>0.22199999999999998</v>
      </c>
      <c r="AH46" s="22">
        <v>1090.9580000000001</v>
      </c>
      <c r="AI46" s="20">
        <f t="shared" si="9"/>
        <v>0.44299984569530515</v>
      </c>
      <c r="AK46" s="22">
        <v>982.16099999999994</v>
      </c>
      <c r="AL46" s="20">
        <f t="shared" si="10"/>
        <v>0.61117672682016178</v>
      </c>
      <c r="AN46" s="5">
        <v>1113.1220000000001</v>
      </c>
    </row>
    <row r="47" spans="4:40" x14ac:dyDescent="0.35">
      <c r="D47" s="80">
        <f t="shared" si="11"/>
        <v>45</v>
      </c>
      <c r="E47" s="81">
        <v>0</v>
      </c>
      <c r="F47" s="82">
        <v>0</v>
      </c>
      <c r="G47" s="82">
        <v>0</v>
      </c>
      <c r="H47" s="82">
        <v>44560.091</v>
      </c>
      <c r="I47" s="82">
        <v>2325.4370553099998</v>
      </c>
      <c r="J47" s="82">
        <f t="shared" si="0"/>
        <v>46885.528055310002</v>
      </c>
      <c r="K47" s="81">
        <v>0</v>
      </c>
      <c r="L47" s="82">
        <v>0</v>
      </c>
      <c r="M47" s="82">
        <v>0.13100000000000001</v>
      </c>
      <c r="N47" s="82">
        <v>0.223</v>
      </c>
      <c r="O47" s="82">
        <f t="shared" si="1"/>
        <v>0.35399999999999998</v>
      </c>
      <c r="P47" s="82">
        <v>7289.6319999999996</v>
      </c>
      <c r="Q47" s="82">
        <v>122.0287234</v>
      </c>
      <c r="R47" s="83">
        <f t="shared" si="2"/>
        <v>7411.6607233999994</v>
      </c>
      <c r="S47" s="82"/>
      <c r="T47" s="18">
        <v>0</v>
      </c>
      <c r="U47" s="18">
        <f t="shared" si="3"/>
        <v>0</v>
      </c>
      <c r="V47" s="18">
        <v>0</v>
      </c>
      <c r="W47" s="18">
        <f t="shared" si="4"/>
        <v>0</v>
      </c>
      <c r="X47" s="18">
        <v>0</v>
      </c>
      <c r="Y47" s="18">
        <f t="shared" si="5"/>
        <v>0</v>
      </c>
      <c r="Z47" s="18">
        <v>0</v>
      </c>
      <c r="AA47" s="18">
        <f t="shared" si="6"/>
        <v>0</v>
      </c>
      <c r="AC47" s="84">
        <v>84.626000000000005</v>
      </c>
      <c r="AD47" s="18">
        <v>2596.5228000000002</v>
      </c>
      <c r="AE47" s="5">
        <f t="shared" si="7"/>
        <v>0.13100000000000001</v>
      </c>
      <c r="AF47" s="20">
        <f t="shared" si="8"/>
        <v>0.223</v>
      </c>
      <c r="AH47" s="22">
        <v>1113.1220000000001</v>
      </c>
      <c r="AI47" s="20">
        <f t="shared" si="9"/>
        <v>0.45199987005920433</v>
      </c>
      <c r="AK47" s="22">
        <v>986.38400000000001</v>
      </c>
      <c r="AL47" s="20">
        <f t="shared" si="10"/>
        <v>0.61380460485376476</v>
      </c>
      <c r="AN47" s="5">
        <v>1108.1969999999999</v>
      </c>
    </row>
    <row r="48" spans="4:40" x14ac:dyDescent="0.35">
      <c r="D48" s="80">
        <f t="shared" si="11"/>
        <v>46</v>
      </c>
      <c r="E48" s="81">
        <v>0</v>
      </c>
      <c r="F48" s="82">
        <v>0</v>
      </c>
      <c r="G48" s="82">
        <v>0</v>
      </c>
      <c r="H48" s="82">
        <v>41967.483</v>
      </c>
      <c r="I48" s="82">
        <v>2062.1821264099999</v>
      </c>
      <c r="J48" s="82">
        <f t="shared" si="0"/>
        <v>44029.66512641</v>
      </c>
      <c r="K48" s="81">
        <v>0</v>
      </c>
      <c r="L48" s="82">
        <v>0</v>
      </c>
      <c r="M48" s="82">
        <v>0.13</v>
      </c>
      <c r="N48" s="82">
        <v>0.20699999999999999</v>
      </c>
      <c r="O48" s="82">
        <f t="shared" si="1"/>
        <v>0.33699999999999997</v>
      </c>
      <c r="P48" s="82">
        <v>6840.52</v>
      </c>
      <c r="Q48" s="82">
        <v>65.879787230000005</v>
      </c>
      <c r="R48" s="83">
        <f t="shared" si="2"/>
        <v>6906.3997872300006</v>
      </c>
      <c r="S48" s="82"/>
      <c r="T48" s="18">
        <v>0</v>
      </c>
      <c r="U48" s="18">
        <f t="shared" si="3"/>
        <v>0</v>
      </c>
      <c r="V48" s="18">
        <v>0</v>
      </c>
      <c r="W48" s="18">
        <f t="shared" si="4"/>
        <v>0</v>
      </c>
      <c r="X48" s="18">
        <v>0</v>
      </c>
      <c r="Y48" s="18">
        <f t="shared" si="5"/>
        <v>0</v>
      </c>
      <c r="Z48" s="18">
        <v>0</v>
      </c>
      <c r="AA48" s="18">
        <f t="shared" si="6"/>
        <v>0</v>
      </c>
      <c r="AC48" s="84">
        <v>83.98</v>
      </c>
      <c r="AD48" s="18">
        <v>2410.2251999999999</v>
      </c>
      <c r="AE48" s="5">
        <f t="shared" si="7"/>
        <v>0.13</v>
      </c>
      <c r="AF48" s="20">
        <f t="shared" si="8"/>
        <v>0.20699999999999999</v>
      </c>
      <c r="AH48" s="22">
        <v>1108.1969999999999</v>
      </c>
      <c r="AI48" s="20">
        <f t="shared" si="9"/>
        <v>0.44999999999999996</v>
      </c>
      <c r="AK48" s="22">
        <v>981.60900000000004</v>
      </c>
      <c r="AL48" s="20">
        <f t="shared" si="10"/>
        <v>0.61083322962041076</v>
      </c>
      <c r="AN48" s="5">
        <v>1098.346</v>
      </c>
    </row>
    <row r="49" spans="4:40" x14ac:dyDescent="0.35">
      <c r="D49" s="80">
        <f t="shared" si="11"/>
        <v>47</v>
      </c>
      <c r="E49" s="81">
        <v>0</v>
      </c>
      <c r="F49" s="82">
        <v>0</v>
      </c>
      <c r="G49" s="82">
        <v>0</v>
      </c>
      <c r="H49" s="82">
        <v>39356.019</v>
      </c>
      <c r="I49" s="82">
        <v>2047.4172926900001</v>
      </c>
      <c r="J49" s="82">
        <f t="shared" si="0"/>
        <v>41403.436292689999</v>
      </c>
      <c r="K49" s="81">
        <v>0</v>
      </c>
      <c r="L49" s="82">
        <v>0</v>
      </c>
      <c r="M49" s="82">
        <v>0.127</v>
      </c>
      <c r="N49" s="82">
        <v>0.20299999999999999</v>
      </c>
      <c r="O49" s="82">
        <f t="shared" si="1"/>
        <v>0.32999999999999996</v>
      </c>
      <c r="P49" s="82">
        <v>6945.6790000000001</v>
      </c>
      <c r="Q49" s="82">
        <v>233.64574468000001</v>
      </c>
      <c r="R49" s="83">
        <f t="shared" si="2"/>
        <v>7179.3247446799996</v>
      </c>
      <c r="S49" s="82"/>
      <c r="T49" s="18">
        <v>0</v>
      </c>
      <c r="U49" s="18">
        <f t="shared" si="3"/>
        <v>0</v>
      </c>
      <c r="V49" s="18">
        <v>0</v>
      </c>
      <c r="W49" s="18">
        <f t="shared" si="4"/>
        <v>0</v>
      </c>
      <c r="X49" s="18">
        <v>0</v>
      </c>
      <c r="Y49" s="18">
        <f t="shared" si="5"/>
        <v>0</v>
      </c>
      <c r="Z49" s="18">
        <v>0</v>
      </c>
      <c r="AA49" s="18">
        <f t="shared" si="6"/>
        <v>0</v>
      </c>
      <c r="AC49" s="84">
        <v>82.042000000000002</v>
      </c>
      <c r="AD49" s="18">
        <v>2363.6507999999999</v>
      </c>
      <c r="AE49" s="5">
        <f t="shared" si="7"/>
        <v>0.127</v>
      </c>
      <c r="AF49" s="20">
        <f t="shared" si="8"/>
        <v>0.20299999999999999</v>
      </c>
      <c r="AH49" s="22">
        <v>1098.346</v>
      </c>
      <c r="AI49" s="20">
        <f t="shared" si="9"/>
        <v>0.44599985381660484</v>
      </c>
      <c r="AK49" s="22">
        <v>982.87699999999995</v>
      </c>
      <c r="AL49" s="20">
        <f t="shared" si="10"/>
        <v>0.61162227753578091</v>
      </c>
      <c r="AN49" s="5">
        <v>1098.346</v>
      </c>
    </row>
    <row r="50" spans="4:40" x14ac:dyDescent="0.35">
      <c r="D50" s="80">
        <f t="shared" si="11"/>
        <v>48</v>
      </c>
      <c r="E50" s="81">
        <v>0</v>
      </c>
      <c r="F50" s="82">
        <v>0</v>
      </c>
      <c r="G50" s="82">
        <v>0</v>
      </c>
      <c r="H50" s="82">
        <v>36872.559000000001</v>
      </c>
      <c r="I50" s="82">
        <v>1731.3661337599999</v>
      </c>
      <c r="J50" s="82">
        <f t="shared" si="0"/>
        <v>38603.92513376</v>
      </c>
      <c r="K50" s="81">
        <v>0</v>
      </c>
      <c r="L50" s="82">
        <v>0</v>
      </c>
      <c r="M50" s="82">
        <v>0.11600000000000001</v>
      </c>
      <c r="N50" s="82">
        <v>0.21499999999999997</v>
      </c>
      <c r="O50" s="82">
        <f t="shared" si="1"/>
        <v>0.33099999999999996</v>
      </c>
      <c r="P50" s="82">
        <v>6440.0559999999996</v>
      </c>
      <c r="Q50" s="82">
        <v>304.68297871999999</v>
      </c>
      <c r="R50" s="83">
        <f t="shared" si="2"/>
        <v>6744.73897872</v>
      </c>
      <c r="S50" s="82"/>
      <c r="T50" s="18">
        <v>0</v>
      </c>
      <c r="U50" s="18">
        <f t="shared" si="3"/>
        <v>0</v>
      </c>
      <c r="V50" s="18">
        <v>0</v>
      </c>
      <c r="W50" s="18">
        <f t="shared" si="4"/>
        <v>0</v>
      </c>
      <c r="X50" s="18">
        <v>0</v>
      </c>
      <c r="Y50" s="18">
        <f t="shared" si="5"/>
        <v>0</v>
      </c>
      <c r="Z50" s="18">
        <v>0</v>
      </c>
      <c r="AA50" s="18">
        <f t="shared" si="6"/>
        <v>0</v>
      </c>
      <c r="AC50" s="84">
        <v>74.936000000000007</v>
      </c>
      <c r="AD50" s="18">
        <v>2503.3739999999998</v>
      </c>
      <c r="AE50" s="5">
        <f t="shared" si="7"/>
        <v>0.11600000000000001</v>
      </c>
      <c r="AF50" s="20">
        <f t="shared" si="8"/>
        <v>0.21499999999999997</v>
      </c>
      <c r="AH50" s="22">
        <v>1098.346</v>
      </c>
      <c r="AI50" s="20">
        <f t="shared" si="9"/>
        <v>0.44599985381660484</v>
      </c>
      <c r="AK50" s="22">
        <v>974.91899999999998</v>
      </c>
      <c r="AL50" s="20">
        <f t="shared" si="10"/>
        <v>0.60667019290603608</v>
      </c>
      <c r="AN50" s="5">
        <v>1068.7940000000001</v>
      </c>
    </row>
    <row r="51" spans="4:40" x14ac:dyDescent="0.35">
      <c r="D51" s="80">
        <f t="shared" si="11"/>
        <v>49</v>
      </c>
      <c r="E51" s="81">
        <v>0</v>
      </c>
      <c r="F51" s="82">
        <v>0</v>
      </c>
      <c r="G51" s="82">
        <v>0</v>
      </c>
      <c r="H51" s="82">
        <v>34091.993000000002</v>
      </c>
      <c r="I51" s="82">
        <v>1350.0807294900001</v>
      </c>
      <c r="J51" s="82">
        <f t="shared" si="0"/>
        <v>35442.073729490003</v>
      </c>
      <c r="K51" s="81">
        <v>0</v>
      </c>
      <c r="L51" s="82">
        <v>0</v>
      </c>
      <c r="M51" s="82">
        <v>0.11</v>
      </c>
      <c r="N51" s="82">
        <v>0.23500000000000001</v>
      </c>
      <c r="O51" s="82">
        <f t="shared" si="1"/>
        <v>0.34500000000000003</v>
      </c>
      <c r="P51" s="82">
        <v>5690.9629999999997</v>
      </c>
      <c r="Q51" s="82">
        <v>246.98723404</v>
      </c>
      <c r="R51" s="83">
        <f t="shared" si="2"/>
        <v>5937.9502340399995</v>
      </c>
      <c r="S51" s="82"/>
      <c r="T51" s="18">
        <v>0</v>
      </c>
      <c r="U51" s="18">
        <f t="shared" si="3"/>
        <v>0</v>
      </c>
      <c r="V51" s="18">
        <v>0</v>
      </c>
      <c r="W51" s="18">
        <f t="shared" si="4"/>
        <v>0</v>
      </c>
      <c r="X51" s="18">
        <v>0</v>
      </c>
      <c r="Y51" s="18">
        <f t="shared" si="5"/>
        <v>0</v>
      </c>
      <c r="Z51" s="18">
        <v>0</v>
      </c>
      <c r="AA51" s="18">
        <f t="shared" si="6"/>
        <v>0</v>
      </c>
      <c r="AC51" s="84">
        <v>71.06</v>
      </c>
      <c r="AD51" s="18">
        <v>2736.2460000000001</v>
      </c>
      <c r="AE51" s="5">
        <f t="shared" si="7"/>
        <v>0.11</v>
      </c>
      <c r="AF51" s="20">
        <f t="shared" si="8"/>
        <v>0.23500000000000001</v>
      </c>
      <c r="AH51" s="22">
        <v>1068.7940000000001</v>
      </c>
      <c r="AI51" s="20">
        <f t="shared" si="9"/>
        <v>0.43399982133140597</v>
      </c>
      <c r="AK51" s="22">
        <v>895.11</v>
      </c>
      <c r="AL51" s="20">
        <f t="shared" si="10"/>
        <v>0.55700684505289355</v>
      </c>
      <c r="AN51" s="5">
        <v>1058.944</v>
      </c>
    </row>
    <row r="52" spans="4:40" x14ac:dyDescent="0.35">
      <c r="D52" s="80">
        <f t="shared" si="11"/>
        <v>50</v>
      </c>
      <c r="E52" s="81">
        <v>0</v>
      </c>
      <c r="F52" s="82">
        <v>0</v>
      </c>
      <c r="G52" s="82">
        <v>0</v>
      </c>
      <c r="H52" s="82">
        <v>32214.328489359999</v>
      </c>
      <c r="I52" s="82">
        <v>900.23500904000002</v>
      </c>
      <c r="J52" s="82">
        <f t="shared" si="0"/>
        <v>33114.563498399999</v>
      </c>
      <c r="K52" s="81">
        <v>0</v>
      </c>
      <c r="L52" s="82">
        <v>0</v>
      </c>
      <c r="M52" s="82">
        <v>0.106</v>
      </c>
      <c r="N52" s="82">
        <v>0.247</v>
      </c>
      <c r="O52" s="82">
        <f t="shared" si="1"/>
        <v>0.35299999999999998</v>
      </c>
      <c r="P52" s="82">
        <v>5321.1009999999997</v>
      </c>
      <c r="Q52" s="82">
        <v>103.29766454999999</v>
      </c>
      <c r="R52" s="83">
        <f t="shared" si="2"/>
        <v>5424.3986645499999</v>
      </c>
      <c r="S52" s="82"/>
      <c r="T52" s="18">
        <v>0</v>
      </c>
      <c r="U52" s="18">
        <f t="shared" si="3"/>
        <v>0</v>
      </c>
      <c r="V52" s="18">
        <v>0</v>
      </c>
      <c r="W52" s="18">
        <f t="shared" si="4"/>
        <v>0</v>
      </c>
      <c r="X52" s="18">
        <v>0</v>
      </c>
      <c r="Y52" s="18">
        <f t="shared" si="5"/>
        <v>0</v>
      </c>
      <c r="Z52" s="18">
        <v>0</v>
      </c>
      <c r="AA52" s="18">
        <f t="shared" si="6"/>
        <v>0</v>
      </c>
      <c r="AC52" s="84">
        <v>68.475999999999999</v>
      </c>
      <c r="AD52" s="18">
        <v>2875.9692</v>
      </c>
      <c r="AE52" s="5">
        <f t="shared" si="7"/>
        <v>0.106</v>
      </c>
      <c r="AF52" s="20">
        <f t="shared" si="8"/>
        <v>0.247</v>
      </c>
      <c r="AH52" s="22">
        <v>1058.944</v>
      </c>
      <c r="AI52" s="20">
        <f t="shared" si="9"/>
        <v>0.43000008121299732</v>
      </c>
      <c r="AK52" s="22">
        <v>888.40899999999999</v>
      </c>
      <c r="AL52" s="20">
        <f t="shared" si="10"/>
        <v>0.55283696328562537</v>
      </c>
      <c r="AN52" s="5">
        <v>1039.2429999999999</v>
      </c>
    </row>
    <row r="53" spans="4:40" x14ac:dyDescent="0.35">
      <c r="D53" s="80">
        <f t="shared" si="11"/>
        <v>51</v>
      </c>
      <c r="E53" s="81">
        <v>0</v>
      </c>
      <c r="F53" s="82">
        <v>0</v>
      </c>
      <c r="G53" s="82">
        <v>0</v>
      </c>
      <c r="H53" s="82">
        <v>31152.763893619998</v>
      </c>
      <c r="I53" s="82">
        <v>1494.0810072700001</v>
      </c>
      <c r="J53" s="82">
        <f t="shared" si="0"/>
        <v>32646.844900889999</v>
      </c>
      <c r="K53" s="81">
        <v>0</v>
      </c>
      <c r="L53" s="82">
        <v>0</v>
      </c>
      <c r="M53" s="82">
        <v>0.11</v>
      </c>
      <c r="N53" s="82">
        <v>0.255</v>
      </c>
      <c r="O53" s="82">
        <f t="shared" si="1"/>
        <v>0.36499999999999999</v>
      </c>
      <c r="P53" s="82">
        <v>4892.9080000000004</v>
      </c>
      <c r="Q53" s="82">
        <v>177.81170212999999</v>
      </c>
      <c r="R53" s="83">
        <f t="shared" si="2"/>
        <v>5070.7197021300008</v>
      </c>
      <c r="S53" s="82"/>
      <c r="T53" s="18">
        <v>0</v>
      </c>
      <c r="U53" s="18">
        <f t="shared" si="3"/>
        <v>0</v>
      </c>
      <c r="V53" s="18">
        <v>0</v>
      </c>
      <c r="W53" s="18">
        <f t="shared" si="4"/>
        <v>0</v>
      </c>
      <c r="X53" s="18">
        <v>0</v>
      </c>
      <c r="Y53" s="18">
        <f t="shared" si="5"/>
        <v>0</v>
      </c>
      <c r="Z53" s="18">
        <v>0</v>
      </c>
      <c r="AA53" s="18">
        <f t="shared" si="6"/>
        <v>0</v>
      </c>
      <c r="AC53" s="84">
        <v>71.06</v>
      </c>
      <c r="AD53" s="18">
        <v>2969.1179999999999</v>
      </c>
      <c r="AE53" s="5">
        <f t="shared" si="7"/>
        <v>0.11</v>
      </c>
      <c r="AF53" s="20">
        <f t="shared" si="8"/>
        <v>0.255</v>
      </c>
      <c r="AH53" s="22">
        <v>1039.2429999999999</v>
      </c>
      <c r="AI53" s="20">
        <f t="shared" si="9"/>
        <v>0.42200019491119356</v>
      </c>
      <c r="AK53" s="22">
        <v>887.54899999999998</v>
      </c>
      <c r="AL53" s="20">
        <f t="shared" si="10"/>
        <v>0.55230180460485379</v>
      </c>
      <c r="AN53" s="5">
        <v>1026.9290000000001</v>
      </c>
    </row>
    <row r="54" spans="4:40" x14ac:dyDescent="0.35">
      <c r="D54" s="80">
        <f t="shared" si="11"/>
        <v>52</v>
      </c>
      <c r="E54" s="81">
        <v>0</v>
      </c>
      <c r="F54" s="82">
        <v>0</v>
      </c>
      <c r="G54" s="82">
        <v>0</v>
      </c>
      <c r="H54" s="82">
        <v>30795.38287234</v>
      </c>
      <c r="I54" s="82">
        <v>2326.8062958999999</v>
      </c>
      <c r="J54" s="82">
        <f t="shared" si="0"/>
        <v>33122.189168240002</v>
      </c>
      <c r="K54" s="81">
        <v>0</v>
      </c>
      <c r="L54" s="82">
        <v>0</v>
      </c>
      <c r="M54" s="82">
        <v>0.111</v>
      </c>
      <c r="N54" s="82">
        <v>0.254</v>
      </c>
      <c r="O54" s="82">
        <f t="shared" si="1"/>
        <v>0.36499999999999999</v>
      </c>
      <c r="P54" s="82">
        <v>4771.9589999999998</v>
      </c>
      <c r="Q54" s="82">
        <v>161.65531915</v>
      </c>
      <c r="R54" s="83">
        <f t="shared" si="2"/>
        <v>4933.6143191499996</v>
      </c>
      <c r="S54" s="82"/>
      <c r="T54" s="18">
        <v>0</v>
      </c>
      <c r="U54" s="18">
        <f t="shared" si="3"/>
        <v>0</v>
      </c>
      <c r="V54" s="18">
        <v>0</v>
      </c>
      <c r="W54" s="18">
        <f t="shared" si="4"/>
        <v>0</v>
      </c>
      <c r="X54" s="18">
        <v>0</v>
      </c>
      <c r="Y54" s="18">
        <f t="shared" si="5"/>
        <v>0</v>
      </c>
      <c r="Z54" s="18">
        <v>0</v>
      </c>
      <c r="AA54" s="18">
        <f t="shared" si="6"/>
        <v>0</v>
      </c>
      <c r="AC54" s="84">
        <v>71.706000000000003</v>
      </c>
      <c r="AD54" s="18">
        <v>2957.4744000000001</v>
      </c>
      <c r="AE54" s="5">
        <f t="shared" si="7"/>
        <v>0.111</v>
      </c>
      <c r="AF54" s="20">
        <f t="shared" si="8"/>
        <v>0.254</v>
      </c>
      <c r="AH54" s="22">
        <v>1026.9290000000001</v>
      </c>
      <c r="AI54" s="20">
        <f t="shared" si="9"/>
        <v>0.41699991066570302</v>
      </c>
      <c r="AK54" s="22">
        <v>878.93799999999999</v>
      </c>
      <c r="AL54" s="20">
        <f t="shared" si="10"/>
        <v>0.54694337274424387</v>
      </c>
      <c r="AN54" s="5">
        <v>1022.004</v>
      </c>
    </row>
    <row r="55" spans="4:40" x14ac:dyDescent="0.35">
      <c r="D55" s="80">
        <f t="shared" si="11"/>
        <v>53</v>
      </c>
      <c r="E55" s="81">
        <v>0</v>
      </c>
      <c r="F55" s="82">
        <v>0</v>
      </c>
      <c r="G55" s="82">
        <v>0</v>
      </c>
      <c r="H55" s="82">
        <v>31572.450063830001</v>
      </c>
      <c r="I55" s="82">
        <v>2612.1293219499998</v>
      </c>
      <c r="J55" s="82">
        <f t="shared" si="0"/>
        <v>34184.579385780002</v>
      </c>
      <c r="K55" s="81">
        <v>0</v>
      </c>
      <c r="L55" s="82">
        <v>0</v>
      </c>
      <c r="M55" s="82">
        <v>0.112</v>
      </c>
      <c r="N55" s="82">
        <v>0.25</v>
      </c>
      <c r="O55" s="82">
        <f t="shared" si="1"/>
        <v>0.36199999999999999</v>
      </c>
      <c r="P55" s="82">
        <v>4773.7979999999998</v>
      </c>
      <c r="Q55" s="82">
        <v>164.99893617000001</v>
      </c>
      <c r="R55" s="83">
        <f t="shared" si="2"/>
        <v>4938.7969361699998</v>
      </c>
      <c r="S55" s="82"/>
      <c r="T55" s="18">
        <v>0</v>
      </c>
      <c r="U55" s="18">
        <f t="shared" si="3"/>
        <v>0</v>
      </c>
      <c r="V55" s="18">
        <v>0</v>
      </c>
      <c r="W55" s="18">
        <f t="shared" si="4"/>
        <v>0</v>
      </c>
      <c r="X55" s="18">
        <v>0</v>
      </c>
      <c r="Y55" s="18">
        <f t="shared" si="5"/>
        <v>0</v>
      </c>
      <c r="Z55" s="18">
        <v>0</v>
      </c>
      <c r="AA55" s="18">
        <f t="shared" si="6"/>
        <v>0</v>
      </c>
      <c r="AC55" s="84">
        <v>72.352000000000004</v>
      </c>
      <c r="AD55" s="18">
        <v>2910.9</v>
      </c>
      <c r="AE55" s="5">
        <f t="shared" si="7"/>
        <v>0.112</v>
      </c>
      <c r="AF55" s="20">
        <f t="shared" si="8"/>
        <v>0.25</v>
      </c>
      <c r="AH55" s="22">
        <v>1022.004</v>
      </c>
      <c r="AI55" s="20">
        <f t="shared" si="9"/>
        <v>0.4150000406064987</v>
      </c>
      <c r="AK55" s="22">
        <v>864.82</v>
      </c>
      <c r="AL55" s="20">
        <f t="shared" si="10"/>
        <v>0.53815805849408838</v>
      </c>
      <c r="AN55" s="5">
        <v>1024.4670000000001</v>
      </c>
    </row>
    <row r="56" spans="4:40" x14ac:dyDescent="0.35">
      <c r="D56" s="80">
        <f t="shared" si="11"/>
        <v>54</v>
      </c>
      <c r="E56" s="81">
        <v>0</v>
      </c>
      <c r="F56" s="82">
        <v>0</v>
      </c>
      <c r="G56" s="82">
        <v>0</v>
      </c>
      <c r="H56" s="82">
        <v>33783.608234040003</v>
      </c>
      <c r="I56" s="82">
        <v>2862.9311442500002</v>
      </c>
      <c r="J56" s="82">
        <f t="shared" si="0"/>
        <v>36646.539378290006</v>
      </c>
      <c r="K56" s="81">
        <v>0</v>
      </c>
      <c r="L56" s="82">
        <v>0</v>
      </c>
      <c r="M56" s="82">
        <v>0.11</v>
      </c>
      <c r="N56" s="82">
        <v>0.26100000000000001</v>
      </c>
      <c r="O56" s="82">
        <f t="shared" si="1"/>
        <v>0.371</v>
      </c>
      <c r="P56" s="82">
        <v>4910.6890000000003</v>
      </c>
      <c r="Q56" s="82">
        <v>99.419740000000004</v>
      </c>
      <c r="R56" s="83">
        <f t="shared" si="2"/>
        <v>5010.1087400000006</v>
      </c>
      <c r="S56" s="82"/>
      <c r="T56" s="18">
        <v>0</v>
      </c>
      <c r="U56" s="18">
        <f t="shared" si="3"/>
        <v>0</v>
      </c>
      <c r="V56" s="18">
        <v>0</v>
      </c>
      <c r="W56" s="18">
        <f t="shared" si="4"/>
        <v>0</v>
      </c>
      <c r="X56" s="18">
        <v>0</v>
      </c>
      <c r="Y56" s="18">
        <f t="shared" si="5"/>
        <v>0</v>
      </c>
      <c r="Z56" s="18">
        <v>0</v>
      </c>
      <c r="AA56" s="18">
        <f t="shared" si="6"/>
        <v>0</v>
      </c>
      <c r="AC56" s="84">
        <v>71.06</v>
      </c>
      <c r="AD56" s="18">
        <v>3038.9796000000001</v>
      </c>
      <c r="AE56" s="5">
        <f t="shared" si="7"/>
        <v>0.11</v>
      </c>
      <c r="AF56" s="20">
        <f t="shared" si="8"/>
        <v>0.26100000000000001</v>
      </c>
      <c r="AH56" s="22">
        <v>1024.4670000000001</v>
      </c>
      <c r="AI56" s="20">
        <f t="shared" si="9"/>
        <v>0.41600017866859418</v>
      </c>
      <c r="AK56" s="22">
        <v>859.74699999999996</v>
      </c>
      <c r="AL56" s="20">
        <f t="shared" si="10"/>
        <v>0.53500124455507159</v>
      </c>
      <c r="AN56" s="5">
        <v>1031.855</v>
      </c>
    </row>
    <row r="57" spans="4:40" x14ac:dyDescent="0.35">
      <c r="D57" s="80">
        <f t="shared" si="11"/>
        <v>55</v>
      </c>
      <c r="E57" s="81">
        <v>0</v>
      </c>
      <c r="F57" s="82">
        <v>0</v>
      </c>
      <c r="G57" s="82">
        <v>0</v>
      </c>
      <c r="H57" s="82">
        <v>36932.321680000001</v>
      </c>
      <c r="I57" s="82">
        <v>3745.2898985900001</v>
      </c>
      <c r="J57" s="82">
        <f t="shared" si="0"/>
        <v>40677.611578590004</v>
      </c>
      <c r="K57" s="81">
        <v>0</v>
      </c>
      <c r="L57" s="82">
        <v>0</v>
      </c>
      <c r="M57" s="82">
        <v>0.104</v>
      </c>
      <c r="N57" s="82">
        <v>0.26100000000000001</v>
      </c>
      <c r="O57" s="82">
        <f t="shared" si="1"/>
        <v>0.36499999999999999</v>
      </c>
      <c r="P57" s="82">
        <v>5273.5649999999996</v>
      </c>
      <c r="Q57" s="82">
        <v>78.138080000000002</v>
      </c>
      <c r="R57" s="83">
        <f t="shared" si="2"/>
        <v>5351.7030799999993</v>
      </c>
      <c r="S57" s="82"/>
      <c r="T57" s="18">
        <v>0</v>
      </c>
      <c r="U57" s="18">
        <f t="shared" si="3"/>
        <v>0</v>
      </c>
      <c r="V57" s="18">
        <v>0</v>
      </c>
      <c r="W57" s="18">
        <f t="shared" si="4"/>
        <v>0</v>
      </c>
      <c r="X57" s="18">
        <v>0</v>
      </c>
      <c r="Y57" s="18">
        <f t="shared" si="5"/>
        <v>0</v>
      </c>
      <c r="Z57" s="18">
        <v>0</v>
      </c>
      <c r="AA57" s="18">
        <f t="shared" si="6"/>
        <v>0</v>
      </c>
      <c r="AC57" s="84">
        <v>67.183999999999997</v>
      </c>
      <c r="AD57" s="18">
        <v>3038.9796000000001</v>
      </c>
      <c r="AE57" s="5">
        <f t="shared" si="7"/>
        <v>0.104</v>
      </c>
      <c r="AF57" s="20">
        <f t="shared" si="8"/>
        <v>0.26100000000000001</v>
      </c>
      <c r="AH57" s="22">
        <v>1031.855</v>
      </c>
      <c r="AI57" s="20">
        <f t="shared" si="9"/>
        <v>0.41900018678989387</v>
      </c>
      <c r="AK57" s="22">
        <v>855.15300000000002</v>
      </c>
      <c r="AL57" s="20">
        <f t="shared" si="10"/>
        <v>0.53214250155569387</v>
      </c>
      <c r="AN57" s="5">
        <v>1039.2429999999999</v>
      </c>
    </row>
    <row r="58" spans="4:40" x14ac:dyDescent="0.35">
      <c r="D58" s="80">
        <f t="shared" si="11"/>
        <v>56</v>
      </c>
      <c r="E58" s="81">
        <v>0</v>
      </c>
      <c r="F58" s="82">
        <v>0</v>
      </c>
      <c r="G58" s="82">
        <v>0</v>
      </c>
      <c r="H58" s="82">
        <v>39744.099679999999</v>
      </c>
      <c r="I58" s="82">
        <v>4243.4760168900002</v>
      </c>
      <c r="J58" s="82">
        <f t="shared" si="0"/>
        <v>43987.575696890002</v>
      </c>
      <c r="K58" s="81">
        <v>0</v>
      </c>
      <c r="L58" s="82">
        <v>0</v>
      </c>
      <c r="M58" s="82">
        <v>9.5000000000000001E-2</v>
      </c>
      <c r="N58" s="82">
        <v>0.24299999999999999</v>
      </c>
      <c r="O58" s="82">
        <f t="shared" si="1"/>
        <v>0.33799999999999997</v>
      </c>
      <c r="P58" s="82">
        <v>5811.9470000000001</v>
      </c>
      <c r="Q58" s="82">
        <v>78.138080000000002</v>
      </c>
      <c r="R58" s="83">
        <f t="shared" si="2"/>
        <v>5890.0850799999998</v>
      </c>
      <c r="S58" s="82"/>
      <c r="T58" s="18">
        <v>0</v>
      </c>
      <c r="U58" s="18">
        <f t="shared" si="3"/>
        <v>0</v>
      </c>
      <c r="V58" s="18">
        <v>0</v>
      </c>
      <c r="W58" s="18">
        <f t="shared" si="4"/>
        <v>0</v>
      </c>
      <c r="X58" s="18">
        <v>0</v>
      </c>
      <c r="Y58" s="18">
        <f t="shared" si="5"/>
        <v>0</v>
      </c>
      <c r="Z58" s="18">
        <v>0</v>
      </c>
      <c r="AA58" s="18">
        <f t="shared" si="6"/>
        <v>0</v>
      </c>
      <c r="AC58" s="84">
        <v>61.37</v>
      </c>
      <c r="AD58" s="18">
        <v>2829.3948</v>
      </c>
      <c r="AE58" s="5">
        <f t="shared" si="7"/>
        <v>9.5000000000000001E-2</v>
      </c>
      <c r="AF58" s="20">
        <f t="shared" si="8"/>
        <v>0.24299999999999999</v>
      </c>
      <c r="AH58" s="22">
        <v>1039.2429999999999</v>
      </c>
      <c r="AI58" s="20">
        <f t="shared" si="9"/>
        <v>0.42200019491119356</v>
      </c>
      <c r="AK58" s="22">
        <v>922.66399999999999</v>
      </c>
      <c r="AL58" s="20">
        <f t="shared" si="10"/>
        <v>0.57415308027380207</v>
      </c>
      <c r="AN58" s="5">
        <v>1063.8689999999999</v>
      </c>
    </row>
    <row r="59" spans="4:40" x14ac:dyDescent="0.35">
      <c r="D59" s="80">
        <f t="shared" si="11"/>
        <v>57</v>
      </c>
      <c r="E59" s="81">
        <v>0</v>
      </c>
      <c r="F59" s="82">
        <v>0</v>
      </c>
      <c r="G59" s="82">
        <v>0</v>
      </c>
      <c r="H59" s="82">
        <v>41669.138679999996</v>
      </c>
      <c r="I59" s="82">
        <v>4096.7091115900002</v>
      </c>
      <c r="J59" s="82">
        <f t="shared" si="0"/>
        <v>45765.84779159</v>
      </c>
      <c r="K59" s="81">
        <v>0</v>
      </c>
      <c r="L59" s="82">
        <v>0</v>
      </c>
      <c r="M59" s="82">
        <v>8.5999999999999993E-2</v>
      </c>
      <c r="N59" s="82">
        <v>0.19199999999999998</v>
      </c>
      <c r="O59" s="82">
        <f t="shared" si="1"/>
        <v>0.27799999999999997</v>
      </c>
      <c r="P59" s="82">
        <v>6314.1130000000003</v>
      </c>
      <c r="Q59" s="82">
        <v>78.138080000000002</v>
      </c>
      <c r="R59" s="83">
        <f t="shared" si="2"/>
        <v>6392.25108</v>
      </c>
      <c r="S59" s="82"/>
      <c r="T59" s="18">
        <v>0</v>
      </c>
      <c r="U59" s="18">
        <f t="shared" si="3"/>
        <v>0</v>
      </c>
      <c r="V59" s="18">
        <v>0</v>
      </c>
      <c r="W59" s="18">
        <f t="shared" si="4"/>
        <v>0</v>
      </c>
      <c r="X59" s="18">
        <v>0</v>
      </c>
      <c r="Y59" s="18">
        <f t="shared" si="5"/>
        <v>0</v>
      </c>
      <c r="Z59" s="18">
        <v>0</v>
      </c>
      <c r="AA59" s="18">
        <f t="shared" si="6"/>
        <v>0</v>
      </c>
      <c r="AC59" s="84">
        <v>55.555999999999997</v>
      </c>
      <c r="AD59" s="18">
        <v>2235.5711999999999</v>
      </c>
      <c r="AE59" s="5">
        <f t="shared" si="7"/>
        <v>8.5999999999999993E-2</v>
      </c>
      <c r="AF59" s="20">
        <f t="shared" si="8"/>
        <v>0.19199999999999998</v>
      </c>
      <c r="AH59" s="22">
        <v>1063.8689999999999</v>
      </c>
      <c r="AI59" s="20">
        <f t="shared" si="9"/>
        <v>0.43199995127220159</v>
      </c>
      <c r="AK59" s="22">
        <v>934.76599999999996</v>
      </c>
      <c r="AL59" s="20">
        <f t="shared" si="10"/>
        <v>0.58168388301182328</v>
      </c>
      <c r="AN59" s="5">
        <v>1090.9580000000001</v>
      </c>
    </row>
    <row r="60" spans="4:40" x14ac:dyDescent="0.35">
      <c r="D60" s="80">
        <f t="shared" si="11"/>
        <v>58</v>
      </c>
      <c r="E60" s="81">
        <v>4.8000000000000001E-2</v>
      </c>
      <c r="F60" s="82">
        <v>6.5000000000000002E-2</v>
      </c>
      <c r="G60" s="82">
        <v>0.128</v>
      </c>
      <c r="H60" s="82">
        <v>43050.735679999998</v>
      </c>
      <c r="I60" s="82">
        <v>2406.5811843299998</v>
      </c>
      <c r="J60" s="82">
        <f t="shared" si="0"/>
        <v>45457.316864330001</v>
      </c>
      <c r="K60" s="81">
        <v>2.1999999999999898E-2</v>
      </c>
      <c r="L60" s="82">
        <v>2.6000000000000002E-2</v>
      </c>
      <c r="M60" s="82">
        <v>7.5999999999999998E-2</v>
      </c>
      <c r="N60" s="82">
        <v>0.12999999999999998</v>
      </c>
      <c r="O60" s="82">
        <f t="shared" si="1"/>
        <v>0.20599999999999996</v>
      </c>
      <c r="P60" s="82">
        <v>6535.6229999999996</v>
      </c>
      <c r="Q60" s="82">
        <v>0</v>
      </c>
      <c r="R60" s="83">
        <f t="shared" si="2"/>
        <v>6535.6229999999996</v>
      </c>
      <c r="S60" s="82"/>
      <c r="T60" s="18">
        <v>9379</v>
      </c>
      <c r="U60" s="18">
        <f t="shared" si="3"/>
        <v>0.113</v>
      </c>
      <c r="V60" s="18">
        <v>312.32499999999999</v>
      </c>
      <c r="W60" s="18">
        <f t="shared" si="4"/>
        <v>6.5000000000000002E-2</v>
      </c>
      <c r="X60" s="18">
        <v>776.42280000000005</v>
      </c>
      <c r="Y60" s="18">
        <f t="shared" si="5"/>
        <v>5.3999999999999999E-2</v>
      </c>
      <c r="Z60" s="18">
        <v>338.09649999999999</v>
      </c>
      <c r="AA60" s="18">
        <f t="shared" si="6"/>
        <v>3.5000000000000003E-2</v>
      </c>
      <c r="AC60" s="84">
        <v>49.095999999999997</v>
      </c>
      <c r="AD60" s="18">
        <v>1513.6679999999999</v>
      </c>
      <c r="AE60" s="5">
        <f t="shared" si="7"/>
        <v>7.5999999999999998E-2</v>
      </c>
      <c r="AF60" s="20">
        <f t="shared" si="8"/>
        <v>0.12999999999999998</v>
      </c>
      <c r="AH60" s="22">
        <v>1090.9580000000001</v>
      </c>
      <c r="AI60" s="20">
        <f t="shared" si="9"/>
        <v>0.44299984569530515</v>
      </c>
      <c r="AK60" s="22">
        <v>945.37199999999996</v>
      </c>
      <c r="AL60" s="20">
        <f t="shared" si="10"/>
        <v>0.58828375855631609</v>
      </c>
      <c r="AN60" s="5">
        <v>1095.884</v>
      </c>
    </row>
    <row r="61" spans="4:40" x14ac:dyDescent="0.35">
      <c r="D61" s="80">
        <f t="shared" si="11"/>
        <v>59</v>
      </c>
      <c r="E61" s="81">
        <v>0.16300000000000001</v>
      </c>
      <c r="F61" s="82">
        <v>0.16800000000000001</v>
      </c>
      <c r="G61" s="82">
        <v>0.29099999999999898</v>
      </c>
      <c r="H61" s="82">
        <v>42980.409</v>
      </c>
      <c r="I61" s="82">
        <v>1892.06315967</v>
      </c>
      <c r="J61" s="82">
        <f t="shared" si="0"/>
        <v>44872.472159669996</v>
      </c>
      <c r="K61" s="81">
        <v>9.8000000000000004E-2</v>
      </c>
      <c r="L61" s="82">
        <v>0.10400000000000001</v>
      </c>
      <c r="M61" s="82">
        <v>6.3E-2</v>
      </c>
      <c r="N61" s="82">
        <v>6.4999999999999988E-2</v>
      </c>
      <c r="O61" s="82">
        <f t="shared" si="1"/>
        <v>0.128</v>
      </c>
      <c r="P61" s="82">
        <v>6439.6170000000002</v>
      </c>
      <c r="Q61" s="82">
        <v>0</v>
      </c>
      <c r="R61" s="83">
        <f t="shared" si="2"/>
        <v>6439.6170000000002</v>
      </c>
      <c r="S61" s="82"/>
      <c r="T61" s="18">
        <v>23240</v>
      </c>
      <c r="U61" s="18">
        <f t="shared" si="3"/>
        <v>0.28000000000000003</v>
      </c>
      <c r="V61" s="18">
        <v>807.24</v>
      </c>
      <c r="W61" s="18">
        <f t="shared" si="4"/>
        <v>0.16800000000000001</v>
      </c>
      <c r="X61" s="18">
        <v>3033.8002000000001</v>
      </c>
      <c r="Y61" s="18">
        <f t="shared" si="5"/>
        <v>0.21099999999999999</v>
      </c>
      <c r="Z61" s="18">
        <v>1342.7261000000001</v>
      </c>
      <c r="AA61" s="18">
        <f t="shared" si="6"/>
        <v>0.13900000000000001</v>
      </c>
      <c r="AC61" s="84">
        <v>40.698</v>
      </c>
      <c r="AD61" s="18">
        <v>756.83399999999995</v>
      </c>
      <c r="AE61" s="5">
        <f t="shared" si="7"/>
        <v>6.3E-2</v>
      </c>
      <c r="AF61" s="20">
        <f t="shared" si="8"/>
        <v>6.4999999999999988E-2</v>
      </c>
      <c r="AH61" s="22">
        <v>1095.884</v>
      </c>
      <c r="AI61" s="20">
        <f t="shared" si="9"/>
        <v>0.445000121819496</v>
      </c>
      <c r="AK61" s="22">
        <v>949.03599999999994</v>
      </c>
      <c r="AL61" s="20">
        <f t="shared" si="10"/>
        <v>0.59056378344741756</v>
      </c>
      <c r="AN61" s="5">
        <v>1054.018</v>
      </c>
    </row>
    <row r="62" spans="4:40" x14ac:dyDescent="0.35">
      <c r="D62" s="80">
        <f t="shared" si="11"/>
        <v>60</v>
      </c>
      <c r="E62" s="81">
        <v>0.23</v>
      </c>
      <c r="F62" s="82">
        <v>0.27399999999999997</v>
      </c>
      <c r="G62" s="82">
        <v>0.41799999999999998</v>
      </c>
      <c r="H62" s="82">
        <v>42961.798999999999</v>
      </c>
      <c r="I62" s="82">
        <v>2331.6311476800001</v>
      </c>
      <c r="J62" s="82">
        <f t="shared" si="0"/>
        <v>45293.430147680003</v>
      </c>
      <c r="K62" s="81">
        <v>0.129</v>
      </c>
      <c r="L62" s="82">
        <v>0.17599999999999899</v>
      </c>
      <c r="M62" s="82">
        <v>5.3999999999999999E-2</v>
      </c>
      <c r="N62" s="82">
        <v>0.03</v>
      </c>
      <c r="O62" s="82">
        <f t="shared" si="1"/>
        <v>8.3999999999999991E-2</v>
      </c>
      <c r="P62" s="82">
        <v>6528.7719999999999</v>
      </c>
      <c r="Q62" s="82">
        <v>0</v>
      </c>
      <c r="R62" s="83">
        <f t="shared" si="2"/>
        <v>6528.7719999999999</v>
      </c>
      <c r="S62" s="82"/>
      <c r="T62" s="18">
        <v>28718</v>
      </c>
      <c r="U62" s="18">
        <f t="shared" si="3"/>
        <v>0.34599999999999997</v>
      </c>
      <c r="V62" s="18">
        <v>1316.57</v>
      </c>
      <c r="W62" s="18">
        <f t="shared" si="4"/>
        <v>0.27399999999999997</v>
      </c>
      <c r="X62" s="18">
        <v>5276.7993999999999</v>
      </c>
      <c r="Y62" s="18">
        <f t="shared" si="5"/>
        <v>0.36699999999999999</v>
      </c>
      <c r="Z62" s="18">
        <v>2414.9749999999999</v>
      </c>
      <c r="AA62" s="18">
        <f t="shared" si="6"/>
        <v>0.25</v>
      </c>
      <c r="AC62" s="84">
        <v>34.884</v>
      </c>
      <c r="AD62" s="18">
        <v>349.30799999999999</v>
      </c>
      <c r="AE62" s="5">
        <f t="shared" si="7"/>
        <v>5.3999999999999999E-2</v>
      </c>
      <c r="AF62" s="20">
        <f t="shared" si="8"/>
        <v>0.03</v>
      </c>
      <c r="AH62" s="22">
        <v>1054.018</v>
      </c>
      <c r="AI62" s="20">
        <f t="shared" si="9"/>
        <v>0.42799980508880647</v>
      </c>
      <c r="AK62" s="22">
        <v>946.38800000000003</v>
      </c>
      <c r="AL62" s="20">
        <f t="shared" si="10"/>
        <v>0.58891599253266957</v>
      </c>
      <c r="AN62" s="5">
        <v>1046.6300000000001</v>
      </c>
    </row>
    <row r="63" spans="4:40" x14ac:dyDescent="0.35">
      <c r="D63" s="80">
        <f t="shared" si="11"/>
        <v>61</v>
      </c>
      <c r="E63" s="81">
        <v>0.22600000000000001</v>
      </c>
      <c r="F63" s="82">
        <v>0.34299999999999997</v>
      </c>
      <c r="G63" s="82">
        <v>0.48899999999999999</v>
      </c>
      <c r="H63" s="82">
        <v>43064.267999999996</v>
      </c>
      <c r="I63" s="82">
        <v>2513.3795602300002</v>
      </c>
      <c r="J63" s="82">
        <f t="shared" si="0"/>
        <v>45577.647560229998</v>
      </c>
      <c r="K63" s="81">
        <v>0.13100000000000001</v>
      </c>
      <c r="L63" s="82">
        <v>0.223</v>
      </c>
      <c r="M63" s="82">
        <v>4.5999999999999999E-2</v>
      </c>
      <c r="N63" s="82">
        <v>1.9E-2</v>
      </c>
      <c r="O63" s="82">
        <f t="shared" si="1"/>
        <v>6.5000000000000002E-2</v>
      </c>
      <c r="P63" s="82">
        <v>6583.1930000000002</v>
      </c>
      <c r="Q63" s="82">
        <v>0</v>
      </c>
      <c r="R63" s="83">
        <f t="shared" si="2"/>
        <v>6583.1930000000002</v>
      </c>
      <c r="S63" s="82"/>
      <c r="T63" s="18">
        <v>30793</v>
      </c>
      <c r="U63" s="18">
        <f t="shared" si="3"/>
        <v>0.371</v>
      </c>
      <c r="V63" s="18">
        <v>1648.115</v>
      </c>
      <c r="W63" s="18">
        <f t="shared" si="4"/>
        <v>0.34300000000000003</v>
      </c>
      <c r="X63" s="18">
        <v>6815.2668000000003</v>
      </c>
      <c r="Y63" s="18">
        <f t="shared" si="5"/>
        <v>0.47399999999999998</v>
      </c>
      <c r="Z63" s="18">
        <v>3178.1071000000002</v>
      </c>
      <c r="AA63" s="18">
        <f t="shared" si="6"/>
        <v>0.32900000000000001</v>
      </c>
      <c r="AC63" s="84">
        <v>29.716000000000001</v>
      </c>
      <c r="AD63" s="18">
        <v>221.22839999999999</v>
      </c>
      <c r="AE63" s="5">
        <f t="shared" si="7"/>
        <v>4.5999999999999999E-2</v>
      </c>
      <c r="AF63" s="20">
        <f t="shared" si="8"/>
        <v>1.9E-2</v>
      </c>
      <c r="AH63" s="22">
        <v>1046.6300000000001</v>
      </c>
      <c r="AI63" s="20">
        <f t="shared" si="9"/>
        <v>0.42499979696750673</v>
      </c>
      <c r="AK63" s="22">
        <v>944.37</v>
      </c>
      <c r="AL63" s="20">
        <f t="shared" si="10"/>
        <v>0.58766023646546361</v>
      </c>
      <c r="AN63" s="5">
        <v>1051.556</v>
      </c>
    </row>
    <row r="64" spans="4:40" x14ac:dyDescent="0.35">
      <c r="D64" s="80">
        <f t="shared" si="11"/>
        <v>62</v>
      </c>
      <c r="E64" s="81">
        <v>0.19600000000000001</v>
      </c>
      <c r="F64" s="82">
        <v>0.35299999999999998</v>
      </c>
      <c r="G64" s="82">
        <v>0.498</v>
      </c>
      <c r="H64" s="82">
        <v>42777.860999999997</v>
      </c>
      <c r="I64" s="82">
        <v>2222.8491306199999</v>
      </c>
      <c r="J64" s="82">
        <f t="shared" si="0"/>
        <v>45000.710130619998</v>
      </c>
      <c r="K64" s="81">
        <v>0.151</v>
      </c>
      <c r="L64" s="82">
        <v>0.22899999999999998</v>
      </c>
      <c r="M64" s="82">
        <v>4.4999999999999998E-2</v>
      </c>
      <c r="N64" s="82">
        <v>1.3000000000000001E-2</v>
      </c>
      <c r="O64" s="82">
        <f t="shared" si="1"/>
        <v>5.7999999999999996E-2</v>
      </c>
      <c r="P64" s="82">
        <v>6305.54</v>
      </c>
      <c r="Q64" s="82">
        <v>0</v>
      </c>
      <c r="R64" s="83">
        <f t="shared" si="2"/>
        <v>6305.54</v>
      </c>
      <c r="S64" s="82"/>
      <c r="T64" s="18">
        <v>31374</v>
      </c>
      <c r="U64" s="18">
        <f t="shared" si="3"/>
        <v>0.378</v>
      </c>
      <c r="V64" s="18">
        <v>1696.165</v>
      </c>
      <c r="W64" s="18">
        <f t="shared" si="4"/>
        <v>0.35299999999999998</v>
      </c>
      <c r="X64" s="18">
        <v>7447.9075999999995</v>
      </c>
      <c r="Y64" s="18">
        <f t="shared" si="5"/>
        <v>0.5179999999999999</v>
      </c>
      <c r="Z64" s="18">
        <v>3487.2239</v>
      </c>
      <c r="AA64" s="18">
        <f t="shared" si="6"/>
        <v>0.36099999999999999</v>
      </c>
      <c r="AC64" s="84">
        <v>29.07</v>
      </c>
      <c r="AD64" s="18">
        <v>151.36680000000001</v>
      </c>
      <c r="AE64" s="5">
        <f t="shared" si="7"/>
        <v>4.4999999999999998E-2</v>
      </c>
      <c r="AF64" s="20">
        <f t="shared" si="8"/>
        <v>1.3000000000000001E-2</v>
      </c>
      <c r="AH64" s="22">
        <v>1051.556</v>
      </c>
      <c r="AI64" s="20">
        <f t="shared" si="9"/>
        <v>0.42700007309169763</v>
      </c>
      <c r="AK64" s="22">
        <v>945.005</v>
      </c>
      <c r="AL64" s="20">
        <f t="shared" si="10"/>
        <v>0.58805538270068447</v>
      </c>
      <c r="AN64" s="5">
        <v>1046.6300000000001</v>
      </c>
    </row>
    <row r="65" spans="4:40" x14ac:dyDescent="0.35">
      <c r="D65" s="80">
        <f t="shared" si="11"/>
        <v>63</v>
      </c>
      <c r="E65" s="81">
        <v>0.125</v>
      </c>
      <c r="F65" s="82">
        <v>0.30399999999999999</v>
      </c>
      <c r="G65" s="82">
        <v>0.44700000000000001</v>
      </c>
      <c r="H65" s="82">
        <v>42145.586000000003</v>
      </c>
      <c r="I65" s="82">
        <v>1662.0000772000001</v>
      </c>
      <c r="J65" s="82">
        <f t="shared" si="0"/>
        <v>43807.586077200001</v>
      </c>
      <c r="K65" s="81">
        <v>0.188</v>
      </c>
      <c r="L65" s="82">
        <v>0.193</v>
      </c>
      <c r="M65" s="82">
        <v>5.1999999999999998E-2</v>
      </c>
      <c r="N65" s="82">
        <v>1.1999999999999999E-2</v>
      </c>
      <c r="O65" s="82">
        <f t="shared" si="1"/>
        <v>6.4000000000000001E-2</v>
      </c>
      <c r="P65" s="82">
        <v>6245.7089999999998</v>
      </c>
      <c r="Q65" s="82">
        <v>0</v>
      </c>
      <c r="R65" s="83">
        <f t="shared" si="2"/>
        <v>6245.7089999999998</v>
      </c>
      <c r="S65" s="82"/>
      <c r="T65" s="18">
        <v>30876</v>
      </c>
      <c r="U65" s="18">
        <f t="shared" si="3"/>
        <v>0.372</v>
      </c>
      <c r="V65" s="18">
        <v>1460.72</v>
      </c>
      <c r="W65" s="18">
        <f t="shared" si="4"/>
        <v>0.30399999999999999</v>
      </c>
      <c r="X65" s="18">
        <v>7074.0744000000004</v>
      </c>
      <c r="Y65" s="18">
        <f t="shared" si="5"/>
        <v>0.49199999999999999</v>
      </c>
      <c r="Z65" s="18">
        <v>3265.0462000000002</v>
      </c>
      <c r="AA65" s="18">
        <f t="shared" si="6"/>
        <v>0.33800000000000002</v>
      </c>
      <c r="AC65" s="84">
        <v>33.591999999999999</v>
      </c>
      <c r="AD65" s="18">
        <v>139.72319999999999</v>
      </c>
      <c r="AE65" s="5">
        <f t="shared" si="7"/>
        <v>5.1999999999999998E-2</v>
      </c>
      <c r="AF65" s="20">
        <f t="shared" si="8"/>
        <v>1.1999999999999999E-2</v>
      </c>
      <c r="AH65" s="22">
        <v>1046.6300000000001</v>
      </c>
      <c r="AI65" s="20">
        <f t="shared" si="9"/>
        <v>0.42499979696750673</v>
      </c>
      <c r="AK65" s="22">
        <v>937.21799999999996</v>
      </c>
      <c r="AL65" s="20">
        <f t="shared" si="10"/>
        <v>0.58320970752955814</v>
      </c>
      <c r="AN65" s="5">
        <v>1058.944</v>
      </c>
    </row>
    <row r="66" spans="4:40" x14ac:dyDescent="0.35">
      <c r="D66" s="80">
        <f t="shared" si="11"/>
        <v>64</v>
      </c>
      <c r="E66" s="81">
        <v>3.1000000000000003E-2</v>
      </c>
      <c r="F66" s="82">
        <v>0.21099999999999899</v>
      </c>
      <c r="G66" s="82">
        <v>0.34299999999999997</v>
      </c>
      <c r="H66" s="82">
        <v>42152.853999999999</v>
      </c>
      <c r="I66" s="82">
        <v>1403.5900764800001</v>
      </c>
      <c r="J66" s="82">
        <f t="shared" si="0"/>
        <v>43556.444076480002</v>
      </c>
      <c r="K66" s="81">
        <v>8.3000000000000004E-2</v>
      </c>
      <c r="L66" s="82">
        <v>0.10400000000000001</v>
      </c>
      <c r="M66" s="82">
        <v>7.0999999999999994E-2</v>
      </c>
      <c r="N66" s="82">
        <v>1.7000000000000001E-2</v>
      </c>
      <c r="O66" s="82">
        <f t="shared" si="1"/>
        <v>8.7999999999999995E-2</v>
      </c>
      <c r="P66" s="82">
        <v>6248.9279999999999</v>
      </c>
      <c r="Q66" s="82">
        <v>0</v>
      </c>
      <c r="R66" s="83">
        <f t="shared" si="2"/>
        <v>6248.9279999999999</v>
      </c>
      <c r="S66" s="82"/>
      <c r="T66" s="18">
        <v>28635</v>
      </c>
      <c r="U66" s="18">
        <f t="shared" si="3"/>
        <v>0.34499999999999997</v>
      </c>
      <c r="V66" s="18">
        <v>1013.855</v>
      </c>
      <c r="W66" s="18">
        <f t="shared" si="4"/>
        <v>0.21099999999999999</v>
      </c>
      <c r="X66" s="18">
        <v>5837.5492000000004</v>
      </c>
      <c r="Y66" s="18">
        <f t="shared" si="5"/>
        <v>0.40600000000000003</v>
      </c>
      <c r="Z66" s="18">
        <v>2588.8532</v>
      </c>
      <c r="AA66" s="18">
        <f t="shared" si="6"/>
        <v>0.26800000000000002</v>
      </c>
      <c r="AC66" s="84">
        <v>45.866</v>
      </c>
      <c r="AD66" s="18">
        <v>197.94120000000001</v>
      </c>
      <c r="AE66" s="5">
        <f t="shared" si="7"/>
        <v>7.0999999999999994E-2</v>
      </c>
      <c r="AF66" s="20">
        <f t="shared" si="8"/>
        <v>1.7000000000000001E-2</v>
      </c>
      <c r="AH66" s="22">
        <v>1058.944</v>
      </c>
      <c r="AI66" s="20">
        <f t="shared" si="9"/>
        <v>0.43000008121299732</v>
      </c>
      <c r="AK66" s="22">
        <v>940.53800000000001</v>
      </c>
      <c r="AL66" s="20">
        <f t="shared" si="10"/>
        <v>0.58527566894835092</v>
      </c>
      <c r="AN66" s="5">
        <v>1071.2570000000001</v>
      </c>
    </row>
    <row r="67" spans="4:40" x14ac:dyDescent="0.35">
      <c r="D67" s="80">
        <f t="shared" si="11"/>
        <v>65</v>
      </c>
      <c r="E67" s="81">
        <v>0</v>
      </c>
      <c r="F67" s="82">
        <v>0.1</v>
      </c>
      <c r="G67" s="82">
        <v>0.2</v>
      </c>
      <c r="H67" s="82">
        <v>42840.686000000002</v>
      </c>
      <c r="I67" s="82">
        <v>1402.2078902400001</v>
      </c>
      <c r="J67" s="82">
        <f t="shared" si="0"/>
        <v>44242.893890240004</v>
      </c>
      <c r="K67" s="81">
        <v>0</v>
      </c>
      <c r="L67" s="82">
        <v>1.3000000000000001E-2</v>
      </c>
      <c r="M67" s="82">
        <v>0.09</v>
      </c>
      <c r="N67" s="82">
        <v>2.3999999999999997E-2</v>
      </c>
      <c r="O67" s="82">
        <f t="shared" si="1"/>
        <v>0.11399999999999999</v>
      </c>
      <c r="P67" s="82">
        <v>6466.9210000000003</v>
      </c>
      <c r="Q67" s="82">
        <v>0</v>
      </c>
      <c r="R67" s="83">
        <f t="shared" si="2"/>
        <v>6466.9210000000003</v>
      </c>
      <c r="S67" s="82"/>
      <c r="T67" s="18">
        <v>20003</v>
      </c>
      <c r="U67" s="18">
        <f t="shared" si="3"/>
        <v>0.24099999999999999</v>
      </c>
      <c r="V67" s="18">
        <v>480.5</v>
      </c>
      <c r="W67" s="18">
        <f t="shared" si="4"/>
        <v>0.1</v>
      </c>
      <c r="X67" s="18">
        <v>4011.5178000000001</v>
      </c>
      <c r="Y67" s="18">
        <f t="shared" si="5"/>
        <v>0.27899999999999997</v>
      </c>
      <c r="Z67" s="18">
        <v>1593.8834999999999</v>
      </c>
      <c r="AA67" s="18">
        <f t="shared" si="6"/>
        <v>0.16500000000000001</v>
      </c>
      <c r="AC67" s="84">
        <v>58.14</v>
      </c>
      <c r="AD67" s="18">
        <v>279.44639999999998</v>
      </c>
      <c r="AE67" s="5">
        <f t="shared" si="7"/>
        <v>0.09</v>
      </c>
      <c r="AF67" s="20">
        <f t="shared" si="8"/>
        <v>2.3999999999999997E-2</v>
      </c>
      <c r="AH67" s="22">
        <v>1071.2570000000001</v>
      </c>
      <c r="AI67" s="20">
        <f t="shared" si="9"/>
        <v>0.43499995939350139</v>
      </c>
      <c r="AK67" s="22">
        <v>955.12699999999995</v>
      </c>
      <c r="AL67" s="20">
        <f t="shared" si="10"/>
        <v>0.59435407591785938</v>
      </c>
      <c r="AN67" s="5">
        <v>1083.57</v>
      </c>
    </row>
    <row r="68" spans="4:40" x14ac:dyDescent="0.35">
      <c r="D68" s="80">
        <f t="shared" si="11"/>
        <v>66</v>
      </c>
      <c r="E68" s="81">
        <v>0</v>
      </c>
      <c r="F68" s="82">
        <v>0</v>
      </c>
      <c r="G68" s="82">
        <v>5.2000000000000005E-2</v>
      </c>
      <c r="H68" s="82">
        <v>45019.576999999997</v>
      </c>
      <c r="I68" s="82">
        <v>2593.1497181200002</v>
      </c>
      <c r="J68" s="82">
        <f t="shared" ref="J68:J131" si="12">H68+I68</f>
        <v>47612.72671812</v>
      </c>
      <c r="K68" s="81">
        <v>0</v>
      </c>
      <c r="L68" s="82">
        <v>0</v>
      </c>
      <c r="M68" s="82">
        <v>0.107</v>
      </c>
      <c r="N68" s="82">
        <v>3.9E-2</v>
      </c>
      <c r="O68" s="82">
        <f t="shared" ref="O68:O131" si="13">M68+N68</f>
        <v>0.14599999999999999</v>
      </c>
      <c r="P68" s="82">
        <v>6989.848</v>
      </c>
      <c r="Q68" s="82">
        <v>0</v>
      </c>
      <c r="R68" s="83">
        <f t="shared" ref="R68:R131" si="14">P68+Q68</f>
        <v>6989.848</v>
      </c>
      <c r="S68" s="82"/>
      <c r="T68" s="18">
        <v>4565</v>
      </c>
      <c r="U68" s="18">
        <f t="shared" ref="U68:U131" si="15">T68/$B$5</f>
        <v>5.5E-2</v>
      </c>
      <c r="V68" s="18">
        <v>0</v>
      </c>
      <c r="W68" s="18">
        <f t="shared" ref="W68:W131" si="16">V68/$B$6</f>
        <v>0</v>
      </c>
      <c r="X68" s="18">
        <v>1768.5186000000001</v>
      </c>
      <c r="Y68" s="18">
        <f t="shared" ref="Y68:Y131" si="17">X68/$B$8</f>
        <v>0.123</v>
      </c>
      <c r="Z68" s="18">
        <v>579.59400000000005</v>
      </c>
      <c r="AA68" s="18">
        <f t="shared" ref="AA68:AA131" si="18">Z68/$B$9</f>
        <v>6.0000000000000005E-2</v>
      </c>
      <c r="AC68" s="84">
        <v>69.122</v>
      </c>
      <c r="AD68" s="18">
        <v>454.10039999999998</v>
      </c>
      <c r="AE68" s="5">
        <f t="shared" ref="AE68:AE131" si="19">AC68/$B$11</f>
        <v>0.107</v>
      </c>
      <c r="AF68" s="20">
        <f t="shared" ref="AF68:AF131" si="20">AD68/$B$10</f>
        <v>3.9E-2</v>
      </c>
      <c r="AH68" s="22">
        <v>1083.57</v>
      </c>
      <c r="AI68" s="20">
        <f t="shared" ref="AI68:AI131" si="21">AH68/$B$12</f>
        <v>0.43999983757400535</v>
      </c>
      <c r="AK68" s="22">
        <v>963.37900000000002</v>
      </c>
      <c r="AL68" s="20">
        <f t="shared" ref="AL68:AL131" si="22">AK68/$B$13</f>
        <v>0.59948911014312389</v>
      </c>
      <c r="AN68" s="5">
        <v>1150.0619999999999</v>
      </c>
    </row>
    <row r="69" spans="4:40" x14ac:dyDescent="0.35">
      <c r="D69" s="80">
        <f t="shared" ref="D69:D132" si="23">1+D68</f>
        <v>67</v>
      </c>
      <c r="E69" s="81">
        <v>0</v>
      </c>
      <c r="F69" s="82">
        <v>0</v>
      </c>
      <c r="G69" s="82">
        <v>0</v>
      </c>
      <c r="H69" s="82">
        <v>46198.184999999998</v>
      </c>
      <c r="I69" s="82">
        <v>2764.1255669000002</v>
      </c>
      <c r="J69" s="82">
        <f t="shared" si="12"/>
        <v>48962.3105669</v>
      </c>
      <c r="K69" s="81">
        <v>0</v>
      </c>
      <c r="L69" s="82">
        <v>0</v>
      </c>
      <c r="M69" s="82">
        <v>0.123</v>
      </c>
      <c r="N69" s="82">
        <v>6.9000000000000006E-2</v>
      </c>
      <c r="O69" s="82">
        <f t="shared" si="13"/>
        <v>0.192</v>
      </c>
      <c r="P69" s="82">
        <v>7462.5829999999996</v>
      </c>
      <c r="Q69" s="82">
        <v>239.70212766</v>
      </c>
      <c r="R69" s="83">
        <f t="shared" si="14"/>
        <v>7702.2851276599995</v>
      </c>
      <c r="S69" s="82"/>
      <c r="T69" s="18">
        <v>0</v>
      </c>
      <c r="U69" s="18">
        <f t="shared" si="15"/>
        <v>0</v>
      </c>
      <c r="V69" s="18">
        <v>0</v>
      </c>
      <c r="W69" s="18">
        <f t="shared" si="16"/>
        <v>0</v>
      </c>
      <c r="X69" s="18">
        <v>0</v>
      </c>
      <c r="Y69" s="18">
        <f t="shared" si="17"/>
        <v>0</v>
      </c>
      <c r="Z69" s="18">
        <v>0</v>
      </c>
      <c r="AA69" s="18">
        <f t="shared" si="18"/>
        <v>0</v>
      </c>
      <c r="AC69" s="84">
        <v>79.457999999999998</v>
      </c>
      <c r="AD69" s="18">
        <v>803.40840000000003</v>
      </c>
      <c r="AE69" s="5">
        <f t="shared" si="19"/>
        <v>0.123</v>
      </c>
      <c r="AF69" s="20">
        <f t="shared" si="20"/>
        <v>6.9000000000000006E-2</v>
      </c>
      <c r="AH69" s="22">
        <v>1150.0619999999999</v>
      </c>
      <c r="AI69" s="20">
        <f t="shared" si="21"/>
        <v>0.4669999106657029</v>
      </c>
      <c r="AK69" s="22">
        <v>971.005</v>
      </c>
      <c r="AL69" s="20">
        <f t="shared" si="22"/>
        <v>0.60423459863098938</v>
      </c>
      <c r="AN69" s="5">
        <v>1164.838</v>
      </c>
    </row>
    <row r="70" spans="4:40" x14ac:dyDescent="0.35">
      <c r="D70" s="80">
        <f t="shared" si="23"/>
        <v>68</v>
      </c>
      <c r="E70" s="81">
        <v>0</v>
      </c>
      <c r="F70" s="82">
        <v>0</v>
      </c>
      <c r="G70" s="82">
        <v>0</v>
      </c>
      <c r="H70" s="82">
        <v>45795.559000000001</v>
      </c>
      <c r="I70" s="82">
        <v>2578.7963349500001</v>
      </c>
      <c r="J70" s="82">
        <f t="shared" si="12"/>
        <v>48374.35533495</v>
      </c>
      <c r="K70" s="81">
        <v>0</v>
      </c>
      <c r="L70" s="82">
        <v>0</v>
      </c>
      <c r="M70" s="82">
        <v>0.13200000000000001</v>
      </c>
      <c r="N70" s="82">
        <v>8.4999999999999992E-2</v>
      </c>
      <c r="O70" s="82">
        <f t="shared" si="13"/>
        <v>0.217</v>
      </c>
      <c r="P70" s="82">
        <v>7552.7650000000003</v>
      </c>
      <c r="Q70" s="82">
        <v>199.60531915000001</v>
      </c>
      <c r="R70" s="83">
        <f t="shared" si="14"/>
        <v>7752.3703191500008</v>
      </c>
      <c r="S70" s="82"/>
      <c r="T70" s="18">
        <v>0</v>
      </c>
      <c r="U70" s="18">
        <f t="shared" si="15"/>
        <v>0</v>
      </c>
      <c r="V70" s="18">
        <v>0</v>
      </c>
      <c r="W70" s="18">
        <f t="shared" si="16"/>
        <v>0</v>
      </c>
      <c r="X70" s="18">
        <v>0</v>
      </c>
      <c r="Y70" s="18">
        <f t="shared" si="17"/>
        <v>0</v>
      </c>
      <c r="Z70" s="18">
        <v>0</v>
      </c>
      <c r="AA70" s="18">
        <f t="shared" si="18"/>
        <v>0</v>
      </c>
      <c r="AC70" s="84">
        <v>85.272000000000006</v>
      </c>
      <c r="AD70" s="18">
        <v>989.70600000000002</v>
      </c>
      <c r="AE70" s="5">
        <f t="shared" si="19"/>
        <v>0.13200000000000001</v>
      </c>
      <c r="AF70" s="20">
        <f t="shared" si="20"/>
        <v>8.4999999999999992E-2</v>
      </c>
      <c r="AH70" s="22">
        <v>1164.838</v>
      </c>
      <c r="AI70" s="20">
        <f t="shared" si="21"/>
        <v>0.47299992690830239</v>
      </c>
      <c r="AK70" s="22">
        <v>969.59500000000003</v>
      </c>
      <c r="AL70" s="20">
        <f t="shared" si="22"/>
        <v>0.60335718730553833</v>
      </c>
      <c r="AN70" s="5">
        <v>1137.749</v>
      </c>
    </row>
    <row r="71" spans="4:40" x14ac:dyDescent="0.35">
      <c r="D71" s="80">
        <f t="shared" si="23"/>
        <v>69</v>
      </c>
      <c r="E71" s="81">
        <v>0</v>
      </c>
      <c r="F71" s="82">
        <v>0</v>
      </c>
      <c r="G71" s="82">
        <v>0</v>
      </c>
      <c r="H71" s="82">
        <v>44206.544000000002</v>
      </c>
      <c r="I71" s="82">
        <v>2297.7748222499999</v>
      </c>
      <c r="J71" s="82">
        <f t="shared" si="12"/>
        <v>46504.318822250003</v>
      </c>
      <c r="K71" s="81">
        <v>0</v>
      </c>
      <c r="L71" s="82">
        <v>0</v>
      </c>
      <c r="M71" s="82">
        <v>0.13300000000000001</v>
      </c>
      <c r="N71" s="82">
        <v>7.3999999999999996E-2</v>
      </c>
      <c r="O71" s="82">
        <f t="shared" si="13"/>
        <v>0.20700000000000002</v>
      </c>
      <c r="P71" s="82">
        <v>7284.4</v>
      </c>
      <c r="Q71" s="82">
        <v>122.0287234</v>
      </c>
      <c r="R71" s="83">
        <f t="shared" si="14"/>
        <v>7406.4287233999994</v>
      </c>
      <c r="S71" s="82"/>
      <c r="T71" s="18">
        <v>0</v>
      </c>
      <c r="U71" s="18">
        <f t="shared" si="15"/>
        <v>0</v>
      </c>
      <c r="V71" s="18">
        <v>0</v>
      </c>
      <c r="W71" s="18">
        <f t="shared" si="16"/>
        <v>0</v>
      </c>
      <c r="X71" s="18">
        <v>0</v>
      </c>
      <c r="Y71" s="18">
        <f t="shared" si="17"/>
        <v>0</v>
      </c>
      <c r="Z71" s="18">
        <v>0</v>
      </c>
      <c r="AA71" s="18">
        <f t="shared" si="18"/>
        <v>0</v>
      </c>
      <c r="AC71" s="84">
        <v>85.918000000000006</v>
      </c>
      <c r="AD71" s="18">
        <v>861.62639999999999</v>
      </c>
      <c r="AE71" s="5">
        <f t="shared" si="19"/>
        <v>0.13300000000000001</v>
      </c>
      <c r="AF71" s="20">
        <f t="shared" si="20"/>
        <v>7.3999999999999996E-2</v>
      </c>
      <c r="AH71" s="22">
        <v>1137.749</v>
      </c>
      <c r="AI71" s="20">
        <f t="shared" si="21"/>
        <v>0.46200003248519894</v>
      </c>
      <c r="AK71" s="22">
        <v>968.63599999999997</v>
      </c>
      <c r="AL71" s="20">
        <f t="shared" si="22"/>
        <v>0.60276042314872436</v>
      </c>
      <c r="AN71" s="5">
        <v>1142.674</v>
      </c>
    </row>
    <row r="72" spans="4:40" x14ac:dyDescent="0.35">
      <c r="D72" s="80">
        <f t="shared" si="23"/>
        <v>70</v>
      </c>
      <c r="E72" s="81">
        <v>0</v>
      </c>
      <c r="F72" s="82">
        <v>0</v>
      </c>
      <c r="G72" s="82">
        <v>0</v>
      </c>
      <c r="H72" s="82">
        <v>41637.482000000004</v>
      </c>
      <c r="I72" s="82">
        <v>2035.76717276</v>
      </c>
      <c r="J72" s="82">
        <f t="shared" si="12"/>
        <v>43673.249172760006</v>
      </c>
      <c r="K72" s="81">
        <v>0</v>
      </c>
      <c r="L72" s="82">
        <v>0</v>
      </c>
      <c r="M72" s="82">
        <v>0.125</v>
      </c>
      <c r="N72" s="82">
        <v>6.3E-2</v>
      </c>
      <c r="O72" s="82">
        <f t="shared" si="13"/>
        <v>0.188</v>
      </c>
      <c r="P72" s="82">
        <v>6835.835</v>
      </c>
      <c r="Q72" s="82">
        <v>65.879787230000005</v>
      </c>
      <c r="R72" s="83">
        <f t="shared" si="14"/>
        <v>6901.7147872300002</v>
      </c>
      <c r="S72" s="82"/>
      <c r="T72" s="18">
        <v>0</v>
      </c>
      <c r="U72" s="18">
        <f t="shared" si="15"/>
        <v>0</v>
      </c>
      <c r="V72" s="18">
        <v>0</v>
      </c>
      <c r="W72" s="18">
        <f t="shared" si="16"/>
        <v>0</v>
      </c>
      <c r="X72" s="18">
        <v>0</v>
      </c>
      <c r="Y72" s="18">
        <f t="shared" si="17"/>
        <v>0</v>
      </c>
      <c r="Z72" s="18">
        <v>0</v>
      </c>
      <c r="AA72" s="18">
        <f t="shared" si="18"/>
        <v>0</v>
      </c>
      <c r="AC72" s="84">
        <v>80.75</v>
      </c>
      <c r="AD72" s="18">
        <v>733.54679999999996</v>
      </c>
      <c r="AE72" s="5">
        <f t="shared" si="19"/>
        <v>0.125</v>
      </c>
      <c r="AF72" s="20">
        <f t="shared" si="20"/>
        <v>6.3E-2</v>
      </c>
      <c r="AH72" s="22">
        <v>1142.674</v>
      </c>
      <c r="AI72" s="20">
        <f t="shared" si="21"/>
        <v>0.46399990254440321</v>
      </c>
      <c r="AK72" s="22">
        <v>956.91300000000001</v>
      </c>
      <c r="AL72" s="20">
        <f t="shared" si="22"/>
        <v>0.59546546359676411</v>
      </c>
      <c r="AN72" s="5">
        <v>1083.57</v>
      </c>
    </row>
    <row r="73" spans="4:40" x14ac:dyDescent="0.35">
      <c r="D73" s="80">
        <f t="shared" si="23"/>
        <v>71</v>
      </c>
      <c r="E73" s="81">
        <v>0</v>
      </c>
      <c r="F73" s="82">
        <v>0</v>
      </c>
      <c r="G73" s="82">
        <v>0</v>
      </c>
      <c r="H73" s="82">
        <v>39045.247000000003</v>
      </c>
      <c r="I73" s="82">
        <v>2023.8073515599999</v>
      </c>
      <c r="J73" s="82">
        <f t="shared" si="12"/>
        <v>41069.05435156</v>
      </c>
      <c r="K73" s="81">
        <v>0</v>
      </c>
      <c r="L73" s="82">
        <v>0</v>
      </c>
      <c r="M73" s="82">
        <v>0.12</v>
      </c>
      <c r="N73" s="82">
        <v>5.6000000000000001E-2</v>
      </c>
      <c r="O73" s="82">
        <f t="shared" si="13"/>
        <v>0.17599999999999999</v>
      </c>
      <c r="P73" s="82">
        <v>6946.1149999999998</v>
      </c>
      <c r="Q73" s="82">
        <v>233.64574468000001</v>
      </c>
      <c r="R73" s="83">
        <f t="shared" si="14"/>
        <v>7179.7607446799993</v>
      </c>
      <c r="S73" s="82"/>
      <c r="T73" s="18">
        <v>0</v>
      </c>
      <c r="U73" s="18">
        <f t="shared" si="15"/>
        <v>0</v>
      </c>
      <c r="V73" s="18">
        <v>0</v>
      </c>
      <c r="W73" s="18">
        <f t="shared" si="16"/>
        <v>0</v>
      </c>
      <c r="X73" s="18">
        <v>0</v>
      </c>
      <c r="Y73" s="18">
        <f t="shared" si="17"/>
        <v>0</v>
      </c>
      <c r="Z73" s="18">
        <v>0</v>
      </c>
      <c r="AA73" s="18">
        <f t="shared" si="18"/>
        <v>0</v>
      </c>
      <c r="AC73" s="84">
        <v>77.52</v>
      </c>
      <c r="AD73" s="18">
        <v>652.04160000000002</v>
      </c>
      <c r="AE73" s="5">
        <f t="shared" si="19"/>
        <v>0.12</v>
      </c>
      <c r="AF73" s="20">
        <f t="shared" si="20"/>
        <v>5.6000000000000001E-2</v>
      </c>
      <c r="AH73" s="22">
        <v>1083.57</v>
      </c>
      <c r="AI73" s="20">
        <f t="shared" si="21"/>
        <v>0.43999983757400535</v>
      </c>
      <c r="AK73" s="22">
        <v>951.15300000000002</v>
      </c>
      <c r="AL73" s="20">
        <f t="shared" si="22"/>
        <v>0.5918811449906658</v>
      </c>
      <c r="AN73" s="5">
        <v>1063.8689999999999</v>
      </c>
    </row>
    <row r="74" spans="4:40" x14ac:dyDescent="0.35">
      <c r="D74" s="80">
        <f t="shared" si="23"/>
        <v>72</v>
      </c>
      <c r="E74" s="81">
        <v>0</v>
      </c>
      <c r="F74" s="82">
        <v>0</v>
      </c>
      <c r="G74" s="82">
        <v>0</v>
      </c>
      <c r="H74" s="82">
        <v>36622.576000000001</v>
      </c>
      <c r="I74" s="82">
        <v>1711.51260791</v>
      </c>
      <c r="J74" s="82">
        <f t="shared" si="12"/>
        <v>38334.088607910002</v>
      </c>
      <c r="K74" s="81">
        <v>0</v>
      </c>
      <c r="L74" s="82">
        <v>0</v>
      </c>
      <c r="M74" s="82">
        <v>0.109</v>
      </c>
      <c r="N74" s="82">
        <v>5.1000000000000004E-2</v>
      </c>
      <c r="O74" s="82">
        <f t="shared" si="13"/>
        <v>0.16</v>
      </c>
      <c r="P74" s="82">
        <v>6435.9790000000003</v>
      </c>
      <c r="Q74" s="82">
        <v>304.68297871999999</v>
      </c>
      <c r="R74" s="83">
        <f t="shared" si="14"/>
        <v>6740.6619787200007</v>
      </c>
      <c r="S74" s="82"/>
      <c r="T74" s="18">
        <v>0</v>
      </c>
      <c r="U74" s="18">
        <f t="shared" si="15"/>
        <v>0</v>
      </c>
      <c r="V74" s="18">
        <v>0</v>
      </c>
      <c r="W74" s="18">
        <f t="shared" si="16"/>
        <v>0</v>
      </c>
      <c r="X74" s="18">
        <v>0</v>
      </c>
      <c r="Y74" s="18">
        <f t="shared" si="17"/>
        <v>0</v>
      </c>
      <c r="Z74" s="18">
        <v>0</v>
      </c>
      <c r="AA74" s="18">
        <f t="shared" si="18"/>
        <v>0</v>
      </c>
      <c r="AC74" s="84">
        <v>70.414000000000001</v>
      </c>
      <c r="AD74" s="18">
        <v>593.82360000000006</v>
      </c>
      <c r="AE74" s="5">
        <f t="shared" si="19"/>
        <v>0.109</v>
      </c>
      <c r="AF74" s="20">
        <f t="shared" si="20"/>
        <v>5.1000000000000004E-2</v>
      </c>
      <c r="AH74" s="22">
        <v>1063.8689999999999</v>
      </c>
      <c r="AI74" s="20">
        <f t="shared" si="21"/>
        <v>0.43199995127220159</v>
      </c>
      <c r="AK74" s="22">
        <v>945.851</v>
      </c>
      <c r="AL74" s="20">
        <f t="shared" si="22"/>
        <v>0.58858182949595517</v>
      </c>
      <c r="AN74" s="5">
        <v>1004.765</v>
      </c>
    </row>
    <row r="75" spans="4:40" x14ac:dyDescent="0.35">
      <c r="D75" s="80">
        <f t="shared" si="23"/>
        <v>73</v>
      </c>
      <c r="E75" s="81">
        <v>0</v>
      </c>
      <c r="F75" s="82">
        <v>0</v>
      </c>
      <c r="G75" s="82">
        <v>0</v>
      </c>
      <c r="H75" s="82">
        <v>34001.474000000002</v>
      </c>
      <c r="I75" s="82">
        <v>1352.5548862999999</v>
      </c>
      <c r="J75" s="82">
        <f t="shared" si="12"/>
        <v>35354.028886300002</v>
      </c>
      <c r="K75" s="81">
        <v>0</v>
      </c>
      <c r="L75" s="82">
        <v>0</v>
      </c>
      <c r="M75" s="82">
        <v>0.10199999999999999</v>
      </c>
      <c r="N75" s="82">
        <v>4.8999999999999995E-2</v>
      </c>
      <c r="O75" s="82">
        <f t="shared" si="13"/>
        <v>0.151</v>
      </c>
      <c r="P75" s="82">
        <v>5688.5959999999995</v>
      </c>
      <c r="Q75" s="82">
        <v>246.98723404</v>
      </c>
      <c r="R75" s="83">
        <f t="shared" si="14"/>
        <v>5935.5832340399993</v>
      </c>
      <c r="S75" s="82"/>
      <c r="T75" s="18">
        <v>0</v>
      </c>
      <c r="U75" s="18">
        <f t="shared" si="15"/>
        <v>0</v>
      </c>
      <c r="V75" s="18">
        <v>0</v>
      </c>
      <c r="W75" s="18">
        <f t="shared" si="16"/>
        <v>0</v>
      </c>
      <c r="X75" s="18">
        <v>0</v>
      </c>
      <c r="Y75" s="18">
        <f t="shared" si="17"/>
        <v>0</v>
      </c>
      <c r="Z75" s="18">
        <v>0</v>
      </c>
      <c r="AA75" s="18">
        <f t="shared" si="18"/>
        <v>0</v>
      </c>
      <c r="AC75" s="84">
        <v>65.891999999999996</v>
      </c>
      <c r="AD75" s="18">
        <v>570.53639999999996</v>
      </c>
      <c r="AE75" s="5">
        <f t="shared" si="19"/>
        <v>0.10199999999999999</v>
      </c>
      <c r="AF75" s="20">
        <f t="shared" si="20"/>
        <v>4.8999999999999995E-2</v>
      </c>
      <c r="AH75" s="22">
        <v>1004.765</v>
      </c>
      <c r="AI75" s="20">
        <f t="shared" si="21"/>
        <v>0.40799988630180378</v>
      </c>
      <c r="AK75" s="22">
        <v>856.40499999999997</v>
      </c>
      <c r="AL75" s="20">
        <f t="shared" si="22"/>
        <v>0.53292159303049158</v>
      </c>
      <c r="AN75" s="5">
        <v>982.601</v>
      </c>
    </row>
    <row r="76" spans="4:40" x14ac:dyDescent="0.35">
      <c r="D76" s="80">
        <f t="shared" si="23"/>
        <v>74</v>
      </c>
      <c r="E76" s="81">
        <v>0</v>
      </c>
      <c r="F76" s="82">
        <v>0</v>
      </c>
      <c r="G76" s="82">
        <v>0</v>
      </c>
      <c r="H76" s="82">
        <v>32176.61948936</v>
      </c>
      <c r="I76" s="82">
        <v>960.92549794000001</v>
      </c>
      <c r="J76" s="82">
        <f t="shared" si="12"/>
        <v>33137.544987300003</v>
      </c>
      <c r="K76" s="81">
        <v>0</v>
      </c>
      <c r="L76" s="82">
        <v>0</v>
      </c>
      <c r="M76" s="82">
        <v>9.5000000000000001E-2</v>
      </c>
      <c r="N76" s="82">
        <v>4.7999999999999994E-2</v>
      </c>
      <c r="O76" s="82">
        <f t="shared" si="13"/>
        <v>0.14299999999999999</v>
      </c>
      <c r="P76" s="82">
        <v>5314.6819999999998</v>
      </c>
      <c r="Q76" s="82">
        <v>235.12978723000001</v>
      </c>
      <c r="R76" s="83">
        <f t="shared" si="14"/>
        <v>5549.8117872299999</v>
      </c>
      <c r="S76" s="82"/>
      <c r="T76" s="18">
        <v>0</v>
      </c>
      <c r="U76" s="18">
        <f t="shared" si="15"/>
        <v>0</v>
      </c>
      <c r="V76" s="18">
        <v>0</v>
      </c>
      <c r="W76" s="18">
        <f t="shared" si="16"/>
        <v>0</v>
      </c>
      <c r="X76" s="18">
        <v>0</v>
      </c>
      <c r="Y76" s="18">
        <f t="shared" si="17"/>
        <v>0</v>
      </c>
      <c r="Z76" s="18">
        <v>0</v>
      </c>
      <c r="AA76" s="18">
        <f t="shared" si="18"/>
        <v>0</v>
      </c>
      <c r="AC76" s="84">
        <v>61.37</v>
      </c>
      <c r="AD76" s="18">
        <v>558.89279999999997</v>
      </c>
      <c r="AE76" s="5">
        <f t="shared" si="19"/>
        <v>9.5000000000000001E-2</v>
      </c>
      <c r="AF76" s="20">
        <f t="shared" si="20"/>
        <v>4.7999999999999994E-2</v>
      </c>
      <c r="AH76" s="22">
        <v>982.601</v>
      </c>
      <c r="AI76" s="20">
        <f t="shared" si="21"/>
        <v>0.39899986193790454</v>
      </c>
      <c r="AK76" s="22">
        <v>849.18200000000002</v>
      </c>
      <c r="AL76" s="20">
        <f t="shared" si="22"/>
        <v>0.52842688238954572</v>
      </c>
      <c r="AN76" s="5">
        <v>980.13900000000001</v>
      </c>
    </row>
    <row r="77" spans="4:40" x14ac:dyDescent="0.35">
      <c r="D77" s="80">
        <f t="shared" si="23"/>
        <v>75</v>
      </c>
      <c r="E77" s="81">
        <v>0</v>
      </c>
      <c r="F77" s="82">
        <v>0</v>
      </c>
      <c r="G77" s="82">
        <v>0</v>
      </c>
      <c r="H77" s="82">
        <v>31151.46689362</v>
      </c>
      <c r="I77" s="82">
        <v>1510.4932251099999</v>
      </c>
      <c r="J77" s="82">
        <f t="shared" si="12"/>
        <v>32661.96011873</v>
      </c>
      <c r="K77" s="81">
        <v>0</v>
      </c>
      <c r="L77" s="82">
        <v>0</v>
      </c>
      <c r="M77" s="82">
        <v>9.2999999999999999E-2</v>
      </c>
      <c r="N77" s="82">
        <v>4.6999999999999993E-2</v>
      </c>
      <c r="O77" s="82">
        <f t="shared" si="13"/>
        <v>0.13999999999999999</v>
      </c>
      <c r="P77" s="82">
        <v>4886.3860000000004</v>
      </c>
      <c r="Q77" s="82">
        <v>177.81170212999999</v>
      </c>
      <c r="R77" s="83">
        <f t="shared" si="14"/>
        <v>5064.1977021300008</v>
      </c>
      <c r="S77" s="82"/>
      <c r="T77" s="18">
        <v>0</v>
      </c>
      <c r="U77" s="18">
        <f t="shared" si="15"/>
        <v>0</v>
      </c>
      <c r="V77" s="18">
        <v>0</v>
      </c>
      <c r="W77" s="18">
        <f t="shared" si="16"/>
        <v>0</v>
      </c>
      <c r="X77" s="18">
        <v>0</v>
      </c>
      <c r="Y77" s="18">
        <f t="shared" si="17"/>
        <v>0</v>
      </c>
      <c r="Z77" s="18">
        <v>0</v>
      </c>
      <c r="AA77" s="18">
        <f t="shared" si="18"/>
        <v>0</v>
      </c>
      <c r="AC77" s="84">
        <v>60.078000000000003</v>
      </c>
      <c r="AD77" s="18">
        <v>547.24919999999997</v>
      </c>
      <c r="AE77" s="5">
        <f t="shared" si="19"/>
        <v>9.2999999999999999E-2</v>
      </c>
      <c r="AF77" s="20">
        <f t="shared" si="20"/>
        <v>4.6999999999999993E-2</v>
      </c>
      <c r="AH77" s="22">
        <v>980.13900000000001</v>
      </c>
      <c r="AI77" s="20">
        <f t="shared" si="21"/>
        <v>0.39800012994079575</v>
      </c>
      <c r="AK77" s="22">
        <v>845.53800000000001</v>
      </c>
      <c r="AL77" s="20">
        <f t="shared" si="22"/>
        <v>0.52615930304915992</v>
      </c>
      <c r="AN77" s="5">
        <v>975.21299999999997</v>
      </c>
    </row>
    <row r="78" spans="4:40" x14ac:dyDescent="0.35">
      <c r="D78" s="80">
        <f t="shared" si="23"/>
        <v>76</v>
      </c>
      <c r="E78" s="81">
        <v>0</v>
      </c>
      <c r="F78" s="82">
        <v>0</v>
      </c>
      <c r="G78" s="82">
        <v>0</v>
      </c>
      <c r="H78" s="82">
        <v>30801.797872340001</v>
      </c>
      <c r="I78" s="82">
        <v>2372.71584089</v>
      </c>
      <c r="J78" s="82">
        <f t="shared" si="12"/>
        <v>33174.513713230001</v>
      </c>
      <c r="K78" s="81">
        <v>0</v>
      </c>
      <c r="L78" s="82">
        <v>0</v>
      </c>
      <c r="M78" s="82">
        <v>9.2999999999999999E-2</v>
      </c>
      <c r="N78" s="82">
        <v>4.2999999999999997E-2</v>
      </c>
      <c r="O78" s="82">
        <f t="shared" si="13"/>
        <v>0.13600000000000001</v>
      </c>
      <c r="P78" s="82">
        <v>4766.4970000000003</v>
      </c>
      <c r="Q78" s="82">
        <v>161.65531915</v>
      </c>
      <c r="R78" s="83">
        <f t="shared" si="14"/>
        <v>4928.15231915</v>
      </c>
      <c r="S78" s="82"/>
      <c r="T78" s="18">
        <v>0</v>
      </c>
      <c r="U78" s="18">
        <f t="shared" si="15"/>
        <v>0</v>
      </c>
      <c r="V78" s="18">
        <v>0</v>
      </c>
      <c r="W78" s="18">
        <f t="shared" si="16"/>
        <v>0</v>
      </c>
      <c r="X78" s="18">
        <v>0</v>
      </c>
      <c r="Y78" s="18">
        <f t="shared" si="17"/>
        <v>0</v>
      </c>
      <c r="Z78" s="18">
        <v>0</v>
      </c>
      <c r="AA78" s="18">
        <f t="shared" si="18"/>
        <v>0</v>
      </c>
      <c r="AC78" s="84">
        <v>60.078000000000003</v>
      </c>
      <c r="AD78" s="18">
        <v>500.6748</v>
      </c>
      <c r="AE78" s="5">
        <f t="shared" si="19"/>
        <v>9.2999999999999999E-2</v>
      </c>
      <c r="AF78" s="20">
        <f t="shared" si="20"/>
        <v>4.2999999999999997E-2</v>
      </c>
      <c r="AH78" s="22">
        <v>975.21299999999997</v>
      </c>
      <c r="AI78" s="20">
        <f t="shared" si="21"/>
        <v>0.3959998538166048</v>
      </c>
      <c r="AK78" s="22">
        <v>846.03599999999994</v>
      </c>
      <c r="AL78" s="20">
        <f t="shared" si="22"/>
        <v>0.52646919726197883</v>
      </c>
      <c r="AN78" s="5">
        <v>989.98900000000003</v>
      </c>
    </row>
    <row r="79" spans="4:40" x14ac:dyDescent="0.35">
      <c r="D79" s="80">
        <f t="shared" si="23"/>
        <v>77</v>
      </c>
      <c r="E79" s="81">
        <v>0</v>
      </c>
      <c r="F79" s="82">
        <v>0</v>
      </c>
      <c r="G79" s="82">
        <v>0</v>
      </c>
      <c r="H79" s="82">
        <v>31550.665063830002</v>
      </c>
      <c r="I79" s="82">
        <v>2669.0558326400001</v>
      </c>
      <c r="J79" s="82">
        <f t="shared" si="12"/>
        <v>34219.720896470004</v>
      </c>
      <c r="K79" s="81">
        <v>0</v>
      </c>
      <c r="L79" s="82">
        <v>0</v>
      </c>
      <c r="M79" s="82">
        <v>9.9000000000000005E-2</v>
      </c>
      <c r="N79" s="82">
        <v>3.9E-2</v>
      </c>
      <c r="O79" s="82">
        <f t="shared" si="13"/>
        <v>0.13800000000000001</v>
      </c>
      <c r="P79" s="82">
        <v>4766.549</v>
      </c>
      <c r="Q79" s="82">
        <v>164.99893617000001</v>
      </c>
      <c r="R79" s="83">
        <f t="shared" si="14"/>
        <v>4931.54793617</v>
      </c>
      <c r="S79" s="82"/>
      <c r="T79" s="18">
        <v>0</v>
      </c>
      <c r="U79" s="18">
        <f t="shared" si="15"/>
        <v>0</v>
      </c>
      <c r="V79" s="18">
        <v>0</v>
      </c>
      <c r="W79" s="18">
        <f t="shared" si="16"/>
        <v>0</v>
      </c>
      <c r="X79" s="18">
        <v>0</v>
      </c>
      <c r="Y79" s="18">
        <f t="shared" si="17"/>
        <v>0</v>
      </c>
      <c r="Z79" s="18">
        <v>0</v>
      </c>
      <c r="AA79" s="18">
        <f t="shared" si="18"/>
        <v>0</v>
      </c>
      <c r="AC79" s="84">
        <v>63.954000000000001</v>
      </c>
      <c r="AD79" s="18">
        <v>454.10039999999998</v>
      </c>
      <c r="AE79" s="5">
        <f t="shared" si="19"/>
        <v>9.9000000000000005E-2</v>
      </c>
      <c r="AF79" s="20">
        <f t="shared" si="20"/>
        <v>3.9E-2</v>
      </c>
      <c r="AH79" s="22">
        <v>989.98900000000003</v>
      </c>
      <c r="AI79" s="20">
        <f t="shared" si="21"/>
        <v>0.40199987005920429</v>
      </c>
      <c r="AK79" s="22">
        <v>848.31799999999998</v>
      </c>
      <c r="AL79" s="20">
        <f t="shared" si="22"/>
        <v>0.52788923459863102</v>
      </c>
      <c r="AN79" s="5">
        <v>1004.765</v>
      </c>
    </row>
    <row r="80" spans="4:40" x14ac:dyDescent="0.35">
      <c r="D80" s="80">
        <f t="shared" si="23"/>
        <v>78</v>
      </c>
      <c r="E80" s="81">
        <v>0</v>
      </c>
      <c r="F80" s="82">
        <v>0</v>
      </c>
      <c r="G80" s="82">
        <v>0</v>
      </c>
      <c r="H80" s="82">
        <v>33703.018234039999</v>
      </c>
      <c r="I80" s="82">
        <v>2910.9993967999999</v>
      </c>
      <c r="J80" s="82">
        <f t="shared" si="12"/>
        <v>36614.017630839997</v>
      </c>
      <c r="K80" s="81">
        <v>0</v>
      </c>
      <c r="L80" s="82">
        <v>0</v>
      </c>
      <c r="M80" s="82">
        <v>0.106</v>
      </c>
      <c r="N80" s="82">
        <v>3.9E-2</v>
      </c>
      <c r="O80" s="82">
        <f t="shared" si="13"/>
        <v>0.14499999999999999</v>
      </c>
      <c r="P80" s="82">
        <v>4897.4570000000003</v>
      </c>
      <c r="Q80" s="82">
        <v>165.55531915</v>
      </c>
      <c r="R80" s="83">
        <f t="shared" si="14"/>
        <v>5063.0123191500006</v>
      </c>
      <c r="S80" s="82"/>
      <c r="T80" s="18">
        <v>0</v>
      </c>
      <c r="U80" s="18">
        <f t="shared" si="15"/>
        <v>0</v>
      </c>
      <c r="V80" s="18">
        <v>0</v>
      </c>
      <c r="W80" s="18">
        <f t="shared" si="16"/>
        <v>0</v>
      </c>
      <c r="X80" s="18">
        <v>0</v>
      </c>
      <c r="Y80" s="18">
        <f t="shared" si="17"/>
        <v>0</v>
      </c>
      <c r="Z80" s="18">
        <v>0</v>
      </c>
      <c r="AA80" s="18">
        <f t="shared" si="18"/>
        <v>0</v>
      </c>
      <c r="AC80" s="84">
        <v>68.475999999999999</v>
      </c>
      <c r="AD80" s="18">
        <v>454.10039999999998</v>
      </c>
      <c r="AE80" s="5">
        <f t="shared" si="19"/>
        <v>0.106</v>
      </c>
      <c r="AF80" s="20">
        <f t="shared" si="20"/>
        <v>3.9E-2</v>
      </c>
      <c r="AH80" s="22">
        <v>1004.765</v>
      </c>
      <c r="AI80" s="20">
        <f t="shared" si="21"/>
        <v>0.40799988630180378</v>
      </c>
      <c r="AK80" s="22">
        <v>868.93600000000004</v>
      </c>
      <c r="AL80" s="20">
        <f t="shared" si="22"/>
        <v>0.54071935283136285</v>
      </c>
      <c r="AN80" s="5">
        <v>1014.616</v>
      </c>
    </row>
    <row r="81" spans="4:40" x14ac:dyDescent="0.35">
      <c r="D81" s="80">
        <f t="shared" si="23"/>
        <v>79</v>
      </c>
      <c r="E81" s="81">
        <v>0</v>
      </c>
      <c r="F81" s="82">
        <v>0</v>
      </c>
      <c r="G81" s="82">
        <v>0</v>
      </c>
      <c r="H81" s="82">
        <v>36791.984680000001</v>
      </c>
      <c r="I81" s="82">
        <v>3802.97379714</v>
      </c>
      <c r="J81" s="82">
        <f t="shared" si="12"/>
        <v>40594.958477140004</v>
      </c>
      <c r="K81" s="81">
        <v>0</v>
      </c>
      <c r="L81" s="82">
        <v>0</v>
      </c>
      <c r="M81" s="82">
        <v>0.115</v>
      </c>
      <c r="N81" s="82">
        <v>4.5999999999999999E-2</v>
      </c>
      <c r="O81" s="82">
        <f t="shared" si="13"/>
        <v>0.161</v>
      </c>
      <c r="P81" s="82">
        <v>5246.8270000000002</v>
      </c>
      <c r="Q81" s="82">
        <v>78.138080000000002</v>
      </c>
      <c r="R81" s="83">
        <f t="shared" si="14"/>
        <v>5324.9650799999999</v>
      </c>
      <c r="S81" s="82"/>
      <c r="T81" s="18">
        <v>0</v>
      </c>
      <c r="U81" s="18">
        <f t="shared" si="15"/>
        <v>0</v>
      </c>
      <c r="V81" s="18">
        <v>0</v>
      </c>
      <c r="W81" s="18">
        <f t="shared" si="16"/>
        <v>0</v>
      </c>
      <c r="X81" s="18">
        <v>0</v>
      </c>
      <c r="Y81" s="18">
        <f t="shared" si="17"/>
        <v>0</v>
      </c>
      <c r="Z81" s="18">
        <v>0</v>
      </c>
      <c r="AA81" s="18">
        <f t="shared" si="18"/>
        <v>0</v>
      </c>
      <c r="AC81" s="84">
        <v>74.290000000000006</v>
      </c>
      <c r="AD81" s="18">
        <v>535.60559999999998</v>
      </c>
      <c r="AE81" s="5">
        <f t="shared" si="19"/>
        <v>0.115</v>
      </c>
      <c r="AF81" s="20">
        <f t="shared" si="20"/>
        <v>4.5999999999999999E-2</v>
      </c>
      <c r="AH81" s="22">
        <v>1014.616</v>
      </c>
      <c r="AI81" s="20">
        <f t="shared" si="21"/>
        <v>0.41200003248519895</v>
      </c>
      <c r="AK81" s="22">
        <v>871.84100000000001</v>
      </c>
      <c r="AL81" s="20">
        <f t="shared" si="22"/>
        <v>0.54252706907280646</v>
      </c>
      <c r="AN81" s="5">
        <v>1022.004</v>
      </c>
    </row>
    <row r="82" spans="4:40" x14ac:dyDescent="0.35">
      <c r="D82" s="80">
        <f t="shared" si="23"/>
        <v>80</v>
      </c>
      <c r="E82" s="81">
        <v>0</v>
      </c>
      <c r="F82" s="82">
        <v>0</v>
      </c>
      <c r="G82" s="82">
        <v>0</v>
      </c>
      <c r="H82" s="82">
        <v>39591.880680000002</v>
      </c>
      <c r="I82" s="82">
        <v>4309.5745655999999</v>
      </c>
      <c r="J82" s="82">
        <f t="shared" si="12"/>
        <v>43901.455245600002</v>
      </c>
      <c r="K82" s="81">
        <v>0</v>
      </c>
      <c r="L82" s="82">
        <v>0</v>
      </c>
      <c r="M82" s="82">
        <v>0.12</v>
      </c>
      <c r="N82" s="82">
        <v>5.7999999999999996E-2</v>
      </c>
      <c r="O82" s="82">
        <f t="shared" si="13"/>
        <v>0.17799999999999999</v>
      </c>
      <c r="P82" s="82">
        <v>5773.9690000000001</v>
      </c>
      <c r="Q82" s="82">
        <v>78.138080000000002</v>
      </c>
      <c r="R82" s="83">
        <f t="shared" si="14"/>
        <v>5852.1070799999998</v>
      </c>
      <c r="S82" s="82"/>
      <c r="T82" s="18">
        <v>0</v>
      </c>
      <c r="U82" s="18">
        <f t="shared" si="15"/>
        <v>0</v>
      </c>
      <c r="V82" s="18">
        <v>0</v>
      </c>
      <c r="W82" s="18">
        <f t="shared" si="16"/>
        <v>0</v>
      </c>
      <c r="X82" s="18">
        <v>0</v>
      </c>
      <c r="Y82" s="18">
        <f t="shared" si="17"/>
        <v>0</v>
      </c>
      <c r="Z82" s="18">
        <v>0</v>
      </c>
      <c r="AA82" s="18">
        <f t="shared" si="18"/>
        <v>0</v>
      </c>
      <c r="AC82" s="84">
        <v>77.52</v>
      </c>
      <c r="AD82" s="18">
        <v>675.3288</v>
      </c>
      <c r="AE82" s="5">
        <f t="shared" si="19"/>
        <v>0.12</v>
      </c>
      <c r="AF82" s="20">
        <f t="shared" si="20"/>
        <v>5.7999999999999996E-2</v>
      </c>
      <c r="AH82" s="22">
        <v>1022.004</v>
      </c>
      <c r="AI82" s="20">
        <f t="shared" si="21"/>
        <v>0.4150000406064987</v>
      </c>
      <c r="AK82" s="22">
        <v>923.83699999999999</v>
      </c>
      <c r="AL82" s="20">
        <f t="shared" si="22"/>
        <v>0.57488301182327317</v>
      </c>
      <c r="AN82" s="5">
        <v>1083.57</v>
      </c>
    </row>
    <row r="83" spans="4:40" x14ac:dyDescent="0.35">
      <c r="D83" s="80">
        <f t="shared" si="23"/>
        <v>81</v>
      </c>
      <c r="E83" s="81">
        <v>0</v>
      </c>
      <c r="F83" s="82">
        <v>0</v>
      </c>
      <c r="G83" s="82">
        <v>0</v>
      </c>
      <c r="H83" s="82">
        <v>41620.536679999997</v>
      </c>
      <c r="I83" s="82">
        <v>4168.54933695</v>
      </c>
      <c r="J83" s="82">
        <f t="shared" si="12"/>
        <v>45789.086016949994</v>
      </c>
      <c r="K83" s="81">
        <v>0</v>
      </c>
      <c r="L83" s="82">
        <v>0</v>
      </c>
      <c r="M83" s="82">
        <v>0.126</v>
      </c>
      <c r="N83" s="82">
        <v>7.4999999999999997E-2</v>
      </c>
      <c r="O83" s="82">
        <f t="shared" si="13"/>
        <v>0.20100000000000001</v>
      </c>
      <c r="P83" s="82">
        <v>6262.2020000000002</v>
      </c>
      <c r="Q83" s="82">
        <v>78.138080000000002</v>
      </c>
      <c r="R83" s="83">
        <f t="shared" si="14"/>
        <v>6340.3400799999999</v>
      </c>
      <c r="S83" s="82"/>
      <c r="T83" s="18">
        <v>0</v>
      </c>
      <c r="U83" s="18">
        <f t="shared" si="15"/>
        <v>0</v>
      </c>
      <c r="V83" s="18">
        <v>0</v>
      </c>
      <c r="W83" s="18">
        <f t="shared" si="16"/>
        <v>0</v>
      </c>
      <c r="X83" s="18">
        <v>0</v>
      </c>
      <c r="Y83" s="18">
        <f t="shared" si="17"/>
        <v>0</v>
      </c>
      <c r="Z83" s="18">
        <v>0</v>
      </c>
      <c r="AA83" s="18">
        <f t="shared" si="18"/>
        <v>0</v>
      </c>
      <c r="AC83" s="84">
        <v>81.396000000000001</v>
      </c>
      <c r="AD83" s="18">
        <v>873.27</v>
      </c>
      <c r="AE83" s="5">
        <f t="shared" si="19"/>
        <v>0.126</v>
      </c>
      <c r="AF83" s="20">
        <f t="shared" si="20"/>
        <v>7.4999999999999997E-2</v>
      </c>
      <c r="AH83" s="22">
        <v>1083.57</v>
      </c>
      <c r="AI83" s="20">
        <f t="shared" si="21"/>
        <v>0.43999983757400535</v>
      </c>
      <c r="AK83" s="22">
        <v>937.77200000000005</v>
      </c>
      <c r="AL83" s="20">
        <f t="shared" si="22"/>
        <v>0.58355444928438083</v>
      </c>
      <c r="AN83" s="5">
        <v>1088.4960000000001</v>
      </c>
    </row>
    <row r="84" spans="4:40" x14ac:dyDescent="0.35">
      <c r="D84" s="80">
        <f t="shared" si="23"/>
        <v>82</v>
      </c>
      <c r="E84" s="81">
        <v>5.89999999999999E-2</v>
      </c>
      <c r="F84" s="82">
        <v>2.3E-2</v>
      </c>
      <c r="G84" s="82">
        <v>8.199999999999999E-2</v>
      </c>
      <c r="H84" s="82">
        <v>43145.327680000002</v>
      </c>
      <c r="I84" s="82">
        <v>2695.29612709</v>
      </c>
      <c r="J84" s="82">
        <f t="shared" si="12"/>
        <v>45840.62380709</v>
      </c>
      <c r="K84" s="81">
        <v>1.3999999999999999E-2</v>
      </c>
      <c r="L84" s="82">
        <v>1.3999999999999999E-2</v>
      </c>
      <c r="M84" s="82">
        <v>0.13100000000000001</v>
      </c>
      <c r="N84" s="82">
        <v>7.4999999999999997E-2</v>
      </c>
      <c r="O84" s="82">
        <f t="shared" si="13"/>
        <v>0.20600000000000002</v>
      </c>
      <c r="P84" s="82">
        <v>6477.848</v>
      </c>
      <c r="Q84" s="82">
        <v>0</v>
      </c>
      <c r="R84" s="83">
        <f t="shared" si="14"/>
        <v>6477.848</v>
      </c>
      <c r="S84" s="82"/>
      <c r="T84" s="18">
        <v>5561</v>
      </c>
      <c r="U84" s="18">
        <f t="shared" si="15"/>
        <v>6.7000000000000004E-2</v>
      </c>
      <c r="V84" s="18">
        <v>110.515</v>
      </c>
      <c r="W84" s="18">
        <f t="shared" si="16"/>
        <v>2.3E-2</v>
      </c>
      <c r="X84" s="18">
        <v>431.346</v>
      </c>
      <c r="Y84" s="18">
        <f t="shared" si="17"/>
        <v>0.03</v>
      </c>
      <c r="Z84" s="18">
        <v>241.4975</v>
      </c>
      <c r="AA84" s="18">
        <f t="shared" si="18"/>
        <v>2.5000000000000001E-2</v>
      </c>
      <c r="AC84" s="84">
        <v>84.626000000000005</v>
      </c>
      <c r="AD84" s="18">
        <v>873.27</v>
      </c>
      <c r="AE84" s="5">
        <f t="shared" si="19"/>
        <v>0.13100000000000001</v>
      </c>
      <c r="AF84" s="20">
        <f t="shared" si="20"/>
        <v>7.4999999999999997E-2</v>
      </c>
      <c r="AH84" s="22">
        <v>1088.4960000000001</v>
      </c>
      <c r="AI84" s="20">
        <f t="shared" si="21"/>
        <v>0.44200011369819631</v>
      </c>
      <c r="AK84" s="22">
        <v>962.72500000000002</v>
      </c>
      <c r="AL84" s="20">
        <f t="shared" si="22"/>
        <v>0.59908214063472309</v>
      </c>
      <c r="AN84" s="5">
        <v>1044.1679999999999</v>
      </c>
    </row>
    <row r="85" spans="4:40" x14ac:dyDescent="0.35">
      <c r="D85" s="80">
        <f t="shared" si="23"/>
        <v>83</v>
      </c>
      <c r="E85" s="81">
        <v>0.20399999999999999</v>
      </c>
      <c r="F85" s="82">
        <v>5.4000000000000006E-2</v>
      </c>
      <c r="G85" s="82">
        <v>0.19399999999999998</v>
      </c>
      <c r="H85" s="82">
        <v>42899.063000000002</v>
      </c>
      <c r="I85" s="82">
        <v>1954.1065423</v>
      </c>
      <c r="J85" s="82">
        <f t="shared" si="12"/>
        <v>44853.169542300006</v>
      </c>
      <c r="K85" s="81">
        <v>5.2999999999999999E-2</v>
      </c>
      <c r="L85" s="82">
        <v>5.89999999999999E-2</v>
      </c>
      <c r="M85" s="82">
        <v>0.13200000000000001</v>
      </c>
      <c r="N85" s="82">
        <v>4.2999999999999997E-2</v>
      </c>
      <c r="O85" s="82">
        <f t="shared" si="13"/>
        <v>0.17499999999999999</v>
      </c>
      <c r="P85" s="82">
        <v>6399.0910000000003</v>
      </c>
      <c r="Q85" s="82">
        <v>0</v>
      </c>
      <c r="R85" s="83">
        <f t="shared" si="14"/>
        <v>6399.0910000000003</v>
      </c>
      <c r="S85" s="82"/>
      <c r="T85" s="18">
        <v>14110</v>
      </c>
      <c r="U85" s="18">
        <f t="shared" si="15"/>
        <v>0.17</v>
      </c>
      <c r="V85" s="18">
        <v>259.47000000000003</v>
      </c>
      <c r="W85" s="18">
        <f t="shared" si="16"/>
        <v>5.4000000000000006E-2</v>
      </c>
      <c r="X85" s="18">
        <v>1782.8968</v>
      </c>
      <c r="Y85" s="18">
        <f t="shared" si="17"/>
        <v>0.124</v>
      </c>
      <c r="Z85" s="18">
        <v>975.6499</v>
      </c>
      <c r="AA85" s="18">
        <f t="shared" si="18"/>
        <v>0.10100000000000001</v>
      </c>
      <c r="AC85" s="84">
        <v>85.272000000000006</v>
      </c>
      <c r="AD85" s="18">
        <v>500.6748</v>
      </c>
      <c r="AE85" s="5">
        <f t="shared" si="19"/>
        <v>0.13200000000000001</v>
      </c>
      <c r="AF85" s="20">
        <f t="shared" si="20"/>
        <v>4.2999999999999997E-2</v>
      </c>
      <c r="AH85" s="22">
        <v>1044.1679999999999</v>
      </c>
      <c r="AI85" s="20">
        <f t="shared" si="21"/>
        <v>0.42400006497039783</v>
      </c>
      <c r="AK85" s="22">
        <v>963.25099999999998</v>
      </c>
      <c r="AL85" s="20">
        <f t="shared" si="22"/>
        <v>0.59940945861854389</v>
      </c>
      <c r="AN85" s="5">
        <v>1068.7940000000001</v>
      </c>
    </row>
    <row r="86" spans="4:40" x14ac:dyDescent="0.35">
      <c r="D86" s="80">
        <f t="shared" si="23"/>
        <v>84</v>
      </c>
      <c r="E86" s="81">
        <v>0.27700000000000002</v>
      </c>
      <c r="F86" s="82">
        <v>8.5999999999999993E-2</v>
      </c>
      <c r="G86" s="82">
        <v>0.28499999999999903</v>
      </c>
      <c r="H86" s="82">
        <v>43329.033000000003</v>
      </c>
      <c r="I86" s="82">
        <v>2464.8719474300001</v>
      </c>
      <c r="J86" s="82">
        <f t="shared" si="12"/>
        <v>45793.904947430005</v>
      </c>
      <c r="K86" s="81">
        <v>8.4000000000000005E-2</v>
      </c>
      <c r="L86" s="82">
        <v>0.102999999999999</v>
      </c>
      <c r="M86" s="82">
        <v>0.13</v>
      </c>
      <c r="N86" s="82">
        <v>2.8000000000000001E-2</v>
      </c>
      <c r="O86" s="82">
        <f t="shared" si="13"/>
        <v>0.158</v>
      </c>
      <c r="P86" s="82">
        <v>6517.8050000000003</v>
      </c>
      <c r="Q86" s="82">
        <v>0</v>
      </c>
      <c r="R86" s="83">
        <f t="shared" si="14"/>
        <v>6517.8050000000003</v>
      </c>
      <c r="S86" s="82"/>
      <c r="T86" s="18">
        <v>19671</v>
      </c>
      <c r="U86" s="18">
        <f t="shared" si="15"/>
        <v>0.23699999999999999</v>
      </c>
      <c r="V86" s="18">
        <v>413.23</v>
      </c>
      <c r="W86" s="18">
        <f t="shared" si="16"/>
        <v>8.6000000000000007E-2</v>
      </c>
      <c r="X86" s="18">
        <v>3206.3386</v>
      </c>
      <c r="Y86" s="18">
        <f t="shared" si="17"/>
        <v>0.223</v>
      </c>
      <c r="Z86" s="18">
        <v>1777.4215999999999</v>
      </c>
      <c r="AA86" s="18">
        <f t="shared" si="18"/>
        <v>0.184</v>
      </c>
      <c r="AC86" s="84">
        <v>83.98</v>
      </c>
      <c r="AD86" s="18">
        <v>326.02080000000001</v>
      </c>
      <c r="AE86" s="5">
        <f t="shared" si="19"/>
        <v>0.13</v>
      </c>
      <c r="AF86" s="20">
        <f t="shared" si="20"/>
        <v>2.8000000000000001E-2</v>
      </c>
      <c r="AH86" s="22">
        <v>1068.7940000000001</v>
      </c>
      <c r="AI86" s="20">
        <f t="shared" si="21"/>
        <v>0.43399982133140597</v>
      </c>
      <c r="AK86" s="22">
        <v>965.08900000000006</v>
      </c>
      <c r="AL86" s="20">
        <f t="shared" si="22"/>
        <v>0.60055320472930929</v>
      </c>
      <c r="AN86" s="5">
        <v>1071.2570000000001</v>
      </c>
    </row>
    <row r="87" spans="4:40" x14ac:dyDescent="0.35">
      <c r="D87" s="80">
        <f t="shared" si="23"/>
        <v>85</v>
      </c>
      <c r="E87" s="81">
        <v>0.28100000000000003</v>
      </c>
      <c r="F87" s="82">
        <v>0.11199999999999999</v>
      </c>
      <c r="G87" s="82">
        <v>0.34</v>
      </c>
      <c r="H87" s="82">
        <v>43728.13</v>
      </c>
      <c r="I87" s="82">
        <v>2692.2592929000002</v>
      </c>
      <c r="J87" s="82">
        <f t="shared" si="12"/>
        <v>46420.389292899999</v>
      </c>
      <c r="K87" s="81">
        <v>9.4E-2</v>
      </c>
      <c r="L87" s="82">
        <v>0.12</v>
      </c>
      <c r="M87" s="82">
        <v>0.13100000000000001</v>
      </c>
      <c r="N87" s="82">
        <v>4.2999999999999997E-2</v>
      </c>
      <c r="O87" s="82">
        <f t="shared" si="13"/>
        <v>0.17399999999999999</v>
      </c>
      <c r="P87" s="82">
        <v>6604.152</v>
      </c>
      <c r="Q87" s="82">
        <v>0</v>
      </c>
      <c r="R87" s="83">
        <f t="shared" si="14"/>
        <v>6604.152</v>
      </c>
      <c r="S87" s="82"/>
      <c r="T87" s="18">
        <v>23323</v>
      </c>
      <c r="U87" s="18">
        <f t="shared" si="15"/>
        <v>0.28100000000000003</v>
      </c>
      <c r="V87" s="18">
        <v>538.16</v>
      </c>
      <c r="W87" s="18">
        <f t="shared" si="16"/>
        <v>0.11199999999999999</v>
      </c>
      <c r="X87" s="18">
        <v>4385.3509999999997</v>
      </c>
      <c r="Y87" s="18">
        <f t="shared" si="17"/>
        <v>0.30499999999999994</v>
      </c>
      <c r="Z87" s="18">
        <v>2366.6754999999998</v>
      </c>
      <c r="AA87" s="18">
        <f t="shared" si="18"/>
        <v>0.245</v>
      </c>
      <c r="AC87" s="84">
        <v>84.626000000000005</v>
      </c>
      <c r="AD87" s="18">
        <v>500.6748</v>
      </c>
      <c r="AE87" s="5">
        <f t="shared" si="19"/>
        <v>0.13100000000000001</v>
      </c>
      <c r="AF87" s="20">
        <f t="shared" si="20"/>
        <v>4.2999999999999997E-2</v>
      </c>
      <c r="AH87" s="22">
        <v>1071.2570000000001</v>
      </c>
      <c r="AI87" s="20">
        <f t="shared" si="21"/>
        <v>0.43499995939350139</v>
      </c>
      <c r="AK87" s="22">
        <v>966.77700000000004</v>
      </c>
      <c r="AL87" s="20">
        <f t="shared" si="22"/>
        <v>0.60160360920970757</v>
      </c>
      <c r="AN87" s="5">
        <v>1058.944</v>
      </c>
    </row>
    <row r="88" spans="4:40" x14ac:dyDescent="0.35">
      <c r="D88" s="80">
        <f t="shared" si="23"/>
        <v>86</v>
      </c>
      <c r="E88" s="81">
        <v>0.253</v>
      </c>
      <c r="F88" s="82">
        <v>0.122</v>
      </c>
      <c r="G88" s="82">
        <v>0.34599999999999903</v>
      </c>
      <c r="H88" s="82">
        <v>43650.438000000002</v>
      </c>
      <c r="I88" s="82">
        <v>2386.7889066500002</v>
      </c>
      <c r="J88" s="82">
        <f t="shared" si="12"/>
        <v>46037.226906650001</v>
      </c>
      <c r="K88" s="81">
        <v>8.6999999999999994E-2</v>
      </c>
      <c r="L88" s="82">
        <v>0.11</v>
      </c>
      <c r="M88" s="82">
        <v>0.154</v>
      </c>
      <c r="N88" s="82">
        <v>0.11499999999999999</v>
      </c>
      <c r="O88" s="82">
        <f t="shared" si="13"/>
        <v>0.26900000000000002</v>
      </c>
      <c r="P88" s="82">
        <v>6357.2460000000001</v>
      </c>
      <c r="Q88" s="82">
        <v>0</v>
      </c>
      <c r="R88" s="83">
        <f t="shared" si="14"/>
        <v>6357.2460000000001</v>
      </c>
      <c r="S88" s="82"/>
      <c r="T88" s="18">
        <v>24402</v>
      </c>
      <c r="U88" s="18">
        <f t="shared" si="15"/>
        <v>0.29399999999999998</v>
      </c>
      <c r="V88" s="18">
        <v>586.21</v>
      </c>
      <c r="W88" s="18">
        <f t="shared" si="16"/>
        <v>0.12200000000000001</v>
      </c>
      <c r="X88" s="18">
        <v>4960.4790000000003</v>
      </c>
      <c r="Y88" s="18">
        <f t="shared" si="17"/>
        <v>0.34500000000000003</v>
      </c>
      <c r="Z88" s="18">
        <v>2608.1729999999998</v>
      </c>
      <c r="AA88" s="18">
        <f t="shared" si="18"/>
        <v>0.26999999999999996</v>
      </c>
      <c r="AC88" s="84">
        <v>99.483999999999995</v>
      </c>
      <c r="AD88" s="18">
        <v>1339.0139999999999</v>
      </c>
      <c r="AE88" s="5">
        <f t="shared" si="19"/>
        <v>0.154</v>
      </c>
      <c r="AF88" s="20">
        <f t="shared" si="20"/>
        <v>0.11499999999999999</v>
      </c>
      <c r="AH88" s="22">
        <v>1058.944</v>
      </c>
      <c r="AI88" s="20">
        <f t="shared" si="21"/>
        <v>0.43000008121299732</v>
      </c>
      <c r="AK88" s="22">
        <v>942.80899999999997</v>
      </c>
      <c r="AL88" s="20">
        <f t="shared" si="22"/>
        <v>0.5866888612321095</v>
      </c>
      <c r="AN88" s="5">
        <v>1063.8689999999999</v>
      </c>
    </row>
    <row r="89" spans="4:40" x14ac:dyDescent="0.35">
      <c r="D89" s="80">
        <f t="shared" si="23"/>
        <v>87</v>
      </c>
      <c r="E89" s="81">
        <v>0.16</v>
      </c>
      <c r="F89" s="82">
        <v>0.114</v>
      </c>
      <c r="G89" s="82">
        <v>0.307</v>
      </c>
      <c r="H89" s="82">
        <v>42943.040000000001</v>
      </c>
      <c r="I89" s="82">
        <v>1780.5198930900001</v>
      </c>
      <c r="J89" s="82">
        <f t="shared" si="12"/>
        <v>44723.559893090001</v>
      </c>
      <c r="K89" s="81">
        <v>7.0999999999999994E-2</v>
      </c>
      <c r="L89" s="82">
        <v>7.9000000000000001E-2</v>
      </c>
      <c r="M89" s="82">
        <v>0.193</v>
      </c>
      <c r="N89" s="82">
        <v>0.23800000000000002</v>
      </c>
      <c r="O89" s="82">
        <f t="shared" si="13"/>
        <v>0.43100000000000005</v>
      </c>
      <c r="P89" s="82">
        <v>6317.0320000000002</v>
      </c>
      <c r="Q89" s="82">
        <v>0</v>
      </c>
      <c r="R89" s="83">
        <f t="shared" si="14"/>
        <v>6317.0320000000002</v>
      </c>
      <c r="S89" s="82"/>
      <c r="T89" s="18">
        <v>23406</v>
      </c>
      <c r="U89" s="18">
        <f t="shared" si="15"/>
        <v>0.28199999999999997</v>
      </c>
      <c r="V89" s="18">
        <v>547.77</v>
      </c>
      <c r="W89" s="18">
        <f t="shared" si="16"/>
        <v>0.11399999999999999</v>
      </c>
      <c r="X89" s="18">
        <v>4816.6970000000001</v>
      </c>
      <c r="Y89" s="18">
        <f t="shared" si="17"/>
        <v>0.33499999999999996</v>
      </c>
      <c r="Z89" s="18">
        <v>2453.6145999999999</v>
      </c>
      <c r="AA89" s="18">
        <f t="shared" si="18"/>
        <v>0.254</v>
      </c>
      <c r="AC89" s="84">
        <v>124.678</v>
      </c>
      <c r="AD89" s="18">
        <v>2771.1768000000002</v>
      </c>
      <c r="AE89" s="5">
        <f t="shared" si="19"/>
        <v>0.193</v>
      </c>
      <c r="AF89" s="20">
        <f t="shared" si="20"/>
        <v>0.23800000000000002</v>
      </c>
      <c r="AH89" s="22">
        <v>1063.8689999999999</v>
      </c>
      <c r="AI89" s="20">
        <f t="shared" si="21"/>
        <v>0.43199995127220159</v>
      </c>
      <c r="AK89" s="22">
        <v>938.899</v>
      </c>
      <c r="AL89" s="20">
        <f t="shared" si="22"/>
        <v>0.58425575606720592</v>
      </c>
      <c r="AN89" s="5">
        <v>1044.1679999999999</v>
      </c>
    </row>
    <row r="90" spans="4:40" x14ac:dyDescent="0.35">
      <c r="D90" s="80">
        <f t="shared" si="23"/>
        <v>88</v>
      </c>
      <c r="E90" s="81">
        <v>3.5000000000000003E-2</v>
      </c>
      <c r="F90" s="82">
        <v>0.09</v>
      </c>
      <c r="G90" s="82">
        <v>0.245</v>
      </c>
      <c r="H90" s="82">
        <v>42826.260999999999</v>
      </c>
      <c r="I90" s="82">
        <v>1510.95043465</v>
      </c>
      <c r="J90" s="82">
        <f t="shared" si="12"/>
        <v>44337.211434650002</v>
      </c>
      <c r="K90" s="81">
        <v>3.6999999999999901E-2</v>
      </c>
      <c r="L90" s="82">
        <v>4.2000000000000003E-2</v>
      </c>
      <c r="M90" s="82">
        <v>0.23399999999999999</v>
      </c>
      <c r="N90" s="82">
        <v>0.33099999999999996</v>
      </c>
      <c r="O90" s="82">
        <f t="shared" si="13"/>
        <v>0.56499999999999995</v>
      </c>
      <c r="P90" s="82">
        <v>6344.6639999999998</v>
      </c>
      <c r="Q90" s="82">
        <v>0</v>
      </c>
      <c r="R90" s="83">
        <f t="shared" si="14"/>
        <v>6344.6639999999998</v>
      </c>
      <c r="S90" s="82"/>
      <c r="T90" s="18">
        <v>21165</v>
      </c>
      <c r="U90" s="18">
        <f t="shared" si="15"/>
        <v>0.255</v>
      </c>
      <c r="V90" s="18">
        <v>432.45</v>
      </c>
      <c r="W90" s="18">
        <f t="shared" si="16"/>
        <v>0.09</v>
      </c>
      <c r="X90" s="18">
        <v>3695.1974</v>
      </c>
      <c r="Y90" s="18">
        <f t="shared" si="17"/>
        <v>0.25700000000000001</v>
      </c>
      <c r="Z90" s="18">
        <v>1854.7008000000001</v>
      </c>
      <c r="AA90" s="18">
        <f t="shared" si="18"/>
        <v>0.192</v>
      </c>
      <c r="AC90" s="84">
        <v>151.16399999999999</v>
      </c>
      <c r="AD90" s="18">
        <v>3854.0315999999998</v>
      </c>
      <c r="AE90" s="5">
        <f t="shared" si="19"/>
        <v>0.23399999999999999</v>
      </c>
      <c r="AF90" s="20">
        <f t="shared" si="20"/>
        <v>0.33099999999999996</v>
      </c>
      <c r="AH90" s="22">
        <v>1044.1679999999999</v>
      </c>
      <c r="AI90" s="20">
        <f t="shared" si="21"/>
        <v>0.42400006497039783</v>
      </c>
      <c r="AK90" s="22">
        <v>948.59900000000005</v>
      </c>
      <c r="AL90" s="20">
        <f t="shared" si="22"/>
        <v>0.59029184816428126</v>
      </c>
      <c r="AN90" s="5">
        <v>1046.6300000000001</v>
      </c>
    </row>
    <row r="91" spans="4:40" x14ac:dyDescent="0.35">
      <c r="D91" s="80">
        <f t="shared" si="23"/>
        <v>89</v>
      </c>
      <c r="E91" s="81">
        <v>0</v>
      </c>
      <c r="F91" s="82">
        <v>5.0999999999999997E-2</v>
      </c>
      <c r="G91" s="82">
        <v>0.157</v>
      </c>
      <c r="H91" s="82">
        <v>43600.135999999999</v>
      </c>
      <c r="I91" s="82">
        <v>1519.23474126</v>
      </c>
      <c r="J91" s="82">
        <f t="shared" si="12"/>
        <v>45119.370741259998</v>
      </c>
      <c r="K91" s="81">
        <v>0</v>
      </c>
      <c r="L91" s="82">
        <v>1.3000000000000001E-2</v>
      </c>
      <c r="M91" s="82">
        <v>0.26700000000000002</v>
      </c>
      <c r="N91" s="82">
        <v>0.35600000000000004</v>
      </c>
      <c r="O91" s="82">
        <f t="shared" si="13"/>
        <v>0.623</v>
      </c>
      <c r="P91" s="82">
        <v>6566.5119999999997</v>
      </c>
      <c r="Q91" s="82">
        <v>0</v>
      </c>
      <c r="R91" s="83">
        <f t="shared" si="14"/>
        <v>6566.5119999999997</v>
      </c>
      <c r="S91" s="82"/>
      <c r="T91" s="18">
        <v>15687</v>
      </c>
      <c r="U91" s="18">
        <f t="shared" si="15"/>
        <v>0.189</v>
      </c>
      <c r="V91" s="18">
        <v>245.05500000000001</v>
      </c>
      <c r="W91" s="18">
        <f t="shared" si="16"/>
        <v>5.1000000000000004E-2</v>
      </c>
      <c r="X91" s="18">
        <v>2257.3773999999999</v>
      </c>
      <c r="Y91" s="18">
        <f t="shared" si="17"/>
        <v>0.15699999999999997</v>
      </c>
      <c r="Z91" s="18">
        <v>1072.2489</v>
      </c>
      <c r="AA91" s="18">
        <f t="shared" si="18"/>
        <v>0.11100000000000002</v>
      </c>
      <c r="AC91" s="84">
        <v>172.482</v>
      </c>
      <c r="AD91" s="18">
        <v>4145.1216000000004</v>
      </c>
      <c r="AE91" s="5">
        <f t="shared" si="19"/>
        <v>0.26700000000000002</v>
      </c>
      <c r="AF91" s="20">
        <f t="shared" si="20"/>
        <v>0.35600000000000004</v>
      </c>
      <c r="AH91" s="22">
        <v>1046.6300000000001</v>
      </c>
      <c r="AI91" s="20">
        <f t="shared" si="21"/>
        <v>0.42499979696750673</v>
      </c>
      <c r="AK91" s="22">
        <v>956.87599999999998</v>
      </c>
      <c r="AL91" s="20">
        <f t="shared" si="22"/>
        <v>0.59544243932794028</v>
      </c>
      <c r="AN91" s="5">
        <v>1105.7339999999999</v>
      </c>
    </row>
    <row r="92" spans="4:40" x14ac:dyDescent="0.35">
      <c r="D92" s="80">
        <f t="shared" si="23"/>
        <v>90</v>
      </c>
      <c r="E92" s="81">
        <v>0</v>
      </c>
      <c r="F92" s="82">
        <v>0</v>
      </c>
      <c r="G92" s="82">
        <v>5.0999999999999997E-2</v>
      </c>
      <c r="H92" s="82">
        <v>45774.112000000001</v>
      </c>
      <c r="I92" s="82">
        <v>1612.3495110399999</v>
      </c>
      <c r="J92" s="82">
        <f t="shared" si="12"/>
        <v>47386.461511040005</v>
      </c>
      <c r="K92" s="81">
        <v>0</v>
      </c>
      <c r="L92" s="82">
        <v>0</v>
      </c>
      <c r="M92" s="82">
        <v>0.316</v>
      </c>
      <c r="N92" s="82">
        <v>0.22</v>
      </c>
      <c r="O92" s="82">
        <f t="shared" si="13"/>
        <v>0.53600000000000003</v>
      </c>
      <c r="P92" s="82">
        <v>7042.9809999999998</v>
      </c>
      <c r="Q92" s="82">
        <v>0</v>
      </c>
      <c r="R92" s="83">
        <f t="shared" si="14"/>
        <v>7042.9809999999998</v>
      </c>
      <c r="S92" s="82"/>
      <c r="T92" s="18">
        <v>4316</v>
      </c>
      <c r="U92" s="18">
        <f t="shared" si="15"/>
        <v>5.1999999999999998E-2</v>
      </c>
      <c r="V92" s="18">
        <v>0</v>
      </c>
      <c r="W92" s="18">
        <f t="shared" si="16"/>
        <v>0</v>
      </c>
      <c r="X92" s="18">
        <v>920.20479999999998</v>
      </c>
      <c r="Y92" s="18">
        <f t="shared" si="17"/>
        <v>6.4000000000000001E-2</v>
      </c>
      <c r="Z92" s="18">
        <v>357.41629999999998</v>
      </c>
      <c r="AA92" s="18">
        <f t="shared" si="18"/>
        <v>3.6999999999999998E-2</v>
      </c>
      <c r="AC92" s="84">
        <v>204.136</v>
      </c>
      <c r="AD92" s="18">
        <v>2561.5920000000001</v>
      </c>
      <c r="AE92" s="5">
        <f t="shared" si="19"/>
        <v>0.316</v>
      </c>
      <c r="AF92" s="20">
        <f t="shared" si="20"/>
        <v>0.22</v>
      </c>
      <c r="AH92" s="22">
        <v>1105.7339999999999</v>
      </c>
      <c r="AI92" s="20">
        <f t="shared" si="21"/>
        <v>0.44899986193790453</v>
      </c>
      <c r="AK92" s="22">
        <v>967.40800000000002</v>
      </c>
      <c r="AL92" s="20">
        <f t="shared" si="22"/>
        <v>0.60199626633478531</v>
      </c>
      <c r="AN92" s="5">
        <v>1120.51</v>
      </c>
    </row>
    <row r="93" spans="4:40" x14ac:dyDescent="0.35">
      <c r="D93" s="80">
        <f t="shared" si="23"/>
        <v>91</v>
      </c>
      <c r="E93" s="81">
        <v>0</v>
      </c>
      <c r="F93" s="82">
        <v>0</v>
      </c>
      <c r="G93" s="82">
        <v>0</v>
      </c>
      <c r="H93" s="82">
        <v>46985.129000000001</v>
      </c>
      <c r="I93" s="82">
        <v>1737.9622810000001</v>
      </c>
      <c r="J93" s="82">
        <f t="shared" si="12"/>
        <v>48723.091281000001</v>
      </c>
      <c r="K93" s="81">
        <v>0</v>
      </c>
      <c r="L93" s="82">
        <v>0</v>
      </c>
      <c r="M93" s="82">
        <v>0.36399999999999999</v>
      </c>
      <c r="N93" s="82">
        <v>0.16499999999999998</v>
      </c>
      <c r="O93" s="82">
        <f t="shared" si="13"/>
        <v>0.52899999999999991</v>
      </c>
      <c r="P93" s="82">
        <v>7434.8710000000001</v>
      </c>
      <c r="Q93" s="82">
        <v>0</v>
      </c>
      <c r="R93" s="83">
        <f t="shared" si="14"/>
        <v>7434.8710000000001</v>
      </c>
      <c r="S93" s="82"/>
      <c r="T93" s="18">
        <v>0</v>
      </c>
      <c r="U93" s="18">
        <f t="shared" si="15"/>
        <v>0</v>
      </c>
      <c r="V93" s="18">
        <v>0</v>
      </c>
      <c r="W93" s="18">
        <f t="shared" si="16"/>
        <v>0</v>
      </c>
      <c r="X93" s="18">
        <v>0</v>
      </c>
      <c r="Y93" s="18">
        <f t="shared" si="17"/>
        <v>0</v>
      </c>
      <c r="Z93" s="18">
        <v>0</v>
      </c>
      <c r="AA93" s="18">
        <f t="shared" si="18"/>
        <v>0</v>
      </c>
      <c r="AC93" s="84">
        <v>235.14400000000001</v>
      </c>
      <c r="AD93" s="18">
        <v>1921.194</v>
      </c>
      <c r="AE93" s="5">
        <f t="shared" si="19"/>
        <v>0.36399999999999999</v>
      </c>
      <c r="AF93" s="20">
        <f t="shared" si="20"/>
        <v>0.16499999999999998</v>
      </c>
      <c r="AH93" s="22">
        <v>1120.51</v>
      </c>
      <c r="AI93" s="20">
        <f t="shared" si="21"/>
        <v>0.45499987818050402</v>
      </c>
      <c r="AK93" s="22">
        <v>981.17399999999998</v>
      </c>
      <c r="AL93" s="20">
        <f t="shared" si="22"/>
        <v>0.61056253889234602</v>
      </c>
      <c r="AN93" s="5">
        <v>1150.0619999999999</v>
      </c>
    </row>
    <row r="94" spans="4:40" x14ac:dyDescent="0.35">
      <c r="D94" s="80">
        <f t="shared" si="23"/>
        <v>92</v>
      </c>
      <c r="E94" s="81">
        <v>0</v>
      </c>
      <c r="F94" s="82">
        <v>0</v>
      </c>
      <c r="G94" s="82">
        <v>0</v>
      </c>
      <c r="H94" s="82">
        <v>46543.966999999997</v>
      </c>
      <c r="I94" s="82">
        <v>1877.1197350899999</v>
      </c>
      <c r="J94" s="82">
        <f t="shared" si="12"/>
        <v>48421.086735089993</v>
      </c>
      <c r="K94" s="81">
        <v>0</v>
      </c>
      <c r="L94" s="82">
        <v>0</v>
      </c>
      <c r="M94" s="82">
        <v>0.38800000000000001</v>
      </c>
      <c r="N94" s="82">
        <v>0.14599999999999999</v>
      </c>
      <c r="O94" s="82">
        <f t="shared" si="13"/>
        <v>0.53400000000000003</v>
      </c>
      <c r="P94" s="82">
        <v>7515.1890000000003</v>
      </c>
      <c r="Q94" s="82">
        <v>0</v>
      </c>
      <c r="R94" s="83">
        <f t="shared" si="14"/>
        <v>7515.1890000000003</v>
      </c>
      <c r="S94" s="82"/>
      <c r="T94" s="18">
        <v>0</v>
      </c>
      <c r="U94" s="18">
        <f t="shared" si="15"/>
        <v>0</v>
      </c>
      <c r="V94" s="18">
        <v>0</v>
      </c>
      <c r="W94" s="18">
        <f t="shared" si="16"/>
        <v>0</v>
      </c>
      <c r="X94" s="18">
        <v>0</v>
      </c>
      <c r="Y94" s="18">
        <f t="shared" si="17"/>
        <v>0</v>
      </c>
      <c r="Z94" s="18">
        <v>0</v>
      </c>
      <c r="AA94" s="18">
        <f t="shared" si="18"/>
        <v>0</v>
      </c>
      <c r="AC94" s="84">
        <v>250.648</v>
      </c>
      <c r="AD94" s="18">
        <v>1699.9656</v>
      </c>
      <c r="AE94" s="5">
        <f t="shared" si="19"/>
        <v>0.38800000000000001</v>
      </c>
      <c r="AF94" s="20">
        <f t="shared" si="20"/>
        <v>0.14599999999999999</v>
      </c>
      <c r="AH94" s="22">
        <v>1150.0619999999999</v>
      </c>
      <c r="AI94" s="20">
        <f t="shared" si="21"/>
        <v>0.4669999106657029</v>
      </c>
      <c r="AK94" s="22">
        <v>996.35</v>
      </c>
      <c r="AL94" s="20">
        <f t="shared" si="22"/>
        <v>0.62000622277535777</v>
      </c>
      <c r="AN94" s="5">
        <v>1164.838</v>
      </c>
    </row>
    <row r="95" spans="4:40" x14ac:dyDescent="0.35">
      <c r="D95" s="80">
        <f t="shared" si="23"/>
        <v>93</v>
      </c>
      <c r="E95" s="81">
        <v>0</v>
      </c>
      <c r="F95" s="82">
        <v>0</v>
      </c>
      <c r="G95" s="82">
        <v>0</v>
      </c>
      <c r="H95" s="82">
        <v>44908.347000000002</v>
      </c>
      <c r="I95" s="82">
        <v>1856.6173315000001</v>
      </c>
      <c r="J95" s="82">
        <f t="shared" si="12"/>
        <v>46764.964331499999</v>
      </c>
      <c r="K95" s="81">
        <v>0</v>
      </c>
      <c r="L95" s="82">
        <v>0</v>
      </c>
      <c r="M95" s="82">
        <v>0.43099999999999999</v>
      </c>
      <c r="N95" s="82">
        <v>0.14799999999999999</v>
      </c>
      <c r="O95" s="82">
        <f t="shared" si="13"/>
        <v>0.57899999999999996</v>
      </c>
      <c r="P95" s="82">
        <v>7256.3289999999997</v>
      </c>
      <c r="Q95" s="82">
        <v>0</v>
      </c>
      <c r="R95" s="83">
        <f t="shared" si="14"/>
        <v>7256.3289999999997</v>
      </c>
      <c r="S95" s="82"/>
      <c r="T95" s="18">
        <v>0</v>
      </c>
      <c r="U95" s="18">
        <f t="shared" si="15"/>
        <v>0</v>
      </c>
      <c r="V95" s="18">
        <v>0</v>
      </c>
      <c r="W95" s="18">
        <f t="shared" si="16"/>
        <v>0</v>
      </c>
      <c r="X95" s="18">
        <v>0</v>
      </c>
      <c r="Y95" s="18">
        <f t="shared" si="17"/>
        <v>0</v>
      </c>
      <c r="Z95" s="18">
        <v>0</v>
      </c>
      <c r="AA95" s="18">
        <f t="shared" si="18"/>
        <v>0</v>
      </c>
      <c r="AC95" s="84">
        <v>278.42599999999999</v>
      </c>
      <c r="AD95" s="18">
        <v>1723.2528</v>
      </c>
      <c r="AE95" s="5">
        <f t="shared" si="19"/>
        <v>0.43099999999999999</v>
      </c>
      <c r="AF95" s="20">
        <f t="shared" si="20"/>
        <v>0.14799999999999999</v>
      </c>
      <c r="AH95" s="22">
        <v>1164.838</v>
      </c>
      <c r="AI95" s="20">
        <f t="shared" si="21"/>
        <v>0.47299992690830239</v>
      </c>
      <c r="AK95" s="22">
        <v>1002.082</v>
      </c>
      <c r="AL95" s="20">
        <f t="shared" si="22"/>
        <v>0.62357311761045431</v>
      </c>
      <c r="AN95" s="5">
        <v>1150.0619999999999</v>
      </c>
    </row>
    <row r="96" spans="4:40" x14ac:dyDescent="0.35">
      <c r="D96" s="80">
        <f t="shared" si="23"/>
        <v>94</v>
      </c>
      <c r="E96" s="81">
        <v>0</v>
      </c>
      <c r="F96" s="82">
        <v>0</v>
      </c>
      <c r="G96" s="82">
        <v>0</v>
      </c>
      <c r="H96" s="82">
        <v>42329.292999999998</v>
      </c>
      <c r="I96" s="82">
        <v>1785.0935541199999</v>
      </c>
      <c r="J96" s="82">
        <f t="shared" si="12"/>
        <v>44114.386554119999</v>
      </c>
      <c r="K96" s="81">
        <v>0</v>
      </c>
      <c r="L96" s="82">
        <v>0</v>
      </c>
      <c r="M96" s="82">
        <v>0.49800000000000005</v>
      </c>
      <c r="N96" s="82">
        <v>0.16800000000000001</v>
      </c>
      <c r="O96" s="82">
        <f t="shared" si="13"/>
        <v>0.66600000000000004</v>
      </c>
      <c r="P96" s="82">
        <v>6822.1850000000004</v>
      </c>
      <c r="Q96" s="82">
        <v>0</v>
      </c>
      <c r="R96" s="83">
        <f t="shared" si="14"/>
        <v>6822.1850000000004</v>
      </c>
      <c r="S96" s="82"/>
      <c r="T96" s="18">
        <v>0</v>
      </c>
      <c r="U96" s="18">
        <f t="shared" si="15"/>
        <v>0</v>
      </c>
      <c r="V96" s="18">
        <v>0</v>
      </c>
      <c r="W96" s="18">
        <f t="shared" si="16"/>
        <v>0</v>
      </c>
      <c r="X96" s="18">
        <v>0</v>
      </c>
      <c r="Y96" s="18">
        <f t="shared" si="17"/>
        <v>0</v>
      </c>
      <c r="Z96" s="18">
        <v>0</v>
      </c>
      <c r="AA96" s="18">
        <f t="shared" si="18"/>
        <v>0</v>
      </c>
      <c r="AC96" s="84">
        <v>321.70800000000003</v>
      </c>
      <c r="AD96" s="18">
        <v>1956.1248000000001</v>
      </c>
      <c r="AE96" s="5">
        <f t="shared" si="19"/>
        <v>0.49800000000000005</v>
      </c>
      <c r="AF96" s="20">
        <f t="shared" si="20"/>
        <v>0.16800000000000001</v>
      </c>
      <c r="AH96" s="22">
        <v>1150.0619999999999</v>
      </c>
      <c r="AI96" s="20">
        <f t="shared" si="21"/>
        <v>0.4669999106657029</v>
      </c>
      <c r="AK96" s="22">
        <v>998.51499999999999</v>
      </c>
      <c r="AL96" s="20">
        <f t="shared" si="22"/>
        <v>0.62135345364032357</v>
      </c>
      <c r="AN96" s="5">
        <v>1145.1369999999999</v>
      </c>
    </row>
    <row r="97" spans="4:40" x14ac:dyDescent="0.35">
      <c r="D97" s="80">
        <f t="shared" si="23"/>
        <v>95</v>
      </c>
      <c r="E97" s="81">
        <v>0</v>
      </c>
      <c r="F97" s="82">
        <v>0</v>
      </c>
      <c r="G97" s="82">
        <v>0</v>
      </c>
      <c r="H97" s="82">
        <v>39693.309000000001</v>
      </c>
      <c r="I97" s="82">
        <v>1796.9525522199999</v>
      </c>
      <c r="J97" s="82">
        <f t="shared" si="12"/>
        <v>41490.261552219999</v>
      </c>
      <c r="K97" s="81">
        <v>0</v>
      </c>
      <c r="L97" s="82">
        <v>0</v>
      </c>
      <c r="M97" s="82">
        <v>0.53500000000000003</v>
      </c>
      <c r="N97" s="82">
        <v>0.20500000000000002</v>
      </c>
      <c r="O97" s="82">
        <f t="shared" si="13"/>
        <v>0.74</v>
      </c>
      <c r="P97" s="82">
        <v>6940.8670000000002</v>
      </c>
      <c r="Q97" s="82">
        <v>0</v>
      </c>
      <c r="R97" s="83">
        <f t="shared" si="14"/>
        <v>6940.8670000000002</v>
      </c>
      <c r="S97" s="82"/>
      <c r="T97" s="18">
        <v>0</v>
      </c>
      <c r="U97" s="18">
        <f t="shared" si="15"/>
        <v>0</v>
      </c>
      <c r="V97" s="18">
        <v>0</v>
      </c>
      <c r="W97" s="18">
        <f t="shared" si="16"/>
        <v>0</v>
      </c>
      <c r="X97" s="18">
        <v>0</v>
      </c>
      <c r="Y97" s="18">
        <f t="shared" si="17"/>
        <v>0</v>
      </c>
      <c r="Z97" s="18">
        <v>0</v>
      </c>
      <c r="AA97" s="18">
        <f t="shared" si="18"/>
        <v>0</v>
      </c>
      <c r="AC97" s="84">
        <v>345.61</v>
      </c>
      <c r="AD97" s="18">
        <v>2386.9380000000001</v>
      </c>
      <c r="AE97" s="5">
        <f t="shared" si="19"/>
        <v>0.53500000000000003</v>
      </c>
      <c r="AF97" s="20">
        <f t="shared" si="20"/>
        <v>0.20500000000000002</v>
      </c>
      <c r="AH97" s="22">
        <v>1145.1369999999999</v>
      </c>
      <c r="AI97" s="20">
        <f t="shared" si="21"/>
        <v>0.46500004060649869</v>
      </c>
      <c r="AK97" s="22">
        <v>973.24599999999998</v>
      </c>
      <c r="AL97" s="20">
        <f t="shared" si="22"/>
        <v>0.60562912258867452</v>
      </c>
      <c r="AN97" s="5">
        <v>1145.1369999999999</v>
      </c>
    </row>
    <row r="98" spans="4:40" x14ac:dyDescent="0.35">
      <c r="D98" s="80">
        <f t="shared" si="23"/>
        <v>96</v>
      </c>
      <c r="E98" s="81">
        <v>0</v>
      </c>
      <c r="F98" s="82">
        <v>0</v>
      </c>
      <c r="G98" s="82">
        <v>0</v>
      </c>
      <c r="H98" s="82">
        <v>37196.328999999998</v>
      </c>
      <c r="I98" s="82">
        <v>1495.4430131500001</v>
      </c>
      <c r="J98" s="82">
        <f t="shared" si="12"/>
        <v>38691.772013149995</v>
      </c>
      <c r="K98" s="81">
        <v>0</v>
      </c>
      <c r="L98" s="82">
        <v>0</v>
      </c>
      <c r="M98" s="82">
        <v>0.55800000000000005</v>
      </c>
      <c r="N98" s="82">
        <v>0.23599999999999999</v>
      </c>
      <c r="O98" s="82">
        <f t="shared" si="13"/>
        <v>0.79400000000000004</v>
      </c>
      <c r="P98" s="82">
        <v>6443.0649999999996</v>
      </c>
      <c r="Q98" s="82">
        <v>0</v>
      </c>
      <c r="R98" s="83">
        <f t="shared" si="14"/>
        <v>6443.0649999999996</v>
      </c>
      <c r="S98" s="82"/>
      <c r="T98" s="18">
        <v>0</v>
      </c>
      <c r="U98" s="18">
        <f t="shared" si="15"/>
        <v>0</v>
      </c>
      <c r="V98" s="18">
        <v>0</v>
      </c>
      <c r="W98" s="18">
        <f t="shared" si="16"/>
        <v>0</v>
      </c>
      <c r="X98" s="18">
        <v>0</v>
      </c>
      <c r="Y98" s="18">
        <f t="shared" si="17"/>
        <v>0</v>
      </c>
      <c r="Z98" s="18">
        <v>0</v>
      </c>
      <c r="AA98" s="18">
        <f t="shared" si="18"/>
        <v>0</v>
      </c>
      <c r="AC98" s="84">
        <v>360.46800000000002</v>
      </c>
      <c r="AD98" s="18">
        <v>2747.8896</v>
      </c>
      <c r="AE98" s="5">
        <f t="shared" si="19"/>
        <v>0.55800000000000005</v>
      </c>
      <c r="AF98" s="20">
        <f t="shared" si="20"/>
        <v>0.23599999999999999</v>
      </c>
      <c r="AH98" s="22">
        <v>1145.1369999999999</v>
      </c>
      <c r="AI98" s="20">
        <f t="shared" si="21"/>
        <v>0.46500004060649869</v>
      </c>
      <c r="AK98" s="22">
        <v>973.54899999999998</v>
      </c>
      <c r="AL98" s="20">
        <f t="shared" si="22"/>
        <v>0.60581767268201614</v>
      </c>
      <c r="AN98" s="5">
        <v>1095.884</v>
      </c>
    </row>
    <row r="99" spans="4:40" x14ac:dyDescent="0.35">
      <c r="D99" s="80">
        <f t="shared" si="23"/>
        <v>97</v>
      </c>
      <c r="E99" s="81">
        <v>0</v>
      </c>
      <c r="F99" s="82">
        <v>0</v>
      </c>
      <c r="G99" s="82">
        <v>0</v>
      </c>
      <c r="H99" s="82">
        <v>34480.928999999996</v>
      </c>
      <c r="I99" s="82">
        <v>1216.4069836199999</v>
      </c>
      <c r="J99" s="82">
        <f t="shared" si="12"/>
        <v>35697.335983619996</v>
      </c>
      <c r="K99" s="81">
        <v>0</v>
      </c>
      <c r="L99" s="82">
        <v>0</v>
      </c>
      <c r="M99" s="82">
        <v>0.57599999999999996</v>
      </c>
      <c r="N99" s="82">
        <v>0.25</v>
      </c>
      <c r="O99" s="82">
        <f t="shared" si="13"/>
        <v>0.82599999999999996</v>
      </c>
      <c r="P99" s="82">
        <v>5694.0230000000001</v>
      </c>
      <c r="Q99" s="82">
        <v>0</v>
      </c>
      <c r="R99" s="83">
        <f t="shared" si="14"/>
        <v>5694.0230000000001</v>
      </c>
      <c r="S99" s="82"/>
      <c r="T99" s="18">
        <v>0</v>
      </c>
      <c r="U99" s="18">
        <f t="shared" si="15"/>
        <v>0</v>
      </c>
      <c r="V99" s="18">
        <v>0</v>
      </c>
      <c r="W99" s="18">
        <f t="shared" si="16"/>
        <v>0</v>
      </c>
      <c r="X99" s="18">
        <v>0</v>
      </c>
      <c r="Y99" s="18">
        <f t="shared" si="17"/>
        <v>0</v>
      </c>
      <c r="Z99" s="18">
        <v>0</v>
      </c>
      <c r="AA99" s="18">
        <f t="shared" si="18"/>
        <v>0</v>
      </c>
      <c r="AC99" s="84">
        <v>372.096</v>
      </c>
      <c r="AD99" s="18">
        <v>2910.9</v>
      </c>
      <c r="AE99" s="5">
        <f t="shared" si="19"/>
        <v>0.57599999999999996</v>
      </c>
      <c r="AF99" s="20">
        <f t="shared" si="20"/>
        <v>0.25</v>
      </c>
      <c r="AH99" s="22">
        <v>1095.884</v>
      </c>
      <c r="AI99" s="20">
        <f t="shared" si="21"/>
        <v>0.445000121819496</v>
      </c>
      <c r="AK99" s="22">
        <v>930.68299999999999</v>
      </c>
      <c r="AL99" s="20">
        <f t="shared" si="22"/>
        <v>0.57914312383322963</v>
      </c>
      <c r="AN99" s="5">
        <v>1034.317</v>
      </c>
    </row>
    <row r="100" spans="4:40" x14ac:dyDescent="0.35">
      <c r="D100" s="80">
        <f t="shared" si="23"/>
        <v>98</v>
      </c>
      <c r="E100" s="81">
        <v>0</v>
      </c>
      <c r="F100" s="82">
        <v>0</v>
      </c>
      <c r="G100" s="82">
        <v>0</v>
      </c>
      <c r="H100" s="82">
        <v>32526.065999999999</v>
      </c>
      <c r="I100" s="82">
        <v>917.35342027000002</v>
      </c>
      <c r="J100" s="82">
        <f t="shared" si="12"/>
        <v>33443.419420270002</v>
      </c>
      <c r="K100" s="81">
        <v>0</v>
      </c>
      <c r="L100" s="82">
        <v>0</v>
      </c>
      <c r="M100" s="82">
        <v>0.59099999999999997</v>
      </c>
      <c r="N100" s="82">
        <v>0.24299999999999999</v>
      </c>
      <c r="O100" s="82">
        <f t="shared" si="13"/>
        <v>0.83399999999999996</v>
      </c>
      <c r="P100" s="82">
        <v>5318.067</v>
      </c>
      <c r="Q100" s="82">
        <v>0</v>
      </c>
      <c r="R100" s="83">
        <f t="shared" si="14"/>
        <v>5318.067</v>
      </c>
      <c r="S100" s="82"/>
      <c r="T100" s="18">
        <v>0</v>
      </c>
      <c r="U100" s="18">
        <f t="shared" si="15"/>
        <v>0</v>
      </c>
      <c r="V100" s="18">
        <v>0</v>
      </c>
      <c r="W100" s="18">
        <f t="shared" si="16"/>
        <v>0</v>
      </c>
      <c r="X100" s="18">
        <v>0</v>
      </c>
      <c r="Y100" s="18">
        <f t="shared" si="17"/>
        <v>0</v>
      </c>
      <c r="Z100" s="18">
        <v>0</v>
      </c>
      <c r="AA100" s="18">
        <f t="shared" si="18"/>
        <v>0</v>
      </c>
      <c r="AC100" s="84">
        <v>381.786</v>
      </c>
      <c r="AD100" s="18">
        <v>2829.3948</v>
      </c>
      <c r="AE100" s="5">
        <f t="shared" si="19"/>
        <v>0.59099999999999997</v>
      </c>
      <c r="AF100" s="20">
        <f t="shared" si="20"/>
        <v>0.24299999999999999</v>
      </c>
      <c r="AH100" s="22">
        <v>1034.317</v>
      </c>
      <c r="AI100" s="20">
        <f t="shared" si="21"/>
        <v>0.41999991878700271</v>
      </c>
      <c r="AK100" s="22">
        <v>928.14200000000005</v>
      </c>
      <c r="AL100" s="20">
        <f t="shared" si="22"/>
        <v>0.57756191661481027</v>
      </c>
      <c r="AN100" s="5">
        <v>1031.855</v>
      </c>
    </row>
    <row r="101" spans="4:40" x14ac:dyDescent="0.35">
      <c r="D101" s="80">
        <f t="shared" si="23"/>
        <v>99</v>
      </c>
      <c r="E101" s="81">
        <v>0</v>
      </c>
      <c r="F101" s="82">
        <v>0</v>
      </c>
      <c r="G101" s="82">
        <v>0</v>
      </c>
      <c r="H101" s="82">
        <v>31404.126</v>
      </c>
      <c r="I101" s="82">
        <v>1514.24437476</v>
      </c>
      <c r="J101" s="82">
        <f t="shared" si="12"/>
        <v>32918.370374760001</v>
      </c>
      <c r="K101" s="81">
        <v>0</v>
      </c>
      <c r="L101" s="82">
        <v>0</v>
      </c>
      <c r="M101" s="82">
        <v>0.59699999999999998</v>
      </c>
      <c r="N101" s="82">
        <v>0.24199999999999999</v>
      </c>
      <c r="O101" s="82">
        <f t="shared" si="13"/>
        <v>0.83899999999999997</v>
      </c>
      <c r="P101" s="82">
        <v>4886.8729999999996</v>
      </c>
      <c r="Q101" s="82">
        <v>0</v>
      </c>
      <c r="R101" s="83">
        <f t="shared" si="14"/>
        <v>4886.8729999999996</v>
      </c>
      <c r="S101" s="82"/>
      <c r="T101" s="18">
        <v>0</v>
      </c>
      <c r="U101" s="18">
        <f t="shared" si="15"/>
        <v>0</v>
      </c>
      <c r="V101" s="18">
        <v>0</v>
      </c>
      <c r="W101" s="18">
        <f t="shared" si="16"/>
        <v>0</v>
      </c>
      <c r="X101" s="18">
        <v>0</v>
      </c>
      <c r="Y101" s="18">
        <f t="shared" si="17"/>
        <v>0</v>
      </c>
      <c r="Z101" s="18">
        <v>0</v>
      </c>
      <c r="AA101" s="18">
        <f t="shared" si="18"/>
        <v>0</v>
      </c>
      <c r="AC101" s="84">
        <v>385.66199999999998</v>
      </c>
      <c r="AD101" s="18">
        <v>2817.7512000000002</v>
      </c>
      <c r="AE101" s="5">
        <f t="shared" si="19"/>
        <v>0.59699999999999998</v>
      </c>
      <c r="AF101" s="20">
        <f t="shared" si="20"/>
        <v>0.24199999999999999</v>
      </c>
      <c r="AH101" s="22">
        <v>1031.855</v>
      </c>
      <c r="AI101" s="20">
        <f t="shared" si="21"/>
        <v>0.41900018678989387</v>
      </c>
      <c r="AK101" s="22">
        <v>933.52300000000002</v>
      </c>
      <c r="AL101" s="20">
        <f t="shared" si="22"/>
        <v>0.58091039203484751</v>
      </c>
      <c r="AN101" s="5">
        <v>1002.303</v>
      </c>
    </row>
    <row r="102" spans="4:40" x14ac:dyDescent="0.35">
      <c r="D102" s="80">
        <f t="shared" si="23"/>
        <v>100</v>
      </c>
      <c r="E102" s="81">
        <v>0</v>
      </c>
      <c r="F102" s="82">
        <v>0</v>
      </c>
      <c r="G102" s="82">
        <v>0</v>
      </c>
      <c r="H102" s="82">
        <v>31010.085999999999</v>
      </c>
      <c r="I102" s="82">
        <v>2406.3645889999998</v>
      </c>
      <c r="J102" s="82">
        <f t="shared" si="12"/>
        <v>33416.450589</v>
      </c>
      <c r="K102" s="81">
        <v>0</v>
      </c>
      <c r="L102" s="82">
        <v>0</v>
      </c>
      <c r="M102" s="82">
        <v>0.58299999999999996</v>
      </c>
      <c r="N102" s="82">
        <v>0.26200000000000001</v>
      </c>
      <c r="O102" s="82">
        <f t="shared" si="13"/>
        <v>0.84499999999999997</v>
      </c>
      <c r="P102" s="82">
        <v>4764.5219999999999</v>
      </c>
      <c r="Q102" s="82">
        <v>0</v>
      </c>
      <c r="R102" s="83">
        <f t="shared" si="14"/>
        <v>4764.5219999999999</v>
      </c>
      <c r="S102" s="82"/>
      <c r="T102" s="18">
        <v>0</v>
      </c>
      <c r="U102" s="18">
        <f t="shared" si="15"/>
        <v>0</v>
      </c>
      <c r="V102" s="18">
        <v>0</v>
      </c>
      <c r="W102" s="18">
        <f t="shared" si="16"/>
        <v>0</v>
      </c>
      <c r="X102" s="18">
        <v>0</v>
      </c>
      <c r="Y102" s="18">
        <f t="shared" si="17"/>
        <v>0</v>
      </c>
      <c r="Z102" s="18">
        <v>0</v>
      </c>
      <c r="AA102" s="18">
        <f t="shared" si="18"/>
        <v>0</v>
      </c>
      <c r="AC102" s="84">
        <v>376.61799999999999</v>
      </c>
      <c r="AD102" s="18">
        <v>3050.6232</v>
      </c>
      <c r="AE102" s="5">
        <f t="shared" si="19"/>
        <v>0.58299999999999996</v>
      </c>
      <c r="AF102" s="20">
        <f t="shared" si="20"/>
        <v>0.26200000000000001</v>
      </c>
      <c r="AH102" s="22">
        <v>1002.303</v>
      </c>
      <c r="AI102" s="20">
        <f t="shared" si="21"/>
        <v>0.40700015430469494</v>
      </c>
      <c r="AK102" s="22">
        <v>941.20399999999995</v>
      </c>
      <c r="AL102" s="20">
        <f t="shared" si="22"/>
        <v>0.58569010578718106</v>
      </c>
      <c r="AN102" s="5">
        <v>987.52700000000004</v>
      </c>
    </row>
    <row r="103" spans="4:40" x14ac:dyDescent="0.35">
      <c r="D103" s="80">
        <f t="shared" si="23"/>
        <v>101</v>
      </c>
      <c r="E103" s="81">
        <v>0</v>
      </c>
      <c r="F103" s="82">
        <v>0</v>
      </c>
      <c r="G103" s="82">
        <v>0</v>
      </c>
      <c r="H103" s="82">
        <v>31779.83</v>
      </c>
      <c r="I103" s="82">
        <v>2704.48176496</v>
      </c>
      <c r="J103" s="82">
        <f t="shared" si="12"/>
        <v>34484.311764960003</v>
      </c>
      <c r="K103" s="81">
        <v>0</v>
      </c>
      <c r="L103" s="82">
        <v>0</v>
      </c>
      <c r="M103" s="82">
        <v>0.56299999999999994</v>
      </c>
      <c r="N103" s="82">
        <v>0.28300000000000003</v>
      </c>
      <c r="O103" s="82">
        <f t="shared" si="13"/>
        <v>0.84599999999999997</v>
      </c>
      <c r="P103" s="82">
        <v>4767.6689999999999</v>
      </c>
      <c r="Q103" s="82">
        <v>0</v>
      </c>
      <c r="R103" s="83">
        <f t="shared" si="14"/>
        <v>4767.6689999999999</v>
      </c>
      <c r="S103" s="82"/>
      <c r="T103" s="18">
        <v>0</v>
      </c>
      <c r="U103" s="18">
        <f t="shared" si="15"/>
        <v>0</v>
      </c>
      <c r="V103" s="18">
        <v>0</v>
      </c>
      <c r="W103" s="18">
        <f t="shared" si="16"/>
        <v>0</v>
      </c>
      <c r="X103" s="18">
        <v>0</v>
      </c>
      <c r="Y103" s="18">
        <f t="shared" si="17"/>
        <v>0</v>
      </c>
      <c r="Z103" s="18">
        <v>0</v>
      </c>
      <c r="AA103" s="18">
        <f t="shared" si="18"/>
        <v>0</v>
      </c>
      <c r="AC103" s="84">
        <v>363.69799999999998</v>
      </c>
      <c r="AD103" s="18">
        <v>3295.1388000000002</v>
      </c>
      <c r="AE103" s="5">
        <f t="shared" si="19"/>
        <v>0.56299999999999994</v>
      </c>
      <c r="AF103" s="20">
        <f t="shared" si="20"/>
        <v>0.28300000000000003</v>
      </c>
      <c r="AH103" s="22">
        <v>987.52700000000004</v>
      </c>
      <c r="AI103" s="20">
        <f t="shared" si="21"/>
        <v>0.4010001380620955</v>
      </c>
      <c r="AK103" s="22">
        <v>945.78499999999997</v>
      </c>
      <c r="AL103" s="20">
        <f t="shared" si="22"/>
        <v>0.58854075917859361</v>
      </c>
      <c r="AN103" s="5">
        <v>980.13900000000001</v>
      </c>
    </row>
    <row r="104" spans="4:40" x14ac:dyDescent="0.35">
      <c r="D104" s="80">
        <f t="shared" si="23"/>
        <v>102</v>
      </c>
      <c r="E104" s="81">
        <v>0</v>
      </c>
      <c r="F104" s="82">
        <v>0</v>
      </c>
      <c r="G104" s="82">
        <v>0</v>
      </c>
      <c r="H104" s="82">
        <v>33941.966999999997</v>
      </c>
      <c r="I104" s="82">
        <v>2896.52217703</v>
      </c>
      <c r="J104" s="82">
        <f t="shared" si="12"/>
        <v>36838.489177029995</v>
      </c>
      <c r="K104" s="81">
        <v>0</v>
      </c>
      <c r="L104" s="82">
        <v>0</v>
      </c>
      <c r="M104" s="82">
        <v>0.55700000000000005</v>
      </c>
      <c r="N104" s="82">
        <v>0.3</v>
      </c>
      <c r="O104" s="82">
        <f t="shared" si="13"/>
        <v>0.85699999999999998</v>
      </c>
      <c r="P104" s="82">
        <v>4904.3209999999999</v>
      </c>
      <c r="Q104" s="82">
        <v>0</v>
      </c>
      <c r="R104" s="83">
        <f t="shared" si="14"/>
        <v>4904.3209999999999</v>
      </c>
      <c r="S104" s="82"/>
      <c r="T104" s="18">
        <v>0</v>
      </c>
      <c r="U104" s="18">
        <f t="shared" si="15"/>
        <v>0</v>
      </c>
      <c r="V104" s="18">
        <v>0</v>
      </c>
      <c r="W104" s="18">
        <f t="shared" si="16"/>
        <v>0</v>
      </c>
      <c r="X104" s="18">
        <v>0</v>
      </c>
      <c r="Y104" s="18">
        <f t="shared" si="17"/>
        <v>0</v>
      </c>
      <c r="Z104" s="18">
        <v>0</v>
      </c>
      <c r="AA104" s="18">
        <f t="shared" si="18"/>
        <v>0</v>
      </c>
      <c r="AC104" s="84">
        <v>359.822</v>
      </c>
      <c r="AD104" s="18">
        <v>3493.08</v>
      </c>
      <c r="AE104" s="5">
        <f t="shared" si="19"/>
        <v>0.55700000000000005</v>
      </c>
      <c r="AF104" s="20">
        <f t="shared" si="20"/>
        <v>0.3</v>
      </c>
      <c r="AH104" s="22">
        <v>980.13900000000001</v>
      </c>
      <c r="AI104" s="20">
        <f t="shared" si="21"/>
        <v>0.39800012994079575</v>
      </c>
      <c r="AK104" s="22">
        <v>932.50099999999998</v>
      </c>
      <c r="AL104" s="20">
        <f t="shared" si="22"/>
        <v>0.58027442439327936</v>
      </c>
      <c r="AN104" s="5">
        <v>989.98900000000003</v>
      </c>
    </row>
    <row r="105" spans="4:40" x14ac:dyDescent="0.35">
      <c r="D105" s="80">
        <f t="shared" si="23"/>
        <v>103</v>
      </c>
      <c r="E105" s="81">
        <v>0</v>
      </c>
      <c r="F105" s="82">
        <v>0</v>
      </c>
      <c r="G105" s="82">
        <v>0</v>
      </c>
      <c r="H105" s="82">
        <v>37031.663</v>
      </c>
      <c r="I105" s="82">
        <v>3653.3815220500001</v>
      </c>
      <c r="J105" s="82">
        <f t="shared" si="12"/>
        <v>40685.044522049997</v>
      </c>
      <c r="K105" s="81">
        <v>0</v>
      </c>
      <c r="L105" s="82">
        <v>0</v>
      </c>
      <c r="M105" s="82">
        <v>0.56100000000000005</v>
      </c>
      <c r="N105" s="82">
        <v>0.29299999999999998</v>
      </c>
      <c r="O105" s="82">
        <f t="shared" si="13"/>
        <v>0.85400000000000009</v>
      </c>
      <c r="P105" s="82">
        <v>5261.7860000000001</v>
      </c>
      <c r="Q105" s="82">
        <v>0</v>
      </c>
      <c r="R105" s="83">
        <f t="shared" si="14"/>
        <v>5261.7860000000001</v>
      </c>
      <c r="S105" s="82"/>
      <c r="T105" s="18">
        <v>0</v>
      </c>
      <c r="U105" s="18">
        <f t="shared" si="15"/>
        <v>0</v>
      </c>
      <c r="V105" s="18">
        <v>0</v>
      </c>
      <c r="W105" s="18">
        <f t="shared" si="16"/>
        <v>0</v>
      </c>
      <c r="X105" s="18">
        <v>0</v>
      </c>
      <c r="Y105" s="18">
        <f t="shared" si="17"/>
        <v>0</v>
      </c>
      <c r="Z105" s="18">
        <v>0</v>
      </c>
      <c r="AA105" s="18">
        <f t="shared" si="18"/>
        <v>0</v>
      </c>
      <c r="AC105" s="84">
        <v>362.40600000000001</v>
      </c>
      <c r="AD105" s="18">
        <v>3411.5747999999999</v>
      </c>
      <c r="AE105" s="5">
        <f t="shared" si="19"/>
        <v>0.56100000000000005</v>
      </c>
      <c r="AF105" s="20">
        <f t="shared" si="20"/>
        <v>0.29299999999999998</v>
      </c>
      <c r="AH105" s="22">
        <v>989.98900000000003</v>
      </c>
      <c r="AI105" s="20">
        <f t="shared" si="21"/>
        <v>0.40199987005920429</v>
      </c>
      <c r="AK105" s="22">
        <v>923.06899999999996</v>
      </c>
      <c r="AL105" s="20">
        <f t="shared" si="22"/>
        <v>0.57440510267579337</v>
      </c>
      <c r="AN105" s="5">
        <v>1007.228</v>
      </c>
    </row>
    <row r="106" spans="4:40" x14ac:dyDescent="0.35">
      <c r="D106" s="80">
        <f t="shared" si="23"/>
        <v>104</v>
      </c>
      <c r="E106" s="81">
        <v>0</v>
      </c>
      <c r="F106" s="82">
        <v>0</v>
      </c>
      <c r="G106" s="82">
        <v>0</v>
      </c>
      <c r="H106" s="82">
        <v>39814.495000000003</v>
      </c>
      <c r="I106" s="82">
        <v>4060.6025534700002</v>
      </c>
      <c r="J106" s="82">
        <f t="shared" si="12"/>
        <v>43875.097553470005</v>
      </c>
      <c r="K106" s="81">
        <v>0</v>
      </c>
      <c r="L106" s="82">
        <v>0</v>
      </c>
      <c r="M106" s="82">
        <v>0.53800000000000003</v>
      </c>
      <c r="N106" s="82">
        <v>0.27099999999999996</v>
      </c>
      <c r="O106" s="82">
        <f t="shared" si="13"/>
        <v>0.80899999999999994</v>
      </c>
      <c r="P106" s="82">
        <v>5787.902</v>
      </c>
      <c r="Q106" s="82">
        <v>0</v>
      </c>
      <c r="R106" s="83">
        <f t="shared" si="14"/>
        <v>5787.902</v>
      </c>
      <c r="S106" s="82"/>
      <c r="T106" s="18">
        <v>0</v>
      </c>
      <c r="U106" s="18">
        <f t="shared" si="15"/>
        <v>0</v>
      </c>
      <c r="V106" s="18">
        <v>0</v>
      </c>
      <c r="W106" s="18">
        <f t="shared" si="16"/>
        <v>0</v>
      </c>
      <c r="X106" s="18">
        <v>0</v>
      </c>
      <c r="Y106" s="18">
        <f t="shared" si="17"/>
        <v>0</v>
      </c>
      <c r="Z106" s="18">
        <v>0</v>
      </c>
      <c r="AA106" s="18">
        <f t="shared" si="18"/>
        <v>0</v>
      </c>
      <c r="AC106" s="84">
        <v>347.548</v>
      </c>
      <c r="AD106" s="18">
        <v>3155.4155999999998</v>
      </c>
      <c r="AE106" s="5">
        <f t="shared" si="19"/>
        <v>0.53800000000000003</v>
      </c>
      <c r="AF106" s="20">
        <f t="shared" si="20"/>
        <v>0.27099999999999996</v>
      </c>
      <c r="AH106" s="22">
        <v>1007.228</v>
      </c>
      <c r="AI106" s="20">
        <f t="shared" si="21"/>
        <v>0.40900002436389921</v>
      </c>
      <c r="AK106" s="22">
        <v>898.92700000000002</v>
      </c>
      <c r="AL106" s="20">
        <f t="shared" si="22"/>
        <v>0.55938207840696952</v>
      </c>
      <c r="AN106" s="5">
        <v>1036.78</v>
      </c>
    </row>
    <row r="107" spans="4:40" x14ac:dyDescent="0.35">
      <c r="D107" s="80">
        <f t="shared" si="23"/>
        <v>105</v>
      </c>
      <c r="E107" s="81">
        <v>0</v>
      </c>
      <c r="F107" s="82">
        <v>0</v>
      </c>
      <c r="G107" s="82">
        <v>0</v>
      </c>
      <c r="H107" s="82">
        <v>41641.186000000002</v>
      </c>
      <c r="I107" s="82">
        <v>3896.9106042899998</v>
      </c>
      <c r="J107" s="82">
        <f t="shared" si="12"/>
        <v>45538.096604290004</v>
      </c>
      <c r="K107" s="81">
        <v>0</v>
      </c>
      <c r="L107" s="82">
        <v>0</v>
      </c>
      <c r="M107" s="82">
        <v>0.501</v>
      </c>
      <c r="N107" s="82">
        <v>0.27699999999999997</v>
      </c>
      <c r="O107" s="82">
        <f t="shared" si="13"/>
        <v>0.77800000000000002</v>
      </c>
      <c r="P107" s="82">
        <v>6273.2460000000001</v>
      </c>
      <c r="Q107" s="82">
        <v>0</v>
      </c>
      <c r="R107" s="83">
        <f t="shared" si="14"/>
        <v>6273.2460000000001</v>
      </c>
      <c r="S107" s="82"/>
      <c r="T107" s="18">
        <v>0</v>
      </c>
      <c r="U107" s="18">
        <f t="shared" si="15"/>
        <v>0</v>
      </c>
      <c r="V107" s="18">
        <v>0</v>
      </c>
      <c r="W107" s="18">
        <f t="shared" si="16"/>
        <v>0</v>
      </c>
      <c r="X107" s="18">
        <v>0</v>
      </c>
      <c r="Y107" s="18">
        <f t="shared" si="17"/>
        <v>0</v>
      </c>
      <c r="Z107" s="18">
        <v>0</v>
      </c>
      <c r="AA107" s="18">
        <f t="shared" si="18"/>
        <v>0</v>
      </c>
      <c r="AC107" s="84">
        <v>323.64600000000002</v>
      </c>
      <c r="AD107" s="18">
        <v>3225.2772</v>
      </c>
      <c r="AE107" s="5">
        <f t="shared" si="19"/>
        <v>0.501</v>
      </c>
      <c r="AF107" s="20">
        <f t="shared" si="20"/>
        <v>0.27699999999999997</v>
      </c>
      <c r="AH107" s="22">
        <v>1036.78</v>
      </c>
      <c r="AI107" s="20">
        <f t="shared" si="21"/>
        <v>0.42100005684909814</v>
      </c>
      <c r="AK107" s="22">
        <v>872.68399999999997</v>
      </c>
      <c r="AL107" s="20">
        <f t="shared" si="22"/>
        <v>0.54305164903546976</v>
      </c>
      <c r="AN107" s="5">
        <v>1051.556</v>
      </c>
    </row>
    <row r="108" spans="4:40" x14ac:dyDescent="0.35">
      <c r="D108" s="80">
        <f t="shared" si="23"/>
        <v>106</v>
      </c>
      <c r="E108" s="81">
        <v>0</v>
      </c>
      <c r="F108" s="82">
        <v>1.9E-2</v>
      </c>
      <c r="G108" s="82">
        <v>7.1999999999999897E-2</v>
      </c>
      <c r="H108" s="82">
        <v>42953.364999999998</v>
      </c>
      <c r="I108" s="82">
        <v>2410.80530421</v>
      </c>
      <c r="J108" s="82">
        <f t="shared" si="12"/>
        <v>45364.170304209998</v>
      </c>
      <c r="K108" s="81">
        <v>0.02</v>
      </c>
      <c r="L108" s="82">
        <v>2.1999999999999898E-2</v>
      </c>
      <c r="M108" s="82">
        <v>0.47000000000000003</v>
      </c>
      <c r="N108" s="82">
        <v>0.311</v>
      </c>
      <c r="O108" s="82">
        <f t="shared" si="13"/>
        <v>0.78100000000000003</v>
      </c>
      <c r="P108" s="82">
        <v>6495.6360000000004</v>
      </c>
      <c r="Q108" s="82">
        <v>0</v>
      </c>
      <c r="R108" s="83">
        <f t="shared" si="14"/>
        <v>6495.6360000000004</v>
      </c>
      <c r="S108" s="82"/>
      <c r="T108" s="18">
        <v>5229</v>
      </c>
      <c r="U108" s="18">
        <f t="shared" si="15"/>
        <v>6.3E-2</v>
      </c>
      <c r="V108" s="18">
        <v>91.295000000000002</v>
      </c>
      <c r="W108" s="18">
        <f t="shared" si="16"/>
        <v>1.9E-2</v>
      </c>
      <c r="X108" s="18">
        <v>690.15359999999998</v>
      </c>
      <c r="Y108" s="18">
        <f t="shared" si="17"/>
        <v>4.7999999999999994E-2</v>
      </c>
      <c r="Z108" s="18">
        <v>299.45690000000002</v>
      </c>
      <c r="AA108" s="18">
        <f t="shared" si="18"/>
        <v>3.1000000000000003E-2</v>
      </c>
      <c r="AC108" s="84">
        <v>303.62</v>
      </c>
      <c r="AD108" s="18">
        <v>3621.1596</v>
      </c>
      <c r="AE108" s="5">
        <f t="shared" si="19"/>
        <v>0.47000000000000003</v>
      </c>
      <c r="AF108" s="20">
        <f t="shared" si="20"/>
        <v>0.311</v>
      </c>
      <c r="AH108" s="22">
        <v>1051.556</v>
      </c>
      <c r="AI108" s="20">
        <f t="shared" si="21"/>
        <v>0.42700007309169763</v>
      </c>
      <c r="AK108" s="22">
        <v>872.47699999999998</v>
      </c>
      <c r="AL108" s="20">
        <f t="shared" si="22"/>
        <v>0.54292283758556314</v>
      </c>
      <c r="AN108" s="5">
        <v>1014.616</v>
      </c>
    </row>
    <row r="109" spans="4:40" x14ac:dyDescent="0.35">
      <c r="D109" s="80">
        <f t="shared" si="23"/>
        <v>107</v>
      </c>
      <c r="E109" s="81">
        <v>2.1999999999999902E-2</v>
      </c>
      <c r="F109" s="82">
        <v>0.05</v>
      </c>
      <c r="G109" s="82">
        <v>0.19600000000000001</v>
      </c>
      <c r="H109" s="82">
        <v>42971.334999999999</v>
      </c>
      <c r="I109" s="82">
        <v>1946.6902273799999</v>
      </c>
      <c r="J109" s="82">
        <f t="shared" si="12"/>
        <v>44918.02522738</v>
      </c>
      <c r="K109" s="81">
        <v>0.09</v>
      </c>
      <c r="L109" s="82">
        <v>9.5000000000000001E-2</v>
      </c>
      <c r="M109" s="82">
        <v>0.435</v>
      </c>
      <c r="N109" s="82">
        <v>0.36499999999999999</v>
      </c>
      <c r="O109" s="82">
        <f t="shared" si="13"/>
        <v>0.8</v>
      </c>
      <c r="P109" s="82">
        <v>6423.1790000000001</v>
      </c>
      <c r="Q109" s="82">
        <v>0</v>
      </c>
      <c r="R109" s="83">
        <f t="shared" si="14"/>
        <v>6423.1790000000001</v>
      </c>
      <c r="S109" s="82"/>
      <c r="T109" s="18">
        <v>15521</v>
      </c>
      <c r="U109" s="18">
        <f t="shared" si="15"/>
        <v>0.187</v>
      </c>
      <c r="V109" s="18">
        <v>240.25</v>
      </c>
      <c r="W109" s="18">
        <f t="shared" si="16"/>
        <v>0.05</v>
      </c>
      <c r="X109" s="18">
        <v>2803.7489999999998</v>
      </c>
      <c r="Y109" s="18">
        <f t="shared" si="17"/>
        <v>0.19499999999999998</v>
      </c>
      <c r="Z109" s="18">
        <v>1207.4875</v>
      </c>
      <c r="AA109" s="18">
        <f t="shared" si="18"/>
        <v>0.125</v>
      </c>
      <c r="AC109" s="84">
        <v>281.01</v>
      </c>
      <c r="AD109" s="18">
        <v>4249.9139999999998</v>
      </c>
      <c r="AE109" s="5">
        <f t="shared" si="19"/>
        <v>0.435</v>
      </c>
      <c r="AF109" s="20">
        <f t="shared" si="20"/>
        <v>0.36499999999999999</v>
      </c>
      <c r="AH109" s="22">
        <v>1014.616</v>
      </c>
      <c r="AI109" s="20">
        <f t="shared" si="21"/>
        <v>0.41200003248519895</v>
      </c>
      <c r="AK109" s="22">
        <v>876.93899999999996</v>
      </c>
      <c r="AL109" s="20">
        <f t="shared" si="22"/>
        <v>0.54569943995021775</v>
      </c>
      <c r="AN109" s="5">
        <v>994.91499999999996</v>
      </c>
    </row>
    <row r="110" spans="4:40" x14ac:dyDescent="0.35">
      <c r="D110" s="80">
        <f t="shared" si="23"/>
        <v>108</v>
      </c>
      <c r="E110" s="81">
        <v>2.7999999999999997E-2</v>
      </c>
      <c r="F110" s="82">
        <v>9.3000000000000013E-2</v>
      </c>
      <c r="G110" s="82">
        <v>0.313</v>
      </c>
      <c r="H110" s="82">
        <v>43535.764000000003</v>
      </c>
      <c r="I110" s="82">
        <v>2533.1995659700001</v>
      </c>
      <c r="J110" s="82">
        <f t="shared" si="12"/>
        <v>46068.96356597</v>
      </c>
      <c r="K110" s="81">
        <v>0.128</v>
      </c>
      <c r="L110" s="82">
        <v>0.17399999999999999</v>
      </c>
      <c r="M110" s="82">
        <v>0.39999999999999997</v>
      </c>
      <c r="N110" s="82">
        <v>0.499</v>
      </c>
      <c r="O110" s="82">
        <f t="shared" si="13"/>
        <v>0.89900000000000002</v>
      </c>
      <c r="P110" s="82">
        <v>6554.3549999999996</v>
      </c>
      <c r="Q110" s="82">
        <v>0</v>
      </c>
      <c r="R110" s="83">
        <f t="shared" si="14"/>
        <v>6554.3549999999996</v>
      </c>
      <c r="S110" s="82"/>
      <c r="T110" s="18">
        <v>22576</v>
      </c>
      <c r="U110" s="18">
        <f t="shared" si="15"/>
        <v>0.27200000000000002</v>
      </c>
      <c r="V110" s="18">
        <v>446.86500000000001</v>
      </c>
      <c r="W110" s="18">
        <f t="shared" si="16"/>
        <v>9.2999999999999999E-2</v>
      </c>
      <c r="X110" s="18">
        <v>4989.2353999999996</v>
      </c>
      <c r="Y110" s="18">
        <f t="shared" si="17"/>
        <v>0.34699999999999998</v>
      </c>
      <c r="Z110" s="18">
        <v>2202.4571999999998</v>
      </c>
      <c r="AA110" s="18">
        <f t="shared" si="18"/>
        <v>0.22799999999999998</v>
      </c>
      <c r="AC110" s="84">
        <v>258.39999999999998</v>
      </c>
      <c r="AD110" s="18">
        <v>5810.1563999999998</v>
      </c>
      <c r="AE110" s="5">
        <f t="shared" si="19"/>
        <v>0.39999999999999997</v>
      </c>
      <c r="AF110" s="20">
        <f t="shared" si="20"/>
        <v>0.499</v>
      </c>
      <c r="AH110" s="22">
        <v>994.91499999999996</v>
      </c>
      <c r="AI110" s="20">
        <f t="shared" si="21"/>
        <v>0.40400014618339519</v>
      </c>
      <c r="AK110" s="22">
        <v>893.80100000000004</v>
      </c>
      <c r="AL110" s="20">
        <f t="shared" si="22"/>
        <v>0.55619228375855634</v>
      </c>
      <c r="AN110" s="5">
        <v>0</v>
      </c>
    </row>
    <row r="111" spans="4:40" x14ac:dyDescent="0.35">
      <c r="D111" s="80">
        <f t="shared" si="23"/>
        <v>109</v>
      </c>
      <c r="E111" s="81">
        <v>2.3E-2</v>
      </c>
      <c r="F111" s="82">
        <v>0.14099999999999902</v>
      </c>
      <c r="G111" s="82">
        <v>0.40600000000000003</v>
      </c>
      <c r="H111" s="82">
        <v>44056.065000000002</v>
      </c>
      <c r="I111" s="82">
        <v>2828.8714661099998</v>
      </c>
      <c r="J111" s="82">
        <f t="shared" si="12"/>
        <v>46884.936466110004</v>
      </c>
      <c r="K111" s="81">
        <v>0.10800000000000001</v>
      </c>
      <c r="L111" s="82">
        <v>0.14499999999999902</v>
      </c>
      <c r="M111" s="82">
        <v>0.375</v>
      </c>
      <c r="N111" s="82">
        <v>0.57299999999999995</v>
      </c>
      <c r="O111" s="82">
        <f t="shared" si="13"/>
        <v>0.94799999999999995</v>
      </c>
      <c r="P111" s="82">
        <v>6677.2020000000002</v>
      </c>
      <c r="Q111" s="82">
        <v>0</v>
      </c>
      <c r="R111" s="83">
        <f t="shared" si="14"/>
        <v>6677.2020000000002</v>
      </c>
      <c r="S111" s="82"/>
      <c r="T111" s="18">
        <v>26726</v>
      </c>
      <c r="U111" s="18">
        <f t="shared" si="15"/>
        <v>0.32200000000000001</v>
      </c>
      <c r="V111" s="18">
        <v>677.505</v>
      </c>
      <c r="W111" s="18">
        <f t="shared" si="16"/>
        <v>0.14099999999999999</v>
      </c>
      <c r="X111" s="18">
        <v>6513.3245999999999</v>
      </c>
      <c r="Y111" s="18">
        <f t="shared" si="17"/>
        <v>0.45299999999999996</v>
      </c>
      <c r="Z111" s="18">
        <v>2849.6705000000002</v>
      </c>
      <c r="AA111" s="18">
        <f t="shared" si="18"/>
        <v>0.29500000000000004</v>
      </c>
      <c r="AC111" s="84">
        <v>242.25</v>
      </c>
      <c r="AD111" s="18">
        <v>6671.7828</v>
      </c>
      <c r="AE111" s="5">
        <f t="shared" si="19"/>
        <v>0.375</v>
      </c>
      <c r="AF111" s="20">
        <f t="shared" si="20"/>
        <v>0.57299999999999995</v>
      </c>
      <c r="AH111" s="22">
        <v>982.601</v>
      </c>
      <c r="AI111" s="20">
        <f t="shared" si="21"/>
        <v>0.39899986193790454</v>
      </c>
      <c r="AK111" s="22">
        <v>896.48599999999999</v>
      </c>
      <c r="AL111" s="20">
        <f t="shared" si="22"/>
        <v>0.55786309894212815</v>
      </c>
      <c r="AN111" s="5">
        <v>953.04899999999998</v>
      </c>
    </row>
    <row r="112" spans="4:40" x14ac:dyDescent="0.35">
      <c r="D112" s="80">
        <f t="shared" si="23"/>
        <v>110</v>
      </c>
      <c r="E112" s="81">
        <v>1.2E-2</v>
      </c>
      <c r="F112" s="82">
        <v>0.17800000000000002</v>
      </c>
      <c r="G112" s="82">
        <v>0.44900000000000001</v>
      </c>
      <c r="H112" s="82">
        <v>44045.722000000002</v>
      </c>
      <c r="I112" s="82">
        <v>2549.8728148700002</v>
      </c>
      <c r="J112" s="82">
        <f t="shared" si="12"/>
        <v>46595.594814870004</v>
      </c>
      <c r="K112" s="81">
        <v>7.5999999999999998E-2</v>
      </c>
      <c r="L112" s="82">
        <v>9.0999999999999998E-2</v>
      </c>
      <c r="M112" s="82">
        <v>0.37</v>
      </c>
      <c r="N112" s="82">
        <v>0.61399999999999999</v>
      </c>
      <c r="O112" s="82">
        <f t="shared" si="13"/>
        <v>0.98399999999999999</v>
      </c>
      <c r="P112" s="82">
        <v>6452.0839999999998</v>
      </c>
      <c r="Q112" s="82">
        <v>0</v>
      </c>
      <c r="R112" s="83">
        <f t="shared" si="14"/>
        <v>6452.0839999999998</v>
      </c>
      <c r="S112" s="82"/>
      <c r="T112" s="18">
        <v>28635</v>
      </c>
      <c r="U112" s="18">
        <f t="shared" si="15"/>
        <v>0.34499999999999997</v>
      </c>
      <c r="V112" s="18">
        <v>855.29</v>
      </c>
      <c r="W112" s="18">
        <f t="shared" si="16"/>
        <v>0.17799999999999999</v>
      </c>
      <c r="X112" s="18">
        <v>7160.3436000000002</v>
      </c>
      <c r="Y112" s="18">
        <f t="shared" si="17"/>
        <v>0.498</v>
      </c>
      <c r="Z112" s="18">
        <v>3071.8481999999999</v>
      </c>
      <c r="AA112" s="18">
        <f t="shared" si="18"/>
        <v>0.318</v>
      </c>
      <c r="AC112" s="84">
        <v>239.02</v>
      </c>
      <c r="AD112" s="18">
        <v>7149.1704</v>
      </c>
      <c r="AE112" s="5">
        <f t="shared" si="19"/>
        <v>0.37</v>
      </c>
      <c r="AF112" s="20">
        <f t="shared" si="20"/>
        <v>0.61399999999999999</v>
      </c>
      <c r="AH112" s="22">
        <v>953.04899999999998</v>
      </c>
      <c r="AI112" s="20">
        <f t="shared" si="21"/>
        <v>0.38699982945270561</v>
      </c>
      <c r="AK112" s="22">
        <v>870.77300000000002</v>
      </c>
      <c r="AL112" s="20">
        <f t="shared" si="22"/>
        <v>0.54186247666459242</v>
      </c>
      <c r="AN112" s="5">
        <v>0</v>
      </c>
    </row>
    <row r="113" spans="4:40" x14ac:dyDescent="0.35">
      <c r="D113" s="80">
        <f t="shared" si="23"/>
        <v>111</v>
      </c>
      <c r="E113" s="81">
        <v>0</v>
      </c>
      <c r="F113" s="82">
        <v>0.184</v>
      </c>
      <c r="G113" s="82">
        <v>0.43200000000000005</v>
      </c>
      <c r="H113" s="82">
        <v>43237.392</v>
      </c>
      <c r="I113" s="82">
        <v>1928.92882416</v>
      </c>
      <c r="J113" s="82">
        <f t="shared" si="12"/>
        <v>45166.32082416</v>
      </c>
      <c r="K113" s="81">
        <v>3.4000000000000002E-2</v>
      </c>
      <c r="L113" s="82">
        <v>0.04</v>
      </c>
      <c r="M113" s="82">
        <v>0.36699999999999999</v>
      </c>
      <c r="N113" s="82">
        <v>0.627</v>
      </c>
      <c r="O113" s="82">
        <f t="shared" si="13"/>
        <v>0.99399999999999999</v>
      </c>
      <c r="P113" s="82">
        <v>6412.6229999999996</v>
      </c>
      <c r="Q113" s="82">
        <v>0</v>
      </c>
      <c r="R113" s="83">
        <f t="shared" si="14"/>
        <v>6412.6229999999996</v>
      </c>
      <c r="S113" s="82"/>
      <c r="T113" s="18">
        <v>29050</v>
      </c>
      <c r="U113" s="18">
        <f t="shared" si="15"/>
        <v>0.35</v>
      </c>
      <c r="V113" s="18">
        <v>884.12</v>
      </c>
      <c r="W113" s="18">
        <f t="shared" si="16"/>
        <v>0.184</v>
      </c>
      <c r="X113" s="18">
        <v>6844.0231999999996</v>
      </c>
      <c r="Y113" s="18">
        <f t="shared" si="17"/>
        <v>0.47599999999999992</v>
      </c>
      <c r="Z113" s="18">
        <v>2820.6907999999999</v>
      </c>
      <c r="AA113" s="18">
        <f t="shared" si="18"/>
        <v>0.29199999999999998</v>
      </c>
      <c r="AC113" s="84">
        <v>237.08199999999999</v>
      </c>
      <c r="AD113" s="18">
        <v>7300.5371999999998</v>
      </c>
      <c r="AE113" s="5">
        <f t="shared" si="19"/>
        <v>0.36699999999999999</v>
      </c>
      <c r="AF113" s="20">
        <f t="shared" si="20"/>
        <v>0.627</v>
      </c>
      <c r="AH113" s="22">
        <v>962.9</v>
      </c>
      <c r="AI113" s="20">
        <f t="shared" si="21"/>
        <v>0.39099997563610084</v>
      </c>
      <c r="AK113" s="22">
        <v>879.36</v>
      </c>
      <c r="AL113" s="20">
        <f t="shared" si="22"/>
        <v>0.54720597386434355</v>
      </c>
      <c r="AN113" s="5">
        <v>0</v>
      </c>
    </row>
    <row r="114" spans="4:40" x14ac:dyDescent="0.35">
      <c r="D114" s="80">
        <f t="shared" si="23"/>
        <v>112</v>
      </c>
      <c r="E114" s="81">
        <v>0</v>
      </c>
      <c r="F114" s="82">
        <v>0.14899999999999902</v>
      </c>
      <c r="G114" s="82">
        <v>0.33500000000000002</v>
      </c>
      <c r="H114" s="82">
        <v>43095.959000000003</v>
      </c>
      <c r="I114" s="82">
        <v>1651.17552284</v>
      </c>
      <c r="J114" s="82">
        <f t="shared" si="12"/>
        <v>44747.134522840002</v>
      </c>
      <c r="K114" s="81">
        <v>1.7999999999999901E-2</v>
      </c>
      <c r="L114" s="82">
        <v>1.7999999999999901E-2</v>
      </c>
      <c r="M114" s="82">
        <v>0.36799999999999999</v>
      </c>
      <c r="N114" s="82">
        <v>0.60099999999999998</v>
      </c>
      <c r="O114" s="82">
        <f t="shared" si="13"/>
        <v>0.96899999999999997</v>
      </c>
      <c r="P114" s="82">
        <v>6413.6030000000001</v>
      </c>
      <c r="Q114" s="82">
        <v>0</v>
      </c>
      <c r="R114" s="83">
        <f t="shared" si="14"/>
        <v>6413.6030000000001</v>
      </c>
      <c r="S114" s="82"/>
      <c r="T114" s="18">
        <v>26643</v>
      </c>
      <c r="U114" s="18">
        <f t="shared" si="15"/>
        <v>0.32100000000000001</v>
      </c>
      <c r="V114" s="18">
        <v>715.94500000000005</v>
      </c>
      <c r="W114" s="18">
        <f t="shared" si="16"/>
        <v>0.14900000000000002</v>
      </c>
      <c r="X114" s="18">
        <v>5564.3634000000002</v>
      </c>
      <c r="Y114" s="18">
        <f t="shared" si="17"/>
        <v>0.38700000000000001</v>
      </c>
      <c r="Z114" s="18">
        <v>2173.4775</v>
      </c>
      <c r="AA114" s="18">
        <f t="shared" si="18"/>
        <v>0.22500000000000001</v>
      </c>
      <c r="AC114" s="84">
        <v>237.72800000000001</v>
      </c>
      <c r="AD114" s="18">
        <v>6997.8036000000002</v>
      </c>
      <c r="AE114" s="5">
        <f t="shared" si="19"/>
        <v>0.36799999999999999</v>
      </c>
      <c r="AF114" s="20">
        <f t="shared" si="20"/>
        <v>0.60099999999999998</v>
      </c>
      <c r="AH114" s="22">
        <v>950.58699999999999</v>
      </c>
      <c r="AI114" s="20">
        <f t="shared" si="21"/>
        <v>0.38600009745559682</v>
      </c>
      <c r="AK114" s="22">
        <v>885.97900000000004</v>
      </c>
      <c r="AL114" s="20">
        <f t="shared" si="22"/>
        <v>0.55132482887367773</v>
      </c>
      <c r="AN114" s="5">
        <v>982.601</v>
      </c>
    </row>
    <row r="115" spans="4:40" x14ac:dyDescent="0.35">
      <c r="D115" s="80">
        <f t="shared" si="23"/>
        <v>113</v>
      </c>
      <c r="E115" s="81">
        <v>0</v>
      </c>
      <c r="F115" s="82">
        <v>8.4000000000000005E-2</v>
      </c>
      <c r="G115" s="82">
        <v>0.2</v>
      </c>
      <c r="H115" s="82">
        <v>43820.275999999998</v>
      </c>
      <c r="I115" s="82">
        <v>1660.805145</v>
      </c>
      <c r="J115" s="82">
        <f t="shared" si="12"/>
        <v>45481.081144999996</v>
      </c>
      <c r="K115" s="81">
        <v>0</v>
      </c>
      <c r="L115" s="82">
        <v>0</v>
      </c>
      <c r="M115" s="82">
        <v>0.36799999999999999</v>
      </c>
      <c r="N115" s="82">
        <v>0.55999999999999994</v>
      </c>
      <c r="O115" s="82">
        <f t="shared" si="13"/>
        <v>0.92799999999999994</v>
      </c>
      <c r="P115" s="82">
        <v>6608.0029999999997</v>
      </c>
      <c r="Q115" s="82">
        <v>0</v>
      </c>
      <c r="R115" s="83">
        <f t="shared" si="14"/>
        <v>6608.0029999999997</v>
      </c>
      <c r="S115" s="82"/>
      <c r="T115" s="18">
        <v>18924</v>
      </c>
      <c r="U115" s="18">
        <f t="shared" si="15"/>
        <v>0.22800000000000001</v>
      </c>
      <c r="V115" s="18">
        <v>403.62</v>
      </c>
      <c r="W115" s="18">
        <f t="shared" si="16"/>
        <v>8.4000000000000005E-2</v>
      </c>
      <c r="X115" s="18">
        <v>3695.1974</v>
      </c>
      <c r="Y115" s="18">
        <f t="shared" si="17"/>
        <v>0.25700000000000001</v>
      </c>
      <c r="Z115" s="18">
        <v>1294.4266</v>
      </c>
      <c r="AA115" s="18">
        <f t="shared" si="18"/>
        <v>0.13400000000000001</v>
      </c>
      <c r="AC115" s="84">
        <v>237.72800000000001</v>
      </c>
      <c r="AD115" s="18">
        <v>6520.4160000000002</v>
      </c>
      <c r="AE115" s="5">
        <f t="shared" si="19"/>
        <v>0.36799999999999999</v>
      </c>
      <c r="AF115" s="20">
        <f t="shared" si="20"/>
        <v>0.55999999999999994</v>
      </c>
      <c r="AH115" s="22">
        <v>982.601</v>
      </c>
      <c r="AI115" s="20">
        <f t="shared" si="21"/>
        <v>0.39899986193790454</v>
      </c>
      <c r="AK115" s="22">
        <v>881.79200000000003</v>
      </c>
      <c r="AL115" s="20">
        <f t="shared" si="22"/>
        <v>0.54871935283136286</v>
      </c>
      <c r="AN115" s="5">
        <v>1108.1969999999999</v>
      </c>
    </row>
    <row r="116" spans="4:40" x14ac:dyDescent="0.35">
      <c r="D116" s="80">
        <f t="shared" si="23"/>
        <v>114</v>
      </c>
      <c r="E116" s="81">
        <v>0</v>
      </c>
      <c r="F116" s="82">
        <v>1.09999999999999E-2</v>
      </c>
      <c r="G116" s="82">
        <v>5.5999999999999994E-2</v>
      </c>
      <c r="H116" s="82">
        <v>46060.45</v>
      </c>
      <c r="I116" s="82">
        <v>1747.1325311000001</v>
      </c>
      <c r="J116" s="82">
        <f t="shared" si="12"/>
        <v>47807.582531099994</v>
      </c>
      <c r="K116" s="81">
        <v>0</v>
      </c>
      <c r="L116" s="82">
        <v>0</v>
      </c>
      <c r="M116" s="82">
        <v>0.36899999999999999</v>
      </c>
      <c r="N116" s="82">
        <v>0.33200000000000002</v>
      </c>
      <c r="O116" s="82">
        <f t="shared" si="13"/>
        <v>0.70100000000000007</v>
      </c>
      <c r="P116" s="82">
        <v>7061.5820000000003</v>
      </c>
      <c r="Q116" s="82">
        <v>0</v>
      </c>
      <c r="R116" s="83">
        <f t="shared" si="14"/>
        <v>7061.5820000000003</v>
      </c>
      <c r="S116" s="82"/>
      <c r="T116" s="18">
        <v>4814</v>
      </c>
      <c r="U116" s="18">
        <f t="shared" si="15"/>
        <v>5.8000000000000003E-2</v>
      </c>
      <c r="V116" s="18">
        <v>52.854999999999997</v>
      </c>
      <c r="W116" s="18">
        <f t="shared" si="16"/>
        <v>1.0999999999999999E-2</v>
      </c>
      <c r="X116" s="18">
        <v>1581.6020000000001</v>
      </c>
      <c r="Y116" s="18">
        <f t="shared" si="17"/>
        <v>0.11</v>
      </c>
      <c r="Z116" s="18">
        <v>454.01530000000002</v>
      </c>
      <c r="AA116" s="18">
        <f t="shared" si="18"/>
        <v>4.7000000000000007E-2</v>
      </c>
      <c r="AC116" s="84">
        <v>238.374</v>
      </c>
      <c r="AD116" s="18">
        <v>3865.6752000000001</v>
      </c>
      <c r="AE116" s="5">
        <f t="shared" si="19"/>
        <v>0.36899999999999999</v>
      </c>
      <c r="AF116" s="20">
        <f t="shared" si="20"/>
        <v>0.33200000000000002</v>
      </c>
      <c r="AH116" s="22">
        <v>1108.1969999999999</v>
      </c>
      <c r="AI116" s="20">
        <f t="shared" si="21"/>
        <v>0.44999999999999996</v>
      </c>
      <c r="AK116" s="22">
        <v>889.20500000000004</v>
      </c>
      <c r="AL116" s="20">
        <f t="shared" si="22"/>
        <v>0.55333229620410707</v>
      </c>
      <c r="AN116" s="5">
        <v>1130.3610000000001</v>
      </c>
    </row>
    <row r="117" spans="4:40" x14ac:dyDescent="0.35">
      <c r="D117" s="80">
        <f t="shared" si="23"/>
        <v>115</v>
      </c>
      <c r="E117" s="81">
        <v>0</v>
      </c>
      <c r="F117" s="82">
        <v>0</v>
      </c>
      <c r="G117" s="82">
        <v>0</v>
      </c>
      <c r="H117" s="82">
        <v>47164.550999999999</v>
      </c>
      <c r="I117" s="82">
        <v>1864.83769336</v>
      </c>
      <c r="J117" s="82">
        <f t="shared" si="12"/>
        <v>49029.388693360001</v>
      </c>
      <c r="K117" s="81">
        <v>0</v>
      </c>
      <c r="L117" s="82">
        <v>0</v>
      </c>
      <c r="M117" s="82">
        <v>0.36099999999999999</v>
      </c>
      <c r="N117" s="82">
        <v>0.16999999999999998</v>
      </c>
      <c r="O117" s="82">
        <f t="shared" si="13"/>
        <v>0.53099999999999992</v>
      </c>
      <c r="P117" s="82">
        <v>7459.0020000000004</v>
      </c>
      <c r="Q117" s="82">
        <v>0</v>
      </c>
      <c r="R117" s="83">
        <f t="shared" si="14"/>
        <v>7459.0020000000004</v>
      </c>
      <c r="S117" s="82"/>
      <c r="T117" s="18">
        <v>0</v>
      </c>
      <c r="U117" s="18">
        <f t="shared" si="15"/>
        <v>0</v>
      </c>
      <c r="V117" s="18">
        <v>0</v>
      </c>
      <c r="W117" s="18">
        <f t="shared" si="16"/>
        <v>0</v>
      </c>
      <c r="X117" s="18">
        <v>0</v>
      </c>
      <c r="Y117" s="18">
        <f t="shared" si="17"/>
        <v>0</v>
      </c>
      <c r="Z117" s="18">
        <v>0</v>
      </c>
      <c r="AA117" s="18">
        <f t="shared" si="18"/>
        <v>0</v>
      </c>
      <c r="AC117" s="84">
        <v>233.20599999999999</v>
      </c>
      <c r="AD117" s="18">
        <v>1979.412</v>
      </c>
      <c r="AE117" s="5">
        <f t="shared" si="19"/>
        <v>0.36099999999999999</v>
      </c>
      <c r="AF117" s="20">
        <f t="shared" si="20"/>
        <v>0.16999999999999998</v>
      </c>
      <c r="AH117" s="22">
        <v>1130.3610000000001</v>
      </c>
      <c r="AI117" s="20">
        <f t="shared" si="21"/>
        <v>0.45900002436389925</v>
      </c>
      <c r="AK117" s="22">
        <v>907.56899999999996</v>
      </c>
      <c r="AL117" s="20">
        <f t="shared" si="22"/>
        <v>0.56475980087118849</v>
      </c>
      <c r="AN117" s="5">
        <v>1132.8240000000001</v>
      </c>
    </row>
    <row r="118" spans="4:40" x14ac:dyDescent="0.35">
      <c r="D118" s="80">
        <f t="shared" si="23"/>
        <v>116</v>
      </c>
      <c r="E118" s="81">
        <v>0</v>
      </c>
      <c r="F118" s="82">
        <v>0</v>
      </c>
      <c r="G118" s="82">
        <v>0</v>
      </c>
      <c r="H118" s="82">
        <v>46362.288999999997</v>
      </c>
      <c r="I118" s="82">
        <v>1983.54918215</v>
      </c>
      <c r="J118" s="82">
        <f t="shared" si="12"/>
        <v>48345.838182149993</v>
      </c>
      <c r="K118" s="81">
        <v>0</v>
      </c>
      <c r="L118" s="82">
        <v>0</v>
      </c>
      <c r="M118" s="82">
        <v>0.33900000000000002</v>
      </c>
      <c r="N118" s="82">
        <v>0.13899999999999998</v>
      </c>
      <c r="O118" s="82">
        <f t="shared" si="13"/>
        <v>0.47799999999999998</v>
      </c>
      <c r="P118" s="82">
        <v>7511.308</v>
      </c>
      <c r="Q118" s="82">
        <v>0</v>
      </c>
      <c r="R118" s="83">
        <f t="shared" si="14"/>
        <v>7511.308</v>
      </c>
      <c r="S118" s="82"/>
      <c r="T118" s="18">
        <v>0</v>
      </c>
      <c r="U118" s="18">
        <f t="shared" si="15"/>
        <v>0</v>
      </c>
      <c r="V118" s="18">
        <v>0</v>
      </c>
      <c r="W118" s="18">
        <f t="shared" si="16"/>
        <v>0</v>
      </c>
      <c r="X118" s="18">
        <v>0</v>
      </c>
      <c r="Y118" s="18">
        <f t="shared" si="17"/>
        <v>0</v>
      </c>
      <c r="Z118" s="18">
        <v>0</v>
      </c>
      <c r="AA118" s="18">
        <f t="shared" si="18"/>
        <v>0</v>
      </c>
      <c r="AC118" s="84">
        <v>218.994</v>
      </c>
      <c r="AD118" s="18">
        <v>1618.4603999999999</v>
      </c>
      <c r="AE118" s="5">
        <f t="shared" si="19"/>
        <v>0.33900000000000002</v>
      </c>
      <c r="AF118" s="20">
        <f t="shared" si="20"/>
        <v>0.13899999999999998</v>
      </c>
      <c r="AH118" s="22">
        <v>1132.8240000000001</v>
      </c>
      <c r="AI118" s="20">
        <f t="shared" si="21"/>
        <v>0.46000016242599473</v>
      </c>
      <c r="AK118" s="22">
        <v>923.32399999999996</v>
      </c>
      <c r="AL118" s="20">
        <f t="shared" si="22"/>
        <v>0.57456378344741754</v>
      </c>
      <c r="AN118" s="5">
        <v>1132.8240000000001</v>
      </c>
    </row>
    <row r="119" spans="4:40" x14ac:dyDescent="0.35">
      <c r="D119" s="80">
        <f t="shared" si="23"/>
        <v>117</v>
      </c>
      <c r="E119" s="81">
        <v>0</v>
      </c>
      <c r="F119" s="82">
        <v>0</v>
      </c>
      <c r="G119" s="82">
        <v>0</v>
      </c>
      <c r="H119" s="82">
        <v>44574.281000000003</v>
      </c>
      <c r="I119" s="82">
        <v>1940.21043781</v>
      </c>
      <c r="J119" s="82">
        <f t="shared" si="12"/>
        <v>46514.49143781</v>
      </c>
      <c r="K119" s="81">
        <v>0</v>
      </c>
      <c r="L119" s="82">
        <v>0</v>
      </c>
      <c r="M119" s="82">
        <v>0.315</v>
      </c>
      <c r="N119" s="82">
        <v>0.151</v>
      </c>
      <c r="O119" s="82">
        <f t="shared" si="13"/>
        <v>0.46599999999999997</v>
      </c>
      <c r="P119" s="82">
        <v>7234.3190000000004</v>
      </c>
      <c r="Q119" s="82">
        <v>0</v>
      </c>
      <c r="R119" s="83">
        <f t="shared" si="14"/>
        <v>7234.3190000000004</v>
      </c>
      <c r="S119" s="82"/>
      <c r="T119" s="18">
        <v>0</v>
      </c>
      <c r="U119" s="18">
        <f t="shared" si="15"/>
        <v>0</v>
      </c>
      <c r="V119" s="18">
        <v>0</v>
      </c>
      <c r="W119" s="18">
        <f t="shared" si="16"/>
        <v>0</v>
      </c>
      <c r="X119" s="18">
        <v>0</v>
      </c>
      <c r="Y119" s="18">
        <f t="shared" si="17"/>
        <v>0</v>
      </c>
      <c r="Z119" s="18">
        <v>0</v>
      </c>
      <c r="AA119" s="18">
        <f t="shared" si="18"/>
        <v>0</v>
      </c>
      <c r="AC119" s="84">
        <v>203.49</v>
      </c>
      <c r="AD119" s="18">
        <v>1758.1836000000001</v>
      </c>
      <c r="AE119" s="5">
        <f t="shared" si="19"/>
        <v>0.315</v>
      </c>
      <c r="AF119" s="20">
        <f t="shared" si="20"/>
        <v>0.151</v>
      </c>
      <c r="AH119" s="22">
        <v>1132.8240000000001</v>
      </c>
      <c r="AI119" s="20">
        <f t="shared" si="21"/>
        <v>0.46000016242599473</v>
      </c>
      <c r="AK119" s="22">
        <v>912.42499999999995</v>
      </c>
      <c r="AL119" s="20">
        <f t="shared" si="22"/>
        <v>0.56778158058494088</v>
      </c>
      <c r="AN119" s="5">
        <v>1127.8979999999999</v>
      </c>
    </row>
    <row r="120" spans="4:40" x14ac:dyDescent="0.35">
      <c r="D120" s="80">
        <f t="shared" si="23"/>
        <v>118</v>
      </c>
      <c r="E120" s="81">
        <v>0</v>
      </c>
      <c r="F120" s="82">
        <v>0</v>
      </c>
      <c r="G120" s="82">
        <v>0</v>
      </c>
      <c r="H120" s="82">
        <v>42176.116999999998</v>
      </c>
      <c r="I120" s="82">
        <v>1853.9826188300001</v>
      </c>
      <c r="J120" s="82">
        <f t="shared" si="12"/>
        <v>44030.099618829998</v>
      </c>
      <c r="K120" s="81">
        <v>0</v>
      </c>
      <c r="L120" s="82">
        <v>0</v>
      </c>
      <c r="M120" s="82">
        <v>0.28500000000000003</v>
      </c>
      <c r="N120" s="82">
        <v>0.191</v>
      </c>
      <c r="O120" s="82">
        <f t="shared" si="13"/>
        <v>0.47600000000000003</v>
      </c>
      <c r="P120" s="82">
        <v>6791.7879999999996</v>
      </c>
      <c r="Q120" s="82">
        <v>0</v>
      </c>
      <c r="R120" s="83">
        <f t="shared" si="14"/>
        <v>6791.7879999999996</v>
      </c>
      <c r="S120" s="82"/>
      <c r="T120" s="18">
        <v>0</v>
      </c>
      <c r="U120" s="18">
        <f t="shared" si="15"/>
        <v>0</v>
      </c>
      <c r="V120" s="18">
        <v>0</v>
      </c>
      <c r="W120" s="18">
        <f t="shared" si="16"/>
        <v>0</v>
      </c>
      <c r="X120" s="18">
        <v>0</v>
      </c>
      <c r="Y120" s="18">
        <f t="shared" si="17"/>
        <v>0</v>
      </c>
      <c r="Z120" s="18">
        <v>0</v>
      </c>
      <c r="AA120" s="18">
        <f t="shared" si="18"/>
        <v>0</v>
      </c>
      <c r="AC120" s="84">
        <v>184.11</v>
      </c>
      <c r="AD120" s="18">
        <v>2223.9276</v>
      </c>
      <c r="AE120" s="5">
        <f t="shared" si="19"/>
        <v>0.28500000000000003</v>
      </c>
      <c r="AF120" s="20">
        <f t="shared" si="20"/>
        <v>0.191</v>
      </c>
      <c r="AH120" s="22">
        <v>1127.8979999999999</v>
      </c>
      <c r="AI120" s="20">
        <f t="shared" si="21"/>
        <v>0.45799988630180372</v>
      </c>
      <c r="AK120" s="22">
        <v>912.06700000000001</v>
      </c>
      <c r="AL120" s="20">
        <f t="shared" si="22"/>
        <v>0.56755880522713131</v>
      </c>
      <c r="AN120" s="5">
        <v>1113.1220000000001</v>
      </c>
    </row>
    <row r="121" spans="4:40" x14ac:dyDescent="0.35">
      <c r="D121" s="80">
        <f t="shared" si="23"/>
        <v>119</v>
      </c>
      <c r="E121" s="81">
        <v>0</v>
      </c>
      <c r="F121" s="82">
        <v>0</v>
      </c>
      <c r="G121" s="82">
        <v>0</v>
      </c>
      <c r="H121" s="82">
        <v>39847.639000000003</v>
      </c>
      <c r="I121" s="82">
        <v>1859.54534713</v>
      </c>
      <c r="J121" s="82">
        <f t="shared" si="12"/>
        <v>41707.184347130002</v>
      </c>
      <c r="K121" s="81">
        <v>0</v>
      </c>
      <c r="L121" s="82">
        <v>0</v>
      </c>
      <c r="M121" s="82">
        <v>0.246</v>
      </c>
      <c r="N121" s="82">
        <v>0.23899999999999999</v>
      </c>
      <c r="O121" s="82">
        <f t="shared" si="13"/>
        <v>0.48499999999999999</v>
      </c>
      <c r="P121" s="82">
        <v>6938.5410000000002</v>
      </c>
      <c r="Q121" s="82">
        <v>0</v>
      </c>
      <c r="R121" s="83">
        <f t="shared" si="14"/>
        <v>6938.5410000000002</v>
      </c>
      <c r="S121" s="82"/>
      <c r="T121" s="18">
        <v>0</v>
      </c>
      <c r="U121" s="18">
        <f t="shared" si="15"/>
        <v>0</v>
      </c>
      <c r="V121" s="18">
        <v>0</v>
      </c>
      <c r="W121" s="18">
        <f t="shared" si="16"/>
        <v>0</v>
      </c>
      <c r="X121" s="18">
        <v>0</v>
      </c>
      <c r="Y121" s="18">
        <f t="shared" si="17"/>
        <v>0</v>
      </c>
      <c r="Z121" s="18">
        <v>0</v>
      </c>
      <c r="AA121" s="18">
        <f t="shared" si="18"/>
        <v>0</v>
      </c>
      <c r="AC121" s="84">
        <v>158.916</v>
      </c>
      <c r="AD121" s="18">
        <v>2782.8204000000001</v>
      </c>
      <c r="AE121" s="5">
        <f t="shared" si="19"/>
        <v>0.246</v>
      </c>
      <c r="AF121" s="20">
        <f t="shared" si="20"/>
        <v>0.23899999999999999</v>
      </c>
      <c r="AH121" s="22">
        <v>1113.1220000000001</v>
      </c>
      <c r="AI121" s="20">
        <f t="shared" si="21"/>
        <v>0.45199987005920433</v>
      </c>
      <c r="AK121" s="22">
        <v>897.75900000000001</v>
      </c>
      <c r="AL121" s="20">
        <f t="shared" si="22"/>
        <v>0.55865525824517737</v>
      </c>
      <c r="AN121" s="5">
        <v>1071.2570000000001</v>
      </c>
    </row>
    <row r="122" spans="4:40" x14ac:dyDescent="0.35">
      <c r="D122" s="80">
        <f t="shared" si="23"/>
        <v>120</v>
      </c>
      <c r="E122" s="81">
        <v>0</v>
      </c>
      <c r="F122" s="82">
        <v>0</v>
      </c>
      <c r="G122" s="82">
        <v>0</v>
      </c>
      <c r="H122" s="82">
        <v>37475.285000000003</v>
      </c>
      <c r="I122" s="82">
        <v>1550.2014247499999</v>
      </c>
      <c r="J122" s="82">
        <f t="shared" si="12"/>
        <v>39025.486424750001</v>
      </c>
      <c r="K122" s="81">
        <v>0</v>
      </c>
      <c r="L122" s="82">
        <v>0</v>
      </c>
      <c r="M122" s="82">
        <v>0.21199999999999999</v>
      </c>
      <c r="N122" s="82">
        <v>0.27200000000000002</v>
      </c>
      <c r="O122" s="82">
        <f t="shared" si="13"/>
        <v>0.48399999999999999</v>
      </c>
      <c r="P122" s="82">
        <v>6454.8519999999999</v>
      </c>
      <c r="Q122" s="82">
        <v>0</v>
      </c>
      <c r="R122" s="83">
        <f t="shared" si="14"/>
        <v>6454.8519999999999</v>
      </c>
      <c r="S122" s="82"/>
      <c r="T122" s="18">
        <v>0</v>
      </c>
      <c r="U122" s="18">
        <f t="shared" si="15"/>
        <v>0</v>
      </c>
      <c r="V122" s="18">
        <v>0</v>
      </c>
      <c r="W122" s="18">
        <f t="shared" si="16"/>
        <v>0</v>
      </c>
      <c r="X122" s="18">
        <v>0</v>
      </c>
      <c r="Y122" s="18">
        <f t="shared" si="17"/>
        <v>0</v>
      </c>
      <c r="Z122" s="18">
        <v>0</v>
      </c>
      <c r="AA122" s="18">
        <f t="shared" si="18"/>
        <v>0</v>
      </c>
      <c r="AC122" s="84">
        <v>136.952</v>
      </c>
      <c r="AD122" s="18">
        <v>3167.0592000000001</v>
      </c>
      <c r="AE122" s="5">
        <f t="shared" si="19"/>
        <v>0.21199999999999999</v>
      </c>
      <c r="AF122" s="20">
        <f t="shared" si="20"/>
        <v>0.27200000000000002</v>
      </c>
      <c r="AH122" s="22">
        <v>1071.2570000000001</v>
      </c>
      <c r="AI122" s="20">
        <f t="shared" si="21"/>
        <v>0.43499995939350139</v>
      </c>
      <c r="AK122" s="22">
        <v>896.00099999999998</v>
      </c>
      <c r="AL122" s="20">
        <f t="shared" si="22"/>
        <v>0.55756129433727442</v>
      </c>
      <c r="AN122" s="5">
        <v>886.55799999999999</v>
      </c>
    </row>
    <row r="123" spans="4:40" x14ac:dyDescent="0.35">
      <c r="D123" s="80">
        <f t="shared" si="23"/>
        <v>121</v>
      </c>
      <c r="E123" s="81">
        <v>0</v>
      </c>
      <c r="F123" s="82">
        <v>0</v>
      </c>
      <c r="G123" s="82">
        <v>0</v>
      </c>
      <c r="H123" s="82">
        <v>34403.582999999999</v>
      </c>
      <c r="I123" s="82">
        <v>1260.06562431</v>
      </c>
      <c r="J123" s="82">
        <f t="shared" si="12"/>
        <v>35663.648624310001</v>
      </c>
      <c r="K123" s="81">
        <v>0</v>
      </c>
      <c r="L123" s="82">
        <v>0</v>
      </c>
      <c r="M123" s="82">
        <v>0.17899999999999999</v>
      </c>
      <c r="N123" s="82">
        <v>0.28099999999999997</v>
      </c>
      <c r="O123" s="82">
        <f t="shared" si="13"/>
        <v>0.45999999999999996</v>
      </c>
      <c r="P123" s="82">
        <v>5643.5910000000003</v>
      </c>
      <c r="Q123" s="82">
        <v>0</v>
      </c>
      <c r="R123" s="83">
        <f t="shared" si="14"/>
        <v>5643.5910000000003</v>
      </c>
      <c r="S123" s="82"/>
      <c r="T123" s="18">
        <v>0</v>
      </c>
      <c r="U123" s="18">
        <f t="shared" si="15"/>
        <v>0</v>
      </c>
      <c r="V123" s="18">
        <v>0</v>
      </c>
      <c r="W123" s="18">
        <f t="shared" si="16"/>
        <v>0</v>
      </c>
      <c r="X123" s="18">
        <v>0</v>
      </c>
      <c r="Y123" s="18">
        <f t="shared" si="17"/>
        <v>0</v>
      </c>
      <c r="Z123" s="18">
        <v>0</v>
      </c>
      <c r="AA123" s="18">
        <f t="shared" si="18"/>
        <v>0</v>
      </c>
      <c r="AC123" s="84">
        <v>115.634</v>
      </c>
      <c r="AD123" s="18">
        <v>3271.8516</v>
      </c>
      <c r="AE123" s="5">
        <f t="shared" si="19"/>
        <v>0.17899999999999999</v>
      </c>
      <c r="AF123" s="20">
        <f t="shared" si="20"/>
        <v>0.28099999999999997</v>
      </c>
      <c r="AH123" s="22">
        <v>886.55799999999999</v>
      </c>
      <c r="AI123" s="20">
        <f t="shared" si="21"/>
        <v>0.3600001624259947</v>
      </c>
      <c r="AK123" s="22">
        <v>875.71799999999996</v>
      </c>
      <c r="AL123" s="20">
        <f t="shared" si="22"/>
        <v>0.5449396390790292</v>
      </c>
      <c r="AN123" s="5">
        <v>871.78200000000004</v>
      </c>
    </row>
    <row r="124" spans="4:40" x14ac:dyDescent="0.35">
      <c r="D124" s="80">
        <f t="shared" si="23"/>
        <v>122</v>
      </c>
      <c r="E124" s="81">
        <v>0</v>
      </c>
      <c r="F124" s="82">
        <v>0</v>
      </c>
      <c r="G124" s="82">
        <v>0</v>
      </c>
      <c r="H124" s="82">
        <v>32286.286</v>
      </c>
      <c r="I124" s="82">
        <v>950.67906937999999</v>
      </c>
      <c r="J124" s="82">
        <f t="shared" si="12"/>
        <v>33236.965069379999</v>
      </c>
      <c r="K124" s="81">
        <v>0</v>
      </c>
      <c r="L124" s="82">
        <v>0</v>
      </c>
      <c r="M124" s="82">
        <v>0.14799999999999999</v>
      </c>
      <c r="N124" s="82">
        <v>0.25599999999999995</v>
      </c>
      <c r="O124" s="82">
        <f t="shared" si="13"/>
        <v>0.40399999999999991</v>
      </c>
      <c r="P124" s="82">
        <v>5246</v>
      </c>
      <c r="Q124" s="82">
        <v>0</v>
      </c>
      <c r="R124" s="83">
        <f t="shared" si="14"/>
        <v>5246</v>
      </c>
      <c r="S124" s="82"/>
      <c r="T124" s="18">
        <v>0</v>
      </c>
      <c r="U124" s="18">
        <f t="shared" si="15"/>
        <v>0</v>
      </c>
      <c r="V124" s="18">
        <v>0</v>
      </c>
      <c r="W124" s="18">
        <f t="shared" si="16"/>
        <v>0</v>
      </c>
      <c r="X124" s="18">
        <v>0</v>
      </c>
      <c r="Y124" s="18">
        <f t="shared" si="17"/>
        <v>0</v>
      </c>
      <c r="Z124" s="18">
        <v>0</v>
      </c>
      <c r="AA124" s="18">
        <f t="shared" si="18"/>
        <v>0</v>
      </c>
      <c r="AC124" s="84">
        <v>95.608000000000004</v>
      </c>
      <c r="AD124" s="18">
        <v>2980.7615999999998</v>
      </c>
      <c r="AE124" s="5">
        <f t="shared" si="19"/>
        <v>0.14799999999999999</v>
      </c>
      <c r="AF124" s="20">
        <f t="shared" si="20"/>
        <v>0.25599999999999995</v>
      </c>
      <c r="AH124" s="22">
        <v>871.78200000000004</v>
      </c>
      <c r="AI124" s="20">
        <f t="shared" si="21"/>
        <v>0.3540001461833952</v>
      </c>
      <c r="AK124" s="22">
        <v>867.94899999999996</v>
      </c>
      <c r="AL124" s="20">
        <f t="shared" si="22"/>
        <v>0.54010516490354699</v>
      </c>
      <c r="AN124" s="5">
        <v>864.39400000000001</v>
      </c>
    </row>
    <row r="125" spans="4:40" x14ac:dyDescent="0.35">
      <c r="D125" s="80">
        <f t="shared" si="23"/>
        <v>123</v>
      </c>
      <c r="E125" s="81">
        <v>0</v>
      </c>
      <c r="F125" s="82">
        <v>0</v>
      </c>
      <c r="G125" s="82">
        <v>0</v>
      </c>
      <c r="H125" s="82">
        <v>30708.298999999999</v>
      </c>
      <c r="I125" s="82">
        <v>1573.8567565000001</v>
      </c>
      <c r="J125" s="82">
        <f t="shared" si="12"/>
        <v>32282.1557565</v>
      </c>
      <c r="K125" s="81">
        <v>0</v>
      </c>
      <c r="L125" s="82">
        <v>0</v>
      </c>
      <c r="M125" s="82">
        <v>0.127</v>
      </c>
      <c r="N125" s="82">
        <v>0.221</v>
      </c>
      <c r="O125" s="82">
        <f t="shared" si="13"/>
        <v>0.34799999999999998</v>
      </c>
      <c r="P125" s="82">
        <v>4773.5889999999999</v>
      </c>
      <c r="Q125" s="82">
        <v>0</v>
      </c>
      <c r="R125" s="83">
        <f t="shared" si="14"/>
        <v>4773.5889999999999</v>
      </c>
      <c r="S125" s="82"/>
      <c r="T125" s="18">
        <v>0</v>
      </c>
      <c r="U125" s="18">
        <f t="shared" si="15"/>
        <v>0</v>
      </c>
      <c r="V125" s="18">
        <v>0</v>
      </c>
      <c r="W125" s="18">
        <f t="shared" si="16"/>
        <v>0</v>
      </c>
      <c r="X125" s="18">
        <v>0</v>
      </c>
      <c r="Y125" s="18">
        <f t="shared" si="17"/>
        <v>0</v>
      </c>
      <c r="Z125" s="18">
        <v>0</v>
      </c>
      <c r="AA125" s="18">
        <f t="shared" si="18"/>
        <v>0</v>
      </c>
      <c r="AC125" s="84">
        <v>82.042000000000002</v>
      </c>
      <c r="AD125" s="18">
        <v>2573.2356</v>
      </c>
      <c r="AE125" s="5">
        <f t="shared" si="19"/>
        <v>0.127</v>
      </c>
      <c r="AF125" s="20">
        <f t="shared" si="20"/>
        <v>0.221</v>
      </c>
      <c r="AH125" s="22">
        <v>864.39400000000001</v>
      </c>
      <c r="AI125" s="20">
        <f t="shared" si="21"/>
        <v>0.35100013806209546</v>
      </c>
      <c r="AK125" s="22">
        <v>865.53800000000001</v>
      </c>
      <c r="AL125" s="20">
        <f t="shared" si="22"/>
        <v>0.53860485376477907</v>
      </c>
      <c r="AN125" s="5">
        <v>861.93100000000004</v>
      </c>
    </row>
    <row r="126" spans="4:40" x14ac:dyDescent="0.35">
      <c r="D126" s="80">
        <f t="shared" si="23"/>
        <v>124</v>
      </c>
      <c r="E126" s="81">
        <v>0</v>
      </c>
      <c r="F126" s="82">
        <v>0</v>
      </c>
      <c r="G126" s="82">
        <v>0</v>
      </c>
      <c r="H126" s="82">
        <v>29613.284</v>
      </c>
      <c r="I126" s="82">
        <v>2506.5258746300001</v>
      </c>
      <c r="J126" s="82">
        <f t="shared" si="12"/>
        <v>32119.809874629998</v>
      </c>
      <c r="K126" s="81">
        <v>0</v>
      </c>
      <c r="L126" s="82">
        <v>0</v>
      </c>
      <c r="M126" s="82">
        <v>0.113</v>
      </c>
      <c r="N126" s="82">
        <v>0.19899999999999998</v>
      </c>
      <c r="O126" s="82">
        <f t="shared" si="13"/>
        <v>0.312</v>
      </c>
      <c r="P126" s="82">
        <v>4611.43</v>
      </c>
      <c r="Q126" s="82">
        <v>0</v>
      </c>
      <c r="R126" s="83">
        <f t="shared" si="14"/>
        <v>4611.43</v>
      </c>
      <c r="S126" s="82"/>
      <c r="T126" s="18">
        <v>0</v>
      </c>
      <c r="U126" s="18">
        <f t="shared" si="15"/>
        <v>0</v>
      </c>
      <c r="V126" s="18">
        <v>0</v>
      </c>
      <c r="W126" s="18">
        <f t="shared" si="16"/>
        <v>0</v>
      </c>
      <c r="X126" s="18">
        <v>0</v>
      </c>
      <c r="Y126" s="18">
        <f t="shared" si="17"/>
        <v>0</v>
      </c>
      <c r="Z126" s="18">
        <v>0</v>
      </c>
      <c r="AA126" s="18">
        <f t="shared" si="18"/>
        <v>0</v>
      </c>
      <c r="AC126" s="84">
        <v>72.998000000000005</v>
      </c>
      <c r="AD126" s="18">
        <v>2317.0763999999999</v>
      </c>
      <c r="AE126" s="5">
        <f t="shared" si="19"/>
        <v>0.113</v>
      </c>
      <c r="AF126" s="20">
        <f t="shared" si="20"/>
        <v>0.19899999999999998</v>
      </c>
      <c r="AH126" s="22">
        <v>861.93100000000004</v>
      </c>
      <c r="AI126" s="20">
        <f t="shared" si="21"/>
        <v>0.35000000000000003</v>
      </c>
      <c r="AK126" s="22">
        <v>873.54</v>
      </c>
      <c r="AL126" s="20">
        <f t="shared" si="22"/>
        <v>0.54358431860609835</v>
      </c>
      <c r="AN126" s="5">
        <v>859.46799999999996</v>
      </c>
    </row>
    <row r="127" spans="4:40" x14ac:dyDescent="0.35">
      <c r="D127" s="80">
        <f t="shared" si="23"/>
        <v>125</v>
      </c>
      <c r="E127" s="81">
        <v>0</v>
      </c>
      <c r="F127" s="82">
        <v>0</v>
      </c>
      <c r="G127" s="82">
        <v>0</v>
      </c>
      <c r="H127" s="82">
        <v>28629.774000000001</v>
      </c>
      <c r="I127" s="82">
        <v>2823.7174552699998</v>
      </c>
      <c r="J127" s="82">
        <f t="shared" si="12"/>
        <v>31453.491455269999</v>
      </c>
      <c r="K127" s="81">
        <v>0</v>
      </c>
      <c r="L127" s="82">
        <v>0</v>
      </c>
      <c r="M127" s="82">
        <v>0.107</v>
      </c>
      <c r="N127" s="82">
        <v>0.19899999999999998</v>
      </c>
      <c r="O127" s="82">
        <f t="shared" si="13"/>
        <v>0.30599999999999999</v>
      </c>
      <c r="P127" s="82">
        <v>4572.915</v>
      </c>
      <c r="Q127" s="82">
        <v>0</v>
      </c>
      <c r="R127" s="83">
        <f t="shared" si="14"/>
        <v>4572.915</v>
      </c>
      <c r="S127" s="82"/>
      <c r="T127" s="18">
        <v>0</v>
      </c>
      <c r="U127" s="18">
        <f t="shared" si="15"/>
        <v>0</v>
      </c>
      <c r="V127" s="18">
        <v>0</v>
      </c>
      <c r="W127" s="18">
        <f t="shared" si="16"/>
        <v>0</v>
      </c>
      <c r="X127" s="18">
        <v>0</v>
      </c>
      <c r="Y127" s="18">
        <f t="shared" si="17"/>
        <v>0</v>
      </c>
      <c r="Z127" s="18">
        <v>0</v>
      </c>
      <c r="AA127" s="18">
        <f t="shared" si="18"/>
        <v>0</v>
      </c>
      <c r="AC127" s="84">
        <v>69.122</v>
      </c>
      <c r="AD127" s="18">
        <v>2317.0763999999999</v>
      </c>
      <c r="AE127" s="5">
        <f t="shared" si="19"/>
        <v>0.107</v>
      </c>
      <c r="AF127" s="20">
        <f t="shared" si="20"/>
        <v>0.19899999999999998</v>
      </c>
      <c r="AH127" s="22">
        <v>859.46799999999996</v>
      </c>
      <c r="AI127" s="20">
        <f t="shared" si="21"/>
        <v>0.34899986193790455</v>
      </c>
      <c r="AK127" s="22">
        <v>868.88400000000001</v>
      </c>
      <c r="AL127" s="20">
        <f t="shared" si="22"/>
        <v>0.54068699439950219</v>
      </c>
      <c r="AN127" s="5">
        <v>861.93100000000004</v>
      </c>
    </row>
    <row r="128" spans="4:40" x14ac:dyDescent="0.35">
      <c r="D128" s="80">
        <f t="shared" si="23"/>
        <v>126</v>
      </c>
      <c r="E128" s="81">
        <v>0</v>
      </c>
      <c r="F128" s="82">
        <v>0</v>
      </c>
      <c r="G128" s="82">
        <v>0</v>
      </c>
      <c r="H128" s="82">
        <v>27657.187000000002</v>
      </c>
      <c r="I128" s="82">
        <v>3014.00003324</v>
      </c>
      <c r="J128" s="82">
        <f t="shared" si="12"/>
        <v>30671.187033240003</v>
      </c>
      <c r="K128" s="81">
        <v>0</v>
      </c>
      <c r="L128" s="82">
        <v>0</v>
      </c>
      <c r="M128" s="82">
        <v>0.111</v>
      </c>
      <c r="N128" s="82">
        <v>0.219</v>
      </c>
      <c r="O128" s="82">
        <f t="shared" si="13"/>
        <v>0.33</v>
      </c>
      <c r="P128" s="82">
        <v>4625.1139999999996</v>
      </c>
      <c r="Q128" s="82">
        <v>0</v>
      </c>
      <c r="R128" s="83">
        <f t="shared" si="14"/>
        <v>4625.1139999999996</v>
      </c>
      <c r="S128" s="82"/>
      <c r="T128" s="18">
        <v>0</v>
      </c>
      <c r="U128" s="18">
        <f t="shared" si="15"/>
        <v>0</v>
      </c>
      <c r="V128" s="18">
        <v>0</v>
      </c>
      <c r="W128" s="18">
        <f t="shared" si="16"/>
        <v>0</v>
      </c>
      <c r="X128" s="18">
        <v>0</v>
      </c>
      <c r="Y128" s="18">
        <f t="shared" si="17"/>
        <v>0</v>
      </c>
      <c r="Z128" s="18">
        <v>0</v>
      </c>
      <c r="AA128" s="18">
        <f t="shared" si="18"/>
        <v>0</v>
      </c>
      <c r="AC128" s="84">
        <v>71.706000000000003</v>
      </c>
      <c r="AD128" s="18">
        <v>2549.9484000000002</v>
      </c>
      <c r="AE128" s="5">
        <f t="shared" si="19"/>
        <v>0.111</v>
      </c>
      <c r="AF128" s="20">
        <f t="shared" si="20"/>
        <v>0.219</v>
      </c>
      <c r="AH128" s="22">
        <v>861.93100000000004</v>
      </c>
      <c r="AI128" s="20">
        <f t="shared" si="21"/>
        <v>0.35000000000000003</v>
      </c>
      <c r="AK128" s="22">
        <v>869.72199999999998</v>
      </c>
      <c r="AL128" s="20">
        <f t="shared" si="22"/>
        <v>0.54120846297448666</v>
      </c>
      <c r="AN128" s="5">
        <v>857.00599999999997</v>
      </c>
    </row>
    <row r="129" spans="4:40" x14ac:dyDescent="0.35">
      <c r="D129" s="80">
        <f t="shared" si="23"/>
        <v>127</v>
      </c>
      <c r="E129" s="81">
        <v>0</v>
      </c>
      <c r="F129" s="82">
        <v>0</v>
      </c>
      <c r="G129" s="82">
        <v>0</v>
      </c>
      <c r="H129" s="82">
        <v>27583.937000000002</v>
      </c>
      <c r="I129" s="82">
        <v>3811.2824580199999</v>
      </c>
      <c r="J129" s="82">
        <f t="shared" si="12"/>
        <v>31395.219458020001</v>
      </c>
      <c r="K129" s="81">
        <v>0</v>
      </c>
      <c r="L129" s="82">
        <v>0</v>
      </c>
      <c r="M129" s="82">
        <v>0.111</v>
      </c>
      <c r="N129" s="82">
        <v>0.24799999999999997</v>
      </c>
      <c r="O129" s="82">
        <f t="shared" si="13"/>
        <v>0.35899999999999999</v>
      </c>
      <c r="P129" s="82">
        <v>4739.2560000000003</v>
      </c>
      <c r="Q129" s="82">
        <v>0</v>
      </c>
      <c r="R129" s="83">
        <f t="shared" si="14"/>
        <v>4739.2560000000003</v>
      </c>
      <c r="S129" s="82"/>
      <c r="T129" s="18">
        <v>0</v>
      </c>
      <c r="U129" s="18">
        <f t="shared" si="15"/>
        <v>0</v>
      </c>
      <c r="V129" s="18">
        <v>0</v>
      </c>
      <c r="W129" s="18">
        <f t="shared" si="16"/>
        <v>0</v>
      </c>
      <c r="X129" s="18">
        <v>0</v>
      </c>
      <c r="Y129" s="18">
        <f t="shared" si="17"/>
        <v>0</v>
      </c>
      <c r="Z129" s="18">
        <v>0</v>
      </c>
      <c r="AA129" s="18">
        <f t="shared" si="18"/>
        <v>0</v>
      </c>
      <c r="AC129" s="84">
        <v>71.706000000000003</v>
      </c>
      <c r="AD129" s="18">
        <v>2887.6127999999999</v>
      </c>
      <c r="AE129" s="5">
        <f t="shared" si="19"/>
        <v>0.111</v>
      </c>
      <c r="AF129" s="20">
        <f t="shared" si="20"/>
        <v>0.24799999999999997</v>
      </c>
      <c r="AH129" s="22">
        <v>857.00599999999997</v>
      </c>
      <c r="AI129" s="20">
        <f t="shared" si="21"/>
        <v>0.34800012994079571</v>
      </c>
      <c r="AK129" s="22">
        <v>889.26300000000003</v>
      </c>
      <c r="AL129" s="20">
        <f t="shared" si="22"/>
        <v>0.5533683883011824</v>
      </c>
      <c r="AN129" s="5">
        <v>854.54300000000001</v>
      </c>
    </row>
    <row r="130" spans="4:40" x14ac:dyDescent="0.35">
      <c r="D130" s="80">
        <f t="shared" si="23"/>
        <v>128</v>
      </c>
      <c r="E130" s="81">
        <v>0</v>
      </c>
      <c r="F130" s="82">
        <v>0</v>
      </c>
      <c r="G130" s="82">
        <v>0</v>
      </c>
      <c r="H130" s="82">
        <v>28764.89</v>
      </c>
      <c r="I130" s="82">
        <v>4286.8717639500001</v>
      </c>
      <c r="J130" s="82">
        <f t="shared" si="12"/>
        <v>33051.761763950002</v>
      </c>
      <c r="K130" s="81">
        <v>0</v>
      </c>
      <c r="L130" s="82">
        <v>0</v>
      </c>
      <c r="M130" s="82">
        <v>0.11</v>
      </c>
      <c r="N130" s="82">
        <v>0.26999999999999996</v>
      </c>
      <c r="O130" s="82">
        <f t="shared" si="13"/>
        <v>0.37999999999999995</v>
      </c>
      <c r="P130" s="82">
        <v>4803.72</v>
      </c>
      <c r="Q130" s="82">
        <v>0</v>
      </c>
      <c r="R130" s="83">
        <f t="shared" si="14"/>
        <v>4803.72</v>
      </c>
      <c r="S130" s="82"/>
      <c r="T130" s="18">
        <v>0</v>
      </c>
      <c r="U130" s="18">
        <f t="shared" si="15"/>
        <v>0</v>
      </c>
      <c r="V130" s="18">
        <v>0</v>
      </c>
      <c r="W130" s="18">
        <f t="shared" si="16"/>
        <v>0</v>
      </c>
      <c r="X130" s="18">
        <v>0</v>
      </c>
      <c r="Y130" s="18">
        <f t="shared" si="17"/>
        <v>0</v>
      </c>
      <c r="Z130" s="18">
        <v>0</v>
      </c>
      <c r="AA130" s="18">
        <f t="shared" si="18"/>
        <v>0</v>
      </c>
      <c r="AC130" s="84">
        <v>71.06</v>
      </c>
      <c r="AD130" s="18">
        <v>3143.7719999999999</v>
      </c>
      <c r="AE130" s="5">
        <f t="shared" si="19"/>
        <v>0.11</v>
      </c>
      <c r="AF130" s="20">
        <f t="shared" si="20"/>
        <v>0.26999999999999996</v>
      </c>
      <c r="AH130" s="22">
        <v>854.54300000000001</v>
      </c>
      <c r="AI130" s="20">
        <f t="shared" si="21"/>
        <v>0.34699999187870029</v>
      </c>
      <c r="AK130" s="22">
        <v>932.255</v>
      </c>
      <c r="AL130" s="20">
        <f t="shared" si="22"/>
        <v>0.58012134411947724</v>
      </c>
      <c r="AN130" s="5">
        <v>864.39400000000001</v>
      </c>
    </row>
    <row r="131" spans="4:40" x14ac:dyDescent="0.35">
      <c r="D131" s="80">
        <f t="shared" si="23"/>
        <v>129</v>
      </c>
      <c r="E131" s="81">
        <v>0</v>
      </c>
      <c r="F131" s="82">
        <v>0</v>
      </c>
      <c r="G131" s="82">
        <v>0</v>
      </c>
      <c r="H131" s="82">
        <v>30670.205999999998</v>
      </c>
      <c r="I131" s="82">
        <v>4180.9137475400003</v>
      </c>
      <c r="J131" s="82">
        <f t="shared" si="12"/>
        <v>34851.119747539997</v>
      </c>
      <c r="K131" s="81">
        <v>0</v>
      </c>
      <c r="L131" s="82">
        <v>0</v>
      </c>
      <c r="M131" s="82">
        <v>0.11</v>
      </c>
      <c r="N131" s="82">
        <v>0.26999999999999996</v>
      </c>
      <c r="O131" s="82">
        <f t="shared" si="13"/>
        <v>0.37999999999999995</v>
      </c>
      <c r="P131" s="82">
        <v>4894.0069999999996</v>
      </c>
      <c r="Q131" s="82">
        <v>0</v>
      </c>
      <c r="R131" s="83">
        <f t="shared" si="14"/>
        <v>4894.0069999999996</v>
      </c>
      <c r="S131" s="82"/>
      <c r="T131" s="18">
        <v>0</v>
      </c>
      <c r="U131" s="18">
        <f t="shared" si="15"/>
        <v>0</v>
      </c>
      <c r="V131" s="18">
        <v>0</v>
      </c>
      <c r="W131" s="18">
        <f t="shared" si="16"/>
        <v>0</v>
      </c>
      <c r="X131" s="18">
        <v>0</v>
      </c>
      <c r="Y131" s="18">
        <f t="shared" si="17"/>
        <v>0</v>
      </c>
      <c r="Z131" s="18">
        <v>0</v>
      </c>
      <c r="AA131" s="18">
        <f t="shared" si="18"/>
        <v>0</v>
      </c>
      <c r="AC131" s="84">
        <v>71.06</v>
      </c>
      <c r="AD131" s="18">
        <v>3143.7719999999999</v>
      </c>
      <c r="AE131" s="5">
        <f t="shared" si="19"/>
        <v>0.11</v>
      </c>
      <c r="AF131" s="20">
        <f t="shared" si="20"/>
        <v>0.26999999999999996</v>
      </c>
      <c r="AH131" s="22">
        <v>864.39400000000001</v>
      </c>
      <c r="AI131" s="20">
        <f t="shared" si="21"/>
        <v>0.35100013806209546</v>
      </c>
      <c r="AK131" s="22">
        <v>945.16300000000001</v>
      </c>
      <c r="AL131" s="20">
        <f t="shared" si="22"/>
        <v>0.58815370255133792</v>
      </c>
      <c r="AN131" s="5">
        <v>869.31899999999996</v>
      </c>
    </row>
    <row r="132" spans="4:40" x14ac:dyDescent="0.35">
      <c r="D132" s="80">
        <f t="shared" si="23"/>
        <v>130</v>
      </c>
      <c r="E132" s="81">
        <v>0.01</v>
      </c>
      <c r="F132" s="82">
        <v>8.1000000000000003E-2</v>
      </c>
      <c r="G132" s="82">
        <v>0.127</v>
      </c>
      <c r="H132" s="82">
        <v>33008.887999999999</v>
      </c>
      <c r="I132" s="82">
        <v>2626.8456460900002</v>
      </c>
      <c r="J132" s="82">
        <f t="shared" ref="J132:J170" si="24">H132+I132</f>
        <v>35635.733646089997</v>
      </c>
      <c r="K132" s="81">
        <v>1.7000000000000001E-2</v>
      </c>
      <c r="L132" s="82">
        <v>1.7999999999999901E-2</v>
      </c>
      <c r="M132" s="82">
        <v>0.11799999999999999</v>
      </c>
      <c r="N132" s="82">
        <v>0.21299999999999999</v>
      </c>
      <c r="O132" s="82">
        <f t="shared" ref="O132:O170" si="25">M132+N132</f>
        <v>0.33099999999999996</v>
      </c>
      <c r="P132" s="82">
        <v>5145.4859999999999</v>
      </c>
      <c r="Q132" s="82">
        <v>0</v>
      </c>
      <c r="R132" s="83">
        <f t="shared" ref="R132:R170" si="26">P132+Q132</f>
        <v>5145.4859999999999</v>
      </c>
      <c r="S132" s="82"/>
      <c r="T132" s="18">
        <v>9960</v>
      </c>
      <c r="U132" s="18">
        <f t="shared" ref="U132:U170" si="27">T132/$B$5</f>
        <v>0.12</v>
      </c>
      <c r="V132" s="18">
        <v>389.20499999999998</v>
      </c>
      <c r="W132" s="18">
        <f t="shared" ref="W132:W170" si="28">V132/$B$6</f>
        <v>8.1000000000000003E-2</v>
      </c>
      <c r="X132" s="18">
        <v>790.80100000000004</v>
      </c>
      <c r="Y132" s="18">
        <f t="shared" ref="Y132:Y170" si="29">X132/$B$8</f>
        <v>5.5E-2</v>
      </c>
      <c r="Z132" s="18">
        <v>299.45690000000002</v>
      </c>
      <c r="AA132" s="18">
        <f t="shared" ref="AA132:AA170" si="30">Z132/$B$9</f>
        <v>3.1000000000000003E-2</v>
      </c>
      <c r="AC132" s="84">
        <v>76.227999999999994</v>
      </c>
      <c r="AD132" s="18">
        <v>2480.0868</v>
      </c>
      <c r="AE132" s="5">
        <f t="shared" ref="AE132:AE170" si="31">AC132/$B$11</f>
        <v>0.11799999999999999</v>
      </c>
      <c r="AF132" s="20">
        <f t="shared" ref="AF132:AF170" si="32">AD132/$B$10</f>
        <v>0.21299999999999999</v>
      </c>
      <c r="AH132" s="22">
        <v>869.31899999999996</v>
      </c>
      <c r="AI132" s="20">
        <f t="shared" ref="AI132:AI170" si="33">AH132/$B$12</f>
        <v>0.35300000812129972</v>
      </c>
      <c r="AK132" s="22">
        <v>947.83399999999995</v>
      </c>
      <c r="AL132" s="20">
        <f t="shared" ref="AL132:AL170" si="34">AK132/$B$13</f>
        <v>0.58981580584940885</v>
      </c>
      <c r="AN132" s="5">
        <v>861.93100000000004</v>
      </c>
    </row>
    <row r="133" spans="4:40" x14ac:dyDescent="0.35">
      <c r="D133" s="80">
        <f t="shared" ref="D133:D168" si="35">1+D132</f>
        <v>131</v>
      </c>
      <c r="E133" s="81">
        <v>3.59999999999999E-2</v>
      </c>
      <c r="F133" s="82">
        <v>0.21600000000000003</v>
      </c>
      <c r="G133" s="82">
        <v>0.29699999999999999</v>
      </c>
      <c r="H133" s="82">
        <v>33449.326000000001</v>
      </c>
      <c r="I133" s="82">
        <v>2099.5337936800001</v>
      </c>
      <c r="J133" s="82">
        <f t="shared" si="24"/>
        <v>35548.85979368</v>
      </c>
      <c r="K133" s="81">
        <v>8.4000000000000005E-2</v>
      </c>
      <c r="L133" s="82">
        <v>8.900000000000001E-2</v>
      </c>
      <c r="M133" s="82">
        <v>0.124</v>
      </c>
      <c r="N133" s="82">
        <v>0.126</v>
      </c>
      <c r="O133" s="82">
        <f t="shared" si="25"/>
        <v>0.25</v>
      </c>
      <c r="P133" s="82">
        <v>5222.2489999999998</v>
      </c>
      <c r="Q133" s="82">
        <v>0</v>
      </c>
      <c r="R133" s="83">
        <f t="shared" si="26"/>
        <v>5222.2489999999998</v>
      </c>
      <c r="S133" s="82"/>
      <c r="T133" s="18">
        <v>25398</v>
      </c>
      <c r="U133" s="18">
        <f t="shared" si="27"/>
        <v>0.30599999999999999</v>
      </c>
      <c r="V133" s="18">
        <v>1037.8800000000001</v>
      </c>
      <c r="W133" s="18">
        <f t="shared" si="28"/>
        <v>0.21600000000000003</v>
      </c>
      <c r="X133" s="18">
        <v>2933.1527999999998</v>
      </c>
      <c r="Y133" s="18">
        <f t="shared" si="29"/>
        <v>0.20399999999999999</v>
      </c>
      <c r="Z133" s="18">
        <v>1130.2083</v>
      </c>
      <c r="AA133" s="18">
        <f t="shared" si="30"/>
        <v>0.11700000000000001</v>
      </c>
      <c r="AC133" s="84">
        <v>80.103999999999999</v>
      </c>
      <c r="AD133" s="18">
        <v>1467.0935999999999</v>
      </c>
      <c r="AE133" s="5">
        <f t="shared" si="31"/>
        <v>0.124</v>
      </c>
      <c r="AF133" s="20">
        <f t="shared" si="32"/>
        <v>0.126</v>
      </c>
      <c r="AH133" s="22">
        <v>861.93100000000004</v>
      </c>
      <c r="AI133" s="20">
        <f t="shared" si="33"/>
        <v>0.35000000000000003</v>
      </c>
      <c r="AK133" s="22">
        <v>945.15200000000004</v>
      </c>
      <c r="AL133" s="20">
        <f t="shared" si="34"/>
        <v>0.58814685749844431</v>
      </c>
      <c r="AN133" s="5">
        <v>859.46799999999996</v>
      </c>
    </row>
    <row r="134" spans="4:40" x14ac:dyDescent="0.35">
      <c r="D134" s="80">
        <f t="shared" si="35"/>
        <v>132</v>
      </c>
      <c r="E134" s="81">
        <v>6.2000000000000006E-2</v>
      </c>
      <c r="F134" s="82">
        <v>0.36</v>
      </c>
      <c r="G134" s="82">
        <v>0.43200000000000005</v>
      </c>
      <c r="H134" s="82">
        <v>34221.461000000003</v>
      </c>
      <c r="I134" s="82">
        <v>2670.4199233099998</v>
      </c>
      <c r="J134" s="82">
        <f t="shared" si="24"/>
        <v>36891.880923310004</v>
      </c>
      <c r="K134" s="81">
        <v>0.125</v>
      </c>
      <c r="L134" s="82">
        <v>0.16699999999999998</v>
      </c>
      <c r="M134" s="82">
        <v>0.13200000000000001</v>
      </c>
      <c r="N134" s="82">
        <v>0.105</v>
      </c>
      <c r="O134" s="82">
        <f t="shared" si="25"/>
        <v>0.23699999999999999</v>
      </c>
      <c r="P134" s="82">
        <v>5428.2359999999999</v>
      </c>
      <c r="Q134" s="82">
        <v>0</v>
      </c>
      <c r="R134" s="83">
        <f t="shared" si="26"/>
        <v>5428.2359999999999</v>
      </c>
      <c r="S134" s="82"/>
      <c r="T134" s="18">
        <v>30959</v>
      </c>
      <c r="U134" s="18">
        <f t="shared" si="27"/>
        <v>0.373</v>
      </c>
      <c r="V134" s="18">
        <v>1729.8</v>
      </c>
      <c r="W134" s="18">
        <f t="shared" si="28"/>
        <v>0.36</v>
      </c>
      <c r="X134" s="18">
        <v>5017.9917999999998</v>
      </c>
      <c r="Y134" s="18">
        <f t="shared" si="29"/>
        <v>0.34899999999999998</v>
      </c>
      <c r="Z134" s="18">
        <v>1980.2795000000001</v>
      </c>
      <c r="AA134" s="18">
        <f t="shared" si="30"/>
        <v>0.20500000000000002</v>
      </c>
      <c r="AC134" s="84">
        <v>85.272000000000006</v>
      </c>
      <c r="AD134" s="18">
        <v>1222.578</v>
      </c>
      <c r="AE134" s="5">
        <f t="shared" si="31"/>
        <v>0.13200000000000001</v>
      </c>
      <c r="AF134" s="20">
        <f t="shared" si="32"/>
        <v>0.105</v>
      </c>
      <c r="AH134" s="22">
        <v>859.46799999999996</v>
      </c>
      <c r="AI134" s="20">
        <f t="shared" si="33"/>
        <v>0.34899986193790455</v>
      </c>
      <c r="AK134" s="22">
        <v>943.71100000000001</v>
      </c>
      <c r="AL134" s="20">
        <f t="shared" si="34"/>
        <v>0.58725015556938398</v>
      </c>
      <c r="AN134" s="5">
        <v>857.00599999999997</v>
      </c>
    </row>
    <row r="135" spans="4:40" x14ac:dyDescent="0.35">
      <c r="D135" s="80">
        <f t="shared" si="35"/>
        <v>133</v>
      </c>
      <c r="E135" s="81">
        <v>6.7000000000000004E-2</v>
      </c>
      <c r="F135" s="82">
        <v>0.45799999999999996</v>
      </c>
      <c r="G135" s="82">
        <v>0.496</v>
      </c>
      <c r="H135" s="82">
        <v>35155.864999999998</v>
      </c>
      <c r="I135" s="82">
        <v>2923.3451267599999</v>
      </c>
      <c r="J135" s="82">
        <f t="shared" si="24"/>
        <v>38079.210126760001</v>
      </c>
      <c r="K135" s="81">
        <v>0.12</v>
      </c>
      <c r="L135" s="82">
        <v>0.180999999999999</v>
      </c>
      <c r="M135" s="82">
        <v>0.15000000000000002</v>
      </c>
      <c r="N135" s="82">
        <v>0.17099999999999999</v>
      </c>
      <c r="O135" s="82">
        <f t="shared" si="25"/>
        <v>0.32100000000000001</v>
      </c>
      <c r="P135" s="82">
        <v>5772.0529999999999</v>
      </c>
      <c r="Q135" s="82">
        <v>0</v>
      </c>
      <c r="R135" s="83">
        <f t="shared" si="26"/>
        <v>5772.0529999999999</v>
      </c>
      <c r="S135" s="82"/>
      <c r="T135" s="18">
        <v>31872</v>
      </c>
      <c r="U135" s="18">
        <f t="shared" si="27"/>
        <v>0.38400000000000001</v>
      </c>
      <c r="V135" s="18">
        <v>2200.69</v>
      </c>
      <c r="W135" s="18">
        <f t="shared" si="28"/>
        <v>0.45800000000000002</v>
      </c>
      <c r="X135" s="18">
        <v>5909.4402</v>
      </c>
      <c r="Y135" s="18">
        <f t="shared" si="29"/>
        <v>0.41099999999999998</v>
      </c>
      <c r="Z135" s="18">
        <v>2424.6349</v>
      </c>
      <c r="AA135" s="18">
        <f t="shared" si="30"/>
        <v>0.251</v>
      </c>
      <c r="AC135" s="84">
        <v>96.9</v>
      </c>
      <c r="AD135" s="18">
        <v>1991.0555999999999</v>
      </c>
      <c r="AE135" s="5">
        <f t="shared" si="31"/>
        <v>0.15000000000000002</v>
      </c>
      <c r="AF135" s="20">
        <f t="shared" si="32"/>
        <v>0.17099999999999999</v>
      </c>
      <c r="AH135" s="22">
        <v>857.00599999999997</v>
      </c>
      <c r="AI135" s="20">
        <f t="shared" si="33"/>
        <v>0.34800012994079571</v>
      </c>
      <c r="AK135" s="22">
        <v>951.82299999999998</v>
      </c>
      <c r="AL135" s="20">
        <f t="shared" si="34"/>
        <v>0.59229807093963904</v>
      </c>
      <c r="AN135" s="5">
        <v>859.46799999999996</v>
      </c>
    </row>
    <row r="136" spans="4:40" x14ac:dyDescent="0.35">
      <c r="D136" s="80">
        <f t="shared" si="35"/>
        <v>134</v>
      </c>
      <c r="E136" s="81">
        <v>5.4000000000000006E-2</v>
      </c>
      <c r="F136" s="82">
        <v>0.48</v>
      </c>
      <c r="G136" s="82">
        <v>0.496</v>
      </c>
      <c r="H136" s="82">
        <v>35486.675999999999</v>
      </c>
      <c r="I136" s="82">
        <v>2601.0009946300002</v>
      </c>
      <c r="J136" s="82">
        <f t="shared" si="24"/>
        <v>38087.676994629997</v>
      </c>
      <c r="K136" s="81">
        <v>0.114</v>
      </c>
      <c r="L136" s="82">
        <v>0.157</v>
      </c>
      <c r="M136" s="82">
        <v>0.17499999999999999</v>
      </c>
      <c r="N136" s="82">
        <v>0.27300000000000002</v>
      </c>
      <c r="O136" s="82">
        <f t="shared" si="25"/>
        <v>0.44800000000000001</v>
      </c>
      <c r="P136" s="82">
        <v>5541.1480000000001</v>
      </c>
      <c r="Q136" s="82">
        <v>0</v>
      </c>
      <c r="R136" s="83">
        <f t="shared" si="26"/>
        <v>5541.1480000000001</v>
      </c>
      <c r="S136" s="82"/>
      <c r="T136" s="18">
        <v>31623</v>
      </c>
      <c r="U136" s="18">
        <f t="shared" si="27"/>
        <v>0.38100000000000001</v>
      </c>
      <c r="V136" s="18">
        <v>2306.4</v>
      </c>
      <c r="W136" s="18">
        <f t="shared" si="28"/>
        <v>0.48000000000000004</v>
      </c>
      <c r="X136" s="18">
        <v>5866.3055999999997</v>
      </c>
      <c r="Y136" s="18">
        <f t="shared" si="29"/>
        <v>0.40799999999999997</v>
      </c>
      <c r="Z136" s="18">
        <v>2463.2745</v>
      </c>
      <c r="AA136" s="18">
        <f t="shared" si="30"/>
        <v>0.255</v>
      </c>
      <c r="AC136" s="84">
        <v>113.05</v>
      </c>
      <c r="AD136" s="18">
        <v>3178.7028</v>
      </c>
      <c r="AE136" s="5">
        <f t="shared" si="31"/>
        <v>0.17499999999999999</v>
      </c>
      <c r="AF136" s="20">
        <f t="shared" si="32"/>
        <v>0.27300000000000002</v>
      </c>
      <c r="AH136" s="22">
        <v>859.46799999999996</v>
      </c>
      <c r="AI136" s="20">
        <f t="shared" si="33"/>
        <v>0.34899986193790455</v>
      </c>
      <c r="AK136" s="22">
        <v>966.63800000000003</v>
      </c>
      <c r="AL136" s="20">
        <f t="shared" si="34"/>
        <v>0.60151711263223395</v>
      </c>
      <c r="AN136" s="5">
        <v>859.46799999999996</v>
      </c>
    </row>
    <row r="137" spans="4:40" x14ac:dyDescent="0.35">
      <c r="D137" s="80">
        <f t="shared" si="35"/>
        <v>135</v>
      </c>
      <c r="E137" s="81">
        <v>3.1000000000000003E-2</v>
      </c>
      <c r="F137" s="82">
        <v>0.41699999999999904</v>
      </c>
      <c r="G137" s="82">
        <v>0.43799999999999994</v>
      </c>
      <c r="H137" s="82">
        <v>34433.777999999998</v>
      </c>
      <c r="I137" s="82">
        <v>1949.9707367599999</v>
      </c>
      <c r="J137" s="82">
        <f t="shared" si="24"/>
        <v>36383.748736759997</v>
      </c>
      <c r="K137" s="81">
        <v>9.6999999999999989E-2</v>
      </c>
      <c r="L137" s="82">
        <v>0.107</v>
      </c>
      <c r="M137" s="82">
        <v>0.22099999999999997</v>
      </c>
      <c r="N137" s="82">
        <v>0.35600000000000004</v>
      </c>
      <c r="O137" s="82">
        <f t="shared" si="25"/>
        <v>0.57699999999999996</v>
      </c>
      <c r="P137" s="82">
        <v>5346.7479999999996</v>
      </c>
      <c r="Q137" s="82">
        <v>0</v>
      </c>
      <c r="R137" s="83">
        <f t="shared" si="26"/>
        <v>5346.7479999999996</v>
      </c>
      <c r="S137" s="82"/>
      <c r="T137" s="18">
        <v>30627</v>
      </c>
      <c r="U137" s="18">
        <f t="shared" si="27"/>
        <v>0.36899999999999999</v>
      </c>
      <c r="V137" s="18">
        <v>2003.6849999999999</v>
      </c>
      <c r="W137" s="18">
        <f t="shared" si="28"/>
        <v>0.41699999999999998</v>
      </c>
      <c r="X137" s="18">
        <v>5046.7482</v>
      </c>
      <c r="Y137" s="18">
        <f t="shared" si="29"/>
        <v>0.35099999999999998</v>
      </c>
      <c r="Z137" s="18">
        <v>2144.4978000000001</v>
      </c>
      <c r="AA137" s="18">
        <f t="shared" si="30"/>
        <v>0.22200000000000003</v>
      </c>
      <c r="AC137" s="84">
        <v>142.76599999999999</v>
      </c>
      <c r="AD137" s="18">
        <v>4145.1216000000004</v>
      </c>
      <c r="AE137" s="5">
        <f t="shared" si="31"/>
        <v>0.22099999999999997</v>
      </c>
      <c r="AF137" s="20">
        <f t="shared" si="32"/>
        <v>0.35600000000000004</v>
      </c>
      <c r="AH137" s="22">
        <v>859.46799999999996</v>
      </c>
      <c r="AI137" s="20">
        <f t="shared" si="33"/>
        <v>0.34899986193790455</v>
      </c>
      <c r="AK137" s="22">
        <v>980.21100000000001</v>
      </c>
      <c r="AL137" s="20">
        <f t="shared" si="34"/>
        <v>0.60996328562538893</v>
      </c>
      <c r="AN137" s="5">
        <v>854.54300000000001</v>
      </c>
    </row>
    <row r="138" spans="4:40" x14ac:dyDescent="0.35">
      <c r="D138" s="80">
        <f t="shared" si="35"/>
        <v>136</v>
      </c>
      <c r="E138" s="81">
        <v>0.01</v>
      </c>
      <c r="F138" s="82">
        <v>0.28899999999999998</v>
      </c>
      <c r="G138" s="82">
        <v>0.33500000000000002</v>
      </c>
      <c r="H138" s="82">
        <v>33882.572999999997</v>
      </c>
      <c r="I138" s="82">
        <v>1661.6443127800001</v>
      </c>
      <c r="J138" s="82">
        <f t="shared" si="24"/>
        <v>35544.217312779998</v>
      </c>
      <c r="K138" s="81">
        <v>5.5E-2</v>
      </c>
      <c r="L138" s="82">
        <v>6.4000000000000001E-2</v>
      </c>
      <c r="M138" s="82">
        <v>0.29099999999999998</v>
      </c>
      <c r="N138" s="82">
        <v>0.40699999999999997</v>
      </c>
      <c r="O138" s="82">
        <f t="shared" si="25"/>
        <v>0.69799999999999995</v>
      </c>
      <c r="P138" s="82">
        <v>5363.0209999999997</v>
      </c>
      <c r="Q138" s="82">
        <v>0</v>
      </c>
      <c r="R138" s="83">
        <f t="shared" si="26"/>
        <v>5363.0209999999997</v>
      </c>
      <c r="S138" s="82"/>
      <c r="T138" s="18">
        <v>28137</v>
      </c>
      <c r="U138" s="18">
        <f t="shared" si="27"/>
        <v>0.33900000000000002</v>
      </c>
      <c r="V138" s="18">
        <v>1388.645</v>
      </c>
      <c r="W138" s="18">
        <f t="shared" si="28"/>
        <v>0.28899999999999998</v>
      </c>
      <c r="X138" s="18">
        <v>3925.2485999999999</v>
      </c>
      <c r="Y138" s="18">
        <f t="shared" si="29"/>
        <v>0.27299999999999996</v>
      </c>
      <c r="Z138" s="18">
        <v>1680.8226</v>
      </c>
      <c r="AA138" s="18">
        <f t="shared" si="30"/>
        <v>0.17400000000000002</v>
      </c>
      <c r="AC138" s="84">
        <v>187.98599999999999</v>
      </c>
      <c r="AD138" s="18">
        <v>4738.9452000000001</v>
      </c>
      <c r="AE138" s="5">
        <f t="shared" si="31"/>
        <v>0.29099999999999998</v>
      </c>
      <c r="AF138" s="20">
        <f t="shared" si="32"/>
        <v>0.40699999999999997</v>
      </c>
      <c r="AH138" s="22">
        <v>854.54300000000001</v>
      </c>
      <c r="AI138" s="20">
        <f t="shared" si="33"/>
        <v>0.34699999187870029</v>
      </c>
      <c r="AK138" s="22">
        <v>982.89499999999998</v>
      </c>
      <c r="AL138" s="20">
        <f t="shared" si="34"/>
        <v>0.61163347853142502</v>
      </c>
      <c r="AN138" s="5">
        <v>859.46799999999996</v>
      </c>
    </row>
    <row r="139" spans="4:40" x14ac:dyDescent="0.35">
      <c r="D139" s="80">
        <f t="shared" si="35"/>
        <v>137</v>
      </c>
      <c r="E139" s="81">
        <v>0</v>
      </c>
      <c r="F139" s="82">
        <v>0.13699999999999998</v>
      </c>
      <c r="G139" s="82">
        <v>0.19800000000000001</v>
      </c>
      <c r="H139" s="82">
        <v>34240.737000000001</v>
      </c>
      <c r="I139" s="82">
        <v>1673.73975726</v>
      </c>
      <c r="J139" s="82">
        <f t="shared" si="24"/>
        <v>35914.476757260003</v>
      </c>
      <c r="K139" s="81">
        <v>0</v>
      </c>
      <c r="L139" s="82">
        <v>1.7000000000000001E-2</v>
      </c>
      <c r="M139" s="82">
        <v>0.35399999999999998</v>
      </c>
      <c r="N139" s="82">
        <v>0.42799999999999999</v>
      </c>
      <c r="O139" s="82">
        <f t="shared" si="25"/>
        <v>0.78200000000000003</v>
      </c>
      <c r="P139" s="82">
        <v>5578.4830000000002</v>
      </c>
      <c r="Q139" s="82">
        <v>0</v>
      </c>
      <c r="R139" s="83">
        <f t="shared" si="26"/>
        <v>5578.4830000000002</v>
      </c>
      <c r="S139" s="82"/>
      <c r="T139" s="18">
        <v>19837</v>
      </c>
      <c r="U139" s="18">
        <f t="shared" si="27"/>
        <v>0.23899999999999999</v>
      </c>
      <c r="V139" s="18">
        <v>658.28499999999997</v>
      </c>
      <c r="W139" s="18">
        <f t="shared" si="28"/>
        <v>0.13699999999999998</v>
      </c>
      <c r="X139" s="18">
        <v>2444.2939999999999</v>
      </c>
      <c r="Y139" s="18">
        <f t="shared" si="29"/>
        <v>0.16999999999999998</v>
      </c>
      <c r="Z139" s="18">
        <v>1033.6093000000001</v>
      </c>
      <c r="AA139" s="18">
        <f t="shared" si="30"/>
        <v>0.10700000000000001</v>
      </c>
      <c r="AC139" s="84">
        <v>228.684</v>
      </c>
      <c r="AD139" s="18">
        <v>4983.4607999999998</v>
      </c>
      <c r="AE139" s="5">
        <f t="shared" si="31"/>
        <v>0.35399999999999998</v>
      </c>
      <c r="AF139" s="20">
        <f t="shared" si="32"/>
        <v>0.42799999999999999</v>
      </c>
      <c r="AH139" s="22">
        <v>859.46799999999996</v>
      </c>
      <c r="AI139" s="20">
        <f t="shared" si="33"/>
        <v>0.34899986193790455</v>
      </c>
      <c r="AK139" s="22">
        <v>984.45500000000004</v>
      </c>
      <c r="AL139" s="20">
        <f t="shared" si="34"/>
        <v>0.6126042314872433</v>
      </c>
      <c r="AN139" s="5">
        <v>884.09500000000003</v>
      </c>
    </row>
    <row r="140" spans="4:40" x14ac:dyDescent="0.35">
      <c r="D140" s="80">
        <f t="shared" si="35"/>
        <v>138</v>
      </c>
      <c r="E140" s="81">
        <v>0</v>
      </c>
      <c r="F140" s="82">
        <v>1.7000000000000001E-2</v>
      </c>
      <c r="G140" s="82">
        <v>5.5E-2</v>
      </c>
      <c r="H140" s="82">
        <v>36876.286</v>
      </c>
      <c r="I140" s="82">
        <v>1772.7842573099999</v>
      </c>
      <c r="J140" s="82">
        <f t="shared" si="24"/>
        <v>38649.070257309999</v>
      </c>
      <c r="K140" s="81">
        <v>0</v>
      </c>
      <c r="L140" s="82">
        <v>0</v>
      </c>
      <c r="M140" s="82">
        <v>0.40200000000000002</v>
      </c>
      <c r="N140" s="82">
        <v>0.28099999999999997</v>
      </c>
      <c r="O140" s="82">
        <f t="shared" si="25"/>
        <v>0.68300000000000005</v>
      </c>
      <c r="P140" s="82">
        <v>6202.8130000000001</v>
      </c>
      <c r="Q140" s="82">
        <v>0</v>
      </c>
      <c r="R140" s="83">
        <f t="shared" si="26"/>
        <v>6202.8130000000001</v>
      </c>
      <c r="S140" s="82"/>
      <c r="T140" s="18">
        <v>4648</v>
      </c>
      <c r="U140" s="18">
        <f t="shared" si="27"/>
        <v>5.6000000000000001E-2</v>
      </c>
      <c r="V140" s="18">
        <v>81.685000000000002</v>
      </c>
      <c r="W140" s="18">
        <f t="shared" si="28"/>
        <v>1.7000000000000001E-2</v>
      </c>
      <c r="X140" s="18">
        <v>1006.474</v>
      </c>
      <c r="Y140" s="18">
        <f t="shared" si="29"/>
        <v>6.9999999999999993E-2</v>
      </c>
      <c r="Z140" s="18">
        <v>367.07619999999997</v>
      </c>
      <c r="AA140" s="18">
        <f t="shared" si="30"/>
        <v>3.7999999999999999E-2</v>
      </c>
      <c r="AC140" s="84">
        <v>259.69200000000001</v>
      </c>
      <c r="AD140" s="18">
        <v>3271.8516</v>
      </c>
      <c r="AE140" s="5">
        <f t="shared" si="31"/>
        <v>0.40200000000000002</v>
      </c>
      <c r="AF140" s="20">
        <f t="shared" si="32"/>
        <v>0.28099999999999997</v>
      </c>
      <c r="AH140" s="22">
        <v>884.09500000000003</v>
      </c>
      <c r="AI140" s="20">
        <f t="shared" si="33"/>
        <v>0.35900002436389922</v>
      </c>
      <c r="AK140" s="22">
        <v>998.83299999999997</v>
      </c>
      <c r="AL140" s="20">
        <f t="shared" si="34"/>
        <v>0.62155133789670192</v>
      </c>
      <c r="AN140" s="5">
        <v>916.11</v>
      </c>
    </row>
    <row r="141" spans="4:40" x14ac:dyDescent="0.35">
      <c r="D141" s="80">
        <f t="shared" si="35"/>
        <v>139</v>
      </c>
      <c r="E141" s="81">
        <v>0</v>
      </c>
      <c r="F141" s="82">
        <v>0</v>
      </c>
      <c r="G141" s="82">
        <v>0</v>
      </c>
      <c r="H141" s="82">
        <v>38816.682000000001</v>
      </c>
      <c r="I141" s="82">
        <v>1899.2357965000001</v>
      </c>
      <c r="J141" s="82">
        <f t="shared" si="24"/>
        <v>40715.917796499998</v>
      </c>
      <c r="K141" s="81">
        <v>0</v>
      </c>
      <c r="L141" s="82">
        <v>0</v>
      </c>
      <c r="M141" s="82">
        <v>0.45800000000000002</v>
      </c>
      <c r="N141" s="82">
        <v>0.23800000000000002</v>
      </c>
      <c r="O141" s="82">
        <f t="shared" si="25"/>
        <v>0.69600000000000006</v>
      </c>
      <c r="P141" s="82">
        <v>6750.8119999999999</v>
      </c>
      <c r="Q141" s="82">
        <v>0</v>
      </c>
      <c r="R141" s="83">
        <f t="shared" si="26"/>
        <v>6750.8119999999999</v>
      </c>
      <c r="S141" s="82"/>
      <c r="T141" s="18">
        <v>0</v>
      </c>
      <c r="U141" s="18">
        <f t="shared" si="27"/>
        <v>0</v>
      </c>
      <c r="V141" s="18">
        <v>0</v>
      </c>
      <c r="W141" s="18">
        <f t="shared" si="28"/>
        <v>0</v>
      </c>
      <c r="X141" s="18">
        <v>0</v>
      </c>
      <c r="Y141" s="18">
        <f t="shared" si="29"/>
        <v>0</v>
      </c>
      <c r="Z141" s="18">
        <v>0</v>
      </c>
      <c r="AA141" s="18">
        <f t="shared" si="30"/>
        <v>0</v>
      </c>
      <c r="AC141" s="84">
        <v>295.86799999999999</v>
      </c>
      <c r="AD141" s="18">
        <v>2771.1768000000002</v>
      </c>
      <c r="AE141" s="5">
        <f t="shared" si="31"/>
        <v>0.45800000000000002</v>
      </c>
      <c r="AF141" s="20">
        <f t="shared" si="32"/>
        <v>0.23800000000000002</v>
      </c>
      <c r="AH141" s="22">
        <v>916.11</v>
      </c>
      <c r="AI141" s="20">
        <f t="shared" si="33"/>
        <v>0.37200019491119363</v>
      </c>
      <c r="AK141" s="22">
        <v>1006.634</v>
      </c>
      <c r="AL141" s="20">
        <f t="shared" si="34"/>
        <v>0.62640572495332925</v>
      </c>
      <c r="AN141" s="5">
        <v>913.64700000000005</v>
      </c>
    </row>
    <row r="142" spans="4:40" x14ac:dyDescent="0.35">
      <c r="D142" s="80">
        <f t="shared" si="35"/>
        <v>140</v>
      </c>
      <c r="E142" s="81">
        <v>0</v>
      </c>
      <c r="F142" s="82">
        <v>0</v>
      </c>
      <c r="G142" s="82">
        <v>0</v>
      </c>
      <c r="H142" s="82">
        <v>39459.180999999997</v>
      </c>
      <c r="I142" s="82">
        <v>2023.4358837899999</v>
      </c>
      <c r="J142" s="82">
        <f t="shared" si="24"/>
        <v>41482.616883789997</v>
      </c>
      <c r="K142" s="81">
        <v>0</v>
      </c>
      <c r="L142" s="82">
        <v>0</v>
      </c>
      <c r="M142" s="82">
        <v>0.50600000000000001</v>
      </c>
      <c r="N142" s="82">
        <v>0.253</v>
      </c>
      <c r="O142" s="82">
        <f t="shared" si="25"/>
        <v>0.75900000000000001</v>
      </c>
      <c r="P142" s="82">
        <v>6825.0439999999999</v>
      </c>
      <c r="Q142" s="82">
        <v>0</v>
      </c>
      <c r="R142" s="83">
        <f t="shared" si="26"/>
        <v>6825.0439999999999</v>
      </c>
      <c r="S142" s="82"/>
      <c r="T142" s="18">
        <v>0</v>
      </c>
      <c r="U142" s="18">
        <f t="shared" si="27"/>
        <v>0</v>
      </c>
      <c r="V142" s="18">
        <v>0</v>
      </c>
      <c r="W142" s="18">
        <f t="shared" si="28"/>
        <v>0</v>
      </c>
      <c r="X142" s="18">
        <v>0</v>
      </c>
      <c r="Y142" s="18">
        <f t="shared" si="29"/>
        <v>0</v>
      </c>
      <c r="Z142" s="18">
        <v>0</v>
      </c>
      <c r="AA142" s="18">
        <f t="shared" si="30"/>
        <v>0</v>
      </c>
      <c r="AC142" s="84">
        <v>326.87599999999998</v>
      </c>
      <c r="AD142" s="18">
        <v>2945.8308000000002</v>
      </c>
      <c r="AE142" s="5">
        <f t="shared" si="31"/>
        <v>0.50600000000000001</v>
      </c>
      <c r="AF142" s="20">
        <f t="shared" si="32"/>
        <v>0.253</v>
      </c>
      <c r="AH142" s="22">
        <v>913.64700000000005</v>
      </c>
      <c r="AI142" s="20">
        <f t="shared" si="33"/>
        <v>0.37100005684909815</v>
      </c>
      <c r="AK142" s="22">
        <v>1004.859</v>
      </c>
      <c r="AL142" s="20">
        <f t="shared" si="34"/>
        <v>0.62530118232731802</v>
      </c>
      <c r="AN142" s="5">
        <v>908.72199999999998</v>
      </c>
    </row>
    <row r="143" spans="4:40" x14ac:dyDescent="0.35">
      <c r="D143" s="80">
        <f t="shared" si="35"/>
        <v>141</v>
      </c>
      <c r="E143" s="81">
        <v>0</v>
      </c>
      <c r="F143" s="82">
        <v>0</v>
      </c>
      <c r="G143" s="82">
        <v>0</v>
      </c>
      <c r="H143" s="82">
        <v>39457.144</v>
      </c>
      <c r="I143" s="82">
        <v>1985.4172930300001</v>
      </c>
      <c r="J143" s="82">
        <f t="shared" si="24"/>
        <v>41442.561293029998</v>
      </c>
      <c r="K143" s="81">
        <v>0</v>
      </c>
      <c r="L143" s="82">
        <v>0</v>
      </c>
      <c r="M143" s="82">
        <v>0.54799999999999993</v>
      </c>
      <c r="N143" s="82">
        <v>0.29599999999999999</v>
      </c>
      <c r="O143" s="82">
        <f t="shared" si="25"/>
        <v>0.84399999999999986</v>
      </c>
      <c r="P143" s="82">
        <v>6558.56</v>
      </c>
      <c r="Q143" s="82">
        <v>0</v>
      </c>
      <c r="R143" s="83">
        <f t="shared" si="26"/>
        <v>6558.56</v>
      </c>
      <c r="S143" s="82"/>
      <c r="T143" s="18">
        <v>0</v>
      </c>
      <c r="U143" s="18">
        <f t="shared" si="27"/>
        <v>0</v>
      </c>
      <c r="V143" s="18">
        <v>0</v>
      </c>
      <c r="W143" s="18">
        <f t="shared" si="28"/>
        <v>0</v>
      </c>
      <c r="X143" s="18">
        <v>0</v>
      </c>
      <c r="Y143" s="18">
        <f t="shared" si="29"/>
        <v>0</v>
      </c>
      <c r="Z143" s="18">
        <v>0</v>
      </c>
      <c r="AA143" s="18">
        <f t="shared" si="30"/>
        <v>0</v>
      </c>
      <c r="AC143" s="84">
        <v>354.00799999999998</v>
      </c>
      <c r="AD143" s="18">
        <v>3446.5056</v>
      </c>
      <c r="AE143" s="5">
        <f t="shared" si="31"/>
        <v>0.54799999999999993</v>
      </c>
      <c r="AF143" s="20">
        <f t="shared" si="32"/>
        <v>0.29599999999999999</v>
      </c>
      <c r="AH143" s="22">
        <v>908.72199999999998</v>
      </c>
      <c r="AI143" s="20">
        <f t="shared" si="33"/>
        <v>0.36900018678989388</v>
      </c>
      <c r="AK143" s="22">
        <v>1004.706</v>
      </c>
      <c r="AL143" s="20">
        <f t="shared" si="34"/>
        <v>0.62520597386434351</v>
      </c>
      <c r="AN143" s="5">
        <v>911.18399999999997</v>
      </c>
    </row>
    <row r="144" spans="4:40" x14ac:dyDescent="0.35">
      <c r="D144" s="80">
        <f t="shared" si="35"/>
        <v>142</v>
      </c>
      <c r="E144" s="81">
        <v>0</v>
      </c>
      <c r="F144" s="82">
        <v>0</v>
      </c>
      <c r="G144" s="82">
        <v>0</v>
      </c>
      <c r="H144" s="82">
        <v>38604.33</v>
      </c>
      <c r="I144" s="82">
        <v>1902.4026389000001</v>
      </c>
      <c r="J144" s="82">
        <f t="shared" si="24"/>
        <v>40506.732638900001</v>
      </c>
      <c r="K144" s="81">
        <v>0</v>
      </c>
      <c r="L144" s="82">
        <v>0</v>
      </c>
      <c r="M144" s="82">
        <v>0.58399999999999996</v>
      </c>
      <c r="N144" s="82">
        <v>0.374</v>
      </c>
      <c r="O144" s="82">
        <f t="shared" si="25"/>
        <v>0.95799999999999996</v>
      </c>
      <c r="P144" s="82">
        <v>6112.9520000000002</v>
      </c>
      <c r="Q144" s="82">
        <v>0</v>
      </c>
      <c r="R144" s="83">
        <f t="shared" si="26"/>
        <v>6112.9520000000002</v>
      </c>
      <c r="S144" s="82"/>
      <c r="T144" s="18">
        <v>0</v>
      </c>
      <c r="U144" s="18">
        <f t="shared" si="27"/>
        <v>0</v>
      </c>
      <c r="V144" s="18">
        <v>0</v>
      </c>
      <c r="W144" s="18">
        <f t="shared" si="28"/>
        <v>0</v>
      </c>
      <c r="X144" s="18">
        <v>0</v>
      </c>
      <c r="Y144" s="18">
        <f t="shared" si="29"/>
        <v>0</v>
      </c>
      <c r="Z144" s="18">
        <v>0</v>
      </c>
      <c r="AA144" s="18">
        <f t="shared" si="30"/>
        <v>0</v>
      </c>
      <c r="AC144" s="84">
        <v>377.26400000000001</v>
      </c>
      <c r="AD144" s="18">
        <v>4354.7064</v>
      </c>
      <c r="AE144" s="5">
        <f t="shared" si="31"/>
        <v>0.58399999999999996</v>
      </c>
      <c r="AF144" s="20">
        <f t="shared" si="32"/>
        <v>0.374</v>
      </c>
      <c r="AH144" s="22">
        <v>911.18399999999997</v>
      </c>
      <c r="AI144" s="20">
        <f t="shared" si="33"/>
        <v>0.36999991878700267</v>
      </c>
      <c r="AK144" s="22">
        <v>999.15300000000002</v>
      </c>
      <c r="AL144" s="20">
        <f t="shared" si="34"/>
        <v>0.62175046670815182</v>
      </c>
      <c r="AN144" s="5">
        <v>891.48299999999995</v>
      </c>
    </row>
    <row r="145" spans="4:40" x14ac:dyDescent="0.35">
      <c r="D145" s="80">
        <f t="shared" si="35"/>
        <v>143</v>
      </c>
      <c r="E145" s="81">
        <v>0</v>
      </c>
      <c r="F145" s="82">
        <v>0</v>
      </c>
      <c r="G145" s="82">
        <v>0</v>
      </c>
      <c r="H145" s="82">
        <v>36813.754999999997</v>
      </c>
      <c r="I145" s="82">
        <v>1907.10974074</v>
      </c>
      <c r="J145" s="82">
        <f t="shared" si="24"/>
        <v>38720.864740739999</v>
      </c>
      <c r="K145" s="81">
        <v>0</v>
      </c>
      <c r="L145" s="82">
        <v>0</v>
      </c>
      <c r="M145" s="82">
        <v>0.61899999999999999</v>
      </c>
      <c r="N145" s="82">
        <v>0.45700000000000002</v>
      </c>
      <c r="O145" s="82">
        <f t="shared" si="25"/>
        <v>1.0760000000000001</v>
      </c>
      <c r="P145" s="82">
        <v>6325.7550000000001</v>
      </c>
      <c r="Q145" s="82">
        <v>0</v>
      </c>
      <c r="R145" s="83">
        <f t="shared" si="26"/>
        <v>6325.7550000000001</v>
      </c>
      <c r="S145" s="82"/>
      <c r="T145" s="18">
        <v>0</v>
      </c>
      <c r="U145" s="18">
        <f t="shared" si="27"/>
        <v>0</v>
      </c>
      <c r="V145" s="18">
        <v>0</v>
      </c>
      <c r="W145" s="18">
        <f t="shared" si="28"/>
        <v>0</v>
      </c>
      <c r="X145" s="18">
        <v>0</v>
      </c>
      <c r="Y145" s="18">
        <f t="shared" si="29"/>
        <v>0</v>
      </c>
      <c r="Z145" s="18">
        <v>0</v>
      </c>
      <c r="AA145" s="18">
        <f t="shared" si="30"/>
        <v>0</v>
      </c>
      <c r="AC145" s="84">
        <v>399.87400000000002</v>
      </c>
      <c r="AD145" s="18">
        <v>5321.1252000000004</v>
      </c>
      <c r="AE145" s="5">
        <f t="shared" si="31"/>
        <v>0.61899999999999999</v>
      </c>
      <c r="AF145" s="20">
        <f t="shared" si="32"/>
        <v>0.45700000000000002</v>
      </c>
      <c r="AH145" s="22">
        <v>891.48299999999995</v>
      </c>
      <c r="AI145" s="20">
        <f t="shared" si="33"/>
        <v>0.36200003248519891</v>
      </c>
      <c r="AK145" s="22">
        <v>984.97900000000004</v>
      </c>
      <c r="AL145" s="20">
        <f t="shared" si="34"/>
        <v>0.61293030491599254</v>
      </c>
      <c r="AN145" s="5">
        <v>881.63199999999995</v>
      </c>
    </row>
    <row r="146" spans="4:40" x14ac:dyDescent="0.35">
      <c r="D146" s="80">
        <f t="shared" si="35"/>
        <v>144</v>
      </c>
      <c r="E146" s="81">
        <v>0</v>
      </c>
      <c r="F146" s="82">
        <v>0</v>
      </c>
      <c r="G146" s="82">
        <v>0</v>
      </c>
      <c r="H146" s="82">
        <v>34282.080000000002</v>
      </c>
      <c r="I146" s="82">
        <v>1599.6443355199999</v>
      </c>
      <c r="J146" s="82">
        <f t="shared" si="24"/>
        <v>35881.724335520004</v>
      </c>
      <c r="K146" s="81">
        <v>0</v>
      </c>
      <c r="L146" s="82">
        <v>0</v>
      </c>
      <c r="M146" s="82">
        <v>0.65300000000000002</v>
      </c>
      <c r="N146" s="82">
        <v>0.53</v>
      </c>
      <c r="O146" s="82">
        <f t="shared" si="25"/>
        <v>1.1830000000000001</v>
      </c>
      <c r="P146" s="82">
        <v>5965.1719999999996</v>
      </c>
      <c r="Q146" s="82">
        <v>0</v>
      </c>
      <c r="R146" s="83">
        <f t="shared" si="26"/>
        <v>5965.1719999999996</v>
      </c>
      <c r="S146" s="82"/>
      <c r="T146" s="18">
        <v>0</v>
      </c>
      <c r="U146" s="18">
        <f t="shared" si="27"/>
        <v>0</v>
      </c>
      <c r="V146" s="18">
        <v>0</v>
      </c>
      <c r="W146" s="18">
        <f t="shared" si="28"/>
        <v>0</v>
      </c>
      <c r="X146" s="18">
        <v>0</v>
      </c>
      <c r="Y146" s="18">
        <f t="shared" si="29"/>
        <v>0</v>
      </c>
      <c r="Z146" s="18">
        <v>0</v>
      </c>
      <c r="AA146" s="18">
        <f t="shared" si="30"/>
        <v>0</v>
      </c>
      <c r="AC146" s="84">
        <v>421.83800000000002</v>
      </c>
      <c r="AD146" s="18">
        <v>6171.1080000000002</v>
      </c>
      <c r="AE146" s="5">
        <f t="shared" si="31"/>
        <v>0.65300000000000002</v>
      </c>
      <c r="AF146" s="20">
        <f t="shared" si="32"/>
        <v>0.53</v>
      </c>
      <c r="AH146" s="22">
        <v>881.63199999999995</v>
      </c>
      <c r="AI146" s="20">
        <f t="shared" si="33"/>
        <v>0.35799988630180374</v>
      </c>
      <c r="AK146" s="22">
        <v>972.048</v>
      </c>
      <c r="AL146" s="20">
        <f t="shared" si="34"/>
        <v>0.60488363410080892</v>
      </c>
      <c r="AN146" s="5">
        <v>884.09500000000003</v>
      </c>
    </row>
    <row r="147" spans="4:40" x14ac:dyDescent="0.35">
      <c r="D147" s="80">
        <f t="shared" si="35"/>
        <v>145</v>
      </c>
      <c r="E147" s="81">
        <v>0</v>
      </c>
      <c r="F147" s="82">
        <v>0</v>
      </c>
      <c r="G147" s="82">
        <v>0</v>
      </c>
      <c r="H147" s="82">
        <v>32633.776000000002</v>
      </c>
      <c r="I147" s="82">
        <v>1275.0043948499999</v>
      </c>
      <c r="J147" s="82">
        <f t="shared" si="24"/>
        <v>33908.78039485</v>
      </c>
      <c r="K147" s="81">
        <v>0</v>
      </c>
      <c r="L147" s="82">
        <v>0</v>
      </c>
      <c r="M147" s="82">
        <v>0.68300000000000005</v>
      </c>
      <c r="N147" s="82">
        <v>0.62</v>
      </c>
      <c r="O147" s="82">
        <f t="shared" si="25"/>
        <v>1.3029999999999999</v>
      </c>
      <c r="P147" s="82">
        <v>5339.4930000000004</v>
      </c>
      <c r="Q147" s="82">
        <v>0</v>
      </c>
      <c r="R147" s="83">
        <f t="shared" si="26"/>
        <v>5339.4930000000004</v>
      </c>
      <c r="S147" s="82"/>
      <c r="T147" s="18">
        <v>0</v>
      </c>
      <c r="U147" s="18">
        <f t="shared" si="27"/>
        <v>0</v>
      </c>
      <c r="V147" s="18">
        <v>0</v>
      </c>
      <c r="W147" s="18">
        <f t="shared" si="28"/>
        <v>0</v>
      </c>
      <c r="X147" s="18">
        <v>0</v>
      </c>
      <c r="Y147" s="18">
        <f t="shared" si="29"/>
        <v>0</v>
      </c>
      <c r="Z147" s="18">
        <v>0</v>
      </c>
      <c r="AA147" s="18">
        <f t="shared" si="30"/>
        <v>0</v>
      </c>
      <c r="AC147" s="84">
        <v>441.21800000000002</v>
      </c>
      <c r="AD147" s="18">
        <v>7219.0320000000002</v>
      </c>
      <c r="AE147" s="5">
        <f t="shared" si="31"/>
        <v>0.68300000000000005</v>
      </c>
      <c r="AF147" s="20">
        <f t="shared" si="32"/>
        <v>0.62</v>
      </c>
      <c r="AH147" s="22">
        <v>884.09500000000003</v>
      </c>
      <c r="AI147" s="20">
        <f t="shared" si="33"/>
        <v>0.35900002436389922</v>
      </c>
      <c r="AK147" s="22">
        <v>919.899</v>
      </c>
      <c r="AL147" s="20">
        <f t="shared" si="34"/>
        <v>0.57243248288736781</v>
      </c>
      <c r="AN147" s="5">
        <v>884.09500000000003</v>
      </c>
    </row>
    <row r="148" spans="4:40" x14ac:dyDescent="0.35">
      <c r="D148" s="80">
        <f t="shared" si="35"/>
        <v>146</v>
      </c>
      <c r="E148" s="81">
        <v>0</v>
      </c>
      <c r="F148" s="82">
        <v>0</v>
      </c>
      <c r="G148" s="82">
        <v>0</v>
      </c>
      <c r="H148" s="82">
        <v>30727.126</v>
      </c>
      <c r="I148" s="82">
        <v>967.56677635000005</v>
      </c>
      <c r="J148" s="82">
        <f t="shared" si="24"/>
        <v>31694.692776349999</v>
      </c>
      <c r="K148" s="81">
        <v>0</v>
      </c>
      <c r="L148" s="82">
        <v>0</v>
      </c>
      <c r="M148" s="82">
        <v>0.70399999999999996</v>
      </c>
      <c r="N148" s="82">
        <v>0.70799999999999996</v>
      </c>
      <c r="O148" s="82">
        <f t="shared" si="25"/>
        <v>1.4119999999999999</v>
      </c>
      <c r="P148" s="82">
        <v>4957.9459999999999</v>
      </c>
      <c r="Q148" s="82">
        <v>0</v>
      </c>
      <c r="R148" s="83">
        <f t="shared" si="26"/>
        <v>4957.9459999999999</v>
      </c>
      <c r="S148" s="82"/>
      <c r="T148" s="18">
        <v>0</v>
      </c>
      <c r="U148" s="18">
        <f t="shared" si="27"/>
        <v>0</v>
      </c>
      <c r="V148" s="18">
        <v>0</v>
      </c>
      <c r="W148" s="18">
        <f t="shared" si="28"/>
        <v>0</v>
      </c>
      <c r="X148" s="18">
        <v>0</v>
      </c>
      <c r="Y148" s="18">
        <f t="shared" si="29"/>
        <v>0</v>
      </c>
      <c r="Z148" s="18">
        <v>0</v>
      </c>
      <c r="AA148" s="18">
        <f t="shared" si="30"/>
        <v>0</v>
      </c>
      <c r="AC148" s="84">
        <v>454.78399999999999</v>
      </c>
      <c r="AD148" s="18">
        <v>8243.6687999999995</v>
      </c>
      <c r="AE148" s="5">
        <f t="shared" si="31"/>
        <v>0.70399999999999996</v>
      </c>
      <c r="AF148" s="20">
        <f t="shared" si="32"/>
        <v>0.70799999999999996</v>
      </c>
      <c r="AH148" s="22">
        <v>884.09500000000003</v>
      </c>
      <c r="AI148" s="20">
        <f t="shared" si="33"/>
        <v>0.35900002436389922</v>
      </c>
      <c r="AK148" s="22">
        <v>922.79899999999998</v>
      </c>
      <c r="AL148" s="20">
        <f t="shared" si="34"/>
        <v>0.57423708774113258</v>
      </c>
      <c r="AN148" s="5">
        <v>886.55799999999999</v>
      </c>
    </row>
    <row r="149" spans="4:40" x14ac:dyDescent="0.35">
      <c r="D149" s="80">
        <f t="shared" si="35"/>
        <v>147</v>
      </c>
      <c r="E149" s="81">
        <v>0</v>
      </c>
      <c r="F149" s="82">
        <v>0</v>
      </c>
      <c r="G149" s="82">
        <v>0</v>
      </c>
      <c r="H149" s="82">
        <v>29460.581999999999</v>
      </c>
      <c r="I149" s="82">
        <v>1581.5952864999999</v>
      </c>
      <c r="J149" s="82">
        <f t="shared" si="24"/>
        <v>31042.177286499998</v>
      </c>
      <c r="K149" s="81">
        <v>0</v>
      </c>
      <c r="L149" s="82">
        <v>0</v>
      </c>
      <c r="M149" s="82">
        <v>0.72599999999999998</v>
      </c>
      <c r="N149" s="82">
        <v>0.75199999999999989</v>
      </c>
      <c r="O149" s="82">
        <f t="shared" si="25"/>
        <v>1.4779999999999998</v>
      </c>
      <c r="P149" s="82">
        <v>4496.732</v>
      </c>
      <c r="Q149" s="82">
        <v>0</v>
      </c>
      <c r="R149" s="83">
        <f t="shared" si="26"/>
        <v>4496.732</v>
      </c>
      <c r="S149" s="82"/>
      <c r="T149" s="18">
        <v>0</v>
      </c>
      <c r="U149" s="18">
        <f t="shared" si="27"/>
        <v>0</v>
      </c>
      <c r="V149" s="18">
        <v>0</v>
      </c>
      <c r="W149" s="18">
        <f t="shared" si="28"/>
        <v>0</v>
      </c>
      <c r="X149" s="18">
        <v>0</v>
      </c>
      <c r="Y149" s="18">
        <f t="shared" si="29"/>
        <v>0</v>
      </c>
      <c r="Z149" s="18">
        <v>0</v>
      </c>
      <c r="AA149" s="18">
        <f t="shared" si="30"/>
        <v>0</v>
      </c>
      <c r="AC149" s="84">
        <v>468.99599999999998</v>
      </c>
      <c r="AD149" s="18">
        <v>8755.9871999999996</v>
      </c>
      <c r="AE149" s="5">
        <f t="shared" si="31"/>
        <v>0.72599999999999998</v>
      </c>
      <c r="AF149" s="20">
        <f t="shared" si="32"/>
        <v>0.75199999999999989</v>
      </c>
      <c r="AH149" s="22">
        <v>886.55799999999999</v>
      </c>
      <c r="AI149" s="20">
        <f t="shared" si="33"/>
        <v>0.3600001624259947</v>
      </c>
      <c r="AK149" s="22">
        <v>926.03700000000003</v>
      </c>
      <c r="AL149" s="20">
        <f t="shared" si="34"/>
        <v>0.57625202240199136</v>
      </c>
      <c r="AN149" s="5">
        <v>886.55799999999999</v>
      </c>
    </row>
    <row r="150" spans="4:40" x14ac:dyDescent="0.35">
      <c r="D150" s="80">
        <f t="shared" si="35"/>
        <v>148</v>
      </c>
      <c r="E150" s="81">
        <v>0</v>
      </c>
      <c r="F150" s="82">
        <v>0</v>
      </c>
      <c r="G150" s="82">
        <v>0</v>
      </c>
      <c r="H150" s="82">
        <v>28758.135999999999</v>
      </c>
      <c r="I150" s="82">
        <v>2498.7366734900002</v>
      </c>
      <c r="J150" s="82">
        <f t="shared" si="24"/>
        <v>31256.872673489997</v>
      </c>
      <c r="K150" s="81">
        <v>0</v>
      </c>
      <c r="L150" s="82">
        <v>0</v>
      </c>
      <c r="M150" s="82">
        <v>0.73299999999999998</v>
      </c>
      <c r="N150" s="82">
        <v>0.78800000000000003</v>
      </c>
      <c r="O150" s="82">
        <f t="shared" si="25"/>
        <v>1.5209999999999999</v>
      </c>
      <c r="P150" s="82">
        <v>4343.1559999999999</v>
      </c>
      <c r="Q150" s="82">
        <v>0</v>
      </c>
      <c r="R150" s="83">
        <f t="shared" si="26"/>
        <v>4343.1559999999999</v>
      </c>
      <c r="S150" s="82"/>
      <c r="T150" s="18">
        <v>0</v>
      </c>
      <c r="U150" s="18">
        <f t="shared" si="27"/>
        <v>0</v>
      </c>
      <c r="V150" s="18">
        <v>0</v>
      </c>
      <c r="W150" s="18">
        <f t="shared" si="28"/>
        <v>0</v>
      </c>
      <c r="X150" s="18">
        <v>0</v>
      </c>
      <c r="Y150" s="18">
        <f t="shared" si="29"/>
        <v>0</v>
      </c>
      <c r="Z150" s="18">
        <v>0</v>
      </c>
      <c r="AA150" s="18">
        <f t="shared" si="30"/>
        <v>0</v>
      </c>
      <c r="AC150" s="84">
        <v>473.51799999999997</v>
      </c>
      <c r="AD150" s="18">
        <v>9175.1568000000007</v>
      </c>
      <c r="AE150" s="5">
        <f t="shared" si="31"/>
        <v>0.73299999999999998</v>
      </c>
      <c r="AF150" s="20">
        <f t="shared" si="32"/>
        <v>0.78800000000000003</v>
      </c>
      <c r="AH150" s="22">
        <v>886.55799999999999</v>
      </c>
      <c r="AI150" s="20">
        <f t="shared" si="33"/>
        <v>0.3600001624259947</v>
      </c>
      <c r="AK150" s="22">
        <v>932.17399999999998</v>
      </c>
      <c r="AL150" s="20">
        <f t="shared" si="34"/>
        <v>0.58007093963907896</v>
      </c>
      <c r="AN150" s="5">
        <v>879.17</v>
      </c>
    </row>
    <row r="151" spans="4:40" x14ac:dyDescent="0.35">
      <c r="D151" s="80">
        <f t="shared" si="35"/>
        <v>149</v>
      </c>
      <c r="E151" s="81">
        <v>0</v>
      </c>
      <c r="F151" s="82">
        <v>0</v>
      </c>
      <c r="G151" s="82">
        <v>0</v>
      </c>
      <c r="H151" s="82">
        <v>28585.670999999998</v>
      </c>
      <c r="I151" s="82">
        <v>2804.0450830999998</v>
      </c>
      <c r="J151" s="82">
        <f t="shared" si="24"/>
        <v>31389.7160831</v>
      </c>
      <c r="K151" s="81">
        <v>0</v>
      </c>
      <c r="L151" s="82">
        <v>0</v>
      </c>
      <c r="M151" s="82">
        <v>0.72</v>
      </c>
      <c r="N151" s="82">
        <v>0.80799999999999994</v>
      </c>
      <c r="O151" s="82">
        <f t="shared" si="25"/>
        <v>1.528</v>
      </c>
      <c r="P151" s="82">
        <v>4305.777</v>
      </c>
      <c r="Q151" s="82">
        <v>0</v>
      </c>
      <c r="R151" s="83">
        <f t="shared" si="26"/>
        <v>4305.777</v>
      </c>
      <c r="S151" s="82"/>
      <c r="T151" s="18">
        <v>0</v>
      </c>
      <c r="U151" s="18">
        <f t="shared" si="27"/>
        <v>0</v>
      </c>
      <c r="V151" s="18">
        <v>0</v>
      </c>
      <c r="W151" s="18">
        <f t="shared" si="28"/>
        <v>0</v>
      </c>
      <c r="X151" s="18">
        <v>0</v>
      </c>
      <c r="Y151" s="18">
        <f t="shared" si="29"/>
        <v>0</v>
      </c>
      <c r="Z151" s="18">
        <v>0</v>
      </c>
      <c r="AA151" s="18">
        <f t="shared" si="30"/>
        <v>0</v>
      </c>
      <c r="AC151" s="84">
        <v>465.12</v>
      </c>
      <c r="AD151" s="18">
        <v>9408.0288</v>
      </c>
      <c r="AE151" s="5">
        <f t="shared" si="31"/>
        <v>0.72</v>
      </c>
      <c r="AF151" s="20">
        <f t="shared" si="32"/>
        <v>0.80799999999999994</v>
      </c>
      <c r="AH151" s="22">
        <v>879.17</v>
      </c>
      <c r="AI151" s="20">
        <f t="shared" si="33"/>
        <v>0.35700015430469495</v>
      </c>
      <c r="AK151" s="22">
        <v>932.14700000000005</v>
      </c>
      <c r="AL151" s="20">
        <f t="shared" si="34"/>
        <v>0.58005413814561302</v>
      </c>
      <c r="AN151" s="5">
        <v>884.09500000000003</v>
      </c>
    </row>
    <row r="152" spans="4:40" x14ac:dyDescent="0.35">
      <c r="D152" s="80">
        <f t="shared" si="35"/>
        <v>150</v>
      </c>
      <c r="E152" s="81">
        <v>0</v>
      </c>
      <c r="F152" s="82">
        <v>0</v>
      </c>
      <c r="G152" s="82">
        <v>0</v>
      </c>
      <c r="H152" s="82">
        <v>28783.722000000002</v>
      </c>
      <c r="I152" s="82">
        <v>2984.8624044200001</v>
      </c>
      <c r="J152" s="82">
        <f t="shared" si="24"/>
        <v>31768.584404420002</v>
      </c>
      <c r="K152" s="81">
        <v>0</v>
      </c>
      <c r="L152" s="82">
        <v>0</v>
      </c>
      <c r="M152" s="82">
        <v>0.68899999999999995</v>
      </c>
      <c r="N152" s="82">
        <v>0.79500000000000004</v>
      </c>
      <c r="O152" s="82">
        <f t="shared" si="25"/>
        <v>1.484</v>
      </c>
      <c r="P152" s="82">
        <v>4336.7520000000004</v>
      </c>
      <c r="Q152" s="82">
        <v>0</v>
      </c>
      <c r="R152" s="83">
        <f t="shared" si="26"/>
        <v>4336.7520000000004</v>
      </c>
      <c r="S152" s="82"/>
      <c r="T152" s="18">
        <v>0</v>
      </c>
      <c r="U152" s="18">
        <f t="shared" si="27"/>
        <v>0</v>
      </c>
      <c r="V152" s="18">
        <v>0</v>
      </c>
      <c r="W152" s="18">
        <f t="shared" si="28"/>
        <v>0</v>
      </c>
      <c r="X152" s="18">
        <v>0</v>
      </c>
      <c r="Y152" s="18">
        <f t="shared" si="29"/>
        <v>0</v>
      </c>
      <c r="Z152" s="18">
        <v>0</v>
      </c>
      <c r="AA152" s="18">
        <f t="shared" si="30"/>
        <v>0</v>
      </c>
      <c r="AC152" s="84">
        <v>445.09399999999999</v>
      </c>
      <c r="AD152" s="18">
        <v>9256.6620000000003</v>
      </c>
      <c r="AE152" s="5">
        <f t="shared" si="31"/>
        <v>0.68899999999999995</v>
      </c>
      <c r="AF152" s="20">
        <f t="shared" si="32"/>
        <v>0.79500000000000004</v>
      </c>
      <c r="AH152" s="22">
        <v>884.09500000000003</v>
      </c>
      <c r="AI152" s="20">
        <f t="shared" si="33"/>
        <v>0.35900002436389922</v>
      </c>
      <c r="AK152" s="22">
        <v>934.01599999999996</v>
      </c>
      <c r="AL152" s="20">
        <f t="shared" si="34"/>
        <v>0.58121717485998758</v>
      </c>
      <c r="AN152" s="5">
        <v>889.02</v>
      </c>
    </row>
    <row r="153" spans="4:40" x14ac:dyDescent="0.35">
      <c r="D153" s="80">
        <f t="shared" si="35"/>
        <v>151</v>
      </c>
      <c r="E153" s="81">
        <v>0</v>
      </c>
      <c r="F153" s="82">
        <v>0</v>
      </c>
      <c r="G153" s="82">
        <v>0</v>
      </c>
      <c r="H153" s="82">
        <v>29674.134999999998</v>
      </c>
      <c r="I153" s="82">
        <v>3746.0903539300002</v>
      </c>
      <c r="J153" s="82">
        <f t="shared" si="24"/>
        <v>33420.22535393</v>
      </c>
      <c r="K153" s="81">
        <v>0</v>
      </c>
      <c r="L153" s="82">
        <v>0</v>
      </c>
      <c r="M153" s="82">
        <v>0.69400000000000006</v>
      </c>
      <c r="N153" s="82">
        <v>0.78999999999999992</v>
      </c>
      <c r="O153" s="82">
        <f t="shared" si="25"/>
        <v>1.484</v>
      </c>
      <c r="P153" s="82">
        <v>4388.3490000000002</v>
      </c>
      <c r="Q153" s="82">
        <v>0</v>
      </c>
      <c r="R153" s="83">
        <f t="shared" si="26"/>
        <v>4388.3490000000002</v>
      </c>
      <c r="S153" s="82"/>
      <c r="T153" s="18">
        <v>0</v>
      </c>
      <c r="U153" s="18">
        <f t="shared" si="27"/>
        <v>0</v>
      </c>
      <c r="V153" s="18">
        <v>0</v>
      </c>
      <c r="W153" s="18">
        <f t="shared" si="28"/>
        <v>0</v>
      </c>
      <c r="X153" s="18">
        <v>0</v>
      </c>
      <c r="Y153" s="18">
        <f t="shared" si="29"/>
        <v>0</v>
      </c>
      <c r="Z153" s="18">
        <v>0</v>
      </c>
      <c r="AA153" s="18">
        <f t="shared" si="30"/>
        <v>0</v>
      </c>
      <c r="AC153" s="84">
        <v>448.32400000000001</v>
      </c>
      <c r="AD153" s="18">
        <v>9198.4439999999995</v>
      </c>
      <c r="AE153" s="5">
        <f t="shared" si="31"/>
        <v>0.69400000000000006</v>
      </c>
      <c r="AF153" s="20">
        <f t="shared" si="32"/>
        <v>0.78999999999999992</v>
      </c>
      <c r="AH153" s="22">
        <v>889.02</v>
      </c>
      <c r="AI153" s="20">
        <f t="shared" si="33"/>
        <v>0.36099989442310348</v>
      </c>
      <c r="AK153" s="22">
        <v>943.673</v>
      </c>
      <c r="AL153" s="20">
        <f t="shared" si="34"/>
        <v>0.58722650902302431</v>
      </c>
      <c r="AN153" s="5">
        <v>891.48299999999995</v>
      </c>
    </row>
    <row r="154" spans="4:40" x14ac:dyDescent="0.35">
      <c r="D154" s="80">
        <f t="shared" si="35"/>
        <v>152</v>
      </c>
      <c r="E154" s="81">
        <v>0</v>
      </c>
      <c r="F154" s="82">
        <v>0</v>
      </c>
      <c r="G154" s="82">
        <v>0</v>
      </c>
      <c r="H154" s="82">
        <v>31319.714</v>
      </c>
      <c r="I154" s="82">
        <v>4164.2738159500004</v>
      </c>
      <c r="J154" s="82">
        <f t="shared" si="24"/>
        <v>35483.98781595</v>
      </c>
      <c r="K154" s="81">
        <v>0</v>
      </c>
      <c r="L154" s="82">
        <v>0</v>
      </c>
      <c r="M154" s="82">
        <v>0.67500000000000004</v>
      </c>
      <c r="N154" s="82">
        <v>0.77799999999999991</v>
      </c>
      <c r="O154" s="82">
        <f t="shared" si="25"/>
        <v>1.4529999999999998</v>
      </c>
      <c r="P154" s="82">
        <v>4334.1949999999997</v>
      </c>
      <c r="Q154" s="82">
        <v>0</v>
      </c>
      <c r="R154" s="83">
        <f t="shared" si="26"/>
        <v>4334.1949999999997</v>
      </c>
      <c r="S154" s="82"/>
      <c r="T154" s="18">
        <v>0</v>
      </c>
      <c r="U154" s="18">
        <f t="shared" si="27"/>
        <v>0</v>
      </c>
      <c r="V154" s="18">
        <v>0</v>
      </c>
      <c r="W154" s="18">
        <f t="shared" si="28"/>
        <v>0</v>
      </c>
      <c r="X154" s="18">
        <v>0</v>
      </c>
      <c r="Y154" s="18">
        <f t="shared" si="29"/>
        <v>0</v>
      </c>
      <c r="Z154" s="18">
        <v>0</v>
      </c>
      <c r="AA154" s="18">
        <f t="shared" si="30"/>
        <v>0</v>
      </c>
      <c r="AC154" s="84">
        <v>436.05</v>
      </c>
      <c r="AD154" s="18">
        <v>9058.7207999999991</v>
      </c>
      <c r="AE154" s="5">
        <f t="shared" si="31"/>
        <v>0.67500000000000004</v>
      </c>
      <c r="AF154" s="20">
        <f t="shared" si="32"/>
        <v>0.77799999999999991</v>
      </c>
      <c r="AH154" s="22">
        <v>891.48299999999995</v>
      </c>
      <c r="AI154" s="20">
        <f t="shared" si="33"/>
        <v>0.36200003248519891</v>
      </c>
      <c r="AK154" s="22">
        <v>1016.37</v>
      </c>
      <c r="AL154" s="20">
        <f t="shared" si="34"/>
        <v>0.63246421904169259</v>
      </c>
      <c r="AN154" s="5">
        <v>891.48299999999995</v>
      </c>
    </row>
    <row r="155" spans="4:40" x14ac:dyDescent="0.35">
      <c r="D155" s="80">
        <f t="shared" si="35"/>
        <v>153</v>
      </c>
      <c r="E155" s="81">
        <v>0</v>
      </c>
      <c r="F155" s="82">
        <v>0</v>
      </c>
      <c r="G155" s="82">
        <v>0</v>
      </c>
      <c r="H155" s="82">
        <v>33635.925999999999</v>
      </c>
      <c r="I155" s="82">
        <v>4005.34518471</v>
      </c>
      <c r="J155" s="82">
        <f t="shared" si="24"/>
        <v>37641.27118471</v>
      </c>
      <c r="K155" s="81">
        <v>0</v>
      </c>
      <c r="L155" s="82">
        <v>0</v>
      </c>
      <c r="M155" s="82">
        <v>0.60499999999999998</v>
      </c>
      <c r="N155" s="82">
        <v>0.72</v>
      </c>
      <c r="O155" s="82">
        <f t="shared" si="25"/>
        <v>1.325</v>
      </c>
      <c r="P155" s="82">
        <v>4342.3630000000003</v>
      </c>
      <c r="Q155" s="82">
        <v>0</v>
      </c>
      <c r="R155" s="83">
        <f t="shared" si="26"/>
        <v>4342.3630000000003</v>
      </c>
      <c r="S155" s="82"/>
      <c r="T155" s="18">
        <v>0</v>
      </c>
      <c r="U155" s="18">
        <f t="shared" si="27"/>
        <v>0</v>
      </c>
      <c r="V155" s="18">
        <v>0</v>
      </c>
      <c r="W155" s="18">
        <f t="shared" si="28"/>
        <v>0</v>
      </c>
      <c r="X155" s="18">
        <v>0</v>
      </c>
      <c r="Y155" s="18">
        <f t="shared" si="29"/>
        <v>0</v>
      </c>
      <c r="Z155" s="18">
        <v>0</v>
      </c>
      <c r="AA155" s="18">
        <f t="shared" si="30"/>
        <v>0</v>
      </c>
      <c r="AC155" s="84">
        <v>390.83</v>
      </c>
      <c r="AD155" s="18">
        <v>8383.3919999999998</v>
      </c>
      <c r="AE155" s="5">
        <f t="shared" si="31"/>
        <v>0.60499999999999998</v>
      </c>
      <c r="AF155" s="20">
        <f t="shared" si="32"/>
        <v>0.72</v>
      </c>
      <c r="AH155" s="22">
        <v>891.48299999999995</v>
      </c>
      <c r="AI155" s="20">
        <f t="shared" si="33"/>
        <v>0.36200003248519891</v>
      </c>
      <c r="AK155" s="22">
        <v>1031.7850000000001</v>
      </c>
      <c r="AL155" s="20">
        <f t="shared" si="34"/>
        <v>0.64205662725575607</v>
      </c>
      <c r="AN155" s="5">
        <v>906.25900000000001</v>
      </c>
    </row>
    <row r="156" spans="4:40" x14ac:dyDescent="0.35">
      <c r="D156" s="80">
        <f t="shared" si="35"/>
        <v>154</v>
      </c>
      <c r="E156" s="81">
        <v>4.4999999999999998E-2</v>
      </c>
      <c r="F156" s="82">
        <v>0</v>
      </c>
      <c r="G156" s="82">
        <v>3.6999999999999901E-2</v>
      </c>
      <c r="H156" s="82">
        <v>36023.576000000001</v>
      </c>
      <c r="I156" s="82">
        <v>2484.82856219</v>
      </c>
      <c r="J156" s="82">
        <f t="shared" si="24"/>
        <v>38508.40456219</v>
      </c>
      <c r="K156" s="81">
        <v>0</v>
      </c>
      <c r="L156" s="82">
        <v>0</v>
      </c>
      <c r="M156" s="82">
        <v>0.52800000000000002</v>
      </c>
      <c r="N156" s="82">
        <v>0.66499999999999992</v>
      </c>
      <c r="O156" s="82">
        <f t="shared" si="25"/>
        <v>1.1930000000000001</v>
      </c>
      <c r="P156" s="82">
        <v>4640.1970000000001</v>
      </c>
      <c r="Q156" s="82">
        <v>0</v>
      </c>
      <c r="R156" s="83">
        <f t="shared" si="26"/>
        <v>4640.1970000000001</v>
      </c>
      <c r="S156" s="82"/>
      <c r="T156" s="18">
        <v>2490</v>
      </c>
      <c r="U156" s="18">
        <f t="shared" si="27"/>
        <v>0.03</v>
      </c>
      <c r="V156" s="18">
        <v>0</v>
      </c>
      <c r="W156" s="18">
        <f t="shared" si="28"/>
        <v>0</v>
      </c>
      <c r="X156" s="18">
        <v>172.5384</v>
      </c>
      <c r="Y156" s="18">
        <f t="shared" si="29"/>
        <v>1.1999999999999999E-2</v>
      </c>
      <c r="Z156" s="18">
        <v>115.9188</v>
      </c>
      <c r="AA156" s="18">
        <f t="shared" si="30"/>
        <v>1.2E-2</v>
      </c>
      <c r="AC156" s="84">
        <v>341.08800000000002</v>
      </c>
      <c r="AD156" s="18">
        <v>7742.9939999999997</v>
      </c>
      <c r="AE156" s="5">
        <f t="shared" si="31"/>
        <v>0.52800000000000002</v>
      </c>
      <c r="AF156" s="20">
        <f t="shared" si="32"/>
        <v>0.66499999999999992</v>
      </c>
      <c r="AH156" s="22">
        <v>906.25900000000001</v>
      </c>
      <c r="AI156" s="20">
        <f t="shared" si="33"/>
        <v>0.3680000487277984</v>
      </c>
      <c r="AK156" s="22">
        <v>0</v>
      </c>
      <c r="AL156" s="20">
        <f t="shared" si="34"/>
        <v>0</v>
      </c>
      <c r="AN156" s="5">
        <v>901.33399999999995</v>
      </c>
    </row>
    <row r="157" spans="4:40" x14ac:dyDescent="0.35">
      <c r="D157" s="80">
        <f t="shared" si="35"/>
        <v>155</v>
      </c>
      <c r="E157" s="81">
        <v>0.13900000000000001</v>
      </c>
      <c r="F157" s="82">
        <v>1.7000000000000001E-2</v>
      </c>
      <c r="G157" s="82">
        <v>0.107</v>
      </c>
      <c r="H157" s="82">
        <v>36804.972999999998</v>
      </c>
      <c r="I157" s="82">
        <v>2000.9532392599999</v>
      </c>
      <c r="J157" s="82">
        <f t="shared" si="24"/>
        <v>38805.926239259999</v>
      </c>
      <c r="K157" s="81">
        <v>0.01</v>
      </c>
      <c r="L157" s="82">
        <v>1.2E-2</v>
      </c>
      <c r="M157" s="82">
        <v>0.44599999999999995</v>
      </c>
      <c r="N157" s="82">
        <v>0.621</v>
      </c>
      <c r="O157" s="82">
        <f t="shared" si="25"/>
        <v>1.0669999999999999</v>
      </c>
      <c r="P157" s="82">
        <v>4886.9849999999997</v>
      </c>
      <c r="Q157" s="82">
        <v>0</v>
      </c>
      <c r="R157" s="83">
        <f t="shared" si="26"/>
        <v>4886.9849999999997</v>
      </c>
      <c r="S157" s="82"/>
      <c r="T157" s="18">
        <v>6806</v>
      </c>
      <c r="U157" s="18">
        <f t="shared" si="27"/>
        <v>8.2000000000000003E-2</v>
      </c>
      <c r="V157" s="18">
        <v>81.685000000000002</v>
      </c>
      <c r="W157" s="18">
        <f t="shared" si="28"/>
        <v>1.7000000000000001E-2</v>
      </c>
      <c r="X157" s="18">
        <v>704.53179999999998</v>
      </c>
      <c r="Y157" s="18">
        <f t="shared" si="29"/>
        <v>4.8999999999999995E-2</v>
      </c>
      <c r="Z157" s="18">
        <v>540.95439999999996</v>
      </c>
      <c r="AA157" s="18">
        <f t="shared" si="30"/>
        <v>5.6000000000000001E-2</v>
      </c>
      <c r="AC157" s="84">
        <v>288.11599999999999</v>
      </c>
      <c r="AD157" s="18">
        <v>7230.6755999999996</v>
      </c>
      <c r="AE157" s="5">
        <f t="shared" si="31"/>
        <v>0.44599999999999995</v>
      </c>
      <c r="AF157" s="20">
        <f t="shared" si="32"/>
        <v>0.621</v>
      </c>
      <c r="AH157" s="22">
        <v>901.33399999999995</v>
      </c>
      <c r="AI157" s="20">
        <f t="shared" si="33"/>
        <v>0.36600017866859413</v>
      </c>
      <c r="AK157" s="22">
        <v>1033.3889999999999</v>
      </c>
      <c r="AL157" s="20">
        <f t="shared" si="34"/>
        <v>0.64305476042314869</v>
      </c>
      <c r="AN157" s="5">
        <v>911.18399999999997</v>
      </c>
    </row>
    <row r="158" spans="4:40" x14ac:dyDescent="0.35">
      <c r="D158" s="80">
        <f t="shared" si="35"/>
        <v>156</v>
      </c>
      <c r="E158" s="81">
        <v>0.19399999999999998</v>
      </c>
      <c r="F158" s="82">
        <v>2.7999999999999997E-2</v>
      </c>
      <c r="G158" s="82">
        <v>0.17899999999999999</v>
      </c>
      <c r="H158" s="82">
        <v>37638.228000000003</v>
      </c>
      <c r="I158" s="82">
        <v>2578.0380017299999</v>
      </c>
      <c r="J158" s="82">
        <f t="shared" si="24"/>
        <v>40216.26600173</v>
      </c>
      <c r="K158" s="81">
        <v>1.3999999999999999E-2</v>
      </c>
      <c r="L158" s="82">
        <v>1.6E-2</v>
      </c>
      <c r="M158" s="82">
        <v>0.371</v>
      </c>
      <c r="N158" s="82">
        <v>0.57499999999999996</v>
      </c>
      <c r="O158" s="82">
        <f t="shared" si="25"/>
        <v>0.94599999999999995</v>
      </c>
      <c r="P158" s="82">
        <v>5229.9260000000004</v>
      </c>
      <c r="Q158" s="82">
        <v>0</v>
      </c>
      <c r="R158" s="83">
        <f t="shared" si="26"/>
        <v>5229.9260000000004</v>
      </c>
      <c r="S158" s="82"/>
      <c r="T158" s="18">
        <v>11288</v>
      </c>
      <c r="U158" s="18">
        <f t="shared" si="27"/>
        <v>0.13600000000000001</v>
      </c>
      <c r="V158" s="18">
        <v>134.54</v>
      </c>
      <c r="W158" s="18">
        <f t="shared" si="28"/>
        <v>2.7999999999999997E-2</v>
      </c>
      <c r="X158" s="18">
        <v>1294.038</v>
      </c>
      <c r="Y158" s="18">
        <f t="shared" si="29"/>
        <v>0.09</v>
      </c>
      <c r="Z158" s="18">
        <v>1043.2692</v>
      </c>
      <c r="AA158" s="18">
        <f t="shared" si="30"/>
        <v>0.108</v>
      </c>
      <c r="AC158" s="84">
        <v>239.666</v>
      </c>
      <c r="AD158" s="18">
        <v>6695.07</v>
      </c>
      <c r="AE158" s="5">
        <f t="shared" si="31"/>
        <v>0.371</v>
      </c>
      <c r="AF158" s="20">
        <f t="shared" si="32"/>
        <v>0.57499999999999996</v>
      </c>
      <c r="AH158" s="22">
        <v>911.18399999999997</v>
      </c>
      <c r="AI158" s="20">
        <f t="shared" si="33"/>
        <v>0.36999991878700267</v>
      </c>
      <c r="AK158" s="22">
        <v>1024.3230000000001</v>
      </c>
      <c r="AL158" s="20">
        <f t="shared" si="34"/>
        <v>0.63741319228375859</v>
      </c>
      <c r="AN158" s="5">
        <v>908.72199999999998</v>
      </c>
    </row>
    <row r="159" spans="4:40" x14ac:dyDescent="0.35">
      <c r="D159" s="80">
        <f t="shared" si="35"/>
        <v>157</v>
      </c>
      <c r="E159" s="81">
        <v>0.189</v>
      </c>
      <c r="F159" s="82">
        <v>3.59999999999999E-2</v>
      </c>
      <c r="G159" s="82">
        <v>0.24</v>
      </c>
      <c r="H159" s="82">
        <v>38535.195</v>
      </c>
      <c r="I159" s="82">
        <v>2861.3687009</v>
      </c>
      <c r="J159" s="82">
        <f t="shared" si="24"/>
        <v>41396.563700899998</v>
      </c>
      <c r="K159" s="81">
        <v>2.6000000000000002E-2</v>
      </c>
      <c r="L159" s="82">
        <v>2.5000000000000001E-2</v>
      </c>
      <c r="M159" s="82">
        <v>0.33100000000000002</v>
      </c>
      <c r="N159" s="82">
        <v>0.58399999999999996</v>
      </c>
      <c r="O159" s="82">
        <f t="shared" si="25"/>
        <v>0.91500000000000004</v>
      </c>
      <c r="P159" s="82">
        <v>5596.19</v>
      </c>
      <c r="Q159" s="82">
        <v>0</v>
      </c>
      <c r="R159" s="83">
        <f t="shared" si="26"/>
        <v>5596.19</v>
      </c>
      <c r="S159" s="82"/>
      <c r="T159" s="18">
        <v>15272</v>
      </c>
      <c r="U159" s="18">
        <f t="shared" si="27"/>
        <v>0.184</v>
      </c>
      <c r="V159" s="18">
        <v>172.98</v>
      </c>
      <c r="W159" s="18">
        <f t="shared" si="28"/>
        <v>3.5999999999999997E-2</v>
      </c>
      <c r="X159" s="18">
        <v>2185.4863999999998</v>
      </c>
      <c r="Y159" s="18">
        <f t="shared" si="29"/>
        <v>0.15199999999999997</v>
      </c>
      <c r="Z159" s="18">
        <v>1584.2236</v>
      </c>
      <c r="AA159" s="18">
        <f t="shared" si="30"/>
        <v>0.16400000000000001</v>
      </c>
      <c r="AC159" s="84">
        <v>213.82599999999999</v>
      </c>
      <c r="AD159" s="18">
        <v>6799.8624</v>
      </c>
      <c r="AE159" s="5">
        <f t="shared" si="31"/>
        <v>0.33100000000000002</v>
      </c>
      <c r="AF159" s="20">
        <f t="shared" si="32"/>
        <v>0.58399999999999996</v>
      </c>
      <c r="AH159" s="22">
        <v>908.72199999999998</v>
      </c>
      <c r="AI159" s="20">
        <f t="shared" si="33"/>
        <v>0.36900018678989388</v>
      </c>
      <c r="AK159" s="22">
        <v>1017.357</v>
      </c>
      <c r="AL159" s="20">
        <f t="shared" si="34"/>
        <v>0.63307840696950834</v>
      </c>
      <c r="AN159" s="5">
        <v>911.18399999999997</v>
      </c>
    </row>
    <row r="160" spans="4:40" x14ac:dyDescent="0.35">
      <c r="D160" s="80">
        <f t="shared" si="35"/>
        <v>158</v>
      </c>
      <c r="E160" s="81">
        <v>0.159</v>
      </c>
      <c r="F160" s="82">
        <v>3.9E-2</v>
      </c>
      <c r="G160" s="82">
        <v>0.27200000000000002</v>
      </c>
      <c r="H160" s="82">
        <v>38968.957000000002</v>
      </c>
      <c r="I160" s="82">
        <v>2565.52692428</v>
      </c>
      <c r="J160" s="82">
        <f t="shared" si="24"/>
        <v>41534.483924280001</v>
      </c>
      <c r="K160" s="81">
        <v>2.7999999999999997E-2</v>
      </c>
      <c r="L160" s="82">
        <v>0.03</v>
      </c>
      <c r="M160" s="82">
        <v>0.32400000000000001</v>
      </c>
      <c r="N160" s="82">
        <v>0.61899999999999999</v>
      </c>
      <c r="O160" s="82">
        <f t="shared" si="25"/>
        <v>0.94300000000000006</v>
      </c>
      <c r="P160" s="82">
        <v>5280.6869999999999</v>
      </c>
      <c r="Q160" s="82">
        <v>0</v>
      </c>
      <c r="R160" s="83">
        <f t="shared" si="26"/>
        <v>5280.6869999999999</v>
      </c>
      <c r="S160" s="82"/>
      <c r="T160" s="18">
        <v>17347</v>
      </c>
      <c r="U160" s="18">
        <f t="shared" si="27"/>
        <v>0.20899999999999999</v>
      </c>
      <c r="V160" s="18">
        <v>187.39500000000001</v>
      </c>
      <c r="W160" s="18">
        <f t="shared" si="28"/>
        <v>3.9E-2</v>
      </c>
      <c r="X160" s="18">
        <v>2976.2874000000002</v>
      </c>
      <c r="Y160" s="18">
        <f t="shared" si="29"/>
        <v>0.20699999999999999</v>
      </c>
      <c r="Z160" s="18">
        <v>1970.6196</v>
      </c>
      <c r="AA160" s="18">
        <f t="shared" si="30"/>
        <v>0.20400000000000001</v>
      </c>
      <c r="AC160" s="84">
        <v>209.304</v>
      </c>
      <c r="AD160" s="18">
        <v>7207.3883999999998</v>
      </c>
      <c r="AE160" s="5">
        <f t="shared" si="31"/>
        <v>0.32400000000000001</v>
      </c>
      <c r="AF160" s="20">
        <f t="shared" si="32"/>
        <v>0.61899999999999999</v>
      </c>
      <c r="AH160" s="22">
        <v>911.18399999999997</v>
      </c>
      <c r="AI160" s="20">
        <f t="shared" si="33"/>
        <v>0.36999991878700267</v>
      </c>
      <c r="AK160" s="22">
        <v>1014.687</v>
      </c>
      <c r="AL160" s="20">
        <f t="shared" si="34"/>
        <v>0.63141692594897325</v>
      </c>
      <c r="AN160" s="5">
        <v>913.64700000000005</v>
      </c>
    </row>
    <row r="161" spans="4:40" x14ac:dyDescent="0.35">
      <c r="D161" s="80">
        <f t="shared" si="35"/>
        <v>159</v>
      </c>
      <c r="E161" s="81">
        <v>9.9000000000000005E-2</v>
      </c>
      <c r="F161" s="82">
        <v>3.4000000000000002E-2</v>
      </c>
      <c r="G161" s="82">
        <v>0.26400000000000001</v>
      </c>
      <c r="H161" s="82">
        <v>38089.428</v>
      </c>
      <c r="I161" s="82">
        <v>1930.21414779</v>
      </c>
      <c r="J161" s="82">
        <f t="shared" si="24"/>
        <v>40019.64214779</v>
      </c>
      <c r="K161" s="81">
        <v>2.3E-2</v>
      </c>
      <c r="L161" s="82">
        <v>2.7999999999999997E-2</v>
      </c>
      <c r="M161" s="82">
        <v>0.33200000000000002</v>
      </c>
      <c r="N161" s="82">
        <v>0.63</v>
      </c>
      <c r="O161" s="82">
        <f t="shared" si="25"/>
        <v>0.96199999999999997</v>
      </c>
      <c r="P161" s="82">
        <v>4999.6120000000001</v>
      </c>
      <c r="Q161" s="82">
        <v>0</v>
      </c>
      <c r="R161" s="83">
        <f t="shared" si="26"/>
        <v>4999.6120000000001</v>
      </c>
      <c r="S161" s="82"/>
      <c r="T161" s="18">
        <v>17347</v>
      </c>
      <c r="U161" s="18">
        <f t="shared" si="27"/>
        <v>0.20899999999999999</v>
      </c>
      <c r="V161" s="18">
        <v>163.37</v>
      </c>
      <c r="W161" s="18">
        <f t="shared" si="28"/>
        <v>3.4000000000000002E-2</v>
      </c>
      <c r="X161" s="18">
        <v>3436.3897999999999</v>
      </c>
      <c r="Y161" s="18">
        <f t="shared" si="29"/>
        <v>0.23899999999999999</v>
      </c>
      <c r="Z161" s="18">
        <v>2057.5587</v>
      </c>
      <c r="AA161" s="18">
        <f t="shared" si="30"/>
        <v>0.21300000000000002</v>
      </c>
      <c r="AC161" s="84">
        <v>214.47200000000001</v>
      </c>
      <c r="AD161" s="18">
        <v>7335.4679999999998</v>
      </c>
      <c r="AE161" s="5">
        <f t="shared" si="31"/>
        <v>0.33200000000000002</v>
      </c>
      <c r="AF161" s="20">
        <f t="shared" si="32"/>
        <v>0.63</v>
      </c>
      <c r="AH161" s="22">
        <v>913.64700000000005</v>
      </c>
      <c r="AI161" s="20">
        <f t="shared" si="33"/>
        <v>0.37100005684909815</v>
      </c>
      <c r="AK161" s="22">
        <v>1004.417</v>
      </c>
      <c r="AL161" s="20">
        <f t="shared" si="34"/>
        <v>0.62502613565650278</v>
      </c>
      <c r="AN161" s="5">
        <v>0</v>
      </c>
    </row>
    <row r="162" spans="4:40" x14ac:dyDescent="0.35">
      <c r="D162" s="80">
        <f t="shared" si="35"/>
        <v>160</v>
      </c>
      <c r="E162" s="81">
        <v>3.4000000000000002E-2</v>
      </c>
      <c r="F162" s="82">
        <v>2.1999999999999898E-2</v>
      </c>
      <c r="G162" s="82">
        <v>0.20399999999999999</v>
      </c>
      <c r="H162" s="82">
        <v>37514.300000000003</v>
      </c>
      <c r="I162" s="82">
        <v>1637.9073579999999</v>
      </c>
      <c r="J162" s="82">
        <f t="shared" si="24"/>
        <v>39152.207358</v>
      </c>
      <c r="K162" s="81">
        <v>1.4999999999999999E-2</v>
      </c>
      <c r="L162" s="82">
        <v>1.4999999999999999E-2</v>
      </c>
      <c r="M162" s="82">
        <v>0.34199999999999997</v>
      </c>
      <c r="N162" s="82">
        <v>0.61699999999999999</v>
      </c>
      <c r="O162" s="82">
        <f t="shared" si="25"/>
        <v>0.95899999999999996</v>
      </c>
      <c r="P162" s="82">
        <v>5002.7030000000004</v>
      </c>
      <c r="Q162" s="82">
        <v>0</v>
      </c>
      <c r="R162" s="83">
        <f t="shared" si="26"/>
        <v>5002.7030000000004</v>
      </c>
      <c r="S162" s="82"/>
      <c r="T162" s="18">
        <v>14442</v>
      </c>
      <c r="U162" s="18">
        <f t="shared" si="27"/>
        <v>0.17399999999999999</v>
      </c>
      <c r="V162" s="18">
        <v>105.71</v>
      </c>
      <c r="W162" s="18">
        <f t="shared" si="28"/>
        <v>2.1999999999999999E-2</v>
      </c>
      <c r="X162" s="18">
        <v>3048.1783999999998</v>
      </c>
      <c r="Y162" s="18">
        <f t="shared" si="29"/>
        <v>0.21199999999999997</v>
      </c>
      <c r="Z162" s="18">
        <v>1680.8226</v>
      </c>
      <c r="AA162" s="18">
        <f t="shared" si="30"/>
        <v>0.17400000000000002</v>
      </c>
      <c r="AC162" s="84">
        <v>220.93199999999999</v>
      </c>
      <c r="AD162" s="18">
        <v>7184.1012000000001</v>
      </c>
      <c r="AE162" s="5">
        <f t="shared" si="31"/>
        <v>0.34199999999999997</v>
      </c>
      <c r="AF162" s="20">
        <f t="shared" si="32"/>
        <v>0.61699999999999999</v>
      </c>
      <c r="AH162" s="22">
        <v>901.33399999999995</v>
      </c>
      <c r="AI162" s="20">
        <f t="shared" si="33"/>
        <v>0.36600017866859413</v>
      </c>
      <c r="AK162" s="22">
        <v>998.851</v>
      </c>
      <c r="AL162" s="20">
        <f t="shared" si="34"/>
        <v>0.62156253889234603</v>
      </c>
      <c r="AN162" s="5">
        <v>0</v>
      </c>
    </row>
    <row r="163" spans="4:40" x14ac:dyDescent="0.35">
      <c r="D163" s="80">
        <f t="shared" si="35"/>
        <v>161</v>
      </c>
      <c r="E163" s="81">
        <v>0</v>
      </c>
      <c r="F163" s="82">
        <v>0</v>
      </c>
      <c r="G163" s="82">
        <v>0.11899999999999901</v>
      </c>
      <c r="H163" s="82">
        <v>37580.499000000003</v>
      </c>
      <c r="I163" s="82">
        <v>1632.86020579</v>
      </c>
      <c r="J163" s="82">
        <f t="shared" si="24"/>
        <v>39213.359205790002</v>
      </c>
      <c r="K163" s="81">
        <v>0</v>
      </c>
      <c r="L163" s="82">
        <v>0</v>
      </c>
      <c r="M163" s="82">
        <v>0.34100000000000003</v>
      </c>
      <c r="N163" s="82">
        <v>0.61199999999999999</v>
      </c>
      <c r="O163" s="82">
        <f t="shared" si="25"/>
        <v>0.95300000000000007</v>
      </c>
      <c r="P163" s="82">
        <v>5228.2780000000002</v>
      </c>
      <c r="Q163" s="82">
        <v>0</v>
      </c>
      <c r="R163" s="83">
        <f t="shared" si="26"/>
        <v>5228.2780000000002</v>
      </c>
      <c r="S163" s="82"/>
      <c r="T163" s="18">
        <v>9296</v>
      </c>
      <c r="U163" s="18">
        <f t="shared" si="27"/>
        <v>0.112</v>
      </c>
      <c r="V163" s="18">
        <v>0</v>
      </c>
      <c r="W163" s="18">
        <f t="shared" si="28"/>
        <v>0</v>
      </c>
      <c r="X163" s="18">
        <v>2300.5120000000002</v>
      </c>
      <c r="Y163" s="18">
        <f t="shared" si="29"/>
        <v>0.16</v>
      </c>
      <c r="Z163" s="18">
        <v>1081.9087999999999</v>
      </c>
      <c r="AA163" s="18">
        <f t="shared" si="30"/>
        <v>0.112</v>
      </c>
      <c r="AC163" s="84">
        <v>220.286</v>
      </c>
      <c r="AD163" s="18">
        <v>7125.8832000000002</v>
      </c>
      <c r="AE163" s="5">
        <f t="shared" si="31"/>
        <v>0.34100000000000003</v>
      </c>
      <c r="AF163" s="20">
        <f t="shared" si="32"/>
        <v>0.61199999999999999</v>
      </c>
      <c r="AH163" s="22">
        <v>916.11</v>
      </c>
      <c r="AI163" s="20">
        <f t="shared" si="33"/>
        <v>0.37200019491119363</v>
      </c>
      <c r="AK163" s="22">
        <v>1003.027</v>
      </c>
      <c r="AL163" s="20">
        <f t="shared" si="34"/>
        <v>0.62416116988176729</v>
      </c>
      <c r="AN163" s="5">
        <v>923.49699999999996</v>
      </c>
    </row>
    <row r="164" spans="4:40" x14ac:dyDescent="0.35">
      <c r="D164" s="80">
        <f t="shared" si="35"/>
        <v>162</v>
      </c>
      <c r="E164" s="81">
        <v>0</v>
      </c>
      <c r="F164" s="82">
        <v>0</v>
      </c>
      <c r="G164" s="82">
        <v>3.2000000000000001E-2</v>
      </c>
      <c r="H164" s="82">
        <v>39518.828999999998</v>
      </c>
      <c r="I164" s="82">
        <v>1706.74988115</v>
      </c>
      <c r="J164" s="82">
        <f t="shared" si="24"/>
        <v>41225.578881149995</v>
      </c>
      <c r="K164" s="81">
        <v>0</v>
      </c>
      <c r="L164" s="82">
        <v>0</v>
      </c>
      <c r="M164" s="82">
        <v>0.34300000000000003</v>
      </c>
      <c r="N164" s="82">
        <v>0.51700000000000002</v>
      </c>
      <c r="O164" s="82">
        <f t="shared" si="25"/>
        <v>0.8600000000000001</v>
      </c>
      <c r="P164" s="82">
        <v>5872.1220000000003</v>
      </c>
      <c r="Q164" s="82">
        <v>0</v>
      </c>
      <c r="R164" s="83">
        <f t="shared" si="26"/>
        <v>5872.1220000000003</v>
      </c>
      <c r="S164" s="82"/>
      <c r="T164" s="18">
        <v>2324</v>
      </c>
      <c r="U164" s="18">
        <f t="shared" si="27"/>
        <v>2.8000000000000001E-2</v>
      </c>
      <c r="V164" s="18">
        <v>0</v>
      </c>
      <c r="W164" s="18">
        <f t="shared" si="28"/>
        <v>0</v>
      </c>
      <c r="X164" s="18">
        <v>1308.4161999999999</v>
      </c>
      <c r="Y164" s="18">
        <f t="shared" si="29"/>
        <v>9.0999999999999984E-2</v>
      </c>
      <c r="Z164" s="18">
        <v>434.69549999999998</v>
      </c>
      <c r="AA164" s="18">
        <f t="shared" si="30"/>
        <v>4.4999999999999998E-2</v>
      </c>
      <c r="AC164" s="84">
        <v>221.578</v>
      </c>
      <c r="AD164" s="18">
        <v>6019.7412000000004</v>
      </c>
      <c r="AE164" s="5">
        <f t="shared" si="31"/>
        <v>0.34300000000000003</v>
      </c>
      <c r="AF164" s="20">
        <f t="shared" si="32"/>
        <v>0.51700000000000002</v>
      </c>
      <c r="AH164" s="22">
        <v>923.49699999999996</v>
      </c>
      <c r="AI164" s="20">
        <f t="shared" si="33"/>
        <v>0.37499979696750668</v>
      </c>
      <c r="AK164" s="22">
        <v>1006.4059999999999</v>
      </c>
      <c r="AL164" s="20">
        <f t="shared" si="34"/>
        <v>0.62626384567517113</v>
      </c>
      <c r="AN164" s="5">
        <v>925.96</v>
      </c>
    </row>
    <row r="165" spans="4:40" x14ac:dyDescent="0.35">
      <c r="D165" s="80">
        <f t="shared" si="35"/>
        <v>163</v>
      </c>
      <c r="E165" s="81">
        <v>0</v>
      </c>
      <c r="F165" s="82">
        <v>0</v>
      </c>
      <c r="G165" s="82">
        <v>0</v>
      </c>
      <c r="H165" s="82">
        <v>40568.230000000003</v>
      </c>
      <c r="I165" s="82">
        <v>1812.66727223</v>
      </c>
      <c r="J165" s="82">
        <f t="shared" si="24"/>
        <v>42380.897272230002</v>
      </c>
      <c r="K165" s="81">
        <v>0</v>
      </c>
      <c r="L165" s="82">
        <v>0</v>
      </c>
      <c r="M165" s="82">
        <v>0.33999999999999997</v>
      </c>
      <c r="N165" s="82">
        <v>0.32400000000000001</v>
      </c>
      <c r="O165" s="82">
        <f t="shared" si="25"/>
        <v>0.66399999999999992</v>
      </c>
      <c r="P165" s="82">
        <v>6451.0309999999999</v>
      </c>
      <c r="Q165" s="82">
        <v>0</v>
      </c>
      <c r="R165" s="83">
        <f t="shared" si="26"/>
        <v>6451.0309999999999</v>
      </c>
      <c r="S165" s="82"/>
      <c r="T165" s="18">
        <v>0</v>
      </c>
      <c r="U165" s="18">
        <f t="shared" si="27"/>
        <v>0</v>
      </c>
      <c r="V165" s="18">
        <v>0</v>
      </c>
      <c r="W165" s="18">
        <f t="shared" si="28"/>
        <v>0</v>
      </c>
      <c r="X165" s="18">
        <v>0</v>
      </c>
      <c r="Y165" s="18">
        <f t="shared" si="29"/>
        <v>0</v>
      </c>
      <c r="Z165" s="18">
        <v>0</v>
      </c>
      <c r="AA165" s="18">
        <f t="shared" si="30"/>
        <v>0</v>
      </c>
      <c r="AC165" s="84">
        <v>219.64</v>
      </c>
      <c r="AD165" s="18">
        <v>3772.5264000000002</v>
      </c>
      <c r="AE165" s="5">
        <f t="shared" si="31"/>
        <v>0.33999999999999997</v>
      </c>
      <c r="AF165" s="20">
        <f t="shared" si="32"/>
        <v>0.32400000000000001</v>
      </c>
      <c r="AH165" s="22">
        <v>925.96</v>
      </c>
      <c r="AI165" s="20">
        <f t="shared" si="33"/>
        <v>0.37599993502960216</v>
      </c>
      <c r="AK165" s="22">
        <v>1007.8</v>
      </c>
      <c r="AL165" s="20">
        <f t="shared" si="34"/>
        <v>0.62713130056004973</v>
      </c>
      <c r="AN165" s="5">
        <v>925.96</v>
      </c>
    </row>
    <row r="166" spans="4:40" x14ac:dyDescent="0.35">
      <c r="D166" s="80">
        <f t="shared" si="35"/>
        <v>164</v>
      </c>
      <c r="E166" s="81">
        <v>0</v>
      </c>
      <c r="F166" s="82">
        <v>0</v>
      </c>
      <c r="G166" s="82">
        <v>0</v>
      </c>
      <c r="H166" s="82">
        <v>40863.873</v>
      </c>
      <c r="I166" s="82">
        <v>1932.65798305</v>
      </c>
      <c r="J166" s="82">
        <f t="shared" si="24"/>
        <v>42796.530983049997</v>
      </c>
      <c r="K166" s="81">
        <v>0</v>
      </c>
      <c r="L166" s="82">
        <v>0</v>
      </c>
      <c r="M166" s="82">
        <v>0.33800000000000002</v>
      </c>
      <c r="N166" s="82">
        <v>0.251</v>
      </c>
      <c r="O166" s="82">
        <f t="shared" si="25"/>
        <v>0.58899999999999997</v>
      </c>
      <c r="P166" s="82">
        <v>6593.3879999999999</v>
      </c>
      <c r="Q166" s="82">
        <v>0</v>
      </c>
      <c r="R166" s="83">
        <f t="shared" si="26"/>
        <v>6593.3879999999999</v>
      </c>
      <c r="S166" s="82"/>
      <c r="T166" s="18">
        <v>0</v>
      </c>
      <c r="U166" s="18">
        <f t="shared" si="27"/>
        <v>0</v>
      </c>
      <c r="V166" s="18">
        <v>0</v>
      </c>
      <c r="W166" s="18">
        <f t="shared" si="28"/>
        <v>0</v>
      </c>
      <c r="X166" s="18">
        <v>0</v>
      </c>
      <c r="Y166" s="18">
        <f t="shared" si="29"/>
        <v>0</v>
      </c>
      <c r="Z166" s="18">
        <v>0</v>
      </c>
      <c r="AA166" s="18">
        <f t="shared" si="30"/>
        <v>0</v>
      </c>
      <c r="AC166" s="84">
        <v>218.34800000000001</v>
      </c>
      <c r="AD166" s="18">
        <v>2922.5436</v>
      </c>
      <c r="AE166" s="5">
        <f t="shared" si="31"/>
        <v>0.33800000000000002</v>
      </c>
      <c r="AF166" s="20">
        <f t="shared" si="32"/>
        <v>0.251</v>
      </c>
      <c r="AH166" s="22">
        <v>925.96</v>
      </c>
      <c r="AI166" s="20">
        <f t="shared" si="33"/>
        <v>0.37599993502960216</v>
      </c>
      <c r="AK166" s="22">
        <v>1012.452</v>
      </c>
      <c r="AL166" s="20">
        <f t="shared" si="34"/>
        <v>0.63002613565650278</v>
      </c>
      <c r="AN166" s="5">
        <v>925.96</v>
      </c>
    </row>
    <row r="167" spans="4:40" x14ac:dyDescent="0.35">
      <c r="D167" s="80">
        <f t="shared" si="35"/>
        <v>165</v>
      </c>
      <c r="E167" s="81">
        <v>0</v>
      </c>
      <c r="F167" s="82">
        <v>0</v>
      </c>
      <c r="G167" s="82">
        <v>0</v>
      </c>
      <c r="H167" s="82">
        <v>40529.981</v>
      </c>
      <c r="I167" s="82">
        <v>1902.03408986</v>
      </c>
      <c r="J167" s="82">
        <f t="shared" si="24"/>
        <v>42432.015089859997</v>
      </c>
      <c r="K167" s="81">
        <v>0</v>
      </c>
      <c r="L167" s="82">
        <v>0</v>
      </c>
      <c r="M167" s="82">
        <v>0.35599999999999998</v>
      </c>
      <c r="N167" s="82">
        <v>0.22</v>
      </c>
      <c r="O167" s="82">
        <f t="shared" si="25"/>
        <v>0.57599999999999996</v>
      </c>
      <c r="P167" s="82">
        <v>6426.7089999999998</v>
      </c>
      <c r="Q167" s="82">
        <v>0</v>
      </c>
      <c r="R167" s="83">
        <f t="shared" si="26"/>
        <v>6426.7089999999998</v>
      </c>
      <c r="S167" s="82"/>
      <c r="T167" s="18">
        <v>0</v>
      </c>
      <c r="U167" s="18">
        <f t="shared" si="27"/>
        <v>0</v>
      </c>
      <c r="V167" s="18">
        <v>0</v>
      </c>
      <c r="W167" s="18">
        <f t="shared" si="28"/>
        <v>0</v>
      </c>
      <c r="X167" s="18">
        <v>0</v>
      </c>
      <c r="Y167" s="18">
        <f t="shared" si="29"/>
        <v>0</v>
      </c>
      <c r="Z167" s="18">
        <v>0</v>
      </c>
      <c r="AA167" s="18">
        <f t="shared" si="30"/>
        <v>0</v>
      </c>
      <c r="AC167" s="84">
        <v>229.976</v>
      </c>
      <c r="AD167" s="18">
        <v>2561.5920000000001</v>
      </c>
      <c r="AE167" s="5">
        <f t="shared" si="31"/>
        <v>0.35599999999999998</v>
      </c>
      <c r="AF167" s="20">
        <f t="shared" si="32"/>
        <v>0.22</v>
      </c>
      <c r="AH167" s="22">
        <v>925.96</v>
      </c>
      <c r="AI167" s="20">
        <f t="shared" si="33"/>
        <v>0.37599993502960216</v>
      </c>
      <c r="AK167" s="22">
        <v>1021.498</v>
      </c>
      <c r="AL167" s="20">
        <f t="shared" si="34"/>
        <v>0.63565525824517732</v>
      </c>
      <c r="AN167" s="5">
        <v>928.423</v>
      </c>
    </row>
    <row r="168" spans="4:40" x14ac:dyDescent="0.35">
      <c r="D168" s="80">
        <f t="shared" si="35"/>
        <v>166</v>
      </c>
      <c r="E168" s="81">
        <v>0</v>
      </c>
      <c r="F168" s="82">
        <v>0</v>
      </c>
      <c r="G168" s="82">
        <v>0</v>
      </c>
      <c r="H168" s="82">
        <v>39225.506000000001</v>
      </c>
      <c r="I168" s="82">
        <v>1827.86891896</v>
      </c>
      <c r="J168" s="82">
        <f t="shared" si="24"/>
        <v>41053.374918959998</v>
      </c>
      <c r="K168" s="81">
        <v>0</v>
      </c>
      <c r="L168" s="82">
        <v>0</v>
      </c>
      <c r="M168" s="82">
        <v>0.39499999999999996</v>
      </c>
      <c r="N168" s="82">
        <v>0.23299999999999998</v>
      </c>
      <c r="O168" s="82">
        <f t="shared" si="25"/>
        <v>0.62799999999999989</v>
      </c>
      <c r="P168" s="82">
        <v>6037.9189999999999</v>
      </c>
      <c r="Q168" s="82">
        <v>0</v>
      </c>
      <c r="R168" s="83">
        <f t="shared" si="26"/>
        <v>6037.9189999999999</v>
      </c>
      <c r="S168" s="82"/>
      <c r="T168" s="18">
        <v>0</v>
      </c>
      <c r="U168" s="18">
        <f t="shared" si="27"/>
        <v>0</v>
      </c>
      <c r="V168" s="18">
        <v>0</v>
      </c>
      <c r="W168" s="18">
        <f t="shared" si="28"/>
        <v>0</v>
      </c>
      <c r="X168" s="18">
        <v>0</v>
      </c>
      <c r="Y168" s="18">
        <f t="shared" si="29"/>
        <v>0</v>
      </c>
      <c r="Z168" s="18">
        <v>0</v>
      </c>
      <c r="AA168" s="18">
        <f t="shared" si="30"/>
        <v>0</v>
      </c>
      <c r="AC168" s="84">
        <v>255.17</v>
      </c>
      <c r="AD168" s="18">
        <v>2712.9587999999999</v>
      </c>
      <c r="AE168" s="5">
        <f t="shared" si="31"/>
        <v>0.39499999999999996</v>
      </c>
      <c r="AF168" s="20">
        <f t="shared" si="32"/>
        <v>0.23299999999999998</v>
      </c>
      <c r="AH168" s="22">
        <v>928.423</v>
      </c>
      <c r="AI168" s="20">
        <f t="shared" si="33"/>
        <v>0.37700007309169764</v>
      </c>
      <c r="AK168" s="22">
        <v>1023.155</v>
      </c>
      <c r="AL168" s="20">
        <f t="shared" si="34"/>
        <v>0.63668637212196633</v>
      </c>
      <c r="AN168" s="5">
        <v>918.572</v>
      </c>
    </row>
    <row r="169" spans="4:40" x14ac:dyDescent="0.35">
      <c r="D169" s="80">
        <f>1+D168</f>
        <v>167</v>
      </c>
      <c r="E169" s="81">
        <v>0</v>
      </c>
      <c r="F169" s="82">
        <v>0</v>
      </c>
      <c r="G169" s="82">
        <v>0</v>
      </c>
      <c r="H169" s="82">
        <v>37244.283000000003</v>
      </c>
      <c r="I169" s="82">
        <v>1840.56683034</v>
      </c>
      <c r="J169" s="82">
        <f t="shared" si="24"/>
        <v>39084.849830340005</v>
      </c>
      <c r="K169" s="81">
        <v>0</v>
      </c>
      <c r="L169" s="82">
        <v>0</v>
      </c>
      <c r="M169" s="82">
        <v>0.44800000000000001</v>
      </c>
      <c r="N169" s="82">
        <v>0.27699999999999997</v>
      </c>
      <c r="O169" s="82">
        <f t="shared" si="25"/>
        <v>0.72499999999999998</v>
      </c>
      <c r="P169" s="82">
        <v>6241.08</v>
      </c>
      <c r="Q169" s="82">
        <v>0</v>
      </c>
      <c r="R169" s="83">
        <f t="shared" si="26"/>
        <v>6241.08</v>
      </c>
      <c r="S169" s="82"/>
      <c r="T169" s="18">
        <v>0</v>
      </c>
      <c r="U169" s="18">
        <f t="shared" si="27"/>
        <v>0</v>
      </c>
      <c r="V169" s="18">
        <v>0</v>
      </c>
      <c r="W169" s="18">
        <f t="shared" si="28"/>
        <v>0</v>
      </c>
      <c r="X169" s="18">
        <v>0</v>
      </c>
      <c r="Y169" s="18">
        <f t="shared" si="29"/>
        <v>0</v>
      </c>
      <c r="Z169" s="18">
        <v>0</v>
      </c>
      <c r="AA169" s="18">
        <f t="shared" si="30"/>
        <v>0</v>
      </c>
      <c r="AC169" s="84">
        <v>289.40800000000002</v>
      </c>
      <c r="AD169" s="18">
        <v>3225.2772</v>
      </c>
      <c r="AE169" s="5">
        <f t="shared" si="31"/>
        <v>0.44800000000000001</v>
      </c>
      <c r="AF169" s="20">
        <f t="shared" si="32"/>
        <v>0.27699999999999997</v>
      </c>
      <c r="AH169" s="22">
        <v>918.572</v>
      </c>
      <c r="AI169" s="20">
        <f t="shared" si="33"/>
        <v>0.37299992690830241</v>
      </c>
      <c r="AK169" s="22">
        <v>1026.3009999999999</v>
      </c>
      <c r="AL169" s="20">
        <f t="shared" si="34"/>
        <v>0.63864405724953321</v>
      </c>
      <c r="AN169" s="5">
        <v>908.72199999999998</v>
      </c>
    </row>
    <row r="170" spans="4:40" x14ac:dyDescent="0.35">
      <c r="D170" s="92">
        <f t="shared" ref="D170" si="36">1+D169</f>
        <v>168</v>
      </c>
      <c r="E170" s="93">
        <v>0</v>
      </c>
      <c r="F170" s="94">
        <v>0</v>
      </c>
      <c r="G170" s="94">
        <v>0</v>
      </c>
      <c r="H170" s="94">
        <v>34857.546000000002</v>
      </c>
      <c r="I170" s="94">
        <v>1545.00162452</v>
      </c>
      <c r="J170" s="94">
        <f t="shared" si="24"/>
        <v>36402.547624520004</v>
      </c>
      <c r="K170" s="93">
        <v>0</v>
      </c>
      <c r="L170" s="82">
        <v>0</v>
      </c>
      <c r="M170" s="94">
        <v>0.50900000000000001</v>
      </c>
      <c r="N170" s="94">
        <v>0.34899999999999998</v>
      </c>
      <c r="O170" s="82">
        <f t="shared" si="25"/>
        <v>0.85799999999999998</v>
      </c>
      <c r="P170" s="94">
        <v>5886.9840000000004</v>
      </c>
      <c r="Q170" s="94">
        <v>0</v>
      </c>
      <c r="R170" s="95">
        <f t="shared" si="26"/>
        <v>5886.9840000000004</v>
      </c>
      <c r="S170" s="82"/>
      <c r="T170" s="18">
        <v>0</v>
      </c>
      <c r="U170" s="18">
        <f t="shared" si="27"/>
        <v>0</v>
      </c>
      <c r="V170" s="18">
        <v>0</v>
      </c>
      <c r="W170" s="18">
        <f t="shared" si="28"/>
        <v>0</v>
      </c>
      <c r="X170" s="18">
        <v>0</v>
      </c>
      <c r="Y170" s="18">
        <f t="shared" si="29"/>
        <v>0</v>
      </c>
      <c r="Z170" s="18">
        <v>0</v>
      </c>
      <c r="AA170" s="18">
        <f t="shared" si="30"/>
        <v>0</v>
      </c>
      <c r="AC170" s="88">
        <v>328.81400000000002</v>
      </c>
      <c r="AD170" s="96">
        <v>4063.6163999999999</v>
      </c>
      <c r="AE170" s="7">
        <f t="shared" si="31"/>
        <v>0.50900000000000001</v>
      </c>
      <c r="AF170" s="21">
        <f t="shared" si="32"/>
        <v>0.34899999999999998</v>
      </c>
      <c r="AH170" s="23">
        <v>908.72199999999998</v>
      </c>
      <c r="AI170" s="21">
        <f t="shared" si="33"/>
        <v>0.36900018678989388</v>
      </c>
      <c r="AK170" s="23">
        <v>1026.0419999999999</v>
      </c>
      <c r="AL170" s="20">
        <f t="shared" si="34"/>
        <v>0.63848288736776593</v>
      </c>
    </row>
    <row r="171" spans="4:40" x14ac:dyDescent="0.35">
      <c r="AL171" s="20"/>
    </row>
    <row r="172" spans="4:40" x14ac:dyDescent="0.35">
      <c r="AL172" s="20"/>
    </row>
    <row r="173" spans="4:40" x14ac:dyDescent="0.35">
      <c r="AL173" s="20"/>
    </row>
    <row r="174" spans="4:40" x14ac:dyDescent="0.35">
      <c r="AL174" s="20"/>
    </row>
    <row r="175" spans="4:40" x14ac:dyDescent="0.35">
      <c r="AL175" s="20"/>
    </row>
    <row r="176" spans="4:40" x14ac:dyDescent="0.35">
      <c r="AL176" s="20"/>
    </row>
    <row r="177" spans="38:38" x14ac:dyDescent="0.35">
      <c r="AL177" s="20"/>
    </row>
    <row r="178" spans="38:38" x14ac:dyDescent="0.35">
      <c r="AL178" s="20"/>
    </row>
    <row r="179" spans="38:38" x14ac:dyDescent="0.35">
      <c r="AL179" s="20"/>
    </row>
    <row r="180" spans="38:38" x14ac:dyDescent="0.35">
      <c r="AL180" s="20"/>
    </row>
    <row r="181" spans="38:38" x14ac:dyDescent="0.35">
      <c r="AL181" s="20"/>
    </row>
    <row r="182" spans="38:38" x14ac:dyDescent="0.35">
      <c r="AL182" s="20"/>
    </row>
    <row r="183" spans="38:38" x14ac:dyDescent="0.35">
      <c r="AL183" s="20"/>
    </row>
    <row r="184" spans="38:38" x14ac:dyDescent="0.35">
      <c r="AL184" s="20"/>
    </row>
    <row r="185" spans="38:38" x14ac:dyDescent="0.35">
      <c r="AL185" s="20"/>
    </row>
    <row r="186" spans="38:38" x14ac:dyDescent="0.35">
      <c r="AL186" s="20"/>
    </row>
    <row r="187" spans="38:38" x14ac:dyDescent="0.35">
      <c r="AL187" s="20"/>
    </row>
    <row r="188" spans="38:38" x14ac:dyDescent="0.35">
      <c r="AL188" s="20"/>
    </row>
    <row r="189" spans="38:38" x14ac:dyDescent="0.35">
      <c r="AL189" s="20"/>
    </row>
    <row r="190" spans="38:38" x14ac:dyDescent="0.35">
      <c r="AL190" s="20"/>
    </row>
    <row r="191" spans="38:38" x14ac:dyDescent="0.35">
      <c r="AL191" s="20"/>
    </row>
    <row r="192" spans="38:38" x14ac:dyDescent="0.35">
      <c r="AL192" s="20"/>
    </row>
    <row r="193" spans="38:38" x14ac:dyDescent="0.35">
      <c r="AL193" s="20"/>
    </row>
    <row r="194" spans="38:38" x14ac:dyDescent="0.35">
      <c r="AL194" s="20"/>
    </row>
    <row r="195" spans="38:38" x14ac:dyDescent="0.35">
      <c r="AL195" s="20"/>
    </row>
    <row r="196" spans="38:38" x14ac:dyDescent="0.35">
      <c r="AL196" s="20"/>
    </row>
    <row r="197" spans="38:38" x14ac:dyDescent="0.35">
      <c r="AL197" s="20"/>
    </row>
    <row r="198" spans="38:38" x14ac:dyDescent="0.35">
      <c r="AL198" s="20"/>
    </row>
    <row r="199" spans="38:38" x14ac:dyDescent="0.35">
      <c r="AL199" s="20"/>
    </row>
    <row r="200" spans="38:38" x14ac:dyDescent="0.35">
      <c r="AL200" s="20"/>
    </row>
    <row r="201" spans="38:38" x14ac:dyDescent="0.35">
      <c r="AL201" s="20"/>
    </row>
    <row r="202" spans="38:38" x14ac:dyDescent="0.35">
      <c r="AL202" s="20"/>
    </row>
    <row r="203" spans="38:38" x14ac:dyDescent="0.35">
      <c r="AL203" s="20"/>
    </row>
    <row r="204" spans="38:38" x14ac:dyDescent="0.35">
      <c r="AL204" s="20"/>
    </row>
    <row r="205" spans="38:38" x14ac:dyDescent="0.35">
      <c r="AL205" s="20"/>
    </row>
    <row r="206" spans="38:38" x14ac:dyDescent="0.35">
      <c r="AL206" s="20"/>
    </row>
    <row r="207" spans="38:38" x14ac:dyDescent="0.35">
      <c r="AL207" s="20"/>
    </row>
    <row r="208" spans="38:38" x14ac:dyDescent="0.35">
      <c r="AL208" s="20"/>
    </row>
    <row r="209" spans="38:38" x14ac:dyDescent="0.35">
      <c r="AL209" s="20"/>
    </row>
    <row r="210" spans="38:38" x14ac:dyDescent="0.35">
      <c r="AL210" s="20"/>
    </row>
    <row r="211" spans="38:38" x14ac:dyDescent="0.35">
      <c r="AL211" s="20"/>
    </row>
    <row r="212" spans="38:38" x14ac:dyDescent="0.35">
      <c r="AL212" s="20"/>
    </row>
    <row r="213" spans="38:38" x14ac:dyDescent="0.35">
      <c r="AL213" s="20"/>
    </row>
    <row r="214" spans="38:38" x14ac:dyDescent="0.35">
      <c r="AL214" s="20"/>
    </row>
    <row r="215" spans="38:38" x14ac:dyDescent="0.35">
      <c r="AL215" s="20"/>
    </row>
    <row r="216" spans="38:38" x14ac:dyDescent="0.35">
      <c r="AL216" s="20"/>
    </row>
    <row r="217" spans="38:38" x14ac:dyDescent="0.35">
      <c r="AL217" s="20"/>
    </row>
    <row r="218" spans="38:38" x14ac:dyDescent="0.35">
      <c r="AL218" s="20"/>
    </row>
    <row r="219" spans="38:38" x14ac:dyDescent="0.35">
      <c r="AL219" s="20"/>
    </row>
    <row r="220" spans="38:38" x14ac:dyDescent="0.35">
      <c r="AL220" s="20"/>
    </row>
    <row r="221" spans="38:38" x14ac:dyDescent="0.35">
      <c r="AL221" s="20"/>
    </row>
    <row r="222" spans="38:38" x14ac:dyDescent="0.35">
      <c r="AL222" s="20"/>
    </row>
    <row r="223" spans="38:38" x14ac:dyDescent="0.35">
      <c r="AL223" s="20"/>
    </row>
    <row r="224" spans="38:38" x14ac:dyDescent="0.35">
      <c r="AL224" s="20"/>
    </row>
    <row r="225" spans="38:38" x14ac:dyDescent="0.35">
      <c r="AL225" s="20"/>
    </row>
    <row r="226" spans="38:38" x14ac:dyDescent="0.35">
      <c r="AL226" s="20"/>
    </row>
    <row r="227" spans="38:38" x14ac:dyDescent="0.35">
      <c r="AL227" s="20"/>
    </row>
    <row r="228" spans="38:38" x14ac:dyDescent="0.35">
      <c r="AL228" s="20"/>
    </row>
    <row r="229" spans="38:38" x14ac:dyDescent="0.35">
      <c r="AL229" s="20"/>
    </row>
    <row r="230" spans="38:38" x14ac:dyDescent="0.35">
      <c r="AL230" s="20"/>
    </row>
    <row r="231" spans="38:38" x14ac:dyDescent="0.35">
      <c r="AL231" s="20"/>
    </row>
    <row r="232" spans="38:38" x14ac:dyDescent="0.35">
      <c r="AL232" s="20"/>
    </row>
    <row r="233" spans="38:38" x14ac:dyDescent="0.35">
      <c r="AL233" s="20"/>
    </row>
    <row r="234" spans="38:38" x14ac:dyDescent="0.35">
      <c r="AL234" s="20"/>
    </row>
    <row r="235" spans="38:38" x14ac:dyDescent="0.35">
      <c r="AL235" s="20"/>
    </row>
    <row r="236" spans="38:38" x14ac:dyDescent="0.35">
      <c r="AL236" s="20"/>
    </row>
    <row r="237" spans="38:38" x14ac:dyDescent="0.35">
      <c r="AL237" s="20"/>
    </row>
    <row r="238" spans="38:38" x14ac:dyDescent="0.35">
      <c r="AL238" s="20"/>
    </row>
    <row r="239" spans="38:38" x14ac:dyDescent="0.35">
      <c r="AL239" s="20"/>
    </row>
    <row r="240" spans="38:38" x14ac:dyDescent="0.35">
      <c r="AL240" s="20"/>
    </row>
    <row r="241" spans="38:38" x14ac:dyDescent="0.35">
      <c r="AL241" s="20"/>
    </row>
    <row r="242" spans="38:38" x14ac:dyDescent="0.35">
      <c r="AL242" s="20"/>
    </row>
    <row r="243" spans="38:38" x14ac:dyDescent="0.35">
      <c r="AL243" s="20"/>
    </row>
    <row r="244" spans="38:38" x14ac:dyDescent="0.35">
      <c r="AL244" s="20"/>
    </row>
    <row r="245" spans="38:38" x14ac:dyDescent="0.35">
      <c r="AL245" s="20"/>
    </row>
    <row r="246" spans="38:38" x14ac:dyDescent="0.35">
      <c r="AL246" s="20"/>
    </row>
    <row r="247" spans="38:38" x14ac:dyDescent="0.35">
      <c r="AL247" s="20"/>
    </row>
    <row r="248" spans="38:38" x14ac:dyDescent="0.35">
      <c r="AL248" s="20"/>
    </row>
    <row r="249" spans="38:38" x14ac:dyDescent="0.35">
      <c r="AL249" s="20"/>
    </row>
    <row r="250" spans="38:38" x14ac:dyDescent="0.35">
      <c r="AL250" s="20"/>
    </row>
    <row r="251" spans="38:38" x14ac:dyDescent="0.35">
      <c r="AL251" s="20"/>
    </row>
    <row r="252" spans="38:38" x14ac:dyDescent="0.35">
      <c r="AL252" s="20"/>
    </row>
    <row r="253" spans="38:38" x14ac:dyDescent="0.35">
      <c r="AL253" s="20"/>
    </row>
    <row r="254" spans="38:38" x14ac:dyDescent="0.35">
      <c r="AL254" s="20"/>
    </row>
    <row r="255" spans="38:38" x14ac:dyDescent="0.35">
      <c r="AL255" s="20"/>
    </row>
    <row r="256" spans="38:38" x14ac:dyDescent="0.35">
      <c r="AL256" s="20"/>
    </row>
    <row r="257" spans="38:38" x14ac:dyDescent="0.35">
      <c r="AL257" s="20"/>
    </row>
    <row r="258" spans="38:38" x14ac:dyDescent="0.35">
      <c r="AL258" s="20"/>
    </row>
    <row r="259" spans="38:38" x14ac:dyDescent="0.35">
      <c r="AL259" s="20"/>
    </row>
    <row r="260" spans="38:38" x14ac:dyDescent="0.35">
      <c r="AL260" s="20"/>
    </row>
    <row r="261" spans="38:38" x14ac:dyDescent="0.35">
      <c r="AL261" s="20"/>
    </row>
    <row r="262" spans="38:38" x14ac:dyDescent="0.35">
      <c r="AL262" s="20"/>
    </row>
    <row r="263" spans="38:38" x14ac:dyDescent="0.35">
      <c r="AL263" s="20"/>
    </row>
    <row r="264" spans="38:38" x14ac:dyDescent="0.35">
      <c r="AL264" s="20"/>
    </row>
    <row r="265" spans="38:38" x14ac:dyDescent="0.35">
      <c r="AL265" s="20"/>
    </row>
    <row r="266" spans="38:38" x14ac:dyDescent="0.35">
      <c r="AL266" s="20"/>
    </row>
    <row r="267" spans="38:38" x14ac:dyDescent="0.35">
      <c r="AL267" s="20"/>
    </row>
    <row r="268" spans="38:38" x14ac:dyDescent="0.35">
      <c r="AL268" s="20"/>
    </row>
    <row r="269" spans="38:38" x14ac:dyDescent="0.35">
      <c r="AL269" s="20"/>
    </row>
    <row r="270" spans="38:38" x14ac:dyDescent="0.35">
      <c r="AL270" s="20"/>
    </row>
    <row r="271" spans="38:38" x14ac:dyDescent="0.35">
      <c r="AL271" s="20"/>
    </row>
    <row r="272" spans="38:38" x14ac:dyDescent="0.35">
      <c r="AL272" s="20"/>
    </row>
    <row r="273" spans="38:38" x14ac:dyDescent="0.35">
      <c r="AL273" s="20"/>
    </row>
    <row r="274" spans="38:38" x14ac:dyDescent="0.35">
      <c r="AL274" s="20"/>
    </row>
    <row r="275" spans="38:38" x14ac:dyDescent="0.35">
      <c r="AL275" s="20"/>
    </row>
    <row r="276" spans="38:38" x14ac:dyDescent="0.35">
      <c r="AL276" s="20"/>
    </row>
    <row r="277" spans="38:38" x14ac:dyDescent="0.35">
      <c r="AL277" s="20"/>
    </row>
    <row r="278" spans="38:38" x14ac:dyDescent="0.35">
      <c r="AL278" s="20"/>
    </row>
    <row r="279" spans="38:38" x14ac:dyDescent="0.35">
      <c r="AL279" s="20"/>
    </row>
    <row r="280" spans="38:38" x14ac:dyDescent="0.35">
      <c r="AL280" s="20"/>
    </row>
    <row r="281" spans="38:38" x14ac:dyDescent="0.35">
      <c r="AL281" s="20"/>
    </row>
    <row r="282" spans="38:38" x14ac:dyDescent="0.35">
      <c r="AL282" s="20"/>
    </row>
    <row r="283" spans="38:38" x14ac:dyDescent="0.35">
      <c r="AL283" s="20"/>
    </row>
    <row r="284" spans="38:38" x14ac:dyDescent="0.35">
      <c r="AL284" s="20"/>
    </row>
    <row r="285" spans="38:38" x14ac:dyDescent="0.35">
      <c r="AL285" s="20"/>
    </row>
    <row r="286" spans="38:38" x14ac:dyDescent="0.35">
      <c r="AL286" s="20"/>
    </row>
    <row r="287" spans="38:38" x14ac:dyDescent="0.35">
      <c r="AL287" s="20"/>
    </row>
    <row r="288" spans="38:38" x14ac:dyDescent="0.35">
      <c r="AL288" s="20"/>
    </row>
    <row r="289" spans="38:38" x14ac:dyDescent="0.35">
      <c r="AL289" s="20"/>
    </row>
    <row r="290" spans="38:38" x14ac:dyDescent="0.35">
      <c r="AL290" s="20"/>
    </row>
    <row r="291" spans="38:38" x14ac:dyDescent="0.35">
      <c r="AL291" s="20"/>
    </row>
    <row r="292" spans="38:38" x14ac:dyDescent="0.35">
      <c r="AL292" s="20"/>
    </row>
    <row r="293" spans="38:38" x14ac:dyDescent="0.35">
      <c r="AL293" s="20"/>
    </row>
    <row r="294" spans="38:38" x14ac:dyDescent="0.35">
      <c r="AL294" s="20"/>
    </row>
    <row r="295" spans="38:38" x14ac:dyDescent="0.35">
      <c r="AL295" s="20"/>
    </row>
    <row r="296" spans="38:38" x14ac:dyDescent="0.35">
      <c r="AL296" s="20"/>
    </row>
    <row r="297" spans="38:38" x14ac:dyDescent="0.35">
      <c r="AL297" s="20"/>
    </row>
    <row r="298" spans="38:38" x14ac:dyDescent="0.35">
      <c r="AL298" s="20"/>
    </row>
    <row r="299" spans="38:38" x14ac:dyDescent="0.35">
      <c r="AL299" s="20"/>
    </row>
    <row r="300" spans="38:38" x14ac:dyDescent="0.35">
      <c r="AL300" s="20"/>
    </row>
    <row r="301" spans="38:38" x14ac:dyDescent="0.35">
      <c r="AL301" s="20"/>
    </row>
    <row r="302" spans="38:38" x14ac:dyDescent="0.35">
      <c r="AL302" s="20"/>
    </row>
    <row r="303" spans="38:38" x14ac:dyDescent="0.35">
      <c r="AL303" s="20"/>
    </row>
    <row r="304" spans="38:38" x14ac:dyDescent="0.35">
      <c r="AL304" s="20"/>
    </row>
    <row r="305" spans="38:38" x14ac:dyDescent="0.35">
      <c r="AL305" s="20"/>
    </row>
    <row r="306" spans="38:38" x14ac:dyDescent="0.35">
      <c r="AL306" s="20"/>
    </row>
    <row r="307" spans="38:38" x14ac:dyDescent="0.35">
      <c r="AL307" s="20"/>
    </row>
    <row r="308" spans="38:38" x14ac:dyDescent="0.35">
      <c r="AL308" s="20"/>
    </row>
    <row r="309" spans="38:38" x14ac:dyDescent="0.35">
      <c r="AL309" s="20"/>
    </row>
    <row r="310" spans="38:38" x14ac:dyDescent="0.35">
      <c r="AL310" s="20"/>
    </row>
    <row r="311" spans="38:38" x14ac:dyDescent="0.35">
      <c r="AL311" s="20"/>
    </row>
    <row r="312" spans="38:38" x14ac:dyDescent="0.35">
      <c r="AL312" s="20"/>
    </row>
    <row r="313" spans="38:38" x14ac:dyDescent="0.35">
      <c r="AL313" s="20"/>
    </row>
    <row r="314" spans="38:38" x14ac:dyDescent="0.35">
      <c r="AL314" s="20"/>
    </row>
    <row r="315" spans="38:38" x14ac:dyDescent="0.35">
      <c r="AL315" s="20"/>
    </row>
    <row r="316" spans="38:38" x14ac:dyDescent="0.35">
      <c r="AL316" s="20"/>
    </row>
    <row r="317" spans="38:38" x14ac:dyDescent="0.35">
      <c r="AL317" s="20"/>
    </row>
    <row r="318" spans="38:38" x14ac:dyDescent="0.35">
      <c r="AL318" s="20"/>
    </row>
    <row r="319" spans="38:38" x14ac:dyDescent="0.35">
      <c r="AL319" s="20"/>
    </row>
    <row r="320" spans="38:38" x14ac:dyDescent="0.35">
      <c r="AL320" s="20"/>
    </row>
    <row r="321" spans="38:38" x14ac:dyDescent="0.35">
      <c r="AL321" s="20"/>
    </row>
    <row r="322" spans="38:38" x14ac:dyDescent="0.35">
      <c r="AL322" s="20"/>
    </row>
    <row r="323" spans="38:38" x14ac:dyDescent="0.35">
      <c r="AL323" s="20"/>
    </row>
    <row r="324" spans="38:38" x14ac:dyDescent="0.35">
      <c r="AL324" s="20"/>
    </row>
    <row r="325" spans="38:38" x14ac:dyDescent="0.35">
      <c r="AL325" s="20"/>
    </row>
    <row r="326" spans="38:38" x14ac:dyDescent="0.35">
      <c r="AL326" s="20"/>
    </row>
    <row r="327" spans="38:38" x14ac:dyDescent="0.35">
      <c r="AL327" s="20"/>
    </row>
    <row r="328" spans="38:38" x14ac:dyDescent="0.35">
      <c r="AL328" s="20"/>
    </row>
    <row r="329" spans="38:38" x14ac:dyDescent="0.35">
      <c r="AL329" s="20"/>
    </row>
    <row r="330" spans="38:38" x14ac:dyDescent="0.35">
      <c r="AL330" s="20"/>
    </row>
    <row r="331" spans="38:38" x14ac:dyDescent="0.35">
      <c r="AL331" s="20"/>
    </row>
    <row r="332" spans="38:38" x14ac:dyDescent="0.35">
      <c r="AL332" s="20"/>
    </row>
    <row r="333" spans="38:38" x14ac:dyDescent="0.35">
      <c r="AL333" s="20"/>
    </row>
    <row r="334" spans="38:38" x14ac:dyDescent="0.35">
      <c r="AL334" s="20"/>
    </row>
    <row r="335" spans="38:38" x14ac:dyDescent="0.35">
      <c r="AL335" s="20"/>
    </row>
    <row r="336" spans="38:38" x14ac:dyDescent="0.35">
      <c r="AL336" s="20"/>
    </row>
    <row r="337" spans="38:38" x14ac:dyDescent="0.35">
      <c r="AL337" s="20"/>
    </row>
    <row r="338" spans="38:38" x14ac:dyDescent="0.35">
      <c r="AL338" s="20"/>
    </row>
    <row r="339" spans="38:38" x14ac:dyDescent="0.35">
      <c r="AL339" s="20"/>
    </row>
    <row r="340" spans="38:38" x14ac:dyDescent="0.35">
      <c r="AL340" s="20"/>
    </row>
    <row r="341" spans="38:38" x14ac:dyDescent="0.35">
      <c r="AL341" s="20"/>
    </row>
    <row r="342" spans="38:38" x14ac:dyDescent="0.35">
      <c r="AL342" s="20"/>
    </row>
    <row r="343" spans="38:38" x14ac:dyDescent="0.35">
      <c r="AL343" s="20"/>
    </row>
    <row r="344" spans="38:38" x14ac:dyDescent="0.35">
      <c r="AL344" s="20"/>
    </row>
    <row r="345" spans="38:38" x14ac:dyDescent="0.35">
      <c r="AL345" s="20"/>
    </row>
    <row r="346" spans="38:38" x14ac:dyDescent="0.35">
      <c r="AL346" s="20"/>
    </row>
    <row r="347" spans="38:38" x14ac:dyDescent="0.35">
      <c r="AL347" s="20"/>
    </row>
    <row r="348" spans="38:38" x14ac:dyDescent="0.35">
      <c r="AL348" s="20"/>
    </row>
    <row r="349" spans="38:38" x14ac:dyDescent="0.35">
      <c r="AL349" s="20"/>
    </row>
    <row r="350" spans="38:38" x14ac:dyDescent="0.35">
      <c r="AL350" s="20"/>
    </row>
    <row r="351" spans="38:38" x14ac:dyDescent="0.35">
      <c r="AL351" s="20"/>
    </row>
    <row r="352" spans="38:38" x14ac:dyDescent="0.35">
      <c r="AL352" s="20"/>
    </row>
    <row r="353" spans="38:38" x14ac:dyDescent="0.35">
      <c r="AL353" s="20"/>
    </row>
    <row r="354" spans="38:38" x14ac:dyDescent="0.35">
      <c r="AL354" s="20"/>
    </row>
    <row r="355" spans="38:38" x14ac:dyDescent="0.35">
      <c r="AL355" s="20"/>
    </row>
    <row r="356" spans="38:38" x14ac:dyDescent="0.35">
      <c r="AL356" s="20"/>
    </row>
    <row r="357" spans="38:38" x14ac:dyDescent="0.35">
      <c r="AL357" s="20"/>
    </row>
    <row r="358" spans="38:38" x14ac:dyDescent="0.35">
      <c r="AL358" s="20"/>
    </row>
    <row r="359" spans="38:38" x14ac:dyDescent="0.35">
      <c r="AL359" s="20"/>
    </row>
    <row r="360" spans="38:38" x14ac:dyDescent="0.35">
      <c r="AL360" s="20"/>
    </row>
    <row r="361" spans="38:38" x14ac:dyDescent="0.35">
      <c r="AL361" s="20"/>
    </row>
    <row r="362" spans="38:38" x14ac:dyDescent="0.35">
      <c r="AL362" s="20"/>
    </row>
    <row r="363" spans="38:38" x14ac:dyDescent="0.35">
      <c r="AL363" s="20"/>
    </row>
    <row r="364" spans="38:38" x14ac:dyDescent="0.35">
      <c r="AL364" s="20"/>
    </row>
    <row r="365" spans="38:38" x14ac:dyDescent="0.35">
      <c r="AL365" s="20"/>
    </row>
    <row r="366" spans="38:38" x14ac:dyDescent="0.35">
      <c r="AL366" s="20"/>
    </row>
    <row r="367" spans="38:38" x14ac:dyDescent="0.35">
      <c r="AL367" s="20"/>
    </row>
    <row r="368" spans="38:38" x14ac:dyDescent="0.35">
      <c r="AL368" s="20"/>
    </row>
    <row r="369" spans="38:38" x14ac:dyDescent="0.35">
      <c r="AL369" s="20"/>
    </row>
    <row r="370" spans="38:38" x14ac:dyDescent="0.35">
      <c r="AL370" s="20"/>
    </row>
    <row r="371" spans="38:38" x14ac:dyDescent="0.35">
      <c r="AL371" s="20"/>
    </row>
    <row r="372" spans="38:38" x14ac:dyDescent="0.35">
      <c r="AL372" s="20"/>
    </row>
    <row r="373" spans="38:38" x14ac:dyDescent="0.35">
      <c r="AL373" s="20"/>
    </row>
    <row r="374" spans="38:38" x14ac:dyDescent="0.35">
      <c r="AL374" s="20"/>
    </row>
    <row r="375" spans="38:38" x14ac:dyDescent="0.35">
      <c r="AL375" s="20"/>
    </row>
    <row r="376" spans="38:38" x14ac:dyDescent="0.35">
      <c r="AL376" s="20"/>
    </row>
    <row r="377" spans="38:38" x14ac:dyDescent="0.35">
      <c r="AL377" s="20"/>
    </row>
    <row r="378" spans="38:38" x14ac:dyDescent="0.35">
      <c r="AL378" s="20"/>
    </row>
    <row r="379" spans="38:38" x14ac:dyDescent="0.35">
      <c r="AL379" s="20"/>
    </row>
    <row r="380" spans="38:38" x14ac:dyDescent="0.35">
      <c r="AL380" s="20"/>
    </row>
    <row r="381" spans="38:38" x14ac:dyDescent="0.35">
      <c r="AL381" s="20"/>
    </row>
    <row r="382" spans="38:38" x14ac:dyDescent="0.35">
      <c r="AL382" s="20"/>
    </row>
    <row r="383" spans="38:38" x14ac:dyDescent="0.35">
      <c r="AL383" s="20"/>
    </row>
    <row r="384" spans="38:38" x14ac:dyDescent="0.35">
      <c r="AL384" s="20"/>
    </row>
    <row r="385" spans="38:38" x14ac:dyDescent="0.35">
      <c r="AL385" s="20"/>
    </row>
    <row r="386" spans="38:38" x14ac:dyDescent="0.35">
      <c r="AL386" s="20"/>
    </row>
    <row r="387" spans="38:38" x14ac:dyDescent="0.35">
      <c r="AL387" s="20"/>
    </row>
    <row r="388" spans="38:38" x14ac:dyDescent="0.35">
      <c r="AL388" s="20"/>
    </row>
    <row r="389" spans="38:38" x14ac:dyDescent="0.35">
      <c r="AL389" s="20"/>
    </row>
    <row r="390" spans="38:38" x14ac:dyDescent="0.35">
      <c r="AL390" s="20"/>
    </row>
    <row r="391" spans="38:38" x14ac:dyDescent="0.35">
      <c r="AL391" s="20"/>
    </row>
    <row r="392" spans="38:38" x14ac:dyDescent="0.35">
      <c r="AL392" s="20"/>
    </row>
    <row r="393" spans="38:38" x14ac:dyDescent="0.35">
      <c r="AL393" s="20"/>
    </row>
    <row r="394" spans="38:38" x14ac:dyDescent="0.35">
      <c r="AL394" s="20"/>
    </row>
    <row r="395" spans="38:38" x14ac:dyDescent="0.35">
      <c r="AL395" s="20"/>
    </row>
    <row r="396" spans="38:38" x14ac:dyDescent="0.35">
      <c r="AL396" s="20"/>
    </row>
    <row r="397" spans="38:38" x14ac:dyDescent="0.35">
      <c r="AL397" s="20"/>
    </row>
    <row r="398" spans="38:38" x14ac:dyDescent="0.35">
      <c r="AL398" s="20"/>
    </row>
    <row r="399" spans="38:38" x14ac:dyDescent="0.35">
      <c r="AL399" s="20"/>
    </row>
    <row r="400" spans="38:38" x14ac:dyDescent="0.35">
      <c r="AL400" s="20"/>
    </row>
    <row r="401" spans="38:38" x14ac:dyDescent="0.35">
      <c r="AL401" s="20"/>
    </row>
    <row r="402" spans="38:38" x14ac:dyDescent="0.35">
      <c r="AL402" s="20"/>
    </row>
    <row r="403" spans="38:38" x14ac:dyDescent="0.35">
      <c r="AL403" s="20"/>
    </row>
    <row r="404" spans="38:38" x14ac:dyDescent="0.35">
      <c r="AL404" s="20"/>
    </row>
    <row r="405" spans="38:38" x14ac:dyDescent="0.35">
      <c r="AL405" s="20"/>
    </row>
    <row r="406" spans="38:38" x14ac:dyDescent="0.35">
      <c r="AL406" s="20"/>
    </row>
    <row r="407" spans="38:38" x14ac:dyDescent="0.35">
      <c r="AL407" s="20"/>
    </row>
    <row r="408" spans="38:38" x14ac:dyDescent="0.35">
      <c r="AL408" s="20"/>
    </row>
    <row r="409" spans="38:38" x14ac:dyDescent="0.35">
      <c r="AL409" s="20"/>
    </row>
    <row r="410" spans="38:38" x14ac:dyDescent="0.35">
      <c r="AL410" s="20"/>
    </row>
    <row r="411" spans="38:38" x14ac:dyDescent="0.35">
      <c r="AL411" s="20"/>
    </row>
    <row r="412" spans="38:38" x14ac:dyDescent="0.35">
      <c r="AL412" s="20"/>
    </row>
    <row r="413" spans="38:38" x14ac:dyDescent="0.35">
      <c r="AL413" s="20"/>
    </row>
    <row r="414" spans="38:38" x14ac:dyDescent="0.35">
      <c r="AL414" s="20"/>
    </row>
    <row r="415" spans="38:38" x14ac:dyDescent="0.35">
      <c r="AL415" s="20"/>
    </row>
    <row r="416" spans="38:38" x14ac:dyDescent="0.35">
      <c r="AL416" s="20"/>
    </row>
    <row r="417" spans="38:38" x14ac:dyDescent="0.35">
      <c r="AL417" s="20"/>
    </row>
    <row r="418" spans="38:38" x14ac:dyDescent="0.35">
      <c r="AL418" s="20"/>
    </row>
    <row r="419" spans="38:38" x14ac:dyDescent="0.35">
      <c r="AL419" s="20"/>
    </row>
    <row r="420" spans="38:38" x14ac:dyDescent="0.35">
      <c r="AL420" s="20"/>
    </row>
    <row r="421" spans="38:38" x14ac:dyDescent="0.35">
      <c r="AL421" s="20"/>
    </row>
    <row r="422" spans="38:38" x14ac:dyDescent="0.35">
      <c r="AL422" s="20"/>
    </row>
    <row r="423" spans="38:38" x14ac:dyDescent="0.35">
      <c r="AL423" s="20"/>
    </row>
    <row r="424" spans="38:38" x14ac:dyDescent="0.35">
      <c r="AL424" s="20"/>
    </row>
    <row r="425" spans="38:38" x14ac:dyDescent="0.35">
      <c r="AL425" s="20"/>
    </row>
    <row r="426" spans="38:38" x14ac:dyDescent="0.35">
      <c r="AL426" s="20"/>
    </row>
    <row r="427" spans="38:38" x14ac:dyDescent="0.35">
      <c r="AL427" s="20"/>
    </row>
    <row r="428" spans="38:38" x14ac:dyDescent="0.35">
      <c r="AL428" s="20"/>
    </row>
    <row r="429" spans="38:38" x14ac:dyDescent="0.35">
      <c r="AL429" s="20"/>
    </row>
    <row r="430" spans="38:38" x14ac:dyDescent="0.35">
      <c r="AL430" s="20"/>
    </row>
    <row r="431" spans="38:38" x14ac:dyDescent="0.35">
      <c r="AL431" s="20"/>
    </row>
    <row r="432" spans="38:38" x14ac:dyDescent="0.35">
      <c r="AL432" s="20"/>
    </row>
    <row r="433" spans="38:38" x14ac:dyDescent="0.35">
      <c r="AL433" s="20"/>
    </row>
    <row r="434" spans="38:38" x14ac:dyDescent="0.35">
      <c r="AL434" s="20"/>
    </row>
    <row r="435" spans="38:38" x14ac:dyDescent="0.35">
      <c r="AL435" s="20"/>
    </row>
    <row r="436" spans="38:38" x14ac:dyDescent="0.35">
      <c r="AL436" s="20"/>
    </row>
    <row r="437" spans="38:38" x14ac:dyDescent="0.35">
      <c r="AL437" s="20"/>
    </row>
    <row r="438" spans="38:38" x14ac:dyDescent="0.35">
      <c r="AL438" s="20"/>
    </row>
    <row r="439" spans="38:38" x14ac:dyDescent="0.35">
      <c r="AL439" s="20"/>
    </row>
    <row r="440" spans="38:38" x14ac:dyDescent="0.35">
      <c r="AL440" s="20"/>
    </row>
    <row r="441" spans="38:38" x14ac:dyDescent="0.35">
      <c r="AL441" s="20"/>
    </row>
    <row r="442" spans="38:38" x14ac:dyDescent="0.35">
      <c r="AL442" s="20"/>
    </row>
    <row r="443" spans="38:38" x14ac:dyDescent="0.35">
      <c r="AL443" s="20"/>
    </row>
    <row r="444" spans="38:38" x14ac:dyDescent="0.35">
      <c r="AL444" s="20"/>
    </row>
    <row r="445" spans="38:38" x14ac:dyDescent="0.35">
      <c r="AL445" s="20"/>
    </row>
    <row r="446" spans="38:38" x14ac:dyDescent="0.35">
      <c r="AL446" s="20"/>
    </row>
    <row r="447" spans="38:38" x14ac:dyDescent="0.35">
      <c r="AL447" s="20"/>
    </row>
    <row r="448" spans="38:38" x14ac:dyDescent="0.35">
      <c r="AL448" s="20"/>
    </row>
    <row r="449" spans="38:38" x14ac:dyDescent="0.35">
      <c r="AL449" s="20"/>
    </row>
    <row r="450" spans="38:38" x14ac:dyDescent="0.35">
      <c r="AL450" s="20"/>
    </row>
    <row r="451" spans="38:38" x14ac:dyDescent="0.35">
      <c r="AL451" s="20"/>
    </row>
    <row r="452" spans="38:38" x14ac:dyDescent="0.35">
      <c r="AL452" s="20"/>
    </row>
    <row r="453" spans="38:38" x14ac:dyDescent="0.35">
      <c r="AL453" s="20"/>
    </row>
    <row r="454" spans="38:38" x14ac:dyDescent="0.35">
      <c r="AL454" s="20"/>
    </row>
    <row r="455" spans="38:38" x14ac:dyDescent="0.35">
      <c r="AL455" s="20"/>
    </row>
    <row r="456" spans="38:38" x14ac:dyDescent="0.35">
      <c r="AL456" s="20"/>
    </row>
    <row r="457" spans="38:38" x14ac:dyDescent="0.35">
      <c r="AL457" s="20"/>
    </row>
    <row r="458" spans="38:38" x14ac:dyDescent="0.35">
      <c r="AL458" s="20"/>
    </row>
    <row r="459" spans="38:38" x14ac:dyDescent="0.35">
      <c r="AL459" s="20"/>
    </row>
    <row r="460" spans="38:38" x14ac:dyDescent="0.35">
      <c r="AL460" s="20"/>
    </row>
    <row r="461" spans="38:38" x14ac:dyDescent="0.35">
      <c r="AL461" s="20"/>
    </row>
    <row r="462" spans="38:38" x14ac:dyDescent="0.35">
      <c r="AL462" s="20"/>
    </row>
    <row r="463" spans="38:38" x14ac:dyDescent="0.35">
      <c r="AL463" s="20"/>
    </row>
    <row r="464" spans="38:38" x14ac:dyDescent="0.35">
      <c r="AL464" s="20"/>
    </row>
    <row r="465" spans="38:38" x14ac:dyDescent="0.35">
      <c r="AL465" s="20"/>
    </row>
    <row r="466" spans="38:38" x14ac:dyDescent="0.35">
      <c r="AL466" s="20"/>
    </row>
    <row r="467" spans="38:38" x14ac:dyDescent="0.35">
      <c r="AL467" s="20"/>
    </row>
    <row r="468" spans="38:38" x14ac:dyDescent="0.35">
      <c r="AL468" s="20"/>
    </row>
    <row r="469" spans="38:38" x14ac:dyDescent="0.35">
      <c r="AL469" s="20"/>
    </row>
    <row r="470" spans="38:38" x14ac:dyDescent="0.35">
      <c r="AL470" s="20"/>
    </row>
    <row r="471" spans="38:38" x14ac:dyDescent="0.35">
      <c r="AL471" s="20"/>
    </row>
    <row r="472" spans="38:38" x14ac:dyDescent="0.35">
      <c r="AL472" s="20"/>
    </row>
    <row r="473" spans="38:38" x14ac:dyDescent="0.35">
      <c r="AL473" s="20"/>
    </row>
    <row r="474" spans="38:38" x14ac:dyDescent="0.35">
      <c r="AL474" s="20"/>
    </row>
    <row r="475" spans="38:38" x14ac:dyDescent="0.35">
      <c r="AL475" s="20"/>
    </row>
    <row r="476" spans="38:38" x14ac:dyDescent="0.35">
      <c r="AL476" s="20"/>
    </row>
    <row r="477" spans="38:38" x14ac:dyDescent="0.35">
      <c r="AL477" s="20"/>
    </row>
    <row r="478" spans="38:38" x14ac:dyDescent="0.35">
      <c r="AL478" s="20"/>
    </row>
    <row r="479" spans="38:38" x14ac:dyDescent="0.35">
      <c r="AL479" s="20"/>
    </row>
    <row r="480" spans="38:38" x14ac:dyDescent="0.35">
      <c r="AL480" s="20"/>
    </row>
    <row r="481" spans="38:38" x14ac:dyDescent="0.35">
      <c r="AL481" s="20"/>
    </row>
    <row r="482" spans="38:38" x14ac:dyDescent="0.35">
      <c r="AL482" s="20"/>
    </row>
    <row r="483" spans="38:38" x14ac:dyDescent="0.35">
      <c r="AL483" s="20"/>
    </row>
    <row r="484" spans="38:38" x14ac:dyDescent="0.35">
      <c r="AL484" s="20"/>
    </row>
    <row r="485" spans="38:38" x14ac:dyDescent="0.35">
      <c r="AL485" s="20"/>
    </row>
    <row r="486" spans="38:38" x14ac:dyDescent="0.35">
      <c r="AL486" s="20"/>
    </row>
    <row r="487" spans="38:38" x14ac:dyDescent="0.35">
      <c r="AL487" s="20"/>
    </row>
    <row r="488" spans="38:38" x14ac:dyDescent="0.35">
      <c r="AL488" s="20"/>
    </row>
    <row r="489" spans="38:38" x14ac:dyDescent="0.35">
      <c r="AL489" s="20"/>
    </row>
    <row r="490" spans="38:38" x14ac:dyDescent="0.35">
      <c r="AL490" s="20"/>
    </row>
    <row r="491" spans="38:38" x14ac:dyDescent="0.35">
      <c r="AL491" s="20"/>
    </row>
    <row r="492" spans="38:38" x14ac:dyDescent="0.35">
      <c r="AL492" s="20"/>
    </row>
    <row r="493" spans="38:38" x14ac:dyDescent="0.35">
      <c r="AL493" s="20"/>
    </row>
    <row r="494" spans="38:38" x14ac:dyDescent="0.35">
      <c r="AL494" s="20"/>
    </row>
    <row r="495" spans="38:38" x14ac:dyDescent="0.35">
      <c r="AL495" s="20"/>
    </row>
    <row r="496" spans="38:38" x14ac:dyDescent="0.35">
      <c r="AL496" s="20"/>
    </row>
    <row r="497" spans="38:38" x14ac:dyDescent="0.35">
      <c r="AL497" s="20"/>
    </row>
    <row r="498" spans="38:38" x14ac:dyDescent="0.35">
      <c r="AL498" s="20"/>
    </row>
    <row r="499" spans="38:38" x14ac:dyDescent="0.35">
      <c r="AL499" s="20"/>
    </row>
    <row r="500" spans="38:38" x14ac:dyDescent="0.35">
      <c r="AL500" s="20"/>
    </row>
    <row r="501" spans="38:38" x14ac:dyDescent="0.35">
      <c r="AL501" s="20"/>
    </row>
    <row r="502" spans="38:38" x14ac:dyDescent="0.35">
      <c r="AL502" s="20"/>
    </row>
    <row r="503" spans="38:38" x14ac:dyDescent="0.35">
      <c r="AL503" s="20"/>
    </row>
    <row r="504" spans="38:38" x14ac:dyDescent="0.35">
      <c r="AL504" s="20"/>
    </row>
    <row r="505" spans="38:38" x14ac:dyDescent="0.35">
      <c r="AL505" s="20"/>
    </row>
    <row r="506" spans="38:38" x14ac:dyDescent="0.35">
      <c r="AL506" s="20"/>
    </row>
    <row r="507" spans="38:38" x14ac:dyDescent="0.35">
      <c r="AL507" s="20"/>
    </row>
    <row r="508" spans="38:38" x14ac:dyDescent="0.35">
      <c r="AL508" s="20"/>
    </row>
    <row r="509" spans="38:38" x14ac:dyDescent="0.35">
      <c r="AL509" s="20"/>
    </row>
    <row r="510" spans="38:38" x14ac:dyDescent="0.35">
      <c r="AL510" s="20"/>
    </row>
    <row r="511" spans="38:38" x14ac:dyDescent="0.35">
      <c r="AL511" s="20"/>
    </row>
    <row r="512" spans="38:38" x14ac:dyDescent="0.35">
      <c r="AL512" s="20"/>
    </row>
    <row r="513" spans="38:38" x14ac:dyDescent="0.35">
      <c r="AL513" s="20"/>
    </row>
    <row r="514" spans="38:38" x14ac:dyDescent="0.35">
      <c r="AL514" s="20"/>
    </row>
    <row r="515" spans="38:38" x14ac:dyDescent="0.35">
      <c r="AL515" s="20"/>
    </row>
    <row r="516" spans="38:38" x14ac:dyDescent="0.35">
      <c r="AL516" s="20"/>
    </row>
    <row r="517" spans="38:38" x14ac:dyDescent="0.35">
      <c r="AL517" s="20"/>
    </row>
    <row r="518" spans="38:38" x14ac:dyDescent="0.35">
      <c r="AL518" s="20"/>
    </row>
    <row r="519" spans="38:38" x14ac:dyDescent="0.35">
      <c r="AL519" s="20"/>
    </row>
    <row r="520" spans="38:38" x14ac:dyDescent="0.35">
      <c r="AL520" s="20"/>
    </row>
    <row r="521" spans="38:38" x14ac:dyDescent="0.35">
      <c r="AL521" s="20"/>
    </row>
    <row r="522" spans="38:38" x14ac:dyDescent="0.35">
      <c r="AL522" s="20"/>
    </row>
    <row r="523" spans="38:38" x14ac:dyDescent="0.35">
      <c r="AL523" s="20"/>
    </row>
    <row r="524" spans="38:38" x14ac:dyDescent="0.35">
      <c r="AL524" s="20"/>
    </row>
    <row r="525" spans="38:38" x14ac:dyDescent="0.35">
      <c r="AL525" s="20"/>
    </row>
    <row r="526" spans="38:38" x14ac:dyDescent="0.35">
      <c r="AL526" s="20"/>
    </row>
    <row r="527" spans="38:38" x14ac:dyDescent="0.35">
      <c r="AL527" s="20"/>
    </row>
    <row r="528" spans="38:38" x14ac:dyDescent="0.35">
      <c r="AL528" s="20"/>
    </row>
    <row r="529" spans="38:38" x14ac:dyDescent="0.35">
      <c r="AL529" s="20"/>
    </row>
    <row r="530" spans="38:38" x14ac:dyDescent="0.35">
      <c r="AL530" s="20"/>
    </row>
    <row r="531" spans="38:38" x14ac:dyDescent="0.35">
      <c r="AL531" s="20"/>
    </row>
    <row r="532" spans="38:38" x14ac:dyDescent="0.35">
      <c r="AL532" s="20"/>
    </row>
    <row r="533" spans="38:38" x14ac:dyDescent="0.35">
      <c r="AL533" s="20"/>
    </row>
    <row r="534" spans="38:38" x14ac:dyDescent="0.35">
      <c r="AL534" s="20"/>
    </row>
    <row r="535" spans="38:38" x14ac:dyDescent="0.35">
      <c r="AL535" s="20"/>
    </row>
    <row r="536" spans="38:38" x14ac:dyDescent="0.35">
      <c r="AL536" s="20"/>
    </row>
    <row r="537" spans="38:38" x14ac:dyDescent="0.35">
      <c r="AL537" s="20"/>
    </row>
    <row r="538" spans="38:38" x14ac:dyDescent="0.35">
      <c r="AL538" s="20"/>
    </row>
    <row r="539" spans="38:38" x14ac:dyDescent="0.35">
      <c r="AL539" s="20"/>
    </row>
    <row r="540" spans="38:38" x14ac:dyDescent="0.35">
      <c r="AL540" s="20"/>
    </row>
    <row r="541" spans="38:38" x14ac:dyDescent="0.35">
      <c r="AL541" s="20"/>
    </row>
    <row r="542" spans="38:38" x14ac:dyDescent="0.35">
      <c r="AL542" s="20"/>
    </row>
    <row r="543" spans="38:38" x14ac:dyDescent="0.35">
      <c r="AL543" s="20"/>
    </row>
    <row r="544" spans="38:38" x14ac:dyDescent="0.35">
      <c r="AL544" s="20"/>
    </row>
    <row r="545" spans="38:38" x14ac:dyDescent="0.35">
      <c r="AL545" s="20"/>
    </row>
    <row r="546" spans="38:38" x14ac:dyDescent="0.35">
      <c r="AL546" s="20"/>
    </row>
    <row r="547" spans="38:38" x14ac:dyDescent="0.35">
      <c r="AL547" s="20"/>
    </row>
    <row r="548" spans="38:38" x14ac:dyDescent="0.35">
      <c r="AL548" s="20"/>
    </row>
    <row r="549" spans="38:38" x14ac:dyDescent="0.35">
      <c r="AL549" s="20"/>
    </row>
    <row r="550" spans="38:38" x14ac:dyDescent="0.35">
      <c r="AL550" s="20"/>
    </row>
    <row r="551" spans="38:38" x14ac:dyDescent="0.35">
      <c r="AL551" s="20"/>
    </row>
    <row r="552" spans="38:38" x14ac:dyDescent="0.35">
      <c r="AL552" s="20"/>
    </row>
    <row r="553" spans="38:38" x14ac:dyDescent="0.35">
      <c r="AL553" s="20"/>
    </row>
    <row r="554" spans="38:38" x14ac:dyDescent="0.35">
      <c r="AL554" s="20"/>
    </row>
    <row r="555" spans="38:38" x14ac:dyDescent="0.35">
      <c r="AL555" s="20"/>
    </row>
    <row r="556" spans="38:38" x14ac:dyDescent="0.35">
      <c r="AL556" s="20"/>
    </row>
    <row r="557" spans="38:38" x14ac:dyDescent="0.35">
      <c r="AL557" s="20"/>
    </row>
    <row r="558" spans="38:38" x14ac:dyDescent="0.35">
      <c r="AL558" s="20"/>
    </row>
    <row r="559" spans="38:38" x14ac:dyDescent="0.35">
      <c r="AL559" s="20"/>
    </row>
    <row r="560" spans="38:38" x14ac:dyDescent="0.35">
      <c r="AL560" s="20"/>
    </row>
    <row r="561" spans="38:38" x14ac:dyDescent="0.35">
      <c r="AL561" s="20"/>
    </row>
    <row r="562" spans="38:38" x14ac:dyDescent="0.35">
      <c r="AL562" s="20"/>
    </row>
    <row r="563" spans="38:38" x14ac:dyDescent="0.35">
      <c r="AL563" s="20"/>
    </row>
    <row r="564" spans="38:38" x14ac:dyDescent="0.35">
      <c r="AL564" s="20"/>
    </row>
    <row r="565" spans="38:38" x14ac:dyDescent="0.35">
      <c r="AL565" s="20"/>
    </row>
    <row r="566" spans="38:38" x14ac:dyDescent="0.35">
      <c r="AL566" s="20"/>
    </row>
    <row r="567" spans="38:38" x14ac:dyDescent="0.35">
      <c r="AL567" s="20"/>
    </row>
    <row r="568" spans="38:38" x14ac:dyDescent="0.35">
      <c r="AL568" s="20"/>
    </row>
    <row r="569" spans="38:38" x14ac:dyDescent="0.35">
      <c r="AL569" s="20"/>
    </row>
    <row r="570" spans="38:38" x14ac:dyDescent="0.35">
      <c r="AL570" s="20"/>
    </row>
    <row r="571" spans="38:38" x14ac:dyDescent="0.35">
      <c r="AL571" s="20"/>
    </row>
    <row r="572" spans="38:38" x14ac:dyDescent="0.35">
      <c r="AL572" s="20"/>
    </row>
    <row r="573" spans="38:38" x14ac:dyDescent="0.35">
      <c r="AL573" s="20"/>
    </row>
    <row r="574" spans="38:38" x14ac:dyDescent="0.35">
      <c r="AL574" s="20"/>
    </row>
    <row r="575" spans="38:38" x14ac:dyDescent="0.35">
      <c r="AL575" s="20"/>
    </row>
    <row r="576" spans="38:38" x14ac:dyDescent="0.35">
      <c r="AL576" s="20"/>
    </row>
    <row r="577" spans="38:38" x14ac:dyDescent="0.35">
      <c r="AL577" s="20"/>
    </row>
    <row r="578" spans="38:38" x14ac:dyDescent="0.35">
      <c r="AL578" s="20"/>
    </row>
    <row r="579" spans="38:38" x14ac:dyDescent="0.35">
      <c r="AL579" s="20"/>
    </row>
    <row r="580" spans="38:38" x14ac:dyDescent="0.35">
      <c r="AL580" s="20"/>
    </row>
    <row r="581" spans="38:38" x14ac:dyDescent="0.35">
      <c r="AL581" s="20"/>
    </row>
    <row r="582" spans="38:38" x14ac:dyDescent="0.35">
      <c r="AL582" s="20"/>
    </row>
    <row r="583" spans="38:38" x14ac:dyDescent="0.35">
      <c r="AL583" s="20"/>
    </row>
    <row r="584" spans="38:38" x14ac:dyDescent="0.35">
      <c r="AL584" s="20"/>
    </row>
    <row r="585" spans="38:38" x14ac:dyDescent="0.35">
      <c r="AL585" s="20"/>
    </row>
    <row r="586" spans="38:38" x14ac:dyDescent="0.35">
      <c r="AL586" s="20"/>
    </row>
    <row r="587" spans="38:38" x14ac:dyDescent="0.35">
      <c r="AL587" s="20"/>
    </row>
    <row r="588" spans="38:38" x14ac:dyDescent="0.35">
      <c r="AL588" s="20"/>
    </row>
    <row r="589" spans="38:38" x14ac:dyDescent="0.35">
      <c r="AL589" s="20"/>
    </row>
    <row r="590" spans="38:38" x14ac:dyDescent="0.35">
      <c r="AL590" s="20"/>
    </row>
    <row r="591" spans="38:38" x14ac:dyDescent="0.35">
      <c r="AL591" s="20"/>
    </row>
    <row r="592" spans="38:38" x14ac:dyDescent="0.35">
      <c r="AL592" s="20"/>
    </row>
    <row r="593" spans="38:38" x14ac:dyDescent="0.35">
      <c r="AL593" s="20"/>
    </row>
    <row r="594" spans="38:38" x14ac:dyDescent="0.35">
      <c r="AL594" s="20"/>
    </row>
    <row r="595" spans="38:38" x14ac:dyDescent="0.35">
      <c r="AL595" s="20"/>
    </row>
    <row r="596" spans="38:38" x14ac:dyDescent="0.35">
      <c r="AL596" s="20"/>
    </row>
    <row r="597" spans="38:38" x14ac:dyDescent="0.35">
      <c r="AL597" s="20"/>
    </row>
    <row r="598" spans="38:38" x14ac:dyDescent="0.35">
      <c r="AL598" s="20"/>
    </row>
    <row r="599" spans="38:38" x14ac:dyDescent="0.35">
      <c r="AL599" s="20"/>
    </row>
    <row r="600" spans="38:38" x14ac:dyDescent="0.35">
      <c r="AL600" s="20"/>
    </row>
    <row r="601" spans="38:38" x14ac:dyDescent="0.35">
      <c r="AL601" s="20"/>
    </row>
    <row r="602" spans="38:38" x14ac:dyDescent="0.35">
      <c r="AL602" s="20"/>
    </row>
    <row r="603" spans="38:38" x14ac:dyDescent="0.35">
      <c r="AL603" s="20"/>
    </row>
    <row r="604" spans="38:38" x14ac:dyDescent="0.35">
      <c r="AL604" s="20"/>
    </row>
    <row r="605" spans="38:38" x14ac:dyDescent="0.35">
      <c r="AL605" s="20"/>
    </row>
    <row r="606" spans="38:38" x14ac:dyDescent="0.35">
      <c r="AL606" s="20"/>
    </row>
    <row r="607" spans="38:38" x14ac:dyDescent="0.35">
      <c r="AL607" s="20"/>
    </row>
    <row r="608" spans="38:38" x14ac:dyDescent="0.35">
      <c r="AL608" s="20"/>
    </row>
    <row r="609" spans="38:38" x14ac:dyDescent="0.35">
      <c r="AL609" s="20"/>
    </row>
    <row r="610" spans="38:38" x14ac:dyDescent="0.35">
      <c r="AL610" s="20"/>
    </row>
    <row r="611" spans="38:38" x14ac:dyDescent="0.35">
      <c r="AL611" s="20"/>
    </row>
    <row r="612" spans="38:38" x14ac:dyDescent="0.35">
      <c r="AL612" s="20"/>
    </row>
    <row r="613" spans="38:38" x14ac:dyDescent="0.35">
      <c r="AL613" s="20"/>
    </row>
    <row r="614" spans="38:38" x14ac:dyDescent="0.35">
      <c r="AL614" s="20"/>
    </row>
    <row r="615" spans="38:38" x14ac:dyDescent="0.35">
      <c r="AL615" s="20"/>
    </row>
    <row r="616" spans="38:38" x14ac:dyDescent="0.35">
      <c r="AL616" s="20"/>
    </row>
    <row r="617" spans="38:38" x14ac:dyDescent="0.35">
      <c r="AL617" s="20"/>
    </row>
    <row r="618" spans="38:38" x14ac:dyDescent="0.35">
      <c r="AL618" s="20"/>
    </row>
    <row r="619" spans="38:38" x14ac:dyDescent="0.35">
      <c r="AL619" s="20"/>
    </row>
    <row r="620" spans="38:38" x14ac:dyDescent="0.35">
      <c r="AL620" s="20"/>
    </row>
    <row r="621" spans="38:38" x14ac:dyDescent="0.35">
      <c r="AL621" s="20"/>
    </row>
    <row r="622" spans="38:38" x14ac:dyDescent="0.35">
      <c r="AL622" s="20"/>
    </row>
    <row r="623" spans="38:38" x14ac:dyDescent="0.35">
      <c r="AL623" s="20"/>
    </row>
    <row r="624" spans="38:38" x14ac:dyDescent="0.35">
      <c r="AL624" s="20"/>
    </row>
    <row r="625" spans="38:38" x14ac:dyDescent="0.35">
      <c r="AL625" s="20"/>
    </row>
    <row r="626" spans="38:38" x14ac:dyDescent="0.35">
      <c r="AL626" s="20"/>
    </row>
    <row r="627" spans="38:38" x14ac:dyDescent="0.35">
      <c r="AL627" s="20"/>
    </row>
    <row r="628" spans="38:38" x14ac:dyDescent="0.35">
      <c r="AL628" s="20"/>
    </row>
    <row r="629" spans="38:38" x14ac:dyDescent="0.35">
      <c r="AL629" s="20"/>
    </row>
    <row r="630" spans="38:38" x14ac:dyDescent="0.35">
      <c r="AL630" s="20"/>
    </row>
    <row r="631" spans="38:38" x14ac:dyDescent="0.35">
      <c r="AL631" s="20"/>
    </row>
    <row r="632" spans="38:38" x14ac:dyDescent="0.35">
      <c r="AL632" s="20"/>
    </row>
    <row r="633" spans="38:38" x14ac:dyDescent="0.35">
      <c r="AL633" s="20"/>
    </row>
    <row r="634" spans="38:38" x14ac:dyDescent="0.35">
      <c r="AL634" s="20"/>
    </row>
    <row r="635" spans="38:38" x14ac:dyDescent="0.35">
      <c r="AL635" s="20"/>
    </row>
    <row r="636" spans="38:38" x14ac:dyDescent="0.35">
      <c r="AL636" s="20"/>
    </row>
    <row r="637" spans="38:38" x14ac:dyDescent="0.35">
      <c r="AL637" s="20"/>
    </row>
    <row r="638" spans="38:38" x14ac:dyDescent="0.35">
      <c r="AL638" s="20"/>
    </row>
    <row r="639" spans="38:38" x14ac:dyDescent="0.35">
      <c r="AL639" s="20"/>
    </row>
    <row r="640" spans="38:38" x14ac:dyDescent="0.35">
      <c r="AL640" s="20"/>
    </row>
    <row r="641" spans="38:38" x14ac:dyDescent="0.35">
      <c r="AL641" s="20"/>
    </row>
    <row r="642" spans="38:38" x14ac:dyDescent="0.35">
      <c r="AL642" s="20"/>
    </row>
    <row r="643" spans="38:38" x14ac:dyDescent="0.35">
      <c r="AL643" s="20"/>
    </row>
    <row r="644" spans="38:38" x14ac:dyDescent="0.35">
      <c r="AL644" s="20"/>
    </row>
    <row r="645" spans="38:38" x14ac:dyDescent="0.35">
      <c r="AL645" s="20"/>
    </row>
    <row r="646" spans="38:38" x14ac:dyDescent="0.35">
      <c r="AL646" s="20"/>
    </row>
    <row r="647" spans="38:38" x14ac:dyDescent="0.35">
      <c r="AL647" s="20"/>
    </row>
    <row r="648" spans="38:38" x14ac:dyDescent="0.35">
      <c r="AL648" s="20"/>
    </row>
    <row r="649" spans="38:38" x14ac:dyDescent="0.35">
      <c r="AL649" s="20"/>
    </row>
    <row r="650" spans="38:38" x14ac:dyDescent="0.35">
      <c r="AL650" s="20"/>
    </row>
    <row r="651" spans="38:38" x14ac:dyDescent="0.35">
      <c r="AL651" s="20"/>
    </row>
    <row r="652" spans="38:38" x14ac:dyDescent="0.35">
      <c r="AL652" s="20"/>
    </row>
    <row r="653" spans="38:38" x14ac:dyDescent="0.35">
      <c r="AL653" s="20"/>
    </row>
    <row r="654" spans="38:38" x14ac:dyDescent="0.35">
      <c r="AL654" s="20"/>
    </row>
    <row r="655" spans="38:38" x14ac:dyDescent="0.35">
      <c r="AL655" s="20"/>
    </row>
    <row r="656" spans="38:38" x14ac:dyDescent="0.35">
      <c r="AL656" s="20"/>
    </row>
    <row r="657" spans="38:38" x14ac:dyDescent="0.35">
      <c r="AL657" s="20"/>
    </row>
    <row r="658" spans="38:38" x14ac:dyDescent="0.35">
      <c r="AL658" s="20"/>
    </row>
    <row r="659" spans="38:38" x14ac:dyDescent="0.35">
      <c r="AL659" s="20"/>
    </row>
    <row r="660" spans="38:38" x14ac:dyDescent="0.35">
      <c r="AL660" s="20"/>
    </row>
    <row r="661" spans="38:38" x14ac:dyDescent="0.35">
      <c r="AL661" s="20"/>
    </row>
    <row r="662" spans="38:38" x14ac:dyDescent="0.35">
      <c r="AL662" s="20"/>
    </row>
    <row r="663" spans="38:38" x14ac:dyDescent="0.35">
      <c r="AL663" s="20"/>
    </row>
    <row r="664" spans="38:38" x14ac:dyDescent="0.35">
      <c r="AL664" s="20"/>
    </row>
    <row r="665" spans="38:38" x14ac:dyDescent="0.35">
      <c r="AL665" s="20"/>
    </row>
    <row r="666" spans="38:38" x14ac:dyDescent="0.35">
      <c r="AL666" s="20"/>
    </row>
    <row r="667" spans="38:38" x14ac:dyDescent="0.35">
      <c r="AL667" s="20"/>
    </row>
    <row r="668" spans="38:38" x14ac:dyDescent="0.35">
      <c r="AL668" s="20"/>
    </row>
    <row r="669" spans="38:38" x14ac:dyDescent="0.35">
      <c r="AL669" s="20"/>
    </row>
    <row r="670" spans="38:38" x14ac:dyDescent="0.35">
      <c r="AL670" s="20"/>
    </row>
    <row r="671" spans="38:38" x14ac:dyDescent="0.35">
      <c r="AL671" s="20"/>
    </row>
    <row r="672" spans="38:38" x14ac:dyDescent="0.35">
      <c r="AL672" s="20"/>
    </row>
    <row r="673" spans="38:38" x14ac:dyDescent="0.35">
      <c r="AL673" s="20"/>
    </row>
    <row r="674" spans="38:38" x14ac:dyDescent="0.35">
      <c r="AL674" s="20"/>
    </row>
    <row r="675" spans="38:38" x14ac:dyDescent="0.35">
      <c r="AL675" s="20"/>
    </row>
    <row r="676" spans="38:38" x14ac:dyDescent="0.35">
      <c r="AL676" s="20"/>
    </row>
    <row r="677" spans="38:38" x14ac:dyDescent="0.35">
      <c r="AL677" s="20"/>
    </row>
    <row r="678" spans="38:38" x14ac:dyDescent="0.35">
      <c r="AL678" s="20"/>
    </row>
    <row r="679" spans="38:38" x14ac:dyDescent="0.35">
      <c r="AL679" s="20"/>
    </row>
    <row r="680" spans="38:38" x14ac:dyDescent="0.35">
      <c r="AL680" s="20"/>
    </row>
    <row r="681" spans="38:38" x14ac:dyDescent="0.35">
      <c r="AL681" s="20"/>
    </row>
    <row r="682" spans="38:38" x14ac:dyDescent="0.35">
      <c r="AL682" s="20"/>
    </row>
    <row r="683" spans="38:38" x14ac:dyDescent="0.35">
      <c r="AL683" s="20"/>
    </row>
    <row r="684" spans="38:38" x14ac:dyDescent="0.35">
      <c r="AL684" s="20"/>
    </row>
    <row r="685" spans="38:38" x14ac:dyDescent="0.35">
      <c r="AL685" s="20"/>
    </row>
    <row r="686" spans="38:38" x14ac:dyDescent="0.35">
      <c r="AL686" s="20"/>
    </row>
    <row r="687" spans="38:38" x14ac:dyDescent="0.35">
      <c r="AL687" s="20"/>
    </row>
    <row r="688" spans="38:38" x14ac:dyDescent="0.35">
      <c r="AL688" s="20"/>
    </row>
    <row r="689" spans="38:38" x14ac:dyDescent="0.35">
      <c r="AL689" s="20"/>
    </row>
    <row r="690" spans="38:38" x14ac:dyDescent="0.35">
      <c r="AL690" s="20"/>
    </row>
    <row r="691" spans="38:38" x14ac:dyDescent="0.35">
      <c r="AL691" s="20"/>
    </row>
    <row r="692" spans="38:38" x14ac:dyDescent="0.35">
      <c r="AL692" s="20"/>
    </row>
    <row r="693" spans="38:38" x14ac:dyDescent="0.35">
      <c r="AL693" s="20"/>
    </row>
    <row r="694" spans="38:38" x14ac:dyDescent="0.35">
      <c r="AL694" s="20"/>
    </row>
    <row r="695" spans="38:38" x14ac:dyDescent="0.35">
      <c r="AL695" s="20"/>
    </row>
    <row r="696" spans="38:38" x14ac:dyDescent="0.35">
      <c r="AL696" s="20"/>
    </row>
    <row r="697" spans="38:38" x14ac:dyDescent="0.35">
      <c r="AL697" s="20"/>
    </row>
    <row r="698" spans="38:38" x14ac:dyDescent="0.35">
      <c r="AL698" s="20"/>
    </row>
    <row r="699" spans="38:38" x14ac:dyDescent="0.35">
      <c r="AL699" s="20"/>
    </row>
    <row r="700" spans="38:38" x14ac:dyDescent="0.35">
      <c r="AL700" s="20"/>
    </row>
    <row r="701" spans="38:38" x14ac:dyDescent="0.35">
      <c r="AL701" s="20"/>
    </row>
    <row r="702" spans="38:38" x14ac:dyDescent="0.35">
      <c r="AL702" s="20"/>
    </row>
    <row r="703" spans="38:38" x14ac:dyDescent="0.35">
      <c r="AL703" s="20"/>
    </row>
    <row r="704" spans="38:38" x14ac:dyDescent="0.35">
      <c r="AL704" s="20"/>
    </row>
    <row r="705" spans="38:38" x14ac:dyDescent="0.35">
      <c r="AL705" s="20"/>
    </row>
    <row r="706" spans="38:38" x14ac:dyDescent="0.35">
      <c r="AL706" s="20"/>
    </row>
    <row r="707" spans="38:38" x14ac:dyDescent="0.35">
      <c r="AL707" s="20"/>
    </row>
    <row r="708" spans="38:38" x14ac:dyDescent="0.35">
      <c r="AL708" s="20"/>
    </row>
    <row r="709" spans="38:38" x14ac:dyDescent="0.35">
      <c r="AL709" s="20"/>
    </row>
    <row r="710" spans="38:38" x14ac:dyDescent="0.35">
      <c r="AL710" s="20"/>
    </row>
    <row r="711" spans="38:38" x14ac:dyDescent="0.35">
      <c r="AL711" s="20"/>
    </row>
    <row r="712" spans="38:38" x14ac:dyDescent="0.35">
      <c r="AL712" s="20"/>
    </row>
    <row r="713" spans="38:38" x14ac:dyDescent="0.35">
      <c r="AL713" s="20"/>
    </row>
    <row r="714" spans="38:38" x14ac:dyDescent="0.35">
      <c r="AL714" s="20"/>
    </row>
    <row r="715" spans="38:38" x14ac:dyDescent="0.35">
      <c r="AL715" s="20"/>
    </row>
    <row r="716" spans="38:38" x14ac:dyDescent="0.35">
      <c r="AL716" s="20"/>
    </row>
    <row r="717" spans="38:38" x14ac:dyDescent="0.35">
      <c r="AL717" s="20"/>
    </row>
    <row r="718" spans="38:38" x14ac:dyDescent="0.35">
      <c r="AL718" s="20"/>
    </row>
    <row r="719" spans="38:38" x14ac:dyDescent="0.35">
      <c r="AL719" s="20"/>
    </row>
    <row r="720" spans="38:38" x14ac:dyDescent="0.35">
      <c r="AL720" s="20"/>
    </row>
    <row r="721" spans="38:38" x14ac:dyDescent="0.35">
      <c r="AL721" s="20"/>
    </row>
    <row r="722" spans="38:38" x14ac:dyDescent="0.35">
      <c r="AL722" s="20"/>
    </row>
    <row r="723" spans="38:38" x14ac:dyDescent="0.35">
      <c r="AL723" s="20"/>
    </row>
    <row r="724" spans="38:38" x14ac:dyDescent="0.35">
      <c r="AL724" s="20"/>
    </row>
    <row r="725" spans="38:38" x14ac:dyDescent="0.35">
      <c r="AL725" s="20"/>
    </row>
    <row r="726" spans="38:38" x14ac:dyDescent="0.35">
      <c r="AL726" s="20"/>
    </row>
    <row r="727" spans="38:38" x14ac:dyDescent="0.35">
      <c r="AL727" s="20"/>
    </row>
    <row r="728" spans="38:38" x14ac:dyDescent="0.35">
      <c r="AL728" s="20"/>
    </row>
    <row r="729" spans="38:38" x14ac:dyDescent="0.35">
      <c r="AL729" s="20"/>
    </row>
    <row r="730" spans="38:38" x14ac:dyDescent="0.35">
      <c r="AL730" s="20"/>
    </row>
    <row r="731" spans="38:38" x14ac:dyDescent="0.35">
      <c r="AL731" s="20"/>
    </row>
    <row r="732" spans="38:38" x14ac:dyDescent="0.35">
      <c r="AL732" s="20"/>
    </row>
    <row r="733" spans="38:38" x14ac:dyDescent="0.35">
      <c r="AL733" s="20"/>
    </row>
    <row r="734" spans="38:38" x14ac:dyDescent="0.35">
      <c r="AL734" s="20"/>
    </row>
    <row r="735" spans="38:38" x14ac:dyDescent="0.35">
      <c r="AL735" s="20"/>
    </row>
    <row r="736" spans="38:38" x14ac:dyDescent="0.35">
      <c r="AL736" s="20"/>
    </row>
    <row r="737" spans="38:38" x14ac:dyDescent="0.35">
      <c r="AL737" s="20"/>
    </row>
    <row r="738" spans="38:38" x14ac:dyDescent="0.35">
      <c r="AL738" s="20"/>
    </row>
    <row r="739" spans="38:38" x14ac:dyDescent="0.35">
      <c r="AL739" s="20"/>
    </row>
    <row r="740" spans="38:38" x14ac:dyDescent="0.35">
      <c r="AL740" s="20"/>
    </row>
    <row r="741" spans="38:38" x14ac:dyDescent="0.35">
      <c r="AL741" s="20"/>
    </row>
    <row r="742" spans="38:38" x14ac:dyDescent="0.35">
      <c r="AL742" s="20"/>
    </row>
    <row r="743" spans="38:38" x14ac:dyDescent="0.35">
      <c r="AL743" s="20"/>
    </row>
    <row r="744" spans="38:38" x14ac:dyDescent="0.35">
      <c r="AL744" s="20"/>
    </row>
    <row r="745" spans="38:38" x14ac:dyDescent="0.35">
      <c r="AL745" s="20"/>
    </row>
    <row r="746" spans="38:38" x14ac:dyDescent="0.35">
      <c r="AL746" s="20"/>
    </row>
    <row r="747" spans="38:38" x14ac:dyDescent="0.35">
      <c r="AL747" s="20"/>
    </row>
    <row r="748" spans="38:38" x14ac:dyDescent="0.35">
      <c r="AL748" s="20"/>
    </row>
    <row r="749" spans="38:38" x14ac:dyDescent="0.35">
      <c r="AL749" s="20"/>
    </row>
    <row r="750" spans="38:38" x14ac:dyDescent="0.35">
      <c r="AL750" s="20"/>
    </row>
    <row r="751" spans="38:38" x14ac:dyDescent="0.35">
      <c r="AL751" s="20"/>
    </row>
    <row r="752" spans="38:38" x14ac:dyDescent="0.35">
      <c r="AL752" s="20"/>
    </row>
    <row r="753" spans="38:38" x14ac:dyDescent="0.35">
      <c r="AL753" s="20"/>
    </row>
    <row r="754" spans="38:38" x14ac:dyDescent="0.35">
      <c r="AL754" s="20"/>
    </row>
    <row r="755" spans="38:38" x14ac:dyDescent="0.35">
      <c r="AL755" s="20"/>
    </row>
    <row r="756" spans="38:38" x14ac:dyDescent="0.35">
      <c r="AL756" s="20"/>
    </row>
    <row r="757" spans="38:38" x14ac:dyDescent="0.35">
      <c r="AL757" s="20"/>
    </row>
    <row r="758" spans="38:38" x14ac:dyDescent="0.35">
      <c r="AL758" s="20"/>
    </row>
    <row r="759" spans="38:38" x14ac:dyDescent="0.35">
      <c r="AL759" s="20"/>
    </row>
    <row r="760" spans="38:38" x14ac:dyDescent="0.35">
      <c r="AL760" s="20"/>
    </row>
    <row r="761" spans="38:38" x14ac:dyDescent="0.35">
      <c r="AL761" s="20"/>
    </row>
    <row r="762" spans="38:38" x14ac:dyDescent="0.35">
      <c r="AL762" s="20"/>
    </row>
    <row r="763" spans="38:38" x14ac:dyDescent="0.35">
      <c r="AL763" s="20"/>
    </row>
    <row r="764" spans="38:38" x14ac:dyDescent="0.35">
      <c r="AL764" s="20"/>
    </row>
    <row r="765" spans="38:38" x14ac:dyDescent="0.35">
      <c r="AL765" s="20"/>
    </row>
    <row r="766" spans="38:38" x14ac:dyDescent="0.35">
      <c r="AL766" s="20"/>
    </row>
    <row r="767" spans="38:38" x14ac:dyDescent="0.35">
      <c r="AL767" s="20"/>
    </row>
    <row r="768" spans="38:38" x14ac:dyDescent="0.35">
      <c r="AL768" s="20"/>
    </row>
    <row r="769" spans="38:38" x14ac:dyDescent="0.35">
      <c r="AL769" s="20"/>
    </row>
    <row r="770" spans="38:38" x14ac:dyDescent="0.35">
      <c r="AL770" s="20"/>
    </row>
    <row r="771" spans="38:38" x14ac:dyDescent="0.35">
      <c r="AL771" s="20"/>
    </row>
    <row r="772" spans="38:38" x14ac:dyDescent="0.35">
      <c r="AL772" s="20"/>
    </row>
    <row r="773" spans="38:38" x14ac:dyDescent="0.35">
      <c r="AL773" s="20"/>
    </row>
    <row r="774" spans="38:38" x14ac:dyDescent="0.35">
      <c r="AL774" s="20"/>
    </row>
    <row r="775" spans="38:38" x14ac:dyDescent="0.35">
      <c r="AL775" s="20"/>
    </row>
    <row r="776" spans="38:38" x14ac:dyDescent="0.35">
      <c r="AL776" s="20"/>
    </row>
    <row r="777" spans="38:38" x14ac:dyDescent="0.35">
      <c r="AL777" s="20"/>
    </row>
    <row r="778" spans="38:38" x14ac:dyDescent="0.35">
      <c r="AL778" s="20"/>
    </row>
    <row r="779" spans="38:38" x14ac:dyDescent="0.35">
      <c r="AL779" s="20"/>
    </row>
    <row r="780" spans="38:38" x14ac:dyDescent="0.35">
      <c r="AL780" s="20"/>
    </row>
    <row r="781" spans="38:38" x14ac:dyDescent="0.35">
      <c r="AL781" s="20"/>
    </row>
    <row r="782" spans="38:38" x14ac:dyDescent="0.35">
      <c r="AL782" s="20"/>
    </row>
    <row r="783" spans="38:38" x14ac:dyDescent="0.35">
      <c r="AL783" s="20"/>
    </row>
    <row r="784" spans="38:38" x14ac:dyDescent="0.35">
      <c r="AL784" s="20"/>
    </row>
    <row r="785" spans="38:38" x14ac:dyDescent="0.35">
      <c r="AL785" s="20"/>
    </row>
    <row r="786" spans="38:38" x14ac:dyDescent="0.35">
      <c r="AL786" s="20"/>
    </row>
    <row r="787" spans="38:38" x14ac:dyDescent="0.35">
      <c r="AL787" s="20"/>
    </row>
    <row r="788" spans="38:38" x14ac:dyDescent="0.35">
      <c r="AL788" s="20"/>
    </row>
    <row r="789" spans="38:38" x14ac:dyDescent="0.35">
      <c r="AL789" s="20"/>
    </row>
    <row r="790" spans="38:38" x14ac:dyDescent="0.35">
      <c r="AL790" s="20"/>
    </row>
    <row r="791" spans="38:38" x14ac:dyDescent="0.35">
      <c r="AL791" s="20"/>
    </row>
    <row r="792" spans="38:38" x14ac:dyDescent="0.35">
      <c r="AL792" s="20"/>
    </row>
    <row r="793" spans="38:38" x14ac:dyDescent="0.35">
      <c r="AL793" s="20"/>
    </row>
    <row r="794" spans="38:38" x14ac:dyDescent="0.35">
      <c r="AL794" s="20"/>
    </row>
    <row r="795" spans="38:38" x14ac:dyDescent="0.35">
      <c r="AL795" s="20"/>
    </row>
    <row r="796" spans="38:38" x14ac:dyDescent="0.35">
      <c r="AL796" s="20"/>
    </row>
    <row r="797" spans="38:38" x14ac:dyDescent="0.35">
      <c r="AL797" s="20"/>
    </row>
    <row r="798" spans="38:38" x14ac:dyDescent="0.35">
      <c r="AL798" s="20"/>
    </row>
    <row r="799" spans="38:38" x14ac:dyDescent="0.35">
      <c r="AL799" s="20"/>
    </row>
    <row r="800" spans="38:38" x14ac:dyDescent="0.35">
      <c r="AL800" s="20"/>
    </row>
    <row r="801" spans="38:38" x14ac:dyDescent="0.35">
      <c r="AL801" s="20"/>
    </row>
    <row r="802" spans="38:38" x14ac:dyDescent="0.35">
      <c r="AL802" s="20"/>
    </row>
    <row r="803" spans="38:38" x14ac:dyDescent="0.35">
      <c r="AL803" s="20"/>
    </row>
    <row r="804" spans="38:38" x14ac:dyDescent="0.35">
      <c r="AL804" s="20"/>
    </row>
    <row r="805" spans="38:38" x14ac:dyDescent="0.35">
      <c r="AL805" s="20"/>
    </row>
    <row r="806" spans="38:38" x14ac:dyDescent="0.35">
      <c r="AL806" s="20"/>
    </row>
    <row r="807" spans="38:38" x14ac:dyDescent="0.35">
      <c r="AL807" s="20"/>
    </row>
    <row r="808" spans="38:38" x14ac:dyDescent="0.35">
      <c r="AL808" s="20"/>
    </row>
    <row r="809" spans="38:38" x14ac:dyDescent="0.35">
      <c r="AL809" s="20"/>
    </row>
    <row r="810" spans="38:38" x14ac:dyDescent="0.35">
      <c r="AL810" s="20"/>
    </row>
    <row r="811" spans="38:38" x14ac:dyDescent="0.35">
      <c r="AL811" s="20"/>
    </row>
    <row r="812" spans="38:38" x14ac:dyDescent="0.35">
      <c r="AL812" s="20"/>
    </row>
    <row r="813" spans="38:38" x14ac:dyDescent="0.35">
      <c r="AL813" s="20"/>
    </row>
    <row r="814" spans="38:38" x14ac:dyDescent="0.35">
      <c r="AL814" s="20"/>
    </row>
    <row r="815" spans="38:38" x14ac:dyDescent="0.35">
      <c r="AL815" s="20"/>
    </row>
    <row r="816" spans="38:38" x14ac:dyDescent="0.35">
      <c r="AL816" s="20"/>
    </row>
    <row r="817" spans="38:38" x14ac:dyDescent="0.35">
      <c r="AL817" s="20"/>
    </row>
    <row r="818" spans="38:38" x14ac:dyDescent="0.35">
      <c r="AL818" s="20"/>
    </row>
    <row r="819" spans="38:38" x14ac:dyDescent="0.35">
      <c r="AL819" s="20"/>
    </row>
    <row r="820" spans="38:38" x14ac:dyDescent="0.35">
      <c r="AL820" s="20"/>
    </row>
    <row r="821" spans="38:38" x14ac:dyDescent="0.35">
      <c r="AL821" s="20"/>
    </row>
    <row r="822" spans="38:38" x14ac:dyDescent="0.35">
      <c r="AL822" s="20"/>
    </row>
    <row r="823" spans="38:38" x14ac:dyDescent="0.35">
      <c r="AL823" s="20"/>
    </row>
    <row r="824" spans="38:38" x14ac:dyDescent="0.35">
      <c r="AL824" s="20"/>
    </row>
    <row r="825" spans="38:38" x14ac:dyDescent="0.35">
      <c r="AL825" s="20"/>
    </row>
    <row r="826" spans="38:38" x14ac:dyDescent="0.35">
      <c r="AL826" s="20"/>
    </row>
    <row r="827" spans="38:38" x14ac:dyDescent="0.35">
      <c r="AL827" s="20"/>
    </row>
    <row r="828" spans="38:38" x14ac:dyDescent="0.35">
      <c r="AL828" s="20"/>
    </row>
    <row r="829" spans="38:38" x14ac:dyDescent="0.35">
      <c r="AL829" s="20"/>
    </row>
    <row r="830" spans="38:38" x14ac:dyDescent="0.35">
      <c r="AL830" s="20"/>
    </row>
    <row r="831" spans="38:38" x14ac:dyDescent="0.35">
      <c r="AL831" s="20"/>
    </row>
    <row r="832" spans="38:38" x14ac:dyDescent="0.35">
      <c r="AL832" s="20"/>
    </row>
    <row r="833" spans="38:38" x14ac:dyDescent="0.35">
      <c r="AL833" s="20"/>
    </row>
    <row r="834" spans="38:38" x14ac:dyDescent="0.35">
      <c r="AL834" s="20"/>
    </row>
    <row r="835" spans="38:38" x14ac:dyDescent="0.35">
      <c r="AL835" s="20"/>
    </row>
    <row r="836" spans="38:38" x14ac:dyDescent="0.35">
      <c r="AL836" s="20"/>
    </row>
    <row r="837" spans="38:38" x14ac:dyDescent="0.35">
      <c r="AL837" s="20"/>
    </row>
    <row r="838" spans="38:38" x14ac:dyDescent="0.35">
      <c r="AL838" s="20"/>
    </row>
    <row r="839" spans="38:38" x14ac:dyDescent="0.35">
      <c r="AL839" s="20"/>
    </row>
    <row r="840" spans="38:38" x14ac:dyDescent="0.35">
      <c r="AL840" s="20"/>
    </row>
    <row r="841" spans="38:38" x14ac:dyDescent="0.35">
      <c r="AL841" s="20"/>
    </row>
    <row r="842" spans="38:38" x14ac:dyDescent="0.35">
      <c r="AL842" s="20"/>
    </row>
    <row r="843" spans="38:38" x14ac:dyDescent="0.35">
      <c r="AL843" s="20"/>
    </row>
    <row r="844" spans="38:38" x14ac:dyDescent="0.35">
      <c r="AL844" s="20"/>
    </row>
    <row r="845" spans="38:38" x14ac:dyDescent="0.35">
      <c r="AL845" s="20"/>
    </row>
    <row r="846" spans="38:38" x14ac:dyDescent="0.35">
      <c r="AL846" s="20"/>
    </row>
    <row r="847" spans="38:38" x14ac:dyDescent="0.35">
      <c r="AL847" s="20"/>
    </row>
    <row r="848" spans="38:38" x14ac:dyDescent="0.35">
      <c r="AL848" s="20"/>
    </row>
    <row r="849" spans="38:38" x14ac:dyDescent="0.35">
      <c r="AL849" s="20"/>
    </row>
    <row r="850" spans="38:38" x14ac:dyDescent="0.35">
      <c r="AL850" s="20"/>
    </row>
    <row r="851" spans="38:38" x14ac:dyDescent="0.35">
      <c r="AL851" s="20"/>
    </row>
    <row r="852" spans="38:38" x14ac:dyDescent="0.35">
      <c r="AL852" s="20"/>
    </row>
    <row r="853" spans="38:38" x14ac:dyDescent="0.35">
      <c r="AL853" s="20"/>
    </row>
    <row r="854" spans="38:38" x14ac:dyDescent="0.35">
      <c r="AL854" s="20"/>
    </row>
    <row r="855" spans="38:38" x14ac:dyDescent="0.35">
      <c r="AL855" s="20"/>
    </row>
    <row r="856" spans="38:38" x14ac:dyDescent="0.35">
      <c r="AL856" s="20"/>
    </row>
    <row r="857" spans="38:38" x14ac:dyDescent="0.35">
      <c r="AL857" s="20"/>
    </row>
    <row r="858" spans="38:38" x14ac:dyDescent="0.35">
      <c r="AL858" s="20"/>
    </row>
    <row r="859" spans="38:38" x14ac:dyDescent="0.35">
      <c r="AL859" s="20"/>
    </row>
    <row r="860" spans="38:38" x14ac:dyDescent="0.35">
      <c r="AL860" s="20"/>
    </row>
    <row r="861" spans="38:38" x14ac:dyDescent="0.35">
      <c r="AL861" s="20"/>
    </row>
    <row r="862" spans="38:38" x14ac:dyDescent="0.35">
      <c r="AL862" s="20"/>
    </row>
    <row r="863" spans="38:38" x14ac:dyDescent="0.35">
      <c r="AL863" s="20"/>
    </row>
    <row r="864" spans="38:38" x14ac:dyDescent="0.35">
      <c r="AL864" s="20"/>
    </row>
    <row r="865" spans="38:38" x14ac:dyDescent="0.35">
      <c r="AL865" s="20"/>
    </row>
    <row r="866" spans="38:38" x14ac:dyDescent="0.35">
      <c r="AL866" s="20"/>
    </row>
    <row r="867" spans="38:38" x14ac:dyDescent="0.35">
      <c r="AL867" s="20"/>
    </row>
    <row r="868" spans="38:38" x14ac:dyDescent="0.35">
      <c r="AL868" s="20"/>
    </row>
    <row r="869" spans="38:38" x14ac:dyDescent="0.35">
      <c r="AL869" s="20"/>
    </row>
    <row r="870" spans="38:38" x14ac:dyDescent="0.35">
      <c r="AL870" s="20"/>
    </row>
    <row r="871" spans="38:38" x14ac:dyDescent="0.35">
      <c r="AL871" s="20"/>
    </row>
    <row r="872" spans="38:38" x14ac:dyDescent="0.35">
      <c r="AL872" s="20"/>
    </row>
    <row r="873" spans="38:38" x14ac:dyDescent="0.35">
      <c r="AL873" s="20"/>
    </row>
    <row r="874" spans="38:38" x14ac:dyDescent="0.35">
      <c r="AL874" s="20"/>
    </row>
    <row r="875" spans="38:38" x14ac:dyDescent="0.35">
      <c r="AL875" s="20"/>
    </row>
    <row r="876" spans="38:38" x14ac:dyDescent="0.35">
      <c r="AL876" s="20"/>
    </row>
    <row r="877" spans="38:38" x14ac:dyDescent="0.35">
      <c r="AL877" s="20"/>
    </row>
    <row r="878" spans="38:38" x14ac:dyDescent="0.35">
      <c r="AL878" s="20"/>
    </row>
    <row r="879" spans="38:38" x14ac:dyDescent="0.35">
      <c r="AL879" s="20"/>
    </row>
    <row r="880" spans="38:38" x14ac:dyDescent="0.35">
      <c r="AL880" s="20"/>
    </row>
    <row r="881" spans="38:38" x14ac:dyDescent="0.35">
      <c r="AL881" s="20"/>
    </row>
    <row r="882" spans="38:38" x14ac:dyDescent="0.35">
      <c r="AL882" s="20"/>
    </row>
    <row r="883" spans="38:38" x14ac:dyDescent="0.35">
      <c r="AL883" s="20"/>
    </row>
    <row r="884" spans="38:38" x14ac:dyDescent="0.35">
      <c r="AL884" s="20"/>
    </row>
    <row r="885" spans="38:38" x14ac:dyDescent="0.35">
      <c r="AL885" s="20"/>
    </row>
    <row r="886" spans="38:38" x14ac:dyDescent="0.35">
      <c r="AL886" s="20"/>
    </row>
    <row r="887" spans="38:38" x14ac:dyDescent="0.35">
      <c r="AL887" s="20"/>
    </row>
    <row r="888" spans="38:38" x14ac:dyDescent="0.35">
      <c r="AL888" s="20"/>
    </row>
    <row r="889" spans="38:38" x14ac:dyDescent="0.35">
      <c r="AL889" s="20"/>
    </row>
    <row r="890" spans="38:38" x14ac:dyDescent="0.35">
      <c r="AL890" s="20"/>
    </row>
    <row r="891" spans="38:38" x14ac:dyDescent="0.35">
      <c r="AL891" s="20"/>
    </row>
    <row r="892" spans="38:38" x14ac:dyDescent="0.35">
      <c r="AL892" s="20"/>
    </row>
    <row r="893" spans="38:38" x14ac:dyDescent="0.35">
      <c r="AL893" s="20"/>
    </row>
    <row r="894" spans="38:38" x14ac:dyDescent="0.35">
      <c r="AL894" s="20"/>
    </row>
    <row r="895" spans="38:38" x14ac:dyDescent="0.35">
      <c r="AL895" s="20"/>
    </row>
    <row r="896" spans="38:38" x14ac:dyDescent="0.35">
      <c r="AL896" s="20"/>
    </row>
    <row r="897" spans="38:38" x14ac:dyDescent="0.35">
      <c r="AL897" s="20"/>
    </row>
    <row r="898" spans="38:38" x14ac:dyDescent="0.35">
      <c r="AL898" s="20"/>
    </row>
    <row r="899" spans="38:38" x14ac:dyDescent="0.35">
      <c r="AL899" s="20"/>
    </row>
    <row r="900" spans="38:38" x14ac:dyDescent="0.35">
      <c r="AL900" s="20"/>
    </row>
    <row r="901" spans="38:38" x14ac:dyDescent="0.35">
      <c r="AL901" s="20"/>
    </row>
    <row r="902" spans="38:38" x14ac:dyDescent="0.35">
      <c r="AL902" s="20"/>
    </row>
    <row r="903" spans="38:38" x14ac:dyDescent="0.35">
      <c r="AL903" s="20"/>
    </row>
    <row r="904" spans="38:38" x14ac:dyDescent="0.35">
      <c r="AL904" s="20"/>
    </row>
    <row r="905" spans="38:38" x14ac:dyDescent="0.35">
      <c r="AL905" s="20"/>
    </row>
    <row r="906" spans="38:38" x14ac:dyDescent="0.35">
      <c r="AL906" s="20"/>
    </row>
    <row r="907" spans="38:38" x14ac:dyDescent="0.35">
      <c r="AL907" s="20"/>
    </row>
    <row r="908" spans="38:38" x14ac:dyDescent="0.35">
      <c r="AL908" s="20"/>
    </row>
    <row r="909" spans="38:38" x14ac:dyDescent="0.35">
      <c r="AL909" s="20"/>
    </row>
    <row r="910" spans="38:38" x14ac:dyDescent="0.35">
      <c r="AL910" s="20"/>
    </row>
    <row r="911" spans="38:38" x14ac:dyDescent="0.35">
      <c r="AL911" s="20"/>
    </row>
    <row r="912" spans="38:38" x14ac:dyDescent="0.35">
      <c r="AL912" s="20"/>
    </row>
    <row r="913" spans="38:38" x14ac:dyDescent="0.35">
      <c r="AL913" s="20"/>
    </row>
    <row r="914" spans="38:38" x14ac:dyDescent="0.35">
      <c r="AL914" s="20"/>
    </row>
    <row r="915" spans="38:38" x14ac:dyDescent="0.35">
      <c r="AL915" s="20"/>
    </row>
    <row r="916" spans="38:38" x14ac:dyDescent="0.35">
      <c r="AL916" s="20"/>
    </row>
    <row r="917" spans="38:38" x14ac:dyDescent="0.35">
      <c r="AL917" s="20"/>
    </row>
    <row r="918" spans="38:38" x14ac:dyDescent="0.35">
      <c r="AL918" s="20"/>
    </row>
    <row r="919" spans="38:38" x14ac:dyDescent="0.35">
      <c r="AL919" s="20"/>
    </row>
    <row r="920" spans="38:38" x14ac:dyDescent="0.35">
      <c r="AL920" s="20"/>
    </row>
    <row r="921" spans="38:38" x14ac:dyDescent="0.35">
      <c r="AL921" s="20"/>
    </row>
    <row r="922" spans="38:38" x14ac:dyDescent="0.35">
      <c r="AL922" s="20"/>
    </row>
    <row r="923" spans="38:38" x14ac:dyDescent="0.35">
      <c r="AL923" s="20"/>
    </row>
    <row r="924" spans="38:38" x14ac:dyDescent="0.35">
      <c r="AL924" s="20"/>
    </row>
    <row r="925" spans="38:38" x14ac:dyDescent="0.35">
      <c r="AL925" s="20"/>
    </row>
    <row r="926" spans="38:38" x14ac:dyDescent="0.35">
      <c r="AL926" s="20"/>
    </row>
    <row r="927" spans="38:38" x14ac:dyDescent="0.35">
      <c r="AL927" s="20"/>
    </row>
    <row r="928" spans="38:38" x14ac:dyDescent="0.35">
      <c r="AL928" s="20"/>
    </row>
    <row r="929" spans="38:38" x14ac:dyDescent="0.35">
      <c r="AL929" s="20"/>
    </row>
    <row r="930" spans="38:38" x14ac:dyDescent="0.35">
      <c r="AL930" s="20"/>
    </row>
    <row r="931" spans="38:38" x14ac:dyDescent="0.35">
      <c r="AL931" s="20"/>
    </row>
    <row r="932" spans="38:38" x14ac:dyDescent="0.35">
      <c r="AL932" s="20"/>
    </row>
    <row r="933" spans="38:38" x14ac:dyDescent="0.35">
      <c r="AL933" s="20"/>
    </row>
    <row r="934" spans="38:38" x14ac:dyDescent="0.35">
      <c r="AL934" s="20"/>
    </row>
    <row r="935" spans="38:38" x14ac:dyDescent="0.35">
      <c r="AL935" s="20"/>
    </row>
    <row r="936" spans="38:38" x14ac:dyDescent="0.35">
      <c r="AL936" s="20"/>
    </row>
    <row r="937" spans="38:38" x14ac:dyDescent="0.35">
      <c r="AL937" s="20"/>
    </row>
    <row r="938" spans="38:38" x14ac:dyDescent="0.35">
      <c r="AL938" s="20"/>
    </row>
    <row r="939" spans="38:38" x14ac:dyDescent="0.35">
      <c r="AL939" s="20"/>
    </row>
    <row r="940" spans="38:38" x14ac:dyDescent="0.35">
      <c r="AL940" s="20"/>
    </row>
    <row r="941" spans="38:38" x14ac:dyDescent="0.35">
      <c r="AL941" s="20"/>
    </row>
    <row r="942" spans="38:38" x14ac:dyDescent="0.35">
      <c r="AL942" s="20"/>
    </row>
    <row r="943" spans="38:38" x14ac:dyDescent="0.35">
      <c r="AL943" s="20"/>
    </row>
    <row r="944" spans="38:38" x14ac:dyDescent="0.35">
      <c r="AL944" s="20"/>
    </row>
    <row r="945" spans="38:38" x14ac:dyDescent="0.35">
      <c r="AL945" s="20"/>
    </row>
    <row r="946" spans="38:38" x14ac:dyDescent="0.35">
      <c r="AL946" s="20"/>
    </row>
    <row r="947" spans="38:38" x14ac:dyDescent="0.35">
      <c r="AL947" s="20"/>
    </row>
    <row r="948" spans="38:38" x14ac:dyDescent="0.35">
      <c r="AL948" s="20"/>
    </row>
    <row r="949" spans="38:38" x14ac:dyDescent="0.35">
      <c r="AL949" s="20"/>
    </row>
    <row r="950" spans="38:38" x14ac:dyDescent="0.35">
      <c r="AL950" s="20"/>
    </row>
    <row r="951" spans="38:38" x14ac:dyDescent="0.35">
      <c r="AL951" s="20"/>
    </row>
    <row r="952" spans="38:38" x14ac:dyDescent="0.35">
      <c r="AL952" s="20"/>
    </row>
    <row r="953" spans="38:38" x14ac:dyDescent="0.35">
      <c r="AL953" s="20"/>
    </row>
    <row r="954" spans="38:38" x14ac:dyDescent="0.35">
      <c r="AL954" s="20"/>
    </row>
    <row r="955" spans="38:38" x14ac:dyDescent="0.35">
      <c r="AL955" s="20"/>
    </row>
    <row r="956" spans="38:38" x14ac:dyDescent="0.35">
      <c r="AL956" s="20"/>
    </row>
    <row r="957" spans="38:38" x14ac:dyDescent="0.35">
      <c r="AL957" s="20"/>
    </row>
    <row r="958" spans="38:38" x14ac:dyDescent="0.35">
      <c r="AL958" s="20"/>
    </row>
    <row r="959" spans="38:38" x14ac:dyDescent="0.35">
      <c r="AL959" s="20"/>
    </row>
    <row r="960" spans="38:38" x14ac:dyDescent="0.35">
      <c r="AL960" s="20"/>
    </row>
    <row r="961" spans="38:38" x14ac:dyDescent="0.35">
      <c r="AL961" s="20"/>
    </row>
    <row r="962" spans="38:38" x14ac:dyDescent="0.35">
      <c r="AL962" s="20"/>
    </row>
    <row r="963" spans="38:38" x14ac:dyDescent="0.35">
      <c r="AL963" s="20"/>
    </row>
    <row r="964" spans="38:38" x14ac:dyDescent="0.35">
      <c r="AL964" s="20"/>
    </row>
    <row r="965" spans="38:38" x14ac:dyDescent="0.35">
      <c r="AL965" s="20"/>
    </row>
    <row r="966" spans="38:38" x14ac:dyDescent="0.35">
      <c r="AL966" s="20"/>
    </row>
    <row r="967" spans="38:38" x14ac:dyDescent="0.35">
      <c r="AL967" s="20"/>
    </row>
    <row r="968" spans="38:38" x14ac:dyDescent="0.35">
      <c r="AL968" s="20"/>
    </row>
    <row r="969" spans="38:38" x14ac:dyDescent="0.35">
      <c r="AL969" s="20"/>
    </row>
    <row r="970" spans="38:38" x14ac:dyDescent="0.35">
      <c r="AL970" s="20"/>
    </row>
    <row r="971" spans="38:38" x14ac:dyDescent="0.35">
      <c r="AL971" s="20"/>
    </row>
    <row r="972" spans="38:38" x14ac:dyDescent="0.35">
      <c r="AL972" s="20"/>
    </row>
    <row r="973" spans="38:38" x14ac:dyDescent="0.35">
      <c r="AL973" s="20"/>
    </row>
    <row r="974" spans="38:38" x14ac:dyDescent="0.35">
      <c r="AL974" s="20"/>
    </row>
    <row r="975" spans="38:38" x14ac:dyDescent="0.35">
      <c r="AL975" s="20"/>
    </row>
    <row r="976" spans="38:38" x14ac:dyDescent="0.35">
      <c r="AL976" s="20"/>
    </row>
    <row r="977" spans="38:38" x14ac:dyDescent="0.35">
      <c r="AL977" s="20"/>
    </row>
    <row r="978" spans="38:38" x14ac:dyDescent="0.35">
      <c r="AL978" s="20"/>
    </row>
    <row r="979" spans="38:38" x14ac:dyDescent="0.35">
      <c r="AL979" s="20"/>
    </row>
    <row r="980" spans="38:38" x14ac:dyDescent="0.35">
      <c r="AL980" s="20"/>
    </row>
    <row r="981" spans="38:38" x14ac:dyDescent="0.35">
      <c r="AL981" s="20"/>
    </row>
    <row r="982" spans="38:38" x14ac:dyDescent="0.35">
      <c r="AL982" s="20"/>
    </row>
    <row r="983" spans="38:38" x14ac:dyDescent="0.35">
      <c r="AL983" s="20"/>
    </row>
    <row r="984" spans="38:38" x14ac:dyDescent="0.35">
      <c r="AL984" s="20"/>
    </row>
    <row r="985" spans="38:38" x14ac:dyDescent="0.35">
      <c r="AL985" s="20"/>
    </row>
    <row r="986" spans="38:38" x14ac:dyDescent="0.35">
      <c r="AL986" s="20"/>
    </row>
    <row r="987" spans="38:38" x14ac:dyDescent="0.35">
      <c r="AL987" s="20"/>
    </row>
    <row r="988" spans="38:38" x14ac:dyDescent="0.35">
      <c r="AL988" s="20"/>
    </row>
    <row r="989" spans="38:38" x14ac:dyDescent="0.35">
      <c r="AL989" s="20"/>
    </row>
    <row r="990" spans="38:38" x14ac:dyDescent="0.35">
      <c r="AL990" s="20"/>
    </row>
    <row r="991" spans="38:38" x14ac:dyDescent="0.35">
      <c r="AL991" s="20"/>
    </row>
    <row r="992" spans="38:38" x14ac:dyDescent="0.35">
      <c r="AL992" s="20"/>
    </row>
    <row r="993" spans="38:38" x14ac:dyDescent="0.35">
      <c r="AL993" s="20"/>
    </row>
    <row r="994" spans="38:38" x14ac:dyDescent="0.35">
      <c r="AL994" s="20"/>
    </row>
    <row r="995" spans="38:38" x14ac:dyDescent="0.35">
      <c r="AL995" s="20"/>
    </row>
    <row r="996" spans="38:38" x14ac:dyDescent="0.35">
      <c r="AL996" s="20"/>
    </row>
    <row r="997" spans="38:38" x14ac:dyDescent="0.35">
      <c r="AL997" s="20"/>
    </row>
    <row r="998" spans="38:38" x14ac:dyDescent="0.35">
      <c r="AL998" s="20"/>
    </row>
    <row r="999" spans="38:38" x14ac:dyDescent="0.35">
      <c r="AL999" s="20"/>
    </row>
    <row r="1000" spans="38:38" x14ac:dyDescent="0.35">
      <c r="AL1000" s="20"/>
    </row>
    <row r="1001" spans="38:38" x14ac:dyDescent="0.35">
      <c r="AL1001" s="20"/>
    </row>
    <row r="1002" spans="38:38" x14ac:dyDescent="0.35">
      <c r="AL1002" s="20"/>
    </row>
    <row r="1003" spans="38:38" x14ac:dyDescent="0.35">
      <c r="AL1003" s="20"/>
    </row>
    <row r="1004" spans="38:38" x14ac:dyDescent="0.35">
      <c r="AL1004" s="20"/>
    </row>
    <row r="1005" spans="38:38" x14ac:dyDescent="0.35">
      <c r="AL1005" s="20"/>
    </row>
    <row r="1006" spans="38:38" x14ac:dyDescent="0.35">
      <c r="AL1006" s="20"/>
    </row>
    <row r="1007" spans="38:38" x14ac:dyDescent="0.35">
      <c r="AL1007" s="20"/>
    </row>
    <row r="1008" spans="38:38" x14ac:dyDescent="0.35">
      <c r="AL1008" s="20"/>
    </row>
    <row r="1009" spans="38:38" x14ac:dyDescent="0.35">
      <c r="AL1009" s="20"/>
    </row>
    <row r="1010" spans="38:38" x14ac:dyDescent="0.35">
      <c r="AL1010" s="20"/>
    </row>
    <row r="1011" spans="38:38" x14ac:dyDescent="0.35">
      <c r="AL1011" s="20"/>
    </row>
    <row r="1012" spans="38:38" x14ac:dyDescent="0.35">
      <c r="AL1012" s="20"/>
    </row>
    <row r="1013" spans="38:38" x14ac:dyDescent="0.35">
      <c r="AL1013" s="20"/>
    </row>
    <row r="1014" spans="38:38" x14ac:dyDescent="0.35">
      <c r="AL1014" s="20"/>
    </row>
    <row r="1015" spans="38:38" x14ac:dyDescent="0.35">
      <c r="AL1015" s="20"/>
    </row>
    <row r="1016" spans="38:38" x14ac:dyDescent="0.35">
      <c r="AL1016" s="20"/>
    </row>
    <row r="1017" spans="38:38" x14ac:dyDescent="0.35">
      <c r="AL1017" s="20"/>
    </row>
    <row r="1018" spans="38:38" x14ac:dyDescent="0.35">
      <c r="AL1018" s="20"/>
    </row>
    <row r="1019" spans="38:38" x14ac:dyDescent="0.35">
      <c r="AL1019" s="20"/>
    </row>
    <row r="1020" spans="38:38" x14ac:dyDescent="0.35">
      <c r="AL1020" s="20"/>
    </row>
    <row r="1021" spans="38:38" x14ac:dyDescent="0.35">
      <c r="AL1021" s="20"/>
    </row>
    <row r="1022" spans="38:38" x14ac:dyDescent="0.35">
      <c r="AL1022" s="20"/>
    </row>
    <row r="1023" spans="38:38" x14ac:dyDescent="0.35">
      <c r="AL1023" s="20"/>
    </row>
    <row r="1024" spans="38:38" x14ac:dyDescent="0.35">
      <c r="AL1024" s="20"/>
    </row>
    <row r="1025" spans="38:38" x14ac:dyDescent="0.35">
      <c r="AL1025" s="20"/>
    </row>
    <row r="1026" spans="38:38" x14ac:dyDescent="0.35">
      <c r="AL1026" s="20"/>
    </row>
    <row r="1027" spans="38:38" x14ac:dyDescent="0.35">
      <c r="AL1027" s="20"/>
    </row>
    <row r="1028" spans="38:38" x14ac:dyDescent="0.35">
      <c r="AL1028" s="20"/>
    </row>
    <row r="1029" spans="38:38" x14ac:dyDescent="0.35">
      <c r="AL1029" s="20"/>
    </row>
    <row r="1030" spans="38:38" x14ac:dyDescent="0.35">
      <c r="AL1030" s="20"/>
    </row>
    <row r="1031" spans="38:38" x14ac:dyDescent="0.35">
      <c r="AL1031" s="20"/>
    </row>
    <row r="1032" spans="38:38" x14ac:dyDescent="0.35">
      <c r="AL1032" s="20"/>
    </row>
    <row r="1033" spans="38:38" x14ac:dyDescent="0.35">
      <c r="AL1033" s="20"/>
    </row>
    <row r="1034" spans="38:38" x14ac:dyDescent="0.35">
      <c r="AL1034" s="20"/>
    </row>
    <row r="1035" spans="38:38" x14ac:dyDescent="0.35">
      <c r="AL1035" s="20"/>
    </row>
    <row r="1036" spans="38:38" x14ac:dyDescent="0.35">
      <c r="AL1036" s="20"/>
    </row>
    <row r="1037" spans="38:38" x14ac:dyDescent="0.35">
      <c r="AL1037" s="20"/>
    </row>
    <row r="1038" spans="38:38" x14ac:dyDescent="0.35">
      <c r="AL1038" s="20"/>
    </row>
    <row r="1039" spans="38:38" x14ac:dyDescent="0.35">
      <c r="AL1039" s="20"/>
    </row>
    <row r="1040" spans="38:38" x14ac:dyDescent="0.35">
      <c r="AL1040" s="20"/>
    </row>
    <row r="1041" spans="38:38" x14ac:dyDescent="0.35">
      <c r="AL1041" s="20"/>
    </row>
    <row r="1042" spans="38:38" x14ac:dyDescent="0.35">
      <c r="AL1042" s="20"/>
    </row>
    <row r="1043" spans="38:38" x14ac:dyDescent="0.35">
      <c r="AL1043" s="20"/>
    </row>
    <row r="1044" spans="38:38" x14ac:dyDescent="0.35">
      <c r="AL1044" s="20"/>
    </row>
    <row r="1045" spans="38:38" x14ac:dyDescent="0.35">
      <c r="AL1045" s="20"/>
    </row>
    <row r="1046" spans="38:38" x14ac:dyDescent="0.35">
      <c r="AL1046" s="20"/>
    </row>
    <row r="1047" spans="38:38" x14ac:dyDescent="0.35">
      <c r="AL1047" s="20"/>
    </row>
    <row r="1048" spans="38:38" x14ac:dyDescent="0.35">
      <c r="AL1048" s="20"/>
    </row>
    <row r="1049" spans="38:38" x14ac:dyDescent="0.35">
      <c r="AL1049" s="20"/>
    </row>
    <row r="1050" spans="38:38" x14ac:dyDescent="0.35">
      <c r="AL1050" s="20"/>
    </row>
    <row r="1051" spans="38:38" x14ac:dyDescent="0.35">
      <c r="AL1051" s="20"/>
    </row>
    <row r="1052" spans="38:38" x14ac:dyDescent="0.35">
      <c r="AL1052" s="20"/>
    </row>
    <row r="1053" spans="38:38" x14ac:dyDescent="0.35">
      <c r="AL1053" s="20"/>
    </row>
    <row r="1054" spans="38:38" x14ac:dyDescent="0.35">
      <c r="AL1054" s="20"/>
    </row>
    <row r="1055" spans="38:38" x14ac:dyDescent="0.35">
      <c r="AL1055" s="20"/>
    </row>
    <row r="1056" spans="38:38" x14ac:dyDescent="0.35">
      <c r="AL1056" s="20"/>
    </row>
    <row r="1057" spans="38:38" x14ac:dyDescent="0.35">
      <c r="AL1057" s="20"/>
    </row>
    <row r="1058" spans="38:38" x14ac:dyDescent="0.35">
      <c r="AL1058" s="20"/>
    </row>
    <row r="1059" spans="38:38" x14ac:dyDescent="0.35">
      <c r="AL1059" s="20"/>
    </row>
    <row r="1060" spans="38:38" x14ac:dyDescent="0.35">
      <c r="AL1060" s="20"/>
    </row>
    <row r="1061" spans="38:38" x14ac:dyDescent="0.35">
      <c r="AL1061" s="20"/>
    </row>
    <row r="1062" spans="38:38" x14ac:dyDescent="0.35">
      <c r="AL1062" s="20"/>
    </row>
    <row r="1063" spans="38:38" x14ac:dyDescent="0.35">
      <c r="AL1063" s="20"/>
    </row>
    <row r="1064" spans="38:38" x14ac:dyDescent="0.35">
      <c r="AL1064" s="20"/>
    </row>
    <row r="1065" spans="38:38" x14ac:dyDescent="0.35">
      <c r="AL1065" s="20"/>
    </row>
    <row r="1066" spans="38:38" x14ac:dyDescent="0.35">
      <c r="AL1066" s="20"/>
    </row>
    <row r="1067" spans="38:38" x14ac:dyDescent="0.35">
      <c r="AL1067" s="20"/>
    </row>
    <row r="1068" spans="38:38" x14ac:dyDescent="0.35">
      <c r="AL1068" s="20"/>
    </row>
    <row r="1069" spans="38:38" x14ac:dyDescent="0.35">
      <c r="AL1069" s="20"/>
    </row>
    <row r="1070" spans="38:38" x14ac:dyDescent="0.35">
      <c r="AL1070" s="20"/>
    </row>
    <row r="1071" spans="38:38" x14ac:dyDescent="0.35">
      <c r="AL1071" s="20"/>
    </row>
    <row r="1072" spans="38:38" x14ac:dyDescent="0.35">
      <c r="AL1072" s="20"/>
    </row>
    <row r="1073" spans="38:38" x14ac:dyDescent="0.35">
      <c r="AL1073" s="20"/>
    </row>
    <row r="1074" spans="38:38" x14ac:dyDescent="0.35">
      <c r="AL1074" s="20"/>
    </row>
    <row r="1075" spans="38:38" x14ac:dyDescent="0.35">
      <c r="AL1075" s="20"/>
    </row>
    <row r="1076" spans="38:38" x14ac:dyDescent="0.35">
      <c r="AL1076" s="20"/>
    </row>
    <row r="1077" spans="38:38" x14ac:dyDescent="0.35">
      <c r="AL1077" s="20"/>
    </row>
    <row r="1078" spans="38:38" x14ac:dyDescent="0.35">
      <c r="AL1078" s="20"/>
    </row>
    <row r="1079" spans="38:38" x14ac:dyDescent="0.35">
      <c r="AL1079" s="20"/>
    </row>
    <row r="1080" spans="38:38" x14ac:dyDescent="0.35">
      <c r="AL1080" s="20"/>
    </row>
    <row r="1081" spans="38:38" x14ac:dyDescent="0.35">
      <c r="AL1081" s="20"/>
    </row>
    <row r="1082" spans="38:38" x14ac:dyDescent="0.35">
      <c r="AL1082" s="20"/>
    </row>
    <row r="1083" spans="38:38" x14ac:dyDescent="0.35">
      <c r="AL1083" s="20"/>
    </row>
    <row r="1084" spans="38:38" x14ac:dyDescent="0.35">
      <c r="AL1084" s="20"/>
    </row>
    <row r="1085" spans="38:38" x14ac:dyDescent="0.35">
      <c r="AL1085" s="20"/>
    </row>
    <row r="1086" spans="38:38" x14ac:dyDescent="0.35">
      <c r="AL1086" s="20"/>
    </row>
    <row r="1087" spans="38:38" x14ac:dyDescent="0.35">
      <c r="AL1087" s="20"/>
    </row>
    <row r="1088" spans="38:38" x14ac:dyDescent="0.35">
      <c r="AL1088" s="20"/>
    </row>
    <row r="1089" spans="38:38" x14ac:dyDescent="0.35">
      <c r="AL1089" s="20"/>
    </row>
    <row r="1090" spans="38:38" x14ac:dyDescent="0.35">
      <c r="AL1090" s="20"/>
    </row>
    <row r="1091" spans="38:38" x14ac:dyDescent="0.35">
      <c r="AL1091" s="20"/>
    </row>
    <row r="1092" spans="38:38" x14ac:dyDescent="0.35">
      <c r="AL1092" s="20"/>
    </row>
    <row r="1093" spans="38:38" x14ac:dyDescent="0.35">
      <c r="AL1093" s="20"/>
    </row>
    <row r="1094" spans="38:38" x14ac:dyDescent="0.35">
      <c r="AL1094" s="20"/>
    </row>
    <row r="1095" spans="38:38" x14ac:dyDescent="0.35">
      <c r="AL1095" s="20"/>
    </row>
    <row r="1096" spans="38:38" x14ac:dyDescent="0.35">
      <c r="AL1096" s="20"/>
    </row>
    <row r="1097" spans="38:38" x14ac:dyDescent="0.35">
      <c r="AL1097" s="20"/>
    </row>
    <row r="1098" spans="38:38" x14ac:dyDescent="0.35">
      <c r="AL1098" s="20"/>
    </row>
    <row r="1099" spans="38:38" x14ac:dyDescent="0.35">
      <c r="AL1099" s="20"/>
    </row>
    <row r="1100" spans="38:38" x14ac:dyDescent="0.35">
      <c r="AL1100" s="20"/>
    </row>
    <row r="1101" spans="38:38" x14ac:dyDescent="0.35">
      <c r="AL1101" s="20"/>
    </row>
    <row r="1102" spans="38:38" x14ac:dyDescent="0.35">
      <c r="AL1102" s="20"/>
    </row>
    <row r="1103" spans="38:38" x14ac:dyDescent="0.35">
      <c r="AL1103" s="20"/>
    </row>
    <row r="1104" spans="38:38" x14ac:dyDescent="0.35">
      <c r="AL1104" s="20"/>
    </row>
    <row r="1105" spans="38:38" x14ac:dyDescent="0.35">
      <c r="AL1105" s="20"/>
    </row>
    <row r="1106" spans="38:38" x14ac:dyDescent="0.35">
      <c r="AL1106" s="20"/>
    </row>
    <row r="1107" spans="38:38" x14ac:dyDescent="0.35">
      <c r="AL1107" s="20"/>
    </row>
    <row r="1108" spans="38:38" x14ac:dyDescent="0.35">
      <c r="AL1108" s="20"/>
    </row>
    <row r="1109" spans="38:38" x14ac:dyDescent="0.35">
      <c r="AL1109" s="20"/>
    </row>
    <row r="1110" spans="38:38" x14ac:dyDescent="0.35">
      <c r="AL1110" s="20"/>
    </row>
    <row r="1111" spans="38:38" x14ac:dyDescent="0.35">
      <c r="AL1111" s="20"/>
    </row>
    <row r="1112" spans="38:38" x14ac:dyDescent="0.35">
      <c r="AL1112" s="20"/>
    </row>
    <row r="1113" spans="38:38" x14ac:dyDescent="0.35">
      <c r="AL1113" s="20"/>
    </row>
    <row r="1114" spans="38:38" x14ac:dyDescent="0.35">
      <c r="AL1114" s="20"/>
    </row>
    <row r="1115" spans="38:38" x14ac:dyDescent="0.35">
      <c r="AL1115" s="20"/>
    </row>
    <row r="1116" spans="38:38" x14ac:dyDescent="0.35">
      <c r="AL1116" s="20"/>
    </row>
    <row r="1117" spans="38:38" x14ac:dyDescent="0.35">
      <c r="AL1117" s="20"/>
    </row>
    <row r="1118" spans="38:38" x14ac:dyDescent="0.35">
      <c r="AL1118" s="20"/>
    </row>
    <row r="1119" spans="38:38" x14ac:dyDescent="0.35">
      <c r="AL1119" s="20"/>
    </row>
    <row r="1120" spans="38:38" x14ac:dyDescent="0.35">
      <c r="AL1120" s="20"/>
    </row>
    <row r="1121" spans="38:38" x14ac:dyDescent="0.35">
      <c r="AL1121" s="20"/>
    </row>
    <row r="1122" spans="38:38" x14ac:dyDescent="0.35">
      <c r="AL1122" s="20"/>
    </row>
    <row r="1123" spans="38:38" x14ac:dyDescent="0.35">
      <c r="AL1123" s="20"/>
    </row>
    <row r="1124" spans="38:38" x14ac:dyDescent="0.35">
      <c r="AL1124" s="20"/>
    </row>
    <row r="1125" spans="38:38" x14ac:dyDescent="0.35">
      <c r="AL1125" s="20"/>
    </row>
    <row r="1126" spans="38:38" x14ac:dyDescent="0.35">
      <c r="AL1126" s="20"/>
    </row>
    <row r="1127" spans="38:38" x14ac:dyDescent="0.35">
      <c r="AL1127" s="20"/>
    </row>
    <row r="1128" spans="38:38" x14ac:dyDescent="0.35">
      <c r="AL1128" s="20"/>
    </row>
    <row r="1129" spans="38:38" x14ac:dyDescent="0.35">
      <c r="AL1129" s="20"/>
    </row>
    <row r="1130" spans="38:38" x14ac:dyDescent="0.35">
      <c r="AL1130" s="20"/>
    </row>
    <row r="1131" spans="38:38" x14ac:dyDescent="0.35">
      <c r="AL1131" s="20"/>
    </row>
    <row r="1132" spans="38:38" x14ac:dyDescent="0.35">
      <c r="AL1132" s="20"/>
    </row>
    <row r="1133" spans="38:38" x14ac:dyDescent="0.35">
      <c r="AL1133" s="20"/>
    </row>
    <row r="1134" spans="38:38" x14ac:dyDescent="0.35">
      <c r="AL1134" s="20"/>
    </row>
    <row r="1135" spans="38:38" x14ac:dyDescent="0.35">
      <c r="AL1135" s="20"/>
    </row>
    <row r="1136" spans="38:38" x14ac:dyDescent="0.35">
      <c r="AL1136" s="20"/>
    </row>
    <row r="1137" spans="38:38" x14ac:dyDescent="0.35">
      <c r="AL1137" s="20"/>
    </row>
    <row r="1138" spans="38:38" x14ac:dyDescent="0.35">
      <c r="AL1138" s="20"/>
    </row>
    <row r="1139" spans="38:38" x14ac:dyDescent="0.35">
      <c r="AL1139" s="20"/>
    </row>
    <row r="1140" spans="38:38" x14ac:dyDescent="0.35">
      <c r="AL1140" s="20"/>
    </row>
    <row r="1141" spans="38:38" x14ac:dyDescent="0.35">
      <c r="AL1141" s="20"/>
    </row>
    <row r="1142" spans="38:38" x14ac:dyDescent="0.35">
      <c r="AL1142" s="20"/>
    </row>
    <row r="1143" spans="38:38" x14ac:dyDescent="0.35">
      <c r="AL1143" s="20"/>
    </row>
    <row r="1144" spans="38:38" x14ac:dyDescent="0.35">
      <c r="AL1144" s="20"/>
    </row>
    <row r="1145" spans="38:38" x14ac:dyDescent="0.35">
      <c r="AL1145" s="20"/>
    </row>
    <row r="1146" spans="38:38" x14ac:dyDescent="0.35">
      <c r="AL1146" s="20"/>
    </row>
    <row r="1147" spans="38:38" x14ac:dyDescent="0.35">
      <c r="AL1147" s="20"/>
    </row>
    <row r="1148" spans="38:38" x14ac:dyDescent="0.35">
      <c r="AL1148" s="20"/>
    </row>
    <row r="1149" spans="38:38" x14ac:dyDescent="0.35">
      <c r="AL1149" s="20"/>
    </row>
    <row r="1150" spans="38:38" x14ac:dyDescent="0.35">
      <c r="AL1150" s="20"/>
    </row>
    <row r="1151" spans="38:38" x14ac:dyDescent="0.35">
      <c r="AL1151" s="20"/>
    </row>
    <row r="1152" spans="38:38" x14ac:dyDescent="0.35">
      <c r="AL1152" s="20"/>
    </row>
    <row r="1153" spans="38:38" x14ac:dyDescent="0.35">
      <c r="AL1153" s="20"/>
    </row>
    <row r="1154" spans="38:38" x14ac:dyDescent="0.35">
      <c r="AL1154" s="20"/>
    </row>
    <row r="1155" spans="38:38" x14ac:dyDescent="0.35">
      <c r="AL1155" s="20"/>
    </row>
    <row r="1156" spans="38:38" x14ac:dyDescent="0.35">
      <c r="AL1156" s="20"/>
    </row>
    <row r="1157" spans="38:38" x14ac:dyDescent="0.35">
      <c r="AL1157" s="20"/>
    </row>
    <row r="1158" spans="38:38" x14ac:dyDescent="0.35">
      <c r="AL1158" s="20"/>
    </row>
    <row r="1159" spans="38:38" x14ac:dyDescent="0.35">
      <c r="AL1159" s="20"/>
    </row>
    <row r="1160" spans="38:38" x14ac:dyDescent="0.35">
      <c r="AL1160" s="20"/>
    </row>
    <row r="1161" spans="38:38" x14ac:dyDescent="0.35">
      <c r="AL1161" s="20"/>
    </row>
    <row r="1162" spans="38:38" x14ac:dyDescent="0.35">
      <c r="AL1162" s="20"/>
    </row>
    <row r="1163" spans="38:38" x14ac:dyDescent="0.35">
      <c r="AL1163" s="20"/>
    </row>
    <row r="1164" spans="38:38" x14ac:dyDescent="0.35">
      <c r="AL1164" s="20"/>
    </row>
    <row r="1165" spans="38:38" x14ac:dyDescent="0.35">
      <c r="AL1165" s="20"/>
    </row>
    <row r="1166" spans="38:38" x14ac:dyDescent="0.35">
      <c r="AL1166" s="20"/>
    </row>
    <row r="1167" spans="38:38" x14ac:dyDescent="0.35">
      <c r="AL1167" s="20"/>
    </row>
    <row r="1168" spans="38:38" x14ac:dyDescent="0.35">
      <c r="AL1168" s="20"/>
    </row>
    <row r="1169" spans="38:38" x14ac:dyDescent="0.35">
      <c r="AL1169" s="20"/>
    </row>
    <row r="1170" spans="38:38" x14ac:dyDescent="0.35">
      <c r="AL1170" s="20"/>
    </row>
    <row r="1171" spans="38:38" x14ac:dyDescent="0.35">
      <c r="AL1171" s="20"/>
    </row>
    <row r="1172" spans="38:38" x14ac:dyDescent="0.35">
      <c r="AL1172" s="20"/>
    </row>
    <row r="1173" spans="38:38" x14ac:dyDescent="0.35">
      <c r="AL1173" s="20"/>
    </row>
    <row r="1174" spans="38:38" x14ac:dyDescent="0.35">
      <c r="AL1174" s="20"/>
    </row>
    <row r="1175" spans="38:38" x14ac:dyDescent="0.35">
      <c r="AL1175" s="20"/>
    </row>
    <row r="1176" spans="38:38" x14ac:dyDescent="0.35">
      <c r="AL1176" s="20"/>
    </row>
    <row r="1177" spans="38:38" x14ac:dyDescent="0.35">
      <c r="AL1177" s="20"/>
    </row>
    <row r="1178" spans="38:38" x14ac:dyDescent="0.35">
      <c r="AL1178" s="20"/>
    </row>
    <row r="1179" spans="38:38" x14ac:dyDescent="0.35">
      <c r="AL1179" s="20"/>
    </row>
    <row r="1180" spans="38:38" x14ac:dyDescent="0.35">
      <c r="AL1180" s="20"/>
    </row>
    <row r="1181" spans="38:38" x14ac:dyDescent="0.35">
      <c r="AL1181" s="20"/>
    </row>
    <row r="1182" spans="38:38" x14ac:dyDescent="0.35">
      <c r="AL1182" s="20"/>
    </row>
    <row r="1183" spans="38:38" x14ac:dyDescent="0.35">
      <c r="AL1183" s="20"/>
    </row>
    <row r="1184" spans="38:38" x14ac:dyDescent="0.35">
      <c r="AL1184" s="20"/>
    </row>
    <row r="1185" spans="38:38" x14ac:dyDescent="0.35">
      <c r="AL1185" s="20"/>
    </row>
    <row r="1186" spans="38:38" x14ac:dyDescent="0.35">
      <c r="AL1186" s="20"/>
    </row>
    <row r="1187" spans="38:38" x14ac:dyDescent="0.35">
      <c r="AL1187" s="20"/>
    </row>
    <row r="1188" spans="38:38" x14ac:dyDescent="0.35">
      <c r="AL1188" s="20"/>
    </row>
    <row r="1189" spans="38:38" x14ac:dyDescent="0.35">
      <c r="AL1189" s="20"/>
    </row>
    <row r="1190" spans="38:38" x14ac:dyDescent="0.35">
      <c r="AL1190" s="20"/>
    </row>
    <row r="1191" spans="38:38" x14ac:dyDescent="0.35">
      <c r="AL1191" s="20"/>
    </row>
    <row r="1192" spans="38:38" x14ac:dyDescent="0.35">
      <c r="AL1192" s="20"/>
    </row>
    <row r="1193" spans="38:38" x14ac:dyDescent="0.35">
      <c r="AL1193" s="20"/>
    </row>
    <row r="1194" spans="38:38" x14ac:dyDescent="0.35">
      <c r="AL1194" s="20"/>
    </row>
    <row r="1195" spans="38:38" x14ac:dyDescent="0.35">
      <c r="AL1195" s="20"/>
    </row>
    <row r="1196" spans="38:38" x14ac:dyDescent="0.35">
      <c r="AL1196" s="20"/>
    </row>
    <row r="1197" spans="38:38" x14ac:dyDescent="0.35">
      <c r="AL1197" s="20"/>
    </row>
    <row r="1198" spans="38:38" x14ac:dyDescent="0.35">
      <c r="AL1198" s="20"/>
    </row>
    <row r="1199" spans="38:38" x14ac:dyDescent="0.35">
      <c r="AL1199" s="20"/>
    </row>
    <row r="1200" spans="38:38" x14ac:dyDescent="0.35">
      <c r="AL1200" s="20"/>
    </row>
    <row r="1201" spans="38:38" x14ac:dyDescent="0.35">
      <c r="AL1201" s="20"/>
    </row>
    <row r="1202" spans="38:38" x14ac:dyDescent="0.35">
      <c r="AL1202" s="20"/>
    </row>
    <row r="1203" spans="38:38" x14ac:dyDescent="0.35">
      <c r="AL1203" s="20"/>
    </row>
    <row r="1204" spans="38:38" x14ac:dyDescent="0.35">
      <c r="AL1204" s="20"/>
    </row>
    <row r="1205" spans="38:38" x14ac:dyDescent="0.35">
      <c r="AL1205" s="20"/>
    </row>
    <row r="1206" spans="38:38" x14ac:dyDescent="0.35">
      <c r="AL1206" s="20"/>
    </row>
    <row r="1207" spans="38:38" x14ac:dyDescent="0.35">
      <c r="AL1207" s="20"/>
    </row>
    <row r="1208" spans="38:38" x14ac:dyDescent="0.35">
      <c r="AL1208" s="20"/>
    </row>
    <row r="1209" spans="38:38" x14ac:dyDescent="0.35">
      <c r="AL1209" s="20"/>
    </row>
    <row r="1210" spans="38:38" x14ac:dyDescent="0.35">
      <c r="AL1210" s="20"/>
    </row>
    <row r="1211" spans="38:38" x14ac:dyDescent="0.35">
      <c r="AL1211" s="20"/>
    </row>
    <row r="1212" spans="38:38" x14ac:dyDescent="0.35">
      <c r="AL1212" s="20"/>
    </row>
    <row r="1213" spans="38:38" x14ac:dyDescent="0.35">
      <c r="AL1213" s="20"/>
    </row>
    <row r="1214" spans="38:38" x14ac:dyDescent="0.35">
      <c r="AL1214" s="20"/>
    </row>
    <row r="1215" spans="38:38" x14ac:dyDescent="0.35">
      <c r="AL1215" s="20"/>
    </row>
    <row r="1216" spans="38:38" x14ac:dyDescent="0.35">
      <c r="AL1216" s="20"/>
    </row>
    <row r="1217" spans="38:38" x14ac:dyDescent="0.35">
      <c r="AL1217" s="20"/>
    </row>
    <row r="1218" spans="38:38" x14ac:dyDescent="0.35">
      <c r="AL1218" s="20"/>
    </row>
    <row r="1219" spans="38:38" x14ac:dyDescent="0.35">
      <c r="AL1219" s="20"/>
    </row>
    <row r="1220" spans="38:38" x14ac:dyDescent="0.35">
      <c r="AL1220" s="20"/>
    </row>
    <row r="1221" spans="38:38" x14ac:dyDescent="0.35">
      <c r="AL1221" s="20"/>
    </row>
    <row r="1222" spans="38:38" x14ac:dyDescent="0.35">
      <c r="AL1222" s="20"/>
    </row>
    <row r="1223" spans="38:38" x14ac:dyDescent="0.35">
      <c r="AL1223" s="20"/>
    </row>
    <row r="1224" spans="38:38" x14ac:dyDescent="0.35">
      <c r="AL1224" s="20"/>
    </row>
    <row r="1225" spans="38:38" x14ac:dyDescent="0.35">
      <c r="AL1225" s="20"/>
    </row>
    <row r="1226" spans="38:38" x14ac:dyDescent="0.35">
      <c r="AL1226" s="20"/>
    </row>
    <row r="1227" spans="38:38" x14ac:dyDescent="0.35">
      <c r="AL1227" s="20"/>
    </row>
    <row r="1228" spans="38:38" x14ac:dyDescent="0.35">
      <c r="AL1228" s="20"/>
    </row>
    <row r="1229" spans="38:38" x14ac:dyDescent="0.35">
      <c r="AL1229" s="20"/>
    </row>
    <row r="1230" spans="38:38" x14ac:dyDescent="0.35">
      <c r="AL1230" s="20"/>
    </row>
    <row r="1231" spans="38:38" x14ac:dyDescent="0.35">
      <c r="AL1231" s="20"/>
    </row>
    <row r="1232" spans="38:38" x14ac:dyDescent="0.35">
      <c r="AL1232" s="20"/>
    </row>
    <row r="1233" spans="38:38" x14ac:dyDescent="0.35">
      <c r="AL1233" s="20"/>
    </row>
    <row r="1234" spans="38:38" x14ac:dyDescent="0.35">
      <c r="AL1234" s="20"/>
    </row>
    <row r="1235" spans="38:38" x14ac:dyDescent="0.35">
      <c r="AL1235" s="20"/>
    </row>
    <row r="1236" spans="38:38" x14ac:dyDescent="0.35">
      <c r="AL1236" s="20"/>
    </row>
    <row r="1237" spans="38:38" x14ac:dyDescent="0.35">
      <c r="AL1237" s="20"/>
    </row>
    <row r="1238" spans="38:38" x14ac:dyDescent="0.35">
      <c r="AL1238" s="20"/>
    </row>
    <row r="1239" spans="38:38" x14ac:dyDescent="0.35">
      <c r="AL1239" s="20"/>
    </row>
    <row r="1240" spans="38:38" x14ac:dyDescent="0.35">
      <c r="AL1240" s="20"/>
    </row>
    <row r="1241" spans="38:38" x14ac:dyDescent="0.35">
      <c r="AL1241" s="20"/>
    </row>
    <row r="1242" spans="38:38" x14ac:dyDescent="0.35">
      <c r="AL1242" s="20"/>
    </row>
    <row r="1243" spans="38:38" x14ac:dyDescent="0.35">
      <c r="AL1243" s="20"/>
    </row>
    <row r="1244" spans="38:38" x14ac:dyDescent="0.35">
      <c r="AL1244" s="20"/>
    </row>
    <row r="1245" spans="38:38" x14ac:dyDescent="0.35">
      <c r="AL1245" s="20"/>
    </row>
    <row r="1246" spans="38:38" x14ac:dyDescent="0.35">
      <c r="AL1246" s="20"/>
    </row>
    <row r="1247" spans="38:38" x14ac:dyDescent="0.35">
      <c r="AL1247" s="20"/>
    </row>
    <row r="1248" spans="38:38" x14ac:dyDescent="0.35">
      <c r="AL1248" s="20"/>
    </row>
    <row r="1249" spans="38:38" x14ac:dyDescent="0.35">
      <c r="AL1249" s="20"/>
    </row>
    <row r="1250" spans="38:38" x14ac:dyDescent="0.35">
      <c r="AL1250" s="20"/>
    </row>
    <row r="1251" spans="38:38" x14ac:dyDescent="0.35">
      <c r="AL1251" s="20"/>
    </row>
    <row r="1252" spans="38:38" x14ac:dyDescent="0.35">
      <c r="AL1252" s="20"/>
    </row>
    <row r="1253" spans="38:38" x14ac:dyDescent="0.35">
      <c r="AL1253" s="20"/>
    </row>
    <row r="1254" spans="38:38" x14ac:dyDescent="0.35">
      <c r="AL1254" s="20"/>
    </row>
    <row r="1255" spans="38:38" x14ac:dyDescent="0.35">
      <c r="AL1255" s="20"/>
    </row>
    <row r="1256" spans="38:38" x14ac:dyDescent="0.35">
      <c r="AL1256" s="20"/>
    </row>
    <row r="1257" spans="38:38" x14ac:dyDescent="0.35">
      <c r="AL1257" s="20"/>
    </row>
    <row r="1258" spans="38:38" x14ac:dyDescent="0.35">
      <c r="AL1258" s="20"/>
    </row>
    <row r="1259" spans="38:38" x14ac:dyDescent="0.35">
      <c r="AL1259" s="20"/>
    </row>
    <row r="1260" spans="38:38" x14ac:dyDescent="0.35">
      <c r="AL1260" s="20"/>
    </row>
    <row r="1261" spans="38:38" x14ac:dyDescent="0.35">
      <c r="AL1261" s="20"/>
    </row>
    <row r="1262" spans="38:38" x14ac:dyDescent="0.35">
      <c r="AL1262" s="20"/>
    </row>
    <row r="1263" spans="38:38" x14ac:dyDescent="0.35">
      <c r="AL1263" s="20"/>
    </row>
    <row r="1264" spans="38:38" x14ac:dyDescent="0.35">
      <c r="AL1264" s="20"/>
    </row>
    <row r="1265" spans="38:38" x14ac:dyDescent="0.35">
      <c r="AL1265" s="20"/>
    </row>
    <row r="1266" spans="38:38" x14ac:dyDescent="0.35">
      <c r="AL1266" s="20"/>
    </row>
    <row r="1267" spans="38:38" x14ac:dyDescent="0.35">
      <c r="AL1267" s="20"/>
    </row>
    <row r="1268" spans="38:38" x14ac:dyDescent="0.35">
      <c r="AL1268" s="20"/>
    </row>
    <row r="1269" spans="38:38" x14ac:dyDescent="0.35">
      <c r="AL1269" s="20"/>
    </row>
    <row r="1270" spans="38:38" x14ac:dyDescent="0.35">
      <c r="AL1270" s="20"/>
    </row>
    <row r="1271" spans="38:38" x14ac:dyDescent="0.35">
      <c r="AL1271" s="20"/>
    </row>
    <row r="1272" spans="38:38" x14ac:dyDescent="0.35">
      <c r="AL1272" s="20"/>
    </row>
    <row r="1273" spans="38:38" x14ac:dyDescent="0.35">
      <c r="AL1273" s="20"/>
    </row>
    <row r="1274" spans="38:38" x14ac:dyDescent="0.35">
      <c r="AL1274" s="20"/>
    </row>
    <row r="1275" spans="38:38" x14ac:dyDescent="0.35">
      <c r="AL1275" s="20"/>
    </row>
    <row r="1276" spans="38:38" x14ac:dyDescent="0.35">
      <c r="AL1276" s="20"/>
    </row>
    <row r="1277" spans="38:38" x14ac:dyDescent="0.35">
      <c r="AL1277" s="20"/>
    </row>
    <row r="1278" spans="38:38" x14ac:dyDescent="0.35">
      <c r="AL1278" s="20"/>
    </row>
    <row r="1279" spans="38:38" x14ac:dyDescent="0.35">
      <c r="AL1279" s="20"/>
    </row>
    <row r="1280" spans="38:38" x14ac:dyDescent="0.35">
      <c r="AL1280" s="20"/>
    </row>
    <row r="1281" spans="38:38" x14ac:dyDescent="0.35">
      <c r="AL1281" s="20"/>
    </row>
    <row r="1282" spans="38:38" x14ac:dyDescent="0.35">
      <c r="AL1282" s="20"/>
    </row>
    <row r="1283" spans="38:38" x14ac:dyDescent="0.35">
      <c r="AL1283" s="20"/>
    </row>
    <row r="1284" spans="38:38" x14ac:dyDescent="0.35">
      <c r="AL1284" s="20"/>
    </row>
    <row r="1285" spans="38:38" x14ac:dyDescent="0.35">
      <c r="AL1285" s="20"/>
    </row>
    <row r="1286" spans="38:38" x14ac:dyDescent="0.35">
      <c r="AL1286" s="20"/>
    </row>
    <row r="1287" spans="38:38" x14ac:dyDescent="0.35">
      <c r="AL1287" s="20"/>
    </row>
    <row r="1288" spans="38:38" x14ac:dyDescent="0.35">
      <c r="AL1288" s="20"/>
    </row>
    <row r="1289" spans="38:38" x14ac:dyDescent="0.35">
      <c r="AL1289" s="20"/>
    </row>
    <row r="1290" spans="38:38" x14ac:dyDescent="0.35">
      <c r="AL1290" s="20"/>
    </row>
    <row r="1291" spans="38:38" x14ac:dyDescent="0.35">
      <c r="AL1291" s="20"/>
    </row>
    <row r="1292" spans="38:38" x14ac:dyDescent="0.35">
      <c r="AL1292" s="20"/>
    </row>
    <row r="1293" spans="38:38" x14ac:dyDescent="0.35">
      <c r="AL1293" s="20"/>
    </row>
    <row r="1294" spans="38:38" x14ac:dyDescent="0.35">
      <c r="AL1294" s="20"/>
    </row>
    <row r="1295" spans="38:38" x14ac:dyDescent="0.35">
      <c r="AL1295" s="20"/>
    </row>
    <row r="1296" spans="38:38" x14ac:dyDescent="0.35">
      <c r="AL1296" s="20"/>
    </row>
    <row r="1297" spans="38:38" x14ac:dyDescent="0.35">
      <c r="AL1297" s="20"/>
    </row>
    <row r="1298" spans="38:38" x14ac:dyDescent="0.35">
      <c r="AL1298" s="20"/>
    </row>
    <row r="1299" spans="38:38" x14ac:dyDescent="0.35">
      <c r="AL1299" s="20"/>
    </row>
    <row r="1300" spans="38:38" x14ac:dyDescent="0.35">
      <c r="AL1300" s="20"/>
    </row>
    <row r="1301" spans="38:38" x14ac:dyDescent="0.35">
      <c r="AL1301" s="20"/>
    </row>
    <row r="1302" spans="38:38" x14ac:dyDescent="0.35">
      <c r="AL1302" s="20"/>
    </row>
    <row r="1303" spans="38:38" x14ac:dyDescent="0.35">
      <c r="AL1303" s="20"/>
    </row>
    <row r="1304" spans="38:38" x14ac:dyDescent="0.35">
      <c r="AL1304" s="20"/>
    </row>
    <row r="1305" spans="38:38" x14ac:dyDescent="0.35">
      <c r="AL1305" s="20"/>
    </row>
    <row r="1306" spans="38:38" x14ac:dyDescent="0.35">
      <c r="AL1306" s="20"/>
    </row>
    <row r="1307" spans="38:38" x14ac:dyDescent="0.35">
      <c r="AL1307" s="20"/>
    </row>
    <row r="1308" spans="38:38" x14ac:dyDescent="0.35">
      <c r="AL1308" s="20"/>
    </row>
    <row r="1309" spans="38:38" x14ac:dyDescent="0.35">
      <c r="AL1309" s="20"/>
    </row>
    <row r="1310" spans="38:38" x14ac:dyDescent="0.35">
      <c r="AL1310" s="20"/>
    </row>
    <row r="1311" spans="38:38" x14ac:dyDescent="0.35">
      <c r="AL1311" s="20"/>
    </row>
    <row r="1312" spans="38:38" x14ac:dyDescent="0.35">
      <c r="AL1312" s="20"/>
    </row>
    <row r="1313" spans="38:38" x14ac:dyDescent="0.35">
      <c r="AL1313" s="20"/>
    </row>
    <row r="1314" spans="38:38" x14ac:dyDescent="0.35">
      <c r="AL1314" s="20"/>
    </row>
    <row r="1315" spans="38:38" x14ac:dyDescent="0.35">
      <c r="AL1315" s="20"/>
    </row>
    <row r="1316" spans="38:38" x14ac:dyDescent="0.35">
      <c r="AL1316" s="20"/>
    </row>
    <row r="1317" spans="38:38" x14ac:dyDescent="0.35">
      <c r="AL1317" s="20"/>
    </row>
    <row r="1318" spans="38:38" x14ac:dyDescent="0.35">
      <c r="AL1318" s="20"/>
    </row>
    <row r="1319" spans="38:38" x14ac:dyDescent="0.35">
      <c r="AL1319" s="20"/>
    </row>
    <row r="1320" spans="38:38" x14ac:dyDescent="0.35">
      <c r="AL1320" s="20"/>
    </row>
    <row r="1321" spans="38:38" x14ac:dyDescent="0.35">
      <c r="AL1321" s="20"/>
    </row>
    <row r="1322" spans="38:38" x14ac:dyDescent="0.35">
      <c r="AL1322" s="20"/>
    </row>
    <row r="1323" spans="38:38" x14ac:dyDescent="0.35">
      <c r="AL1323" s="20"/>
    </row>
    <row r="1324" spans="38:38" x14ac:dyDescent="0.35">
      <c r="AL1324" s="20"/>
    </row>
    <row r="1325" spans="38:38" x14ac:dyDescent="0.35">
      <c r="AL1325" s="20"/>
    </row>
    <row r="1326" spans="38:38" x14ac:dyDescent="0.35">
      <c r="AL1326" s="20"/>
    </row>
    <row r="1327" spans="38:38" x14ac:dyDescent="0.35">
      <c r="AL1327" s="20"/>
    </row>
    <row r="1328" spans="38:38" x14ac:dyDescent="0.35">
      <c r="AL1328" s="20"/>
    </row>
    <row r="1329" spans="38:38" x14ac:dyDescent="0.35">
      <c r="AL1329" s="20"/>
    </row>
    <row r="1330" spans="38:38" x14ac:dyDescent="0.35">
      <c r="AL1330" s="20"/>
    </row>
    <row r="1331" spans="38:38" x14ac:dyDescent="0.35">
      <c r="AL1331" s="20"/>
    </row>
    <row r="1332" spans="38:38" x14ac:dyDescent="0.35">
      <c r="AL1332" s="20"/>
    </row>
    <row r="1333" spans="38:38" x14ac:dyDescent="0.35">
      <c r="AL1333" s="20"/>
    </row>
    <row r="1334" spans="38:38" x14ac:dyDescent="0.35">
      <c r="AL1334" s="20"/>
    </row>
    <row r="1335" spans="38:38" x14ac:dyDescent="0.35">
      <c r="AL1335" s="20"/>
    </row>
    <row r="1336" spans="38:38" x14ac:dyDescent="0.35">
      <c r="AL1336" s="20"/>
    </row>
    <row r="1337" spans="38:38" x14ac:dyDescent="0.35">
      <c r="AL1337" s="20"/>
    </row>
    <row r="1338" spans="38:38" x14ac:dyDescent="0.35">
      <c r="AL1338" s="20"/>
    </row>
    <row r="1339" spans="38:38" x14ac:dyDescent="0.35">
      <c r="AL1339" s="20"/>
    </row>
    <row r="1340" spans="38:38" x14ac:dyDescent="0.35">
      <c r="AL1340" s="20"/>
    </row>
    <row r="1341" spans="38:38" x14ac:dyDescent="0.35">
      <c r="AL1341" s="20"/>
    </row>
    <row r="1342" spans="38:38" x14ac:dyDescent="0.35">
      <c r="AL1342" s="20"/>
    </row>
    <row r="1343" spans="38:38" x14ac:dyDescent="0.35">
      <c r="AL1343" s="20"/>
    </row>
    <row r="1344" spans="38:38" x14ac:dyDescent="0.35">
      <c r="AL1344" s="20"/>
    </row>
    <row r="1345" spans="38:38" x14ac:dyDescent="0.35">
      <c r="AL1345" s="20"/>
    </row>
    <row r="1346" spans="38:38" x14ac:dyDescent="0.35">
      <c r="AL1346" s="20"/>
    </row>
    <row r="1347" spans="38:38" x14ac:dyDescent="0.35">
      <c r="AL1347" s="20"/>
    </row>
    <row r="1348" spans="38:38" x14ac:dyDescent="0.35">
      <c r="AL1348" s="20"/>
    </row>
    <row r="1349" spans="38:38" x14ac:dyDescent="0.35">
      <c r="AL1349" s="20"/>
    </row>
    <row r="1350" spans="38:38" x14ac:dyDescent="0.35">
      <c r="AL1350" s="20"/>
    </row>
    <row r="1351" spans="38:38" x14ac:dyDescent="0.35">
      <c r="AL1351" s="20"/>
    </row>
    <row r="1352" spans="38:38" x14ac:dyDescent="0.35">
      <c r="AL1352" s="20"/>
    </row>
    <row r="1353" spans="38:38" x14ac:dyDescent="0.35">
      <c r="AL1353" s="20"/>
    </row>
    <row r="1354" spans="38:38" x14ac:dyDescent="0.35">
      <c r="AL1354" s="20"/>
    </row>
    <row r="1355" spans="38:38" x14ac:dyDescent="0.35">
      <c r="AL1355" s="20"/>
    </row>
    <row r="1356" spans="38:38" x14ac:dyDescent="0.35">
      <c r="AL1356" s="20"/>
    </row>
    <row r="1357" spans="38:38" x14ac:dyDescent="0.35">
      <c r="AL1357" s="20"/>
    </row>
    <row r="1358" spans="38:38" x14ac:dyDescent="0.35">
      <c r="AL1358" s="20"/>
    </row>
    <row r="1359" spans="38:38" x14ac:dyDescent="0.35">
      <c r="AL1359" s="20"/>
    </row>
    <row r="1360" spans="38:38" x14ac:dyDescent="0.35">
      <c r="AL1360" s="20"/>
    </row>
    <row r="1361" spans="38:38" x14ac:dyDescent="0.35">
      <c r="AL1361" s="20"/>
    </row>
    <row r="1362" spans="38:38" x14ac:dyDescent="0.35">
      <c r="AL1362" s="20"/>
    </row>
    <row r="1363" spans="38:38" x14ac:dyDescent="0.35">
      <c r="AL1363" s="20"/>
    </row>
    <row r="1364" spans="38:38" x14ac:dyDescent="0.35">
      <c r="AL1364" s="20"/>
    </row>
    <row r="1365" spans="38:38" x14ac:dyDescent="0.35">
      <c r="AL1365" s="20"/>
    </row>
    <row r="1366" spans="38:38" x14ac:dyDescent="0.35">
      <c r="AL1366" s="20"/>
    </row>
    <row r="1367" spans="38:38" x14ac:dyDescent="0.35">
      <c r="AL1367" s="20"/>
    </row>
    <row r="1368" spans="38:38" x14ac:dyDescent="0.35">
      <c r="AL1368" s="20"/>
    </row>
    <row r="1369" spans="38:38" x14ac:dyDescent="0.35">
      <c r="AL1369" s="20"/>
    </row>
    <row r="1370" spans="38:38" x14ac:dyDescent="0.35">
      <c r="AL1370" s="20"/>
    </row>
    <row r="1371" spans="38:38" x14ac:dyDescent="0.35">
      <c r="AL1371" s="20"/>
    </row>
    <row r="1372" spans="38:38" x14ac:dyDescent="0.35">
      <c r="AL1372" s="20"/>
    </row>
    <row r="1373" spans="38:38" x14ac:dyDescent="0.35">
      <c r="AL1373" s="20"/>
    </row>
    <row r="1374" spans="38:38" x14ac:dyDescent="0.35">
      <c r="AL1374" s="20"/>
    </row>
    <row r="1375" spans="38:38" x14ac:dyDescent="0.35">
      <c r="AL1375" s="20"/>
    </row>
    <row r="1376" spans="38:38" x14ac:dyDescent="0.35">
      <c r="AL1376" s="20"/>
    </row>
    <row r="1377" spans="38:38" x14ac:dyDescent="0.35">
      <c r="AL1377" s="20"/>
    </row>
    <row r="1378" spans="38:38" x14ac:dyDescent="0.35">
      <c r="AL1378" s="20"/>
    </row>
    <row r="1379" spans="38:38" x14ac:dyDescent="0.35">
      <c r="AL1379" s="20"/>
    </row>
    <row r="1380" spans="38:38" x14ac:dyDescent="0.35">
      <c r="AL1380" s="20"/>
    </row>
    <row r="1381" spans="38:38" x14ac:dyDescent="0.35">
      <c r="AL1381" s="20"/>
    </row>
    <row r="1382" spans="38:38" x14ac:dyDescent="0.35">
      <c r="AL1382" s="20"/>
    </row>
    <row r="1383" spans="38:38" x14ac:dyDescent="0.35">
      <c r="AL1383" s="20"/>
    </row>
    <row r="1384" spans="38:38" x14ac:dyDescent="0.35">
      <c r="AL1384" s="20"/>
    </row>
    <row r="1385" spans="38:38" x14ac:dyDescent="0.35">
      <c r="AL1385" s="20"/>
    </row>
    <row r="1386" spans="38:38" x14ac:dyDescent="0.35">
      <c r="AL1386" s="20"/>
    </row>
    <row r="1387" spans="38:38" x14ac:dyDescent="0.35">
      <c r="AL1387" s="20"/>
    </row>
    <row r="1388" spans="38:38" x14ac:dyDescent="0.35">
      <c r="AL1388" s="20"/>
    </row>
    <row r="1389" spans="38:38" x14ac:dyDescent="0.35">
      <c r="AL1389" s="20"/>
    </row>
    <row r="1390" spans="38:38" x14ac:dyDescent="0.35">
      <c r="AL1390" s="20"/>
    </row>
    <row r="1391" spans="38:38" x14ac:dyDescent="0.35">
      <c r="AL1391" s="20"/>
    </row>
    <row r="1392" spans="38:38" x14ac:dyDescent="0.35">
      <c r="AL1392" s="20"/>
    </row>
    <row r="1393" spans="38:38" x14ac:dyDescent="0.35">
      <c r="AL1393" s="20"/>
    </row>
    <row r="1394" spans="38:38" x14ac:dyDescent="0.35">
      <c r="AL1394" s="20"/>
    </row>
    <row r="1395" spans="38:38" x14ac:dyDescent="0.35">
      <c r="AL1395" s="20"/>
    </row>
    <row r="1396" spans="38:38" x14ac:dyDescent="0.35">
      <c r="AL1396" s="20"/>
    </row>
    <row r="1397" spans="38:38" x14ac:dyDescent="0.35">
      <c r="AL1397" s="20"/>
    </row>
    <row r="1398" spans="38:38" x14ac:dyDescent="0.35">
      <c r="AL1398" s="20"/>
    </row>
    <row r="1399" spans="38:38" x14ac:dyDescent="0.35">
      <c r="AL1399" s="20"/>
    </row>
    <row r="1400" spans="38:38" x14ac:dyDescent="0.35">
      <c r="AL1400" s="20"/>
    </row>
    <row r="1401" spans="38:38" x14ac:dyDescent="0.35">
      <c r="AL1401" s="20"/>
    </row>
    <row r="1402" spans="38:38" x14ac:dyDescent="0.35">
      <c r="AL1402" s="20"/>
    </row>
    <row r="1403" spans="38:38" x14ac:dyDescent="0.35">
      <c r="AL1403" s="20"/>
    </row>
    <row r="1404" spans="38:38" x14ac:dyDescent="0.35">
      <c r="AL1404" s="20"/>
    </row>
    <row r="1405" spans="38:38" x14ac:dyDescent="0.35">
      <c r="AL1405" s="20"/>
    </row>
    <row r="1406" spans="38:38" x14ac:dyDescent="0.35">
      <c r="AL1406" s="20"/>
    </row>
    <row r="1407" spans="38:38" x14ac:dyDescent="0.35">
      <c r="AL1407" s="20"/>
    </row>
    <row r="1408" spans="38:38" x14ac:dyDescent="0.35">
      <c r="AL1408" s="20"/>
    </row>
    <row r="1409" spans="38:38" x14ac:dyDescent="0.35">
      <c r="AL1409" s="20"/>
    </row>
    <row r="1410" spans="38:38" x14ac:dyDescent="0.35">
      <c r="AL1410" s="20"/>
    </row>
    <row r="1411" spans="38:38" x14ac:dyDescent="0.35">
      <c r="AL1411" s="20"/>
    </row>
    <row r="1412" spans="38:38" x14ac:dyDescent="0.35">
      <c r="AL1412" s="20"/>
    </row>
    <row r="1413" spans="38:38" x14ac:dyDescent="0.35">
      <c r="AL1413" s="20"/>
    </row>
    <row r="1414" spans="38:38" x14ac:dyDescent="0.35">
      <c r="AL1414" s="20"/>
    </row>
    <row r="1415" spans="38:38" x14ac:dyDescent="0.35">
      <c r="AL1415" s="20"/>
    </row>
    <row r="1416" spans="38:38" x14ac:dyDescent="0.35">
      <c r="AL1416" s="20"/>
    </row>
    <row r="1417" spans="38:38" x14ac:dyDescent="0.35">
      <c r="AL1417" s="20"/>
    </row>
    <row r="1418" spans="38:38" x14ac:dyDescent="0.35">
      <c r="AL1418" s="20"/>
    </row>
    <row r="1419" spans="38:38" x14ac:dyDescent="0.35">
      <c r="AL1419" s="20"/>
    </row>
    <row r="1420" spans="38:38" x14ac:dyDescent="0.35">
      <c r="AL1420" s="20"/>
    </row>
    <row r="1421" spans="38:38" x14ac:dyDescent="0.35">
      <c r="AL1421" s="20"/>
    </row>
    <row r="1422" spans="38:38" x14ac:dyDescent="0.35">
      <c r="AL1422" s="20"/>
    </row>
    <row r="1423" spans="38:38" x14ac:dyDescent="0.35">
      <c r="AL1423" s="20"/>
    </row>
    <row r="1424" spans="38:38" x14ac:dyDescent="0.35">
      <c r="AL1424" s="20"/>
    </row>
    <row r="1425" spans="38:38" x14ac:dyDescent="0.35">
      <c r="AL1425" s="20"/>
    </row>
    <row r="1426" spans="38:38" x14ac:dyDescent="0.35">
      <c r="AL1426" s="20"/>
    </row>
    <row r="1427" spans="38:38" x14ac:dyDescent="0.35">
      <c r="AL1427" s="20"/>
    </row>
    <row r="1428" spans="38:38" x14ac:dyDescent="0.35">
      <c r="AL1428" s="20"/>
    </row>
    <row r="1429" spans="38:38" x14ac:dyDescent="0.35">
      <c r="AL1429" s="20"/>
    </row>
    <row r="1430" spans="38:38" x14ac:dyDescent="0.35">
      <c r="AL1430" s="20"/>
    </row>
    <row r="1431" spans="38:38" x14ac:dyDescent="0.35">
      <c r="AL1431" s="20"/>
    </row>
    <row r="1432" spans="38:38" x14ac:dyDescent="0.35">
      <c r="AL1432" s="20"/>
    </row>
    <row r="1433" spans="38:38" x14ac:dyDescent="0.35">
      <c r="AL1433" s="20"/>
    </row>
    <row r="1434" spans="38:38" x14ac:dyDescent="0.35">
      <c r="AL1434" s="20"/>
    </row>
    <row r="1435" spans="38:38" x14ac:dyDescent="0.35">
      <c r="AL1435" s="20"/>
    </row>
    <row r="1436" spans="38:38" x14ac:dyDescent="0.35">
      <c r="AL1436" s="20"/>
    </row>
    <row r="1437" spans="38:38" x14ac:dyDescent="0.35">
      <c r="AL1437" s="20"/>
    </row>
    <row r="1438" spans="38:38" x14ac:dyDescent="0.35">
      <c r="AL1438" s="20"/>
    </row>
    <row r="1439" spans="38:38" x14ac:dyDescent="0.35">
      <c r="AL1439" s="20"/>
    </row>
    <row r="1440" spans="38:38" x14ac:dyDescent="0.35">
      <c r="AL1440" s="20"/>
    </row>
    <row r="1441" spans="38:38" x14ac:dyDescent="0.35">
      <c r="AL1441" s="20"/>
    </row>
    <row r="1442" spans="38:38" x14ac:dyDescent="0.35">
      <c r="AL1442" s="20"/>
    </row>
    <row r="1443" spans="38:38" x14ac:dyDescent="0.35">
      <c r="AL1443" s="20"/>
    </row>
    <row r="1444" spans="38:38" x14ac:dyDescent="0.35">
      <c r="AL1444" s="20"/>
    </row>
    <row r="1445" spans="38:38" x14ac:dyDescent="0.35">
      <c r="AL1445" s="20"/>
    </row>
    <row r="1446" spans="38:38" x14ac:dyDescent="0.35">
      <c r="AL1446" s="20"/>
    </row>
    <row r="1447" spans="38:38" x14ac:dyDescent="0.35">
      <c r="AL1447" s="20"/>
    </row>
    <row r="1448" spans="38:38" x14ac:dyDescent="0.35">
      <c r="AL1448" s="20"/>
    </row>
    <row r="1449" spans="38:38" x14ac:dyDescent="0.35">
      <c r="AL1449" s="20"/>
    </row>
    <row r="1450" spans="38:38" x14ac:dyDescent="0.35">
      <c r="AL1450" s="20"/>
    </row>
    <row r="1451" spans="38:38" x14ac:dyDescent="0.35">
      <c r="AL1451" s="20"/>
    </row>
    <row r="1452" spans="38:38" x14ac:dyDescent="0.35">
      <c r="AL1452" s="20"/>
    </row>
    <row r="1453" spans="38:38" x14ac:dyDescent="0.35">
      <c r="AL1453" s="20"/>
    </row>
    <row r="1454" spans="38:38" x14ac:dyDescent="0.35">
      <c r="AL1454" s="20"/>
    </row>
    <row r="1455" spans="38:38" x14ac:dyDescent="0.35">
      <c r="AL1455" s="20"/>
    </row>
    <row r="1456" spans="38:38" x14ac:dyDescent="0.35">
      <c r="AL1456" s="20"/>
    </row>
    <row r="1457" spans="38:38" x14ac:dyDescent="0.35">
      <c r="AL1457" s="20"/>
    </row>
    <row r="1458" spans="38:38" x14ac:dyDescent="0.35">
      <c r="AL1458" s="20"/>
    </row>
    <row r="1459" spans="38:38" x14ac:dyDescent="0.35">
      <c r="AL1459" s="20"/>
    </row>
    <row r="1460" spans="38:38" x14ac:dyDescent="0.35">
      <c r="AL1460" s="20"/>
    </row>
    <row r="1461" spans="38:38" x14ac:dyDescent="0.35">
      <c r="AL1461" s="20"/>
    </row>
    <row r="1462" spans="38:38" x14ac:dyDescent="0.35">
      <c r="AL1462" s="20"/>
    </row>
    <row r="1463" spans="38:38" x14ac:dyDescent="0.35">
      <c r="AL1463" s="20"/>
    </row>
    <row r="1464" spans="38:38" x14ac:dyDescent="0.35">
      <c r="AL1464" s="20"/>
    </row>
    <row r="1465" spans="38:38" x14ac:dyDescent="0.35">
      <c r="AL1465" s="20"/>
    </row>
    <row r="1466" spans="38:38" x14ac:dyDescent="0.35">
      <c r="AL1466" s="20"/>
    </row>
    <row r="1467" spans="38:38" x14ac:dyDescent="0.35">
      <c r="AL1467" s="20"/>
    </row>
    <row r="1468" spans="38:38" x14ac:dyDescent="0.35">
      <c r="AL1468" s="20"/>
    </row>
    <row r="1469" spans="38:38" x14ac:dyDescent="0.35">
      <c r="AL1469" s="20"/>
    </row>
    <row r="1470" spans="38:38" x14ac:dyDescent="0.35">
      <c r="AL1470" s="20"/>
    </row>
    <row r="1471" spans="38:38" x14ac:dyDescent="0.35">
      <c r="AL1471" s="20"/>
    </row>
    <row r="1472" spans="38:38" x14ac:dyDescent="0.35">
      <c r="AL1472" s="20"/>
    </row>
    <row r="1473" spans="38:38" x14ac:dyDescent="0.35">
      <c r="AL1473" s="20"/>
    </row>
    <row r="1474" spans="38:38" x14ac:dyDescent="0.35">
      <c r="AL1474" s="20"/>
    </row>
    <row r="1475" spans="38:38" x14ac:dyDescent="0.35">
      <c r="AL1475" s="20"/>
    </row>
    <row r="1476" spans="38:38" x14ac:dyDescent="0.35">
      <c r="AL1476" s="20"/>
    </row>
    <row r="1477" spans="38:38" x14ac:dyDescent="0.35">
      <c r="AL1477" s="20"/>
    </row>
    <row r="1478" spans="38:38" x14ac:dyDescent="0.35">
      <c r="AL1478" s="20"/>
    </row>
    <row r="1479" spans="38:38" x14ac:dyDescent="0.35">
      <c r="AL1479" s="20"/>
    </row>
    <row r="1480" spans="38:38" x14ac:dyDescent="0.35">
      <c r="AL1480" s="20"/>
    </row>
    <row r="1481" spans="38:38" x14ac:dyDescent="0.35">
      <c r="AL1481" s="20"/>
    </row>
    <row r="1482" spans="38:38" x14ac:dyDescent="0.35">
      <c r="AL1482" s="20"/>
    </row>
    <row r="1483" spans="38:38" x14ac:dyDescent="0.35">
      <c r="AL1483" s="20"/>
    </row>
    <row r="1484" spans="38:38" x14ac:dyDescent="0.35">
      <c r="AL1484" s="20"/>
    </row>
    <row r="1485" spans="38:38" x14ac:dyDescent="0.35">
      <c r="AL1485" s="20"/>
    </row>
    <row r="1486" spans="38:38" x14ac:dyDescent="0.35">
      <c r="AL1486" s="20"/>
    </row>
    <row r="1487" spans="38:38" x14ac:dyDescent="0.35">
      <c r="AL1487" s="20"/>
    </row>
    <row r="1488" spans="38:38" x14ac:dyDescent="0.35">
      <c r="AL1488" s="20"/>
    </row>
    <row r="1489" spans="38:38" x14ac:dyDescent="0.35">
      <c r="AL1489" s="20"/>
    </row>
    <row r="1490" spans="38:38" x14ac:dyDescent="0.35">
      <c r="AL1490" s="20"/>
    </row>
    <row r="1491" spans="38:38" x14ac:dyDescent="0.35">
      <c r="AL1491" s="20"/>
    </row>
    <row r="1492" spans="38:38" x14ac:dyDescent="0.35">
      <c r="AL1492" s="20"/>
    </row>
    <row r="1493" spans="38:38" x14ac:dyDescent="0.35">
      <c r="AL1493" s="20"/>
    </row>
    <row r="1494" spans="38:38" x14ac:dyDescent="0.35">
      <c r="AL1494" s="20"/>
    </row>
    <row r="1495" spans="38:38" x14ac:dyDescent="0.35">
      <c r="AL1495" s="20"/>
    </row>
    <row r="1496" spans="38:38" x14ac:dyDescent="0.35">
      <c r="AL1496" s="20"/>
    </row>
    <row r="1497" spans="38:38" x14ac:dyDescent="0.35">
      <c r="AL1497" s="20"/>
    </row>
    <row r="1498" spans="38:38" x14ac:dyDescent="0.35">
      <c r="AL1498" s="20"/>
    </row>
    <row r="1499" spans="38:38" x14ac:dyDescent="0.35">
      <c r="AL1499" s="20"/>
    </row>
    <row r="1500" spans="38:38" x14ac:dyDescent="0.35">
      <c r="AL1500" s="20"/>
    </row>
    <row r="1501" spans="38:38" x14ac:dyDescent="0.35">
      <c r="AL1501" s="20"/>
    </row>
    <row r="1502" spans="38:38" x14ac:dyDescent="0.35">
      <c r="AL1502" s="20"/>
    </row>
    <row r="1503" spans="38:38" x14ac:dyDescent="0.35">
      <c r="AL1503" s="20"/>
    </row>
    <row r="1504" spans="38:38" x14ac:dyDescent="0.35">
      <c r="AL1504" s="20"/>
    </row>
    <row r="1505" spans="38:38" x14ac:dyDescent="0.35">
      <c r="AL1505" s="20"/>
    </row>
    <row r="1506" spans="38:38" x14ac:dyDescent="0.35">
      <c r="AL1506" s="20"/>
    </row>
    <row r="1507" spans="38:38" x14ac:dyDescent="0.35">
      <c r="AL1507" s="20"/>
    </row>
    <row r="1508" spans="38:38" x14ac:dyDescent="0.35">
      <c r="AL1508" s="20"/>
    </row>
    <row r="1509" spans="38:38" x14ac:dyDescent="0.35">
      <c r="AL1509" s="20"/>
    </row>
    <row r="1510" spans="38:38" x14ac:dyDescent="0.35">
      <c r="AL1510" s="20"/>
    </row>
    <row r="1511" spans="38:38" x14ac:dyDescent="0.35">
      <c r="AL1511" s="20"/>
    </row>
    <row r="1512" spans="38:38" x14ac:dyDescent="0.35">
      <c r="AL1512" s="20"/>
    </row>
    <row r="1513" spans="38:38" x14ac:dyDescent="0.35">
      <c r="AL1513" s="20"/>
    </row>
    <row r="1514" spans="38:38" x14ac:dyDescent="0.35">
      <c r="AL1514" s="20"/>
    </row>
    <row r="1515" spans="38:38" x14ac:dyDescent="0.35">
      <c r="AL1515" s="20"/>
    </row>
    <row r="1516" spans="38:38" x14ac:dyDescent="0.35">
      <c r="AL1516" s="20"/>
    </row>
    <row r="1517" spans="38:38" x14ac:dyDescent="0.35">
      <c r="AL1517" s="20"/>
    </row>
    <row r="1518" spans="38:38" x14ac:dyDescent="0.35">
      <c r="AL1518" s="20"/>
    </row>
    <row r="1519" spans="38:38" x14ac:dyDescent="0.35">
      <c r="AL1519" s="20"/>
    </row>
    <row r="1520" spans="38:38" x14ac:dyDescent="0.35">
      <c r="AL1520" s="20"/>
    </row>
    <row r="1521" spans="38:38" x14ac:dyDescent="0.35">
      <c r="AL1521" s="20"/>
    </row>
    <row r="1522" spans="38:38" x14ac:dyDescent="0.35">
      <c r="AL1522" s="20"/>
    </row>
    <row r="1523" spans="38:38" x14ac:dyDescent="0.35">
      <c r="AL1523" s="20"/>
    </row>
    <row r="1524" spans="38:38" x14ac:dyDescent="0.35">
      <c r="AL1524" s="20"/>
    </row>
    <row r="1525" spans="38:38" x14ac:dyDescent="0.35">
      <c r="AL1525" s="20"/>
    </row>
    <row r="1526" spans="38:38" x14ac:dyDescent="0.35">
      <c r="AL1526" s="20"/>
    </row>
    <row r="1527" spans="38:38" x14ac:dyDescent="0.35">
      <c r="AL1527" s="20"/>
    </row>
    <row r="1528" spans="38:38" x14ac:dyDescent="0.35">
      <c r="AL1528" s="20"/>
    </row>
    <row r="1529" spans="38:38" x14ac:dyDescent="0.35">
      <c r="AL1529" s="20"/>
    </row>
    <row r="1530" spans="38:38" x14ac:dyDescent="0.35">
      <c r="AL1530" s="20"/>
    </row>
    <row r="1531" spans="38:38" x14ac:dyDescent="0.35">
      <c r="AL1531" s="20"/>
    </row>
    <row r="1532" spans="38:38" x14ac:dyDescent="0.35">
      <c r="AL1532" s="20"/>
    </row>
    <row r="1533" spans="38:38" x14ac:dyDescent="0.35">
      <c r="AL1533" s="20"/>
    </row>
    <row r="1534" spans="38:38" x14ac:dyDescent="0.35">
      <c r="AL1534" s="20"/>
    </row>
    <row r="1535" spans="38:38" x14ac:dyDescent="0.35">
      <c r="AL1535" s="20"/>
    </row>
    <row r="1536" spans="38:38" x14ac:dyDescent="0.35">
      <c r="AL1536" s="20"/>
    </row>
    <row r="1537" spans="38:38" x14ac:dyDescent="0.35">
      <c r="AL1537" s="20"/>
    </row>
    <row r="1538" spans="38:38" x14ac:dyDescent="0.35">
      <c r="AL1538" s="20"/>
    </row>
    <row r="1539" spans="38:38" x14ac:dyDescent="0.35">
      <c r="AL1539" s="20"/>
    </row>
    <row r="1540" spans="38:38" x14ac:dyDescent="0.35">
      <c r="AL1540" s="20"/>
    </row>
    <row r="1541" spans="38:38" x14ac:dyDescent="0.35">
      <c r="AL1541" s="20"/>
    </row>
    <row r="1542" spans="38:38" x14ac:dyDescent="0.35">
      <c r="AL1542" s="20"/>
    </row>
    <row r="1543" spans="38:38" x14ac:dyDescent="0.35">
      <c r="AL1543" s="20"/>
    </row>
    <row r="1544" spans="38:38" x14ac:dyDescent="0.35">
      <c r="AL1544" s="20"/>
    </row>
    <row r="1545" spans="38:38" x14ac:dyDescent="0.35">
      <c r="AL1545" s="20"/>
    </row>
    <row r="1546" spans="38:38" x14ac:dyDescent="0.35">
      <c r="AL1546" s="20"/>
    </row>
    <row r="1547" spans="38:38" x14ac:dyDescent="0.35">
      <c r="AL1547" s="20"/>
    </row>
    <row r="1548" spans="38:38" x14ac:dyDescent="0.35">
      <c r="AL1548" s="20"/>
    </row>
    <row r="1549" spans="38:38" x14ac:dyDescent="0.35">
      <c r="AL1549" s="20"/>
    </row>
    <row r="1550" spans="38:38" x14ac:dyDescent="0.35">
      <c r="AL1550" s="20"/>
    </row>
    <row r="1551" spans="38:38" x14ac:dyDescent="0.35">
      <c r="AL1551" s="20"/>
    </row>
    <row r="1552" spans="38:38" x14ac:dyDescent="0.35">
      <c r="AL1552" s="20"/>
    </row>
    <row r="1553" spans="38:38" x14ac:dyDescent="0.35">
      <c r="AL1553" s="20"/>
    </row>
    <row r="1554" spans="38:38" x14ac:dyDescent="0.35">
      <c r="AL1554" s="20"/>
    </row>
    <row r="1555" spans="38:38" x14ac:dyDescent="0.35">
      <c r="AL1555" s="20"/>
    </row>
    <row r="1556" spans="38:38" x14ac:dyDescent="0.35">
      <c r="AL1556" s="20"/>
    </row>
    <row r="1557" spans="38:38" x14ac:dyDescent="0.35">
      <c r="AL1557" s="20"/>
    </row>
    <row r="1558" spans="38:38" x14ac:dyDescent="0.35">
      <c r="AL1558" s="20"/>
    </row>
    <row r="1559" spans="38:38" x14ac:dyDescent="0.35">
      <c r="AL1559" s="20"/>
    </row>
    <row r="1560" spans="38:38" x14ac:dyDescent="0.35">
      <c r="AL1560" s="20"/>
    </row>
    <row r="1561" spans="38:38" x14ac:dyDescent="0.35">
      <c r="AL1561" s="20"/>
    </row>
    <row r="1562" spans="38:38" x14ac:dyDescent="0.35">
      <c r="AL1562" s="20"/>
    </row>
    <row r="1563" spans="38:38" x14ac:dyDescent="0.35">
      <c r="AL1563" s="20"/>
    </row>
    <row r="1564" spans="38:38" x14ac:dyDescent="0.35">
      <c r="AL1564" s="20"/>
    </row>
    <row r="1565" spans="38:38" x14ac:dyDescent="0.35">
      <c r="AL1565" s="20"/>
    </row>
    <row r="1566" spans="38:38" x14ac:dyDescent="0.35">
      <c r="AL1566" s="20"/>
    </row>
    <row r="1567" spans="38:38" x14ac:dyDescent="0.35">
      <c r="AL1567" s="20"/>
    </row>
    <row r="1568" spans="38:38" x14ac:dyDescent="0.35">
      <c r="AL1568" s="20"/>
    </row>
    <row r="1569" spans="38:38" x14ac:dyDescent="0.35">
      <c r="AL1569" s="20"/>
    </row>
    <row r="1570" spans="38:38" x14ac:dyDescent="0.35">
      <c r="AL1570" s="20"/>
    </row>
    <row r="1571" spans="38:38" x14ac:dyDescent="0.35">
      <c r="AL1571" s="20"/>
    </row>
    <row r="1572" spans="38:38" x14ac:dyDescent="0.35">
      <c r="AL1572" s="20"/>
    </row>
    <row r="1573" spans="38:38" x14ac:dyDescent="0.35">
      <c r="AL1573" s="20"/>
    </row>
    <row r="1574" spans="38:38" x14ac:dyDescent="0.35">
      <c r="AL1574" s="20"/>
    </row>
    <row r="1575" spans="38:38" x14ac:dyDescent="0.35">
      <c r="AL1575" s="20"/>
    </row>
    <row r="1576" spans="38:38" x14ac:dyDescent="0.35">
      <c r="AL1576" s="20"/>
    </row>
    <row r="1577" spans="38:38" x14ac:dyDescent="0.35">
      <c r="AL1577" s="20"/>
    </row>
    <row r="1578" spans="38:38" x14ac:dyDescent="0.35">
      <c r="AL1578" s="20"/>
    </row>
    <row r="1579" spans="38:38" x14ac:dyDescent="0.35">
      <c r="AL1579" s="20"/>
    </row>
    <row r="1580" spans="38:38" x14ac:dyDescent="0.35">
      <c r="AL1580" s="20"/>
    </row>
    <row r="1581" spans="38:38" x14ac:dyDescent="0.35">
      <c r="AL1581" s="20"/>
    </row>
    <row r="1582" spans="38:38" x14ac:dyDescent="0.35">
      <c r="AL1582" s="20"/>
    </row>
    <row r="1583" spans="38:38" x14ac:dyDescent="0.35">
      <c r="AL1583" s="20"/>
    </row>
    <row r="1584" spans="38:38" x14ac:dyDescent="0.35">
      <c r="AL1584" s="20"/>
    </row>
    <row r="1585" spans="38:38" x14ac:dyDescent="0.35">
      <c r="AL1585" s="20"/>
    </row>
    <row r="1586" spans="38:38" x14ac:dyDescent="0.35">
      <c r="AL1586" s="20"/>
    </row>
    <row r="1587" spans="38:38" x14ac:dyDescent="0.35">
      <c r="AL1587" s="20"/>
    </row>
    <row r="1588" spans="38:38" x14ac:dyDescent="0.35">
      <c r="AL1588" s="20"/>
    </row>
    <row r="1589" spans="38:38" x14ac:dyDescent="0.35">
      <c r="AL1589" s="20"/>
    </row>
    <row r="1590" spans="38:38" x14ac:dyDescent="0.35">
      <c r="AL1590" s="20"/>
    </row>
    <row r="1591" spans="38:38" x14ac:dyDescent="0.35">
      <c r="AL1591" s="20"/>
    </row>
    <row r="1592" spans="38:38" x14ac:dyDescent="0.35">
      <c r="AL1592" s="20"/>
    </row>
    <row r="1593" spans="38:38" x14ac:dyDescent="0.35">
      <c r="AL1593" s="20"/>
    </row>
    <row r="1594" spans="38:38" x14ac:dyDescent="0.35">
      <c r="AL1594" s="20"/>
    </row>
    <row r="1595" spans="38:38" x14ac:dyDescent="0.35">
      <c r="AL1595" s="20"/>
    </row>
    <row r="1596" spans="38:38" x14ac:dyDescent="0.35">
      <c r="AL1596" s="20"/>
    </row>
    <row r="1597" spans="38:38" x14ac:dyDescent="0.35">
      <c r="AL1597" s="20"/>
    </row>
    <row r="1598" spans="38:38" x14ac:dyDescent="0.35">
      <c r="AL1598" s="20"/>
    </row>
    <row r="1599" spans="38:38" x14ac:dyDescent="0.35">
      <c r="AL1599" s="20"/>
    </row>
    <row r="1600" spans="38:38" x14ac:dyDescent="0.35">
      <c r="AL1600" s="20"/>
    </row>
    <row r="1601" spans="38:38" x14ac:dyDescent="0.35">
      <c r="AL1601" s="20"/>
    </row>
    <row r="1602" spans="38:38" x14ac:dyDescent="0.35">
      <c r="AL1602" s="20"/>
    </row>
    <row r="1603" spans="38:38" x14ac:dyDescent="0.35">
      <c r="AL1603" s="20"/>
    </row>
    <row r="1604" spans="38:38" x14ac:dyDescent="0.35">
      <c r="AL1604" s="20"/>
    </row>
    <row r="1605" spans="38:38" x14ac:dyDescent="0.35">
      <c r="AL1605" s="20"/>
    </row>
    <row r="1606" spans="38:38" x14ac:dyDescent="0.35">
      <c r="AL1606" s="20"/>
    </row>
    <row r="1607" spans="38:38" x14ac:dyDescent="0.35">
      <c r="AL1607" s="20"/>
    </row>
    <row r="1608" spans="38:38" x14ac:dyDescent="0.35">
      <c r="AL1608" s="20"/>
    </row>
    <row r="1609" spans="38:38" x14ac:dyDescent="0.35">
      <c r="AL1609" s="20"/>
    </row>
    <row r="1610" spans="38:38" x14ac:dyDescent="0.35">
      <c r="AL1610" s="20"/>
    </row>
    <row r="1611" spans="38:38" x14ac:dyDescent="0.35">
      <c r="AL1611" s="20"/>
    </row>
    <row r="1612" spans="38:38" x14ac:dyDescent="0.35">
      <c r="AL1612" s="20"/>
    </row>
    <row r="1613" spans="38:38" x14ac:dyDescent="0.35">
      <c r="AL1613" s="20"/>
    </row>
    <row r="1614" spans="38:38" x14ac:dyDescent="0.35">
      <c r="AL1614" s="20"/>
    </row>
    <row r="1615" spans="38:38" x14ac:dyDescent="0.35">
      <c r="AL1615" s="20"/>
    </row>
    <row r="1616" spans="38:38" x14ac:dyDescent="0.35">
      <c r="AL1616" s="20"/>
    </row>
    <row r="1617" spans="38:38" x14ac:dyDescent="0.35">
      <c r="AL1617" s="20"/>
    </row>
    <row r="1618" spans="38:38" x14ac:dyDescent="0.35">
      <c r="AL1618" s="20"/>
    </row>
    <row r="1619" spans="38:38" x14ac:dyDescent="0.35">
      <c r="AL1619" s="20"/>
    </row>
    <row r="1620" spans="38:38" x14ac:dyDescent="0.35">
      <c r="AL1620" s="20"/>
    </row>
    <row r="1621" spans="38:38" x14ac:dyDescent="0.35">
      <c r="AL1621" s="20"/>
    </row>
    <row r="1622" spans="38:38" x14ac:dyDescent="0.35">
      <c r="AL1622" s="20"/>
    </row>
    <row r="1623" spans="38:38" x14ac:dyDescent="0.35">
      <c r="AL1623" s="20"/>
    </row>
    <row r="1624" spans="38:38" x14ac:dyDescent="0.35">
      <c r="AL1624" s="20"/>
    </row>
    <row r="1625" spans="38:38" x14ac:dyDescent="0.35">
      <c r="AL1625" s="20"/>
    </row>
    <row r="1626" spans="38:38" x14ac:dyDescent="0.35">
      <c r="AL1626" s="20"/>
    </row>
    <row r="1627" spans="38:38" x14ac:dyDescent="0.35">
      <c r="AL1627" s="20"/>
    </row>
    <row r="1628" spans="38:38" x14ac:dyDescent="0.35">
      <c r="AL1628" s="20"/>
    </row>
    <row r="1629" spans="38:38" x14ac:dyDescent="0.35">
      <c r="AL1629" s="20"/>
    </row>
    <row r="1630" spans="38:38" x14ac:dyDescent="0.35">
      <c r="AL1630" s="20"/>
    </row>
    <row r="1631" spans="38:38" x14ac:dyDescent="0.35">
      <c r="AL1631" s="20"/>
    </row>
    <row r="1632" spans="38:38" x14ac:dyDescent="0.35">
      <c r="AL1632" s="20"/>
    </row>
    <row r="1633" spans="38:38" x14ac:dyDescent="0.35">
      <c r="AL1633" s="20"/>
    </row>
    <row r="1634" spans="38:38" x14ac:dyDescent="0.35">
      <c r="AL1634" s="20"/>
    </row>
    <row r="1635" spans="38:38" x14ac:dyDescent="0.35">
      <c r="AL1635" s="20"/>
    </row>
    <row r="1636" spans="38:38" x14ac:dyDescent="0.35">
      <c r="AL1636" s="20"/>
    </row>
    <row r="1637" spans="38:38" x14ac:dyDescent="0.35">
      <c r="AL1637" s="20"/>
    </row>
    <row r="1638" spans="38:38" x14ac:dyDescent="0.35">
      <c r="AL1638" s="20"/>
    </row>
    <row r="1639" spans="38:38" x14ac:dyDescent="0.35">
      <c r="AL1639" s="20"/>
    </row>
    <row r="1640" spans="38:38" x14ac:dyDescent="0.35">
      <c r="AL1640" s="20"/>
    </row>
    <row r="1641" spans="38:38" x14ac:dyDescent="0.35">
      <c r="AL1641" s="20"/>
    </row>
    <row r="1642" spans="38:38" x14ac:dyDescent="0.35">
      <c r="AL1642" s="20"/>
    </row>
    <row r="1643" spans="38:38" x14ac:dyDescent="0.35">
      <c r="AL1643" s="20"/>
    </row>
    <row r="1644" spans="38:38" x14ac:dyDescent="0.35">
      <c r="AL1644" s="20"/>
    </row>
    <row r="1645" spans="38:38" x14ac:dyDescent="0.35">
      <c r="AL1645" s="20"/>
    </row>
    <row r="1646" spans="38:38" x14ac:dyDescent="0.35">
      <c r="AL1646" s="20"/>
    </row>
    <row r="1647" spans="38:38" x14ac:dyDescent="0.35">
      <c r="AL1647" s="20"/>
    </row>
    <row r="1648" spans="38:38" x14ac:dyDescent="0.35">
      <c r="AL1648" s="20"/>
    </row>
    <row r="1649" spans="38:38" x14ac:dyDescent="0.35">
      <c r="AL1649" s="20"/>
    </row>
    <row r="1650" spans="38:38" x14ac:dyDescent="0.35">
      <c r="AL1650" s="20"/>
    </row>
    <row r="1651" spans="38:38" x14ac:dyDescent="0.35">
      <c r="AL1651" s="20"/>
    </row>
    <row r="1652" spans="38:38" x14ac:dyDescent="0.35">
      <c r="AL1652" s="20"/>
    </row>
    <row r="1653" spans="38:38" x14ac:dyDescent="0.35">
      <c r="AL1653" s="20"/>
    </row>
    <row r="1654" spans="38:38" x14ac:dyDescent="0.35">
      <c r="AL1654" s="20"/>
    </row>
    <row r="1655" spans="38:38" x14ac:dyDescent="0.35">
      <c r="AL1655" s="20"/>
    </row>
    <row r="1656" spans="38:38" x14ac:dyDescent="0.35">
      <c r="AL1656" s="20"/>
    </row>
    <row r="1657" spans="38:38" x14ac:dyDescent="0.35">
      <c r="AL1657" s="20"/>
    </row>
    <row r="1658" spans="38:38" x14ac:dyDescent="0.35">
      <c r="AL1658" s="20"/>
    </row>
    <row r="1659" spans="38:38" x14ac:dyDescent="0.35">
      <c r="AL1659" s="20"/>
    </row>
    <row r="1660" spans="38:38" x14ac:dyDescent="0.35">
      <c r="AL1660" s="20"/>
    </row>
    <row r="1661" spans="38:38" x14ac:dyDescent="0.35">
      <c r="AL1661" s="20"/>
    </row>
    <row r="1662" spans="38:38" x14ac:dyDescent="0.35">
      <c r="AL1662" s="20"/>
    </row>
    <row r="1663" spans="38:38" x14ac:dyDescent="0.35">
      <c r="AL1663" s="20"/>
    </row>
    <row r="1664" spans="38:38" x14ac:dyDescent="0.35">
      <c r="AL1664" s="20"/>
    </row>
    <row r="1665" spans="38:38" x14ac:dyDescent="0.35">
      <c r="AL1665" s="20"/>
    </row>
    <row r="1666" spans="38:38" x14ac:dyDescent="0.35">
      <c r="AL1666" s="20"/>
    </row>
    <row r="1667" spans="38:38" x14ac:dyDescent="0.35">
      <c r="AL1667" s="20"/>
    </row>
    <row r="1668" spans="38:38" x14ac:dyDescent="0.35">
      <c r="AL1668" s="20"/>
    </row>
    <row r="1669" spans="38:38" x14ac:dyDescent="0.35">
      <c r="AL1669" s="20"/>
    </row>
    <row r="1670" spans="38:38" x14ac:dyDescent="0.35">
      <c r="AL1670" s="20"/>
    </row>
    <row r="1671" spans="38:38" x14ac:dyDescent="0.35">
      <c r="AL1671" s="20"/>
    </row>
    <row r="1672" spans="38:38" x14ac:dyDescent="0.35">
      <c r="AL1672" s="20"/>
    </row>
    <row r="1673" spans="38:38" x14ac:dyDescent="0.35">
      <c r="AL1673" s="20"/>
    </row>
    <row r="1674" spans="38:38" x14ac:dyDescent="0.35">
      <c r="AL1674" s="20"/>
    </row>
    <row r="1675" spans="38:38" x14ac:dyDescent="0.35">
      <c r="AL1675" s="20"/>
    </row>
    <row r="1676" spans="38:38" x14ac:dyDescent="0.35">
      <c r="AL1676" s="20"/>
    </row>
    <row r="1677" spans="38:38" x14ac:dyDescent="0.35">
      <c r="AL1677" s="20"/>
    </row>
    <row r="1678" spans="38:38" x14ac:dyDescent="0.35">
      <c r="AL1678" s="20"/>
    </row>
    <row r="1679" spans="38:38" x14ac:dyDescent="0.35">
      <c r="AL1679" s="20"/>
    </row>
    <row r="1680" spans="38:38" x14ac:dyDescent="0.35">
      <c r="AL1680" s="20"/>
    </row>
    <row r="1681" spans="38:38" x14ac:dyDescent="0.35">
      <c r="AL1681" s="20"/>
    </row>
    <row r="1682" spans="38:38" x14ac:dyDescent="0.35">
      <c r="AL1682" s="20"/>
    </row>
    <row r="1683" spans="38:38" x14ac:dyDescent="0.35">
      <c r="AL1683" s="20"/>
    </row>
    <row r="1684" spans="38:38" x14ac:dyDescent="0.35">
      <c r="AL1684" s="20"/>
    </row>
    <row r="1685" spans="38:38" x14ac:dyDescent="0.35">
      <c r="AL1685" s="20"/>
    </row>
    <row r="1686" spans="38:38" x14ac:dyDescent="0.35">
      <c r="AL1686" s="20"/>
    </row>
    <row r="1687" spans="38:38" x14ac:dyDescent="0.35">
      <c r="AL1687" s="20"/>
    </row>
    <row r="1688" spans="38:38" x14ac:dyDescent="0.35">
      <c r="AL1688" s="20"/>
    </row>
    <row r="1689" spans="38:38" x14ac:dyDescent="0.35">
      <c r="AL1689" s="20"/>
    </row>
    <row r="1690" spans="38:38" x14ac:dyDescent="0.35">
      <c r="AL1690" s="20"/>
    </row>
    <row r="1691" spans="38:38" x14ac:dyDescent="0.35">
      <c r="AL1691" s="20"/>
    </row>
    <row r="1692" spans="38:38" x14ac:dyDescent="0.35">
      <c r="AL1692" s="20"/>
    </row>
    <row r="1693" spans="38:38" x14ac:dyDescent="0.35">
      <c r="AL1693" s="20"/>
    </row>
    <row r="1694" spans="38:38" x14ac:dyDescent="0.35">
      <c r="AL1694" s="20"/>
    </row>
    <row r="1695" spans="38:38" x14ac:dyDescent="0.35">
      <c r="AL1695" s="20"/>
    </row>
    <row r="1696" spans="38:38" x14ac:dyDescent="0.35">
      <c r="AL1696" s="20"/>
    </row>
    <row r="1697" spans="38:38" x14ac:dyDescent="0.35">
      <c r="AL1697" s="20"/>
    </row>
    <row r="1698" spans="38:38" x14ac:dyDescent="0.35">
      <c r="AL1698" s="20"/>
    </row>
    <row r="1699" spans="38:38" x14ac:dyDescent="0.35">
      <c r="AL1699" s="20"/>
    </row>
    <row r="1700" spans="38:38" x14ac:dyDescent="0.35">
      <c r="AL1700" s="20"/>
    </row>
    <row r="1701" spans="38:38" x14ac:dyDescent="0.35">
      <c r="AL1701" s="20"/>
    </row>
    <row r="1702" spans="38:38" x14ac:dyDescent="0.35">
      <c r="AL1702" s="20"/>
    </row>
    <row r="1703" spans="38:38" x14ac:dyDescent="0.35">
      <c r="AL1703" s="20"/>
    </row>
    <row r="1704" spans="38:38" x14ac:dyDescent="0.35">
      <c r="AL1704" s="20"/>
    </row>
    <row r="1705" spans="38:38" x14ac:dyDescent="0.35">
      <c r="AL1705" s="20"/>
    </row>
    <row r="1706" spans="38:38" x14ac:dyDescent="0.35">
      <c r="AL1706" s="20"/>
    </row>
    <row r="1707" spans="38:38" x14ac:dyDescent="0.35">
      <c r="AL1707" s="20"/>
    </row>
    <row r="1708" spans="38:38" x14ac:dyDescent="0.35">
      <c r="AL1708" s="20"/>
    </row>
    <row r="1709" spans="38:38" x14ac:dyDescent="0.35">
      <c r="AL1709" s="20"/>
    </row>
    <row r="1710" spans="38:38" x14ac:dyDescent="0.35">
      <c r="AL1710" s="20"/>
    </row>
    <row r="1711" spans="38:38" x14ac:dyDescent="0.35">
      <c r="AL1711" s="20"/>
    </row>
    <row r="1712" spans="38:38" x14ac:dyDescent="0.35">
      <c r="AL1712" s="20"/>
    </row>
    <row r="1713" spans="38:38" x14ac:dyDescent="0.35">
      <c r="AL1713" s="20"/>
    </row>
    <row r="1714" spans="38:38" x14ac:dyDescent="0.35">
      <c r="AL1714" s="20"/>
    </row>
    <row r="1715" spans="38:38" x14ac:dyDescent="0.35">
      <c r="AL1715" s="20"/>
    </row>
    <row r="1716" spans="38:38" x14ac:dyDescent="0.35">
      <c r="AL1716" s="20"/>
    </row>
    <row r="1717" spans="38:38" x14ac:dyDescent="0.35">
      <c r="AL1717" s="20"/>
    </row>
    <row r="1718" spans="38:38" x14ac:dyDescent="0.35">
      <c r="AL1718" s="20"/>
    </row>
    <row r="1719" spans="38:38" x14ac:dyDescent="0.35">
      <c r="AL1719" s="20"/>
    </row>
    <row r="1720" spans="38:38" x14ac:dyDescent="0.35">
      <c r="AL1720" s="20"/>
    </row>
    <row r="1721" spans="38:38" x14ac:dyDescent="0.35">
      <c r="AL1721" s="20"/>
    </row>
    <row r="1722" spans="38:38" x14ac:dyDescent="0.35">
      <c r="AL1722" s="20"/>
    </row>
    <row r="1723" spans="38:38" x14ac:dyDescent="0.35">
      <c r="AL1723" s="20"/>
    </row>
    <row r="1724" spans="38:38" x14ac:dyDescent="0.35">
      <c r="AL1724" s="20"/>
    </row>
    <row r="1725" spans="38:38" x14ac:dyDescent="0.35">
      <c r="AL1725" s="20"/>
    </row>
    <row r="1726" spans="38:38" x14ac:dyDescent="0.35">
      <c r="AL1726" s="20"/>
    </row>
    <row r="1727" spans="38:38" x14ac:dyDescent="0.35">
      <c r="AL1727" s="20"/>
    </row>
    <row r="1728" spans="38:38" x14ac:dyDescent="0.35">
      <c r="AL1728" s="20"/>
    </row>
    <row r="1729" spans="38:38" x14ac:dyDescent="0.35">
      <c r="AL1729" s="20"/>
    </row>
    <row r="1730" spans="38:38" x14ac:dyDescent="0.35">
      <c r="AL1730" s="20"/>
    </row>
    <row r="1731" spans="38:38" x14ac:dyDescent="0.35">
      <c r="AL1731" s="20"/>
    </row>
    <row r="1732" spans="38:38" x14ac:dyDescent="0.35">
      <c r="AL1732" s="20"/>
    </row>
    <row r="1733" spans="38:38" x14ac:dyDescent="0.35">
      <c r="AL1733" s="20"/>
    </row>
    <row r="1734" spans="38:38" x14ac:dyDescent="0.35">
      <c r="AL1734" s="20"/>
    </row>
    <row r="1735" spans="38:38" x14ac:dyDescent="0.35">
      <c r="AL1735" s="20"/>
    </row>
    <row r="1736" spans="38:38" x14ac:dyDescent="0.35">
      <c r="AL1736" s="20"/>
    </row>
    <row r="1737" spans="38:38" x14ac:dyDescent="0.35">
      <c r="AL1737" s="20"/>
    </row>
    <row r="1738" spans="38:38" x14ac:dyDescent="0.35">
      <c r="AL1738" s="20"/>
    </row>
    <row r="1739" spans="38:38" x14ac:dyDescent="0.35">
      <c r="AL1739" s="20"/>
    </row>
    <row r="1740" spans="38:38" x14ac:dyDescent="0.35">
      <c r="AL1740" s="20"/>
    </row>
    <row r="1741" spans="38:38" x14ac:dyDescent="0.35">
      <c r="AL1741" s="20"/>
    </row>
    <row r="1742" spans="38:38" x14ac:dyDescent="0.35">
      <c r="AL1742" s="20"/>
    </row>
    <row r="1743" spans="38:38" x14ac:dyDescent="0.35">
      <c r="AL1743" s="20"/>
    </row>
    <row r="1744" spans="38:38" x14ac:dyDescent="0.35">
      <c r="AL1744" s="20"/>
    </row>
    <row r="1745" spans="38:38" x14ac:dyDescent="0.35">
      <c r="AL1745" s="20"/>
    </row>
    <row r="1746" spans="38:38" x14ac:dyDescent="0.35">
      <c r="AL1746" s="20"/>
    </row>
    <row r="1747" spans="38:38" x14ac:dyDescent="0.35">
      <c r="AL1747" s="20"/>
    </row>
    <row r="1748" spans="38:38" x14ac:dyDescent="0.35">
      <c r="AL1748" s="20"/>
    </row>
    <row r="1749" spans="38:38" x14ac:dyDescent="0.35">
      <c r="AL1749" s="20"/>
    </row>
    <row r="1750" spans="38:38" x14ac:dyDescent="0.35">
      <c r="AL1750" s="20"/>
    </row>
    <row r="1751" spans="38:38" x14ac:dyDescent="0.35">
      <c r="AL1751" s="20"/>
    </row>
    <row r="1752" spans="38:38" x14ac:dyDescent="0.35">
      <c r="AL1752" s="20"/>
    </row>
    <row r="1753" spans="38:38" x14ac:dyDescent="0.35">
      <c r="AL1753" s="20"/>
    </row>
    <row r="1754" spans="38:38" x14ac:dyDescent="0.35">
      <c r="AL1754" s="20"/>
    </row>
    <row r="1755" spans="38:38" x14ac:dyDescent="0.35">
      <c r="AL1755" s="20"/>
    </row>
    <row r="1756" spans="38:38" x14ac:dyDescent="0.35">
      <c r="AL1756" s="20"/>
    </row>
    <row r="1757" spans="38:38" x14ac:dyDescent="0.35">
      <c r="AL1757" s="20"/>
    </row>
    <row r="1758" spans="38:38" x14ac:dyDescent="0.35">
      <c r="AL1758" s="20"/>
    </row>
    <row r="1759" spans="38:38" x14ac:dyDescent="0.35">
      <c r="AL1759" s="20"/>
    </row>
    <row r="1760" spans="38:38" x14ac:dyDescent="0.35">
      <c r="AL1760" s="20"/>
    </row>
    <row r="1761" spans="38:38" x14ac:dyDescent="0.35">
      <c r="AL1761" s="20"/>
    </row>
    <row r="1762" spans="38:38" x14ac:dyDescent="0.35">
      <c r="AL1762" s="20"/>
    </row>
    <row r="1763" spans="38:38" x14ac:dyDescent="0.35">
      <c r="AL1763" s="20"/>
    </row>
    <row r="1764" spans="38:38" x14ac:dyDescent="0.35">
      <c r="AL1764" s="20"/>
    </row>
    <row r="1765" spans="38:38" x14ac:dyDescent="0.35">
      <c r="AL1765" s="20"/>
    </row>
    <row r="1766" spans="38:38" x14ac:dyDescent="0.35">
      <c r="AL1766" s="20"/>
    </row>
    <row r="1767" spans="38:38" x14ac:dyDescent="0.35">
      <c r="AL1767" s="20"/>
    </row>
    <row r="1768" spans="38:38" x14ac:dyDescent="0.35">
      <c r="AL1768" s="20"/>
    </row>
    <row r="1769" spans="38:38" x14ac:dyDescent="0.35">
      <c r="AL1769" s="20"/>
    </row>
    <row r="1770" spans="38:38" x14ac:dyDescent="0.35">
      <c r="AL1770" s="20"/>
    </row>
    <row r="1771" spans="38:38" x14ac:dyDescent="0.35">
      <c r="AL1771" s="20"/>
    </row>
    <row r="1772" spans="38:38" x14ac:dyDescent="0.35">
      <c r="AL1772" s="20"/>
    </row>
    <row r="1773" spans="38:38" x14ac:dyDescent="0.35">
      <c r="AL1773" s="20"/>
    </row>
    <row r="1774" spans="38:38" x14ac:dyDescent="0.35">
      <c r="AL1774" s="20"/>
    </row>
    <row r="1775" spans="38:38" x14ac:dyDescent="0.35">
      <c r="AL1775" s="20"/>
    </row>
    <row r="1776" spans="38:38" x14ac:dyDescent="0.35">
      <c r="AL1776" s="20"/>
    </row>
    <row r="1777" spans="38:38" x14ac:dyDescent="0.35">
      <c r="AL1777" s="20"/>
    </row>
    <row r="1778" spans="38:38" x14ac:dyDescent="0.35">
      <c r="AL1778" s="20"/>
    </row>
    <row r="1779" spans="38:38" x14ac:dyDescent="0.35">
      <c r="AL1779" s="20"/>
    </row>
    <row r="1780" spans="38:38" x14ac:dyDescent="0.35">
      <c r="AL1780" s="20"/>
    </row>
    <row r="1781" spans="38:38" x14ac:dyDescent="0.35">
      <c r="AL1781" s="20"/>
    </row>
    <row r="1782" spans="38:38" x14ac:dyDescent="0.35">
      <c r="AL1782" s="20"/>
    </row>
    <row r="1783" spans="38:38" x14ac:dyDescent="0.35">
      <c r="AL1783" s="20"/>
    </row>
    <row r="1784" spans="38:38" x14ac:dyDescent="0.35">
      <c r="AL1784" s="20"/>
    </row>
    <row r="1785" spans="38:38" x14ac:dyDescent="0.35">
      <c r="AL1785" s="20"/>
    </row>
    <row r="1786" spans="38:38" x14ac:dyDescent="0.35">
      <c r="AL1786" s="20"/>
    </row>
    <row r="1787" spans="38:38" x14ac:dyDescent="0.35">
      <c r="AL1787" s="20"/>
    </row>
    <row r="1788" spans="38:38" x14ac:dyDescent="0.35">
      <c r="AL1788" s="20"/>
    </row>
    <row r="1789" spans="38:38" x14ac:dyDescent="0.35">
      <c r="AL1789" s="20"/>
    </row>
    <row r="1790" spans="38:38" x14ac:dyDescent="0.35">
      <c r="AL1790" s="20"/>
    </row>
    <row r="1791" spans="38:38" x14ac:dyDescent="0.35">
      <c r="AL1791" s="20"/>
    </row>
    <row r="1792" spans="38:38" x14ac:dyDescent="0.35">
      <c r="AL1792" s="20"/>
    </row>
    <row r="1793" spans="38:38" x14ac:dyDescent="0.35">
      <c r="AL1793" s="20"/>
    </row>
    <row r="1794" spans="38:38" x14ac:dyDescent="0.35">
      <c r="AL1794" s="20"/>
    </row>
    <row r="1795" spans="38:38" x14ac:dyDescent="0.35">
      <c r="AL1795" s="20"/>
    </row>
    <row r="1796" spans="38:38" x14ac:dyDescent="0.35">
      <c r="AL1796" s="20"/>
    </row>
    <row r="1797" spans="38:38" x14ac:dyDescent="0.35">
      <c r="AL1797" s="20"/>
    </row>
    <row r="1798" spans="38:38" x14ac:dyDescent="0.35">
      <c r="AL1798" s="20"/>
    </row>
    <row r="1799" spans="38:38" x14ac:dyDescent="0.35">
      <c r="AL1799" s="20"/>
    </row>
    <row r="1800" spans="38:38" x14ac:dyDescent="0.35">
      <c r="AL1800" s="20"/>
    </row>
    <row r="1801" spans="38:38" x14ac:dyDescent="0.35">
      <c r="AL1801" s="20"/>
    </row>
    <row r="1802" spans="38:38" x14ac:dyDescent="0.35">
      <c r="AL1802" s="20"/>
    </row>
    <row r="1803" spans="38:38" x14ac:dyDescent="0.35">
      <c r="AL1803" s="20"/>
    </row>
    <row r="1804" spans="38:38" x14ac:dyDescent="0.35">
      <c r="AL1804" s="20"/>
    </row>
    <row r="1805" spans="38:38" x14ac:dyDescent="0.35">
      <c r="AL1805" s="20"/>
    </row>
    <row r="1806" spans="38:38" x14ac:dyDescent="0.35">
      <c r="AL1806" s="20"/>
    </row>
    <row r="1807" spans="38:38" x14ac:dyDescent="0.35">
      <c r="AL1807" s="20"/>
    </row>
    <row r="1808" spans="38:38" x14ac:dyDescent="0.35">
      <c r="AL1808" s="20"/>
    </row>
    <row r="1809" spans="38:38" x14ac:dyDescent="0.35">
      <c r="AL1809" s="20"/>
    </row>
    <row r="1810" spans="38:38" x14ac:dyDescent="0.35">
      <c r="AL1810" s="20"/>
    </row>
    <row r="1811" spans="38:38" x14ac:dyDescent="0.35">
      <c r="AL1811" s="20"/>
    </row>
    <row r="1812" spans="38:38" x14ac:dyDescent="0.35">
      <c r="AL1812" s="20"/>
    </row>
    <row r="1813" spans="38:38" x14ac:dyDescent="0.35">
      <c r="AL1813" s="20"/>
    </row>
    <row r="1814" spans="38:38" x14ac:dyDescent="0.35">
      <c r="AL1814" s="20"/>
    </row>
    <row r="1815" spans="38:38" x14ac:dyDescent="0.35">
      <c r="AL1815" s="20"/>
    </row>
    <row r="1816" spans="38:38" x14ac:dyDescent="0.35">
      <c r="AL1816" s="20"/>
    </row>
    <row r="1817" spans="38:38" x14ac:dyDescent="0.35">
      <c r="AL1817" s="20"/>
    </row>
    <row r="1818" spans="38:38" x14ac:dyDescent="0.35">
      <c r="AL1818" s="20"/>
    </row>
    <row r="1819" spans="38:38" x14ac:dyDescent="0.35">
      <c r="AL1819" s="20"/>
    </row>
    <row r="1820" spans="38:38" x14ac:dyDescent="0.35">
      <c r="AL1820" s="20"/>
    </row>
    <row r="1821" spans="38:38" x14ac:dyDescent="0.35">
      <c r="AL1821" s="20"/>
    </row>
    <row r="1822" spans="38:38" x14ac:dyDescent="0.35">
      <c r="AL1822" s="20"/>
    </row>
    <row r="1823" spans="38:38" x14ac:dyDescent="0.35">
      <c r="AL1823" s="20"/>
    </row>
    <row r="1824" spans="38:38" x14ac:dyDescent="0.35">
      <c r="AL1824" s="20"/>
    </row>
    <row r="1825" spans="38:38" x14ac:dyDescent="0.35">
      <c r="AL1825" s="20"/>
    </row>
    <row r="1826" spans="38:38" x14ac:dyDescent="0.35">
      <c r="AL1826" s="20"/>
    </row>
    <row r="1827" spans="38:38" x14ac:dyDescent="0.35">
      <c r="AL1827" s="20"/>
    </row>
    <row r="1828" spans="38:38" x14ac:dyDescent="0.35">
      <c r="AL1828" s="20"/>
    </row>
    <row r="1829" spans="38:38" x14ac:dyDescent="0.35">
      <c r="AL1829" s="20"/>
    </row>
    <row r="1830" spans="38:38" x14ac:dyDescent="0.35">
      <c r="AL1830" s="20"/>
    </row>
    <row r="1831" spans="38:38" x14ac:dyDescent="0.35">
      <c r="AL1831" s="20"/>
    </row>
    <row r="1832" spans="38:38" x14ac:dyDescent="0.35">
      <c r="AL1832" s="20"/>
    </row>
    <row r="1833" spans="38:38" x14ac:dyDescent="0.35">
      <c r="AL1833" s="20"/>
    </row>
    <row r="1834" spans="38:38" x14ac:dyDescent="0.35">
      <c r="AL1834" s="20"/>
    </row>
    <row r="1835" spans="38:38" x14ac:dyDescent="0.35">
      <c r="AL1835" s="20"/>
    </row>
    <row r="1836" spans="38:38" x14ac:dyDescent="0.35">
      <c r="AL1836" s="20"/>
    </row>
    <row r="1837" spans="38:38" x14ac:dyDescent="0.35">
      <c r="AL1837" s="20"/>
    </row>
    <row r="1838" spans="38:38" x14ac:dyDescent="0.35">
      <c r="AL1838" s="20"/>
    </row>
    <row r="1839" spans="38:38" x14ac:dyDescent="0.35">
      <c r="AL1839" s="20"/>
    </row>
    <row r="1840" spans="38:38" x14ac:dyDescent="0.35">
      <c r="AL1840" s="20"/>
    </row>
    <row r="1841" spans="38:38" x14ac:dyDescent="0.35">
      <c r="AL1841" s="20"/>
    </row>
    <row r="1842" spans="38:38" x14ac:dyDescent="0.35">
      <c r="AL1842" s="20"/>
    </row>
    <row r="1843" spans="38:38" x14ac:dyDescent="0.35">
      <c r="AL1843" s="20"/>
    </row>
    <row r="1844" spans="38:38" x14ac:dyDescent="0.35">
      <c r="AL1844" s="20"/>
    </row>
    <row r="1845" spans="38:38" x14ac:dyDescent="0.35">
      <c r="AL1845" s="20"/>
    </row>
    <row r="1846" spans="38:38" x14ac:dyDescent="0.35">
      <c r="AL1846" s="20"/>
    </row>
    <row r="1847" spans="38:38" x14ac:dyDescent="0.35">
      <c r="AL1847" s="20"/>
    </row>
    <row r="1848" spans="38:38" x14ac:dyDescent="0.35">
      <c r="AL1848" s="20"/>
    </row>
    <row r="1849" spans="38:38" x14ac:dyDescent="0.35">
      <c r="AL1849" s="20"/>
    </row>
    <row r="1850" spans="38:38" x14ac:dyDescent="0.35">
      <c r="AL1850" s="20"/>
    </row>
    <row r="1851" spans="38:38" x14ac:dyDescent="0.35">
      <c r="AL1851" s="20"/>
    </row>
    <row r="1852" spans="38:38" x14ac:dyDescent="0.35">
      <c r="AL1852" s="20"/>
    </row>
    <row r="1853" spans="38:38" x14ac:dyDescent="0.35">
      <c r="AL1853" s="20"/>
    </row>
    <row r="1854" spans="38:38" x14ac:dyDescent="0.35">
      <c r="AL1854" s="20"/>
    </row>
    <row r="1855" spans="38:38" x14ac:dyDescent="0.35">
      <c r="AL1855" s="20"/>
    </row>
    <row r="1856" spans="38:38" x14ac:dyDescent="0.35">
      <c r="AL1856" s="20"/>
    </row>
    <row r="1857" spans="38:38" x14ac:dyDescent="0.35">
      <c r="AL1857" s="20"/>
    </row>
    <row r="1858" spans="38:38" x14ac:dyDescent="0.35">
      <c r="AL1858" s="20"/>
    </row>
    <row r="1859" spans="38:38" x14ac:dyDescent="0.35">
      <c r="AL1859" s="20"/>
    </row>
    <row r="1860" spans="38:38" x14ac:dyDescent="0.35">
      <c r="AL1860" s="20"/>
    </row>
    <row r="1861" spans="38:38" x14ac:dyDescent="0.35">
      <c r="AL1861" s="20"/>
    </row>
    <row r="1862" spans="38:38" x14ac:dyDescent="0.35">
      <c r="AL1862" s="20"/>
    </row>
    <row r="1863" spans="38:38" x14ac:dyDescent="0.35">
      <c r="AL1863" s="20"/>
    </row>
    <row r="1864" spans="38:38" x14ac:dyDescent="0.35">
      <c r="AL1864" s="20"/>
    </row>
    <row r="1865" spans="38:38" x14ac:dyDescent="0.35">
      <c r="AL1865" s="20"/>
    </row>
    <row r="1866" spans="38:38" x14ac:dyDescent="0.35">
      <c r="AL1866" s="20"/>
    </row>
    <row r="1867" spans="38:38" x14ac:dyDescent="0.35">
      <c r="AL1867" s="20"/>
    </row>
    <row r="1868" spans="38:38" x14ac:dyDescent="0.35">
      <c r="AL1868" s="20"/>
    </row>
    <row r="1869" spans="38:38" x14ac:dyDescent="0.35">
      <c r="AL1869" s="20"/>
    </row>
    <row r="1870" spans="38:38" x14ac:dyDescent="0.35">
      <c r="AL1870" s="20"/>
    </row>
    <row r="1871" spans="38:38" x14ac:dyDescent="0.35">
      <c r="AL1871" s="20"/>
    </row>
    <row r="1872" spans="38:38" x14ac:dyDescent="0.35">
      <c r="AL1872" s="20"/>
    </row>
    <row r="1873" spans="38:38" x14ac:dyDescent="0.35">
      <c r="AL1873" s="20"/>
    </row>
    <row r="1874" spans="38:38" x14ac:dyDescent="0.35">
      <c r="AL1874" s="20"/>
    </row>
    <row r="1875" spans="38:38" x14ac:dyDescent="0.35">
      <c r="AL1875" s="20"/>
    </row>
    <row r="1876" spans="38:38" x14ac:dyDescent="0.35">
      <c r="AL1876" s="20"/>
    </row>
    <row r="1877" spans="38:38" x14ac:dyDescent="0.35">
      <c r="AL1877" s="20"/>
    </row>
    <row r="1878" spans="38:38" x14ac:dyDescent="0.35">
      <c r="AL1878" s="20"/>
    </row>
    <row r="1879" spans="38:38" x14ac:dyDescent="0.35">
      <c r="AL1879" s="20"/>
    </row>
    <row r="1880" spans="38:38" x14ac:dyDescent="0.35">
      <c r="AL1880" s="20"/>
    </row>
    <row r="1881" spans="38:38" x14ac:dyDescent="0.35">
      <c r="AL1881" s="20"/>
    </row>
    <row r="1882" spans="38:38" x14ac:dyDescent="0.35">
      <c r="AL1882" s="20"/>
    </row>
    <row r="1883" spans="38:38" x14ac:dyDescent="0.35">
      <c r="AL1883" s="20"/>
    </row>
    <row r="1884" spans="38:38" x14ac:dyDescent="0.35">
      <c r="AL1884" s="20"/>
    </row>
    <row r="1885" spans="38:38" x14ac:dyDescent="0.35">
      <c r="AL1885" s="20"/>
    </row>
    <row r="1886" spans="38:38" x14ac:dyDescent="0.35">
      <c r="AL1886" s="20"/>
    </row>
    <row r="1887" spans="38:38" x14ac:dyDescent="0.35">
      <c r="AL1887" s="20"/>
    </row>
    <row r="1888" spans="38:38" x14ac:dyDescent="0.35">
      <c r="AL1888" s="20"/>
    </row>
    <row r="1889" spans="38:38" x14ac:dyDescent="0.35">
      <c r="AL1889" s="20"/>
    </row>
    <row r="1890" spans="38:38" x14ac:dyDescent="0.35">
      <c r="AL1890" s="20"/>
    </row>
    <row r="1891" spans="38:38" x14ac:dyDescent="0.35">
      <c r="AL1891" s="20"/>
    </row>
    <row r="1892" spans="38:38" x14ac:dyDescent="0.35">
      <c r="AL1892" s="20"/>
    </row>
    <row r="1893" spans="38:38" x14ac:dyDescent="0.35">
      <c r="AL1893" s="20"/>
    </row>
    <row r="1894" spans="38:38" x14ac:dyDescent="0.35">
      <c r="AL1894" s="20"/>
    </row>
    <row r="1895" spans="38:38" x14ac:dyDescent="0.35">
      <c r="AL1895" s="20"/>
    </row>
    <row r="1896" spans="38:38" x14ac:dyDescent="0.35">
      <c r="AL1896" s="20"/>
    </row>
    <row r="1897" spans="38:38" x14ac:dyDescent="0.35">
      <c r="AL1897" s="20"/>
    </row>
    <row r="1898" spans="38:38" x14ac:dyDescent="0.35">
      <c r="AL1898" s="20"/>
    </row>
    <row r="1899" spans="38:38" x14ac:dyDescent="0.35">
      <c r="AL1899" s="20"/>
    </row>
    <row r="1900" spans="38:38" x14ac:dyDescent="0.35">
      <c r="AL1900" s="20"/>
    </row>
    <row r="1901" spans="38:38" x14ac:dyDescent="0.35">
      <c r="AL1901" s="20"/>
    </row>
    <row r="1902" spans="38:38" x14ac:dyDescent="0.35">
      <c r="AL1902" s="20"/>
    </row>
    <row r="1903" spans="38:38" x14ac:dyDescent="0.35">
      <c r="AL1903" s="20"/>
    </row>
    <row r="1904" spans="38:38" x14ac:dyDescent="0.35">
      <c r="AL1904" s="20"/>
    </row>
    <row r="1905" spans="38:38" x14ac:dyDescent="0.35">
      <c r="AL1905" s="20"/>
    </row>
    <row r="1906" spans="38:38" x14ac:dyDescent="0.35">
      <c r="AL1906" s="20"/>
    </row>
    <row r="1907" spans="38:38" x14ac:dyDescent="0.35">
      <c r="AL1907" s="20"/>
    </row>
    <row r="1908" spans="38:38" x14ac:dyDescent="0.35">
      <c r="AL1908" s="20"/>
    </row>
    <row r="1909" spans="38:38" x14ac:dyDescent="0.35">
      <c r="AL1909" s="20"/>
    </row>
    <row r="1910" spans="38:38" x14ac:dyDescent="0.35">
      <c r="AL1910" s="20"/>
    </row>
    <row r="1911" spans="38:38" x14ac:dyDescent="0.35">
      <c r="AL1911" s="20"/>
    </row>
    <row r="1912" spans="38:38" x14ac:dyDescent="0.35">
      <c r="AL1912" s="20"/>
    </row>
    <row r="1913" spans="38:38" x14ac:dyDescent="0.35">
      <c r="AL1913" s="20"/>
    </row>
    <row r="1914" spans="38:38" x14ac:dyDescent="0.35">
      <c r="AL1914" s="20"/>
    </row>
    <row r="1915" spans="38:38" x14ac:dyDescent="0.35">
      <c r="AL1915" s="20"/>
    </row>
    <row r="1916" spans="38:38" x14ac:dyDescent="0.35">
      <c r="AL1916" s="20"/>
    </row>
    <row r="1917" spans="38:38" x14ac:dyDescent="0.35">
      <c r="AL1917" s="20"/>
    </row>
    <row r="1918" spans="38:38" x14ac:dyDescent="0.35">
      <c r="AL1918" s="20"/>
    </row>
    <row r="1919" spans="38:38" x14ac:dyDescent="0.35">
      <c r="AL1919" s="20"/>
    </row>
    <row r="1920" spans="38:38" x14ac:dyDescent="0.35">
      <c r="AL1920" s="20"/>
    </row>
    <row r="1921" spans="38:38" x14ac:dyDescent="0.35">
      <c r="AL1921" s="20"/>
    </row>
    <row r="1922" spans="38:38" x14ac:dyDescent="0.35">
      <c r="AL1922" s="20"/>
    </row>
    <row r="1923" spans="38:38" x14ac:dyDescent="0.35">
      <c r="AL1923" s="20"/>
    </row>
    <row r="1924" spans="38:38" x14ac:dyDescent="0.35">
      <c r="AL1924" s="20"/>
    </row>
    <row r="1925" spans="38:38" x14ac:dyDescent="0.35">
      <c r="AL1925" s="20"/>
    </row>
    <row r="1926" spans="38:38" x14ac:dyDescent="0.35">
      <c r="AL1926" s="20"/>
    </row>
    <row r="1927" spans="38:38" x14ac:dyDescent="0.35">
      <c r="AL1927" s="20"/>
    </row>
    <row r="1928" spans="38:38" x14ac:dyDescent="0.35">
      <c r="AL1928" s="20"/>
    </row>
    <row r="1929" spans="38:38" x14ac:dyDescent="0.35">
      <c r="AL1929" s="20"/>
    </row>
    <row r="1930" spans="38:38" x14ac:dyDescent="0.35">
      <c r="AL1930" s="20"/>
    </row>
    <row r="1931" spans="38:38" x14ac:dyDescent="0.35">
      <c r="AL1931" s="20"/>
    </row>
    <row r="1932" spans="38:38" x14ac:dyDescent="0.35">
      <c r="AL1932" s="20"/>
    </row>
    <row r="1933" spans="38:38" x14ac:dyDescent="0.35">
      <c r="AL1933" s="20"/>
    </row>
    <row r="1934" spans="38:38" x14ac:dyDescent="0.35">
      <c r="AL1934" s="20"/>
    </row>
    <row r="1935" spans="38:38" x14ac:dyDescent="0.35">
      <c r="AL1935" s="20"/>
    </row>
    <row r="1936" spans="38:38" x14ac:dyDescent="0.35">
      <c r="AL1936" s="20"/>
    </row>
    <row r="1937" spans="38:38" x14ac:dyDescent="0.35">
      <c r="AL1937" s="20"/>
    </row>
    <row r="1938" spans="38:38" x14ac:dyDescent="0.35">
      <c r="AL1938" s="20"/>
    </row>
    <row r="1939" spans="38:38" x14ac:dyDescent="0.35">
      <c r="AL1939" s="20"/>
    </row>
    <row r="1940" spans="38:38" x14ac:dyDescent="0.35">
      <c r="AL1940" s="20"/>
    </row>
    <row r="1941" spans="38:38" x14ac:dyDescent="0.35">
      <c r="AL1941" s="20"/>
    </row>
    <row r="1942" spans="38:38" x14ac:dyDescent="0.35">
      <c r="AL1942" s="20"/>
    </row>
    <row r="1943" spans="38:38" x14ac:dyDescent="0.35">
      <c r="AL1943" s="20"/>
    </row>
    <row r="1944" spans="38:38" x14ac:dyDescent="0.35">
      <c r="AL1944" s="20"/>
    </row>
    <row r="1945" spans="38:38" x14ac:dyDescent="0.35">
      <c r="AL1945" s="20"/>
    </row>
    <row r="1946" spans="38:38" x14ac:dyDescent="0.35">
      <c r="AL1946" s="20"/>
    </row>
    <row r="1947" spans="38:38" x14ac:dyDescent="0.35">
      <c r="AL1947" s="20"/>
    </row>
    <row r="1948" spans="38:38" x14ac:dyDescent="0.35">
      <c r="AL1948" s="20"/>
    </row>
    <row r="1949" spans="38:38" x14ac:dyDescent="0.35">
      <c r="AL1949" s="20"/>
    </row>
    <row r="1950" spans="38:38" x14ac:dyDescent="0.35">
      <c r="AL1950" s="20"/>
    </row>
    <row r="1951" spans="38:38" x14ac:dyDescent="0.35">
      <c r="AL1951" s="20"/>
    </row>
    <row r="1952" spans="38:38" x14ac:dyDescent="0.35">
      <c r="AL1952" s="20"/>
    </row>
    <row r="1953" spans="38:38" x14ac:dyDescent="0.35">
      <c r="AL1953" s="20"/>
    </row>
    <row r="1954" spans="38:38" x14ac:dyDescent="0.35">
      <c r="AL1954" s="20"/>
    </row>
    <row r="1955" spans="38:38" x14ac:dyDescent="0.35">
      <c r="AL1955" s="20"/>
    </row>
    <row r="1956" spans="38:38" x14ac:dyDescent="0.35">
      <c r="AL1956" s="20"/>
    </row>
    <row r="1957" spans="38:38" x14ac:dyDescent="0.35">
      <c r="AL1957" s="20"/>
    </row>
    <row r="1958" spans="38:38" x14ac:dyDescent="0.35">
      <c r="AL1958" s="20"/>
    </row>
    <row r="1959" spans="38:38" x14ac:dyDescent="0.35">
      <c r="AL1959" s="20"/>
    </row>
    <row r="1960" spans="38:38" x14ac:dyDescent="0.35">
      <c r="AL1960" s="20"/>
    </row>
    <row r="1961" spans="38:38" x14ac:dyDescent="0.35">
      <c r="AL1961" s="20"/>
    </row>
    <row r="1962" spans="38:38" x14ac:dyDescent="0.35">
      <c r="AL1962" s="20"/>
    </row>
    <row r="1963" spans="38:38" x14ac:dyDescent="0.35">
      <c r="AL1963" s="20"/>
    </row>
    <row r="1964" spans="38:38" x14ac:dyDescent="0.35">
      <c r="AL1964" s="20"/>
    </row>
    <row r="1965" spans="38:38" x14ac:dyDescent="0.35">
      <c r="AL1965" s="20"/>
    </row>
    <row r="1966" spans="38:38" x14ac:dyDescent="0.35">
      <c r="AL1966" s="20"/>
    </row>
    <row r="1967" spans="38:38" x14ac:dyDescent="0.35">
      <c r="AL1967" s="20"/>
    </row>
    <row r="1968" spans="38:38" x14ac:dyDescent="0.35">
      <c r="AL1968" s="20"/>
    </row>
    <row r="1969" spans="38:38" x14ac:dyDescent="0.35">
      <c r="AL1969" s="20"/>
    </row>
    <row r="1970" spans="38:38" x14ac:dyDescent="0.35">
      <c r="AL1970" s="20"/>
    </row>
    <row r="1971" spans="38:38" x14ac:dyDescent="0.35">
      <c r="AL1971" s="20"/>
    </row>
    <row r="1972" spans="38:38" x14ac:dyDescent="0.35">
      <c r="AL1972" s="20"/>
    </row>
    <row r="1973" spans="38:38" x14ac:dyDescent="0.35">
      <c r="AL1973" s="20"/>
    </row>
    <row r="1974" spans="38:38" x14ac:dyDescent="0.35">
      <c r="AL1974" s="20"/>
    </row>
    <row r="1975" spans="38:38" x14ac:dyDescent="0.35">
      <c r="AL1975" s="20"/>
    </row>
    <row r="1976" spans="38:38" x14ac:dyDescent="0.35">
      <c r="AL1976" s="20"/>
    </row>
    <row r="1977" spans="38:38" x14ac:dyDescent="0.35">
      <c r="AL1977" s="20"/>
    </row>
    <row r="1978" spans="38:38" x14ac:dyDescent="0.35">
      <c r="AL1978" s="20"/>
    </row>
    <row r="1979" spans="38:38" x14ac:dyDescent="0.35">
      <c r="AL1979" s="20"/>
    </row>
    <row r="1980" spans="38:38" x14ac:dyDescent="0.35">
      <c r="AL1980" s="20"/>
    </row>
    <row r="1981" spans="38:38" x14ac:dyDescent="0.35">
      <c r="AL1981" s="20"/>
    </row>
    <row r="1982" spans="38:38" x14ac:dyDescent="0.35">
      <c r="AL1982" s="20"/>
    </row>
    <row r="1983" spans="38:38" x14ac:dyDescent="0.35">
      <c r="AL1983" s="20"/>
    </row>
    <row r="1984" spans="38:38" x14ac:dyDescent="0.35">
      <c r="AL1984" s="20"/>
    </row>
    <row r="1985" spans="38:38" x14ac:dyDescent="0.35">
      <c r="AL1985" s="20"/>
    </row>
    <row r="1986" spans="38:38" x14ac:dyDescent="0.35">
      <c r="AL1986" s="20"/>
    </row>
    <row r="1987" spans="38:38" x14ac:dyDescent="0.35">
      <c r="AL1987" s="20"/>
    </row>
    <row r="1988" spans="38:38" x14ac:dyDescent="0.35">
      <c r="AL1988" s="20"/>
    </row>
    <row r="1989" spans="38:38" x14ac:dyDescent="0.35">
      <c r="AL1989" s="20"/>
    </row>
    <row r="1990" spans="38:38" x14ac:dyDescent="0.35">
      <c r="AL1990" s="20"/>
    </row>
    <row r="1991" spans="38:38" x14ac:dyDescent="0.35">
      <c r="AL1991" s="20"/>
    </row>
    <row r="1992" spans="38:38" x14ac:dyDescent="0.35">
      <c r="AL1992" s="20"/>
    </row>
    <row r="1993" spans="38:38" x14ac:dyDescent="0.35">
      <c r="AL1993" s="20"/>
    </row>
    <row r="1994" spans="38:38" x14ac:dyDescent="0.35">
      <c r="AL1994" s="20"/>
    </row>
    <row r="1995" spans="38:38" x14ac:dyDescent="0.35">
      <c r="AL1995" s="20"/>
    </row>
    <row r="1996" spans="38:38" x14ac:dyDescent="0.35">
      <c r="AL1996" s="20"/>
    </row>
    <row r="1997" spans="38:38" x14ac:dyDescent="0.35">
      <c r="AL1997" s="20"/>
    </row>
    <row r="1998" spans="38:38" x14ac:dyDescent="0.35">
      <c r="AL1998" s="20"/>
    </row>
    <row r="1999" spans="38:38" x14ac:dyDescent="0.35">
      <c r="AL1999" s="20"/>
    </row>
    <row r="2000" spans="38:38" x14ac:dyDescent="0.35">
      <c r="AL2000" s="20"/>
    </row>
    <row r="2001" spans="38:38" x14ac:dyDescent="0.35">
      <c r="AL2001" s="20"/>
    </row>
    <row r="2002" spans="38:38" x14ac:dyDescent="0.35">
      <c r="AL2002" s="20"/>
    </row>
    <row r="2003" spans="38:38" x14ac:dyDescent="0.35">
      <c r="AL2003" s="20"/>
    </row>
    <row r="2004" spans="38:38" x14ac:dyDescent="0.35">
      <c r="AL2004" s="20"/>
    </row>
    <row r="2005" spans="38:38" x14ac:dyDescent="0.35">
      <c r="AL2005" s="20"/>
    </row>
    <row r="2006" spans="38:38" x14ac:dyDescent="0.35">
      <c r="AL2006" s="20"/>
    </row>
    <row r="2007" spans="38:38" x14ac:dyDescent="0.35">
      <c r="AL2007" s="20"/>
    </row>
    <row r="2008" spans="38:38" x14ac:dyDescent="0.35">
      <c r="AL2008" s="20"/>
    </row>
    <row r="2009" spans="38:38" x14ac:dyDescent="0.35">
      <c r="AL2009" s="20"/>
    </row>
    <row r="2010" spans="38:38" x14ac:dyDescent="0.35">
      <c r="AL2010" s="20"/>
    </row>
    <row r="2011" spans="38:38" x14ac:dyDescent="0.35">
      <c r="AL2011" s="20"/>
    </row>
    <row r="2012" spans="38:38" x14ac:dyDescent="0.35">
      <c r="AL2012" s="20"/>
    </row>
    <row r="2013" spans="38:38" x14ac:dyDescent="0.35">
      <c r="AL2013" s="20"/>
    </row>
    <row r="2014" spans="38:38" x14ac:dyDescent="0.35">
      <c r="AL2014" s="20"/>
    </row>
    <row r="2015" spans="38:38" x14ac:dyDescent="0.35">
      <c r="AL2015" s="20"/>
    </row>
    <row r="2016" spans="38:38" x14ac:dyDescent="0.35">
      <c r="AL2016" s="20"/>
    </row>
    <row r="2017" spans="38:38" x14ac:dyDescent="0.35">
      <c r="AL2017" s="20"/>
    </row>
    <row r="2018" spans="38:38" x14ac:dyDescent="0.35">
      <c r="AL2018" s="20"/>
    </row>
    <row r="2019" spans="38:38" x14ac:dyDescent="0.35">
      <c r="AL2019" s="20"/>
    </row>
    <row r="2020" spans="38:38" x14ac:dyDescent="0.35">
      <c r="AL2020" s="20"/>
    </row>
    <row r="2021" spans="38:38" x14ac:dyDescent="0.35">
      <c r="AL2021" s="20"/>
    </row>
    <row r="2022" spans="38:38" x14ac:dyDescent="0.35">
      <c r="AL2022" s="20"/>
    </row>
    <row r="2023" spans="38:38" x14ac:dyDescent="0.35">
      <c r="AL2023" s="20"/>
    </row>
    <row r="2024" spans="38:38" x14ac:dyDescent="0.35">
      <c r="AL2024" s="20"/>
    </row>
    <row r="2025" spans="38:38" x14ac:dyDescent="0.35">
      <c r="AL2025" s="20"/>
    </row>
    <row r="2026" spans="38:38" x14ac:dyDescent="0.35">
      <c r="AL2026" s="20"/>
    </row>
    <row r="2027" spans="38:38" x14ac:dyDescent="0.35">
      <c r="AL2027" s="20"/>
    </row>
    <row r="2028" spans="38:38" x14ac:dyDescent="0.35">
      <c r="AL2028" s="20"/>
    </row>
    <row r="2029" spans="38:38" x14ac:dyDescent="0.35">
      <c r="AL2029" s="20"/>
    </row>
    <row r="2030" spans="38:38" x14ac:dyDescent="0.35">
      <c r="AL2030" s="20"/>
    </row>
    <row r="2031" spans="38:38" x14ac:dyDescent="0.35">
      <c r="AL2031" s="20"/>
    </row>
    <row r="2032" spans="38:38" x14ac:dyDescent="0.35">
      <c r="AL2032" s="20"/>
    </row>
    <row r="2033" spans="38:38" x14ac:dyDescent="0.35">
      <c r="AL2033" s="20"/>
    </row>
    <row r="2034" spans="38:38" x14ac:dyDescent="0.35">
      <c r="AL2034" s="20"/>
    </row>
    <row r="2035" spans="38:38" x14ac:dyDescent="0.35">
      <c r="AL2035" s="20"/>
    </row>
    <row r="2036" spans="38:38" x14ac:dyDescent="0.35">
      <c r="AL2036" s="20"/>
    </row>
    <row r="2037" spans="38:38" x14ac:dyDescent="0.35">
      <c r="AL2037" s="20"/>
    </row>
    <row r="2038" spans="38:38" x14ac:dyDescent="0.35">
      <c r="AL2038" s="20"/>
    </row>
    <row r="2039" spans="38:38" x14ac:dyDescent="0.35">
      <c r="AL2039" s="20"/>
    </row>
    <row r="2040" spans="38:38" x14ac:dyDescent="0.35">
      <c r="AL2040" s="20"/>
    </row>
    <row r="2041" spans="38:38" x14ac:dyDescent="0.35">
      <c r="AL2041" s="20"/>
    </row>
    <row r="2042" spans="38:38" x14ac:dyDescent="0.35">
      <c r="AL2042" s="20"/>
    </row>
    <row r="2043" spans="38:38" x14ac:dyDescent="0.35">
      <c r="AL2043" s="20"/>
    </row>
    <row r="2044" spans="38:38" x14ac:dyDescent="0.35">
      <c r="AL2044" s="20"/>
    </row>
    <row r="2045" spans="38:38" x14ac:dyDescent="0.35">
      <c r="AL2045" s="20"/>
    </row>
    <row r="2046" spans="38:38" x14ac:dyDescent="0.35">
      <c r="AL2046" s="20"/>
    </row>
    <row r="2047" spans="38:38" x14ac:dyDescent="0.35">
      <c r="AL2047" s="20"/>
    </row>
    <row r="2048" spans="38:38" x14ac:dyDescent="0.35">
      <c r="AL2048" s="20"/>
    </row>
    <row r="2049" spans="38:38" x14ac:dyDescent="0.35">
      <c r="AL2049" s="20"/>
    </row>
    <row r="2050" spans="38:38" x14ac:dyDescent="0.35">
      <c r="AL2050" s="20"/>
    </row>
    <row r="2051" spans="38:38" x14ac:dyDescent="0.35">
      <c r="AL2051" s="20"/>
    </row>
    <row r="2052" spans="38:38" x14ac:dyDescent="0.35">
      <c r="AL2052" s="20"/>
    </row>
    <row r="2053" spans="38:38" x14ac:dyDescent="0.35">
      <c r="AL2053" s="20"/>
    </row>
    <row r="2054" spans="38:38" x14ac:dyDescent="0.35">
      <c r="AL2054" s="20"/>
    </row>
    <row r="2055" spans="38:38" x14ac:dyDescent="0.35">
      <c r="AL2055" s="20"/>
    </row>
    <row r="2056" spans="38:38" x14ac:dyDescent="0.35">
      <c r="AL2056" s="20"/>
    </row>
    <row r="2057" spans="38:38" x14ac:dyDescent="0.35">
      <c r="AL2057" s="20"/>
    </row>
    <row r="2058" spans="38:38" x14ac:dyDescent="0.35">
      <c r="AL2058" s="20"/>
    </row>
    <row r="2059" spans="38:38" x14ac:dyDescent="0.35">
      <c r="AL2059" s="20"/>
    </row>
    <row r="2060" spans="38:38" x14ac:dyDescent="0.35">
      <c r="AL2060" s="20"/>
    </row>
    <row r="2061" spans="38:38" x14ac:dyDescent="0.35">
      <c r="AL2061" s="20"/>
    </row>
    <row r="2062" spans="38:38" x14ac:dyDescent="0.35">
      <c r="AL2062" s="20"/>
    </row>
    <row r="2063" spans="38:38" x14ac:dyDescent="0.35">
      <c r="AL2063" s="20"/>
    </row>
    <row r="2064" spans="38:38" x14ac:dyDescent="0.35">
      <c r="AL2064" s="20"/>
    </row>
    <row r="2065" spans="38:38" x14ac:dyDescent="0.35">
      <c r="AL2065" s="20"/>
    </row>
    <row r="2066" spans="38:38" x14ac:dyDescent="0.35">
      <c r="AL2066" s="20"/>
    </row>
    <row r="2067" spans="38:38" x14ac:dyDescent="0.35">
      <c r="AL2067" s="20"/>
    </row>
    <row r="2068" spans="38:38" x14ac:dyDescent="0.35">
      <c r="AL2068" s="20"/>
    </row>
    <row r="2069" spans="38:38" x14ac:dyDescent="0.35">
      <c r="AL2069" s="20"/>
    </row>
    <row r="2070" spans="38:38" x14ac:dyDescent="0.35">
      <c r="AL2070" s="20"/>
    </row>
    <row r="2071" spans="38:38" x14ac:dyDescent="0.35">
      <c r="AL2071" s="20"/>
    </row>
    <row r="2072" spans="38:38" x14ac:dyDescent="0.35">
      <c r="AL2072" s="20"/>
    </row>
    <row r="2073" spans="38:38" x14ac:dyDescent="0.35">
      <c r="AL2073" s="20"/>
    </row>
    <row r="2074" spans="38:38" x14ac:dyDescent="0.35">
      <c r="AL2074" s="20"/>
    </row>
    <row r="2075" spans="38:38" x14ac:dyDescent="0.35">
      <c r="AL2075" s="20"/>
    </row>
    <row r="2076" spans="38:38" x14ac:dyDescent="0.35">
      <c r="AL2076" s="20"/>
    </row>
    <row r="2077" spans="38:38" x14ac:dyDescent="0.35">
      <c r="AL2077" s="20"/>
    </row>
    <row r="2078" spans="38:38" x14ac:dyDescent="0.35">
      <c r="AL2078" s="20"/>
    </row>
    <row r="2079" spans="38:38" x14ac:dyDescent="0.35">
      <c r="AL2079" s="20"/>
    </row>
    <row r="2080" spans="38:38" x14ac:dyDescent="0.35">
      <c r="AL2080" s="20"/>
    </row>
    <row r="2081" spans="38:38" x14ac:dyDescent="0.35">
      <c r="AL2081" s="20"/>
    </row>
    <row r="2082" spans="38:38" x14ac:dyDescent="0.35">
      <c r="AL2082" s="20"/>
    </row>
    <row r="2083" spans="38:38" x14ac:dyDescent="0.35">
      <c r="AL2083" s="20"/>
    </row>
    <row r="2084" spans="38:38" x14ac:dyDescent="0.35">
      <c r="AL2084" s="20"/>
    </row>
    <row r="2085" spans="38:38" x14ac:dyDescent="0.35">
      <c r="AL2085" s="20"/>
    </row>
    <row r="2086" spans="38:38" x14ac:dyDescent="0.35">
      <c r="AL2086" s="20"/>
    </row>
    <row r="2087" spans="38:38" x14ac:dyDescent="0.35">
      <c r="AL2087" s="20"/>
    </row>
    <row r="2088" spans="38:38" x14ac:dyDescent="0.35">
      <c r="AL2088" s="20"/>
    </row>
    <row r="2089" spans="38:38" x14ac:dyDescent="0.35">
      <c r="AL2089" s="20"/>
    </row>
    <row r="2090" spans="38:38" x14ac:dyDescent="0.35">
      <c r="AL2090" s="20"/>
    </row>
    <row r="2091" spans="38:38" x14ac:dyDescent="0.35">
      <c r="AL2091" s="20"/>
    </row>
    <row r="2092" spans="38:38" x14ac:dyDescent="0.35">
      <c r="AL2092" s="20"/>
    </row>
    <row r="2093" spans="38:38" x14ac:dyDescent="0.35">
      <c r="AL2093" s="20"/>
    </row>
    <row r="2094" spans="38:38" x14ac:dyDescent="0.35">
      <c r="AL2094" s="20"/>
    </row>
    <row r="2095" spans="38:38" x14ac:dyDescent="0.35">
      <c r="AL2095" s="20"/>
    </row>
    <row r="2096" spans="38:38" x14ac:dyDescent="0.35">
      <c r="AL2096" s="20"/>
    </row>
    <row r="2097" spans="38:38" x14ac:dyDescent="0.35">
      <c r="AL2097" s="20"/>
    </row>
    <row r="2098" spans="38:38" x14ac:dyDescent="0.35">
      <c r="AL2098" s="20"/>
    </row>
    <row r="2099" spans="38:38" x14ac:dyDescent="0.35">
      <c r="AL2099" s="20"/>
    </row>
    <row r="2100" spans="38:38" x14ac:dyDescent="0.35">
      <c r="AL2100" s="20"/>
    </row>
    <row r="2101" spans="38:38" x14ac:dyDescent="0.35">
      <c r="AL2101" s="20"/>
    </row>
    <row r="2102" spans="38:38" x14ac:dyDescent="0.35">
      <c r="AL2102" s="20"/>
    </row>
    <row r="2103" spans="38:38" x14ac:dyDescent="0.35">
      <c r="AL2103" s="20"/>
    </row>
    <row r="2104" spans="38:38" x14ac:dyDescent="0.35">
      <c r="AL2104" s="20"/>
    </row>
    <row r="2105" spans="38:38" x14ac:dyDescent="0.35">
      <c r="AL2105" s="20"/>
    </row>
    <row r="2106" spans="38:38" x14ac:dyDescent="0.35">
      <c r="AL2106" s="20"/>
    </row>
    <row r="2107" spans="38:38" x14ac:dyDescent="0.35">
      <c r="AL2107" s="20"/>
    </row>
    <row r="2108" spans="38:38" x14ac:dyDescent="0.35">
      <c r="AL2108" s="20"/>
    </row>
    <row r="2109" spans="38:38" x14ac:dyDescent="0.35">
      <c r="AL2109" s="20"/>
    </row>
    <row r="2110" spans="38:38" x14ac:dyDescent="0.35">
      <c r="AL2110" s="20"/>
    </row>
    <row r="2111" spans="38:38" x14ac:dyDescent="0.35">
      <c r="AL2111" s="20"/>
    </row>
    <row r="2112" spans="38:38" x14ac:dyDescent="0.35">
      <c r="AL2112" s="20"/>
    </row>
    <row r="2113" spans="38:38" x14ac:dyDescent="0.35">
      <c r="AL2113" s="20"/>
    </row>
    <row r="2114" spans="38:38" x14ac:dyDescent="0.35">
      <c r="AL2114" s="20"/>
    </row>
    <row r="2115" spans="38:38" x14ac:dyDescent="0.35">
      <c r="AL2115" s="20"/>
    </row>
    <row r="2116" spans="38:38" x14ac:dyDescent="0.35">
      <c r="AL2116" s="20"/>
    </row>
    <row r="2117" spans="38:38" x14ac:dyDescent="0.35">
      <c r="AL2117" s="20"/>
    </row>
    <row r="2118" spans="38:38" x14ac:dyDescent="0.35">
      <c r="AL2118" s="20"/>
    </row>
    <row r="2119" spans="38:38" x14ac:dyDescent="0.35">
      <c r="AL2119" s="20"/>
    </row>
    <row r="2120" spans="38:38" x14ac:dyDescent="0.35">
      <c r="AL2120" s="20"/>
    </row>
    <row r="2121" spans="38:38" x14ac:dyDescent="0.35">
      <c r="AL2121" s="20"/>
    </row>
    <row r="2122" spans="38:38" x14ac:dyDescent="0.35">
      <c r="AL2122" s="20"/>
    </row>
    <row r="2123" spans="38:38" x14ac:dyDescent="0.35">
      <c r="AL2123" s="20"/>
    </row>
    <row r="2124" spans="38:38" x14ac:dyDescent="0.35">
      <c r="AL2124" s="20"/>
    </row>
    <row r="2125" spans="38:38" x14ac:dyDescent="0.35">
      <c r="AL2125" s="20"/>
    </row>
    <row r="2126" spans="38:38" x14ac:dyDescent="0.35">
      <c r="AL2126" s="20"/>
    </row>
    <row r="2127" spans="38:38" x14ac:dyDescent="0.35">
      <c r="AL2127" s="20"/>
    </row>
    <row r="2128" spans="38:38" x14ac:dyDescent="0.35">
      <c r="AL2128" s="20"/>
    </row>
    <row r="2129" spans="38:38" x14ac:dyDescent="0.35">
      <c r="AL2129" s="20"/>
    </row>
    <row r="2130" spans="38:38" x14ac:dyDescent="0.35">
      <c r="AL2130" s="20"/>
    </row>
    <row r="2131" spans="38:38" x14ac:dyDescent="0.35">
      <c r="AL2131" s="20"/>
    </row>
    <row r="2132" spans="38:38" x14ac:dyDescent="0.35">
      <c r="AL2132" s="20"/>
    </row>
    <row r="2133" spans="38:38" x14ac:dyDescent="0.35">
      <c r="AL2133" s="20"/>
    </row>
    <row r="2134" spans="38:38" x14ac:dyDescent="0.35">
      <c r="AL2134" s="20"/>
    </row>
    <row r="2135" spans="38:38" x14ac:dyDescent="0.35">
      <c r="AL2135" s="20"/>
    </row>
    <row r="2136" spans="38:38" x14ac:dyDescent="0.35">
      <c r="AL2136" s="20"/>
    </row>
    <row r="2137" spans="38:38" x14ac:dyDescent="0.35">
      <c r="AL2137" s="20"/>
    </row>
    <row r="2138" spans="38:38" x14ac:dyDescent="0.35">
      <c r="AL2138" s="20"/>
    </row>
    <row r="2139" spans="38:38" x14ac:dyDescent="0.35">
      <c r="AL2139" s="20"/>
    </row>
    <row r="2140" spans="38:38" x14ac:dyDescent="0.35">
      <c r="AL2140" s="20"/>
    </row>
    <row r="2141" spans="38:38" x14ac:dyDescent="0.35">
      <c r="AL2141" s="20"/>
    </row>
    <row r="2142" spans="38:38" x14ac:dyDescent="0.35">
      <c r="AL2142" s="20"/>
    </row>
    <row r="2143" spans="38:38" x14ac:dyDescent="0.35">
      <c r="AL2143" s="20"/>
    </row>
    <row r="2144" spans="38:38" x14ac:dyDescent="0.35">
      <c r="AL2144" s="20"/>
    </row>
    <row r="2145" spans="38:38" x14ac:dyDescent="0.35">
      <c r="AL2145" s="20"/>
    </row>
    <row r="2146" spans="38:38" x14ac:dyDescent="0.35">
      <c r="AL2146" s="20"/>
    </row>
    <row r="2147" spans="38:38" x14ac:dyDescent="0.35">
      <c r="AL2147" s="20"/>
    </row>
    <row r="2148" spans="38:38" x14ac:dyDescent="0.35">
      <c r="AL2148" s="20"/>
    </row>
    <row r="2149" spans="38:38" x14ac:dyDescent="0.35">
      <c r="AL2149" s="20"/>
    </row>
    <row r="2150" spans="38:38" x14ac:dyDescent="0.35">
      <c r="AL2150" s="20"/>
    </row>
    <row r="2151" spans="38:38" x14ac:dyDescent="0.35">
      <c r="AL2151" s="20"/>
    </row>
    <row r="2152" spans="38:38" x14ac:dyDescent="0.35">
      <c r="AL2152" s="20"/>
    </row>
    <row r="2153" spans="38:38" x14ac:dyDescent="0.35">
      <c r="AL2153" s="20"/>
    </row>
    <row r="2154" spans="38:38" x14ac:dyDescent="0.35">
      <c r="AL2154" s="20"/>
    </row>
    <row r="2155" spans="38:38" x14ac:dyDescent="0.35">
      <c r="AL2155" s="20"/>
    </row>
    <row r="2156" spans="38:38" x14ac:dyDescent="0.35">
      <c r="AL2156" s="20"/>
    </row>
    <row r="2157" spans="38:38" x14ac:dyDescent="0.35">
      <c r="AL2157" s="20"/>
    </row>
    <row r="2158" spans="38:38" x14ac:dyDescent="0.35">
      <c r="AL2158" s="20"/>
    </row>
    <row r="2159" spans="38:38" x14ac:dyDescent="0.35">
      <c r="AL2159" s="20"/>
    </row>
    <row r="2160" spans="38:38" x14ac:dyDescent="0.35">
      <c r="AL2160" s="20"/>
    </row>
    <row r="2161" spans="38:38" x14ac:dyDescent="0.35">
      <c r="AL2161" s="20"/>
    </row>
    <row r="2162" spans="38:38" x14ac:dyDescent="0.35">
      <c r="AL2162" s="20"/>
    </row>
    <row r="2163" spans="38:38" x14ac:dyDescent="0.35">
      <c r="AL2163" s="20"/>
    </row>
    <row r="2164" spans="38:38" x14ac:dyDescent="0.35">
      <c r="AL2164" s="20"/>
    </row>
    <row r="2165" spans="38:38" x14ac:dyDescent="0.35">
      <c r="AL2165" s="20"/>
    </row>
    <row r="2166" spans="38:38" x14ac:dyDescent="0.35">
      <c r="AL2166" s="20"/>
    </row>
    <row r="2167" spans="38:38" x14ac:dyDescent="0.35">
      <c r="AL2167" s="20"/>
    </row>
    <row r="2168" spans="38:38" x14ac:dyDescent="0.35">
      <c r="AL2168" s="20"/>
    </row>
    <row r="2169" spans="38:38" x14ac:dyDescent="0.35">
      <c r="AL2169" s="20"/>
    </row>
    <row r="2170" spans="38:38" x14ac:dyDescent="0.35">
      <c r="AL2170" s="20"/>
    </row>
    <row r="2171" spans="38:38" x14ac:dyDescent="0.35">
      <c r="AL2171" s="20"/>
    </row>
    <row r="2172" spans="38:38" x14ac:dyDescent="0.35">
      <c r="AL2172" s="20"/>
    </row>
    <row r="2173" spans="38:38" x14ac:dyDescent="0.35">
      <c r="AL2173" s="20"/>
    </row>
    <row r="2174" spans="38:38" x14ac:dyDescent="0.35">
      <c r="AL2174" s="20"/>
    </row>
    <row r="2175" spans="38:38" x14ac:dyDescent="0.35">
      <c r="AL2175" s="20"/>
    </row>
    <row r="2176" spans="38:38" x14ac:dyDescent="0.35">
      <c r="AL2176" s="20"/>
    </row>
    <row r="2177" spans="38:38" x14ac:dyDescent="0.35">
      <c r="AL2177" s="20"/>
    </row>
    <row r="2178" spans="38:38" x14ac:dyDescent="0.35">
      <c r="AL2178" s="20"/>
    </row>
    <row r="2179" spans="38:38" x14ac:dyDescent="0.35">
      <c r="AL2179" s="20"/>
    </row>
    <row r="2180" spans="38:38" x14ac:dyDescent="0.35">
      <c r="AL2180" s="20"/>
    </row>
    <row r="2181" spans="38:38" x14ac:dyDescent="0.35">
      <c r="AL2181" s="20"/>
    </row>
    <row r="2182" spans="38:38" x14ac:dyDescent="0.35">
      <c r="AL2182" s="20"/>
    </row>
    <row r="2183" spans="38:38" x14ac:dyDescent="0.35">
      <c r="AL2183" s="20"/>
    </row>
    <row r="2184" spans="38:38" x14ac:dyDescent="0.35">
      <c r="AL2184" s="20"/>
    </row>
    <row r="2185" spans="38:38" x14ac:dyDescent="0.35">
      <c r="AL2185" s="20"/>
    </row>
    <row r="2186" spans="38:38" x14ac:dyDescent="0.35">
      <c r="AL2186" s="20"/>
    </row>
    <row r="2187" spans="38:38" x14ac:dyDescent="0.35">
      <c r="AL2187" s="20"/>
    </row>
    <row r="2188" spans="38:38" x14ac:dyDescent="0.35">
      <c r="AL2188" s="20"/>
    </row>
    <row r="2189" spans="38:38" x14ac:dyDescent="0.35">
      <c r="AL2189" s="20"/>
    </row>
    <row r="2190" spans="38:38" x14ac:dyDescent="0.35">
      <c r="AL2190" s="20"/>
    </row>
    <row r="2191" spans="38:38" x14ac:dyDescent="0.35">
      <c r="AL2191" s="20"/>
    </row>
    <row r="2192" spans="38:38" x14ac:dyDescent="0.35">
      <c r="AL2192" s="20"/>
    </row>
    <row r="2193" spans="38:38" x14ac:dyDescent="0.35">
      <c r="AL2193" s="20"/>
    </row>
    <row r="2194" spans="38:38" x14ac:dyDescent="0.35">
      <c r="AL2194" s="20"/>
    </row>
    <row r="2195" spans="38:38" x14ac:dyDescent="0.35">
      <c r="AL2195" s="20"/>
    </row>
    <row r="2196" spans="38:38" x14ac:dyDescent="0.35">
      <c r="AL2196" s="20"/>
    </row>
    <row r="2197" spans="38:38" x14ac:dyDescent="0.35">
      <c r="AL2197" s="20"/>
    </row>
    <row r="2198" spans="38:38" x14ac:dyDescent="0.35">
      <c r="AL2198" s="20"/>
    </row>
    <row r="2199" spans="38:38" x14ac:dyDescent="0.35">
      <c r="AL2199" s="20"/>
    </row>
    <row r="2200" spans="38:38" x14ac:dyDescent="0.35">
      <c r="AL2200" s="20"/>
    </row>
    <row r="2201" spans="38:38" x14ac:dyDescent="0.35">
      <c r="AL2201" s="20"/>
    </row>
    <row r="2202" spans="38:38" x14ac:dyDescent="0.35">
      <c r="AL2202" s="20"/>
    </row>
    <row r="2203" spans="38:38" x14ac:dyDescent="0.35">
      <c r="AL2203" s="20"/>
    </row>
    <row r="2204" spans="38:38" x14ac:dyDescent="0.35">
      <c r="AL2204" s="20"/>
    </row>
    <row r="2205" spans="38:38" x14ac:dyDescent="0.35">
      <c r="AL2205" s="20"/>
    </row>
    <row r="2206" spans="38:38" x14ac:dyDescent="0.35">
      <c r="AL2206" s="20"/>
    </row>
    <row r="2207" spans="38:38" x14ac:dyDescent="0.35">
      <c r="AL2207" s="20"/>
    </row>
    <row r="2208" spans="38:38" x14ac:dyDescent="0.35">
      <c r="AL2208" s="20"/>
    </row>
    <row r="2209" spans="38:38" x14ac:dyDescent="0.35">
      <c r="AL2209" s="20"/>
    </row>
    <row r="2210" spans="38:38" x14ac:dyDescent="0.35">
      <c r="AL2210" s="20"/>
    </row>
    <row r="2211" spans="38:38" x14ac:dyDescent="0.35">
      <c r="AL2211" s="20"/>
    </row>
    <row r="2212" spans="38:38" x14ac:dyDescent="0.35">
      <c r="AL2212" s="20"/>
    </row>
    <row r="2213" spans="38:38" x14ac:dyDescent="0.35">
      <c r="AL2213" s="20"/>
    </row>
    <row r="2214" spans="38:38" x14ac:dyDescent="0.35">
      <c r="AL2214" s="20"/>
    </row>
    <row r="2215" spans="38:38" x14ac:dyDescent="0.35">
      <c r="AL2215" s="20"/>
    </row>
    <row r="2216" spans="38:38" x14ac:dyDescent="0.35">
      <c r="AL2216" s="20"/>
    </row>
    <row r="2217" spans="38:38" x14ac:dyDescent="0.35">
      <c r="AL2217" s="20"/>
    </row>
    <row r="2218" spans="38:38" x14ac:dyDescent="0.35">
      <c r="AL2218" s="20"/>
    </row>
    <row r="2219" spans="38:38" x14ac:dyDescent="0.35">
      <c r="AL2219" s="20"/>
    </row>
    <row r="2220" spans="38:38" x14ac:dyDescent="0.35">
      <c r="AL2220" s="20"/>
    </row>
    <row r="2221" spans="38:38" x14ac:dyDescent="0.35">
      <c r="AL2221" s="20"/>
    </row>
    <row r="2222" spans="38:38" x14ac:dyDescent="0.35">
      <c r="AL2222" s="20"/>
    </row>
    <row r="2223" spans="38:38" x14ac:dyDescent="0.35">
      <c r="AL2223" s="20"/>
    </row>
    <row r="2224" spans="38:38" x14ac:dyDescent="0.35">
      <c r="AL2224" s="20"/>
    </row>
    <row r="2225" spans="38:38" x14ac:dyDescent="0.35">
      <c r="AL2225" s="20"/>
    </row>
    <row r="2226" spans="38:38" x14ac:dyDescent="0.35">
      <c r="AL2226" s="20"/>
    </row>
    <row r="2227" spans="38:38" x14ac:dyDescent="0.35">
      <c r="AL2227" s="20"/>
    </row>
    <row r="2228" spans="38:38" x14ac:dyDescent="0.35">
      <c r="AL2228" s="20"/>
    </row>
    <row r="2229" spans="38:38" x14ac:dyDescent="0.35">
      <c r="AL2229" s="20"/>
    </row>
    <row r="2230" spans="38:38" x14ac:dyDescent="0.35">
      <c r="AL2230" s="20"/>
    </row>
    <row r="2231" spans="38:38" x14ac:dyDescent="0.35">
      <c r="AL2231" s="20"/>
    </row>
    <row r="2232" spans="38:38" x14ac:dyDescent="0.35">
      <c r="AL2232" s="20"/>
    </row>
    <row r="2233" spans="38:38" x14ac:dyDescent="0.35">
      <c r="AL2233" s="20"/>
    </row>
    <row r="2234" spans="38:38" x14ac:dyDescent="0.35">
      <c r="AL2234" s="20"/>
    </row>
    <row r="2235" spans="38:38" x14ac:dyDescent="0.35">
      <c r="AL2235" s="20"/>
    </row>
    <row r="2236" spans="38:38" x14ac:dyDescent="0.35">
      <c r="AL2236" s="20"/>
    </row>
    <row r="2237" spans="38:38" x14ac:dyDescent="0.35">
      <c r="AL2237" s="20"/>
    </row>
    <row r="2238" spans="38:38" x14ac:dyDescent="0.35">
      <c r="AL2238" s="20"/>
    </row>
    <row r="2239" spans="38:38" x14ac:dyDescent="0.35">
      <c r="AL2239" s="20"/>
    </row>
    <row r="2240" spans="38:38" x14ac:dyDescent="0.35">
      <c r="AL2240" s="20"/>
    </row>
    <row r="2241" spans="38:38" x14ac:dyDescent="0.35">
      <c r="AL2241" s="20"/>
    </row>
    <row r="2242" spans="38:38" x14ac:dyDescent="0.35">
      <c r="AL2242" s="20"/>
    </row>
    <row r="2243" spans="38:38" x14ac:dyDescent="0.35">
      <c r="AL2243" s="20"/>
    </row>
    <row r="2244" spans="38:38" x14ac:dyDescent="0.35">
      <c r="AL2244" s="20"/>
    </row>
    <row r="2245" spans="38:38" x14ac:dyDescent="0.35">
      <c r="AL2245" s="20"/>
    </row>
    <row r="2246" spans="38:38" x14ac:dyDescent="0.35">
      <c r="AL2246" s="20"/>
    </row>
    <row r="2247" spans="38:38" x14ac:dyDescent="0.35">
      <c r="AL2247" s="20"/>
    </row>
    <row r="2248" spans="38:38" x14ac:dyDescent="0.35">
      <c r="AL2248" s="20"/>
    </row>
    <row r="2249" spans="38:38" x14ac:dyDescent="0.35">
      <c r="AL2249" s="20"/>
    </row>
    <row r="2250" spans="38:38" x14ac:dyDescent="0.35">
      <c r="AL2250" s="20"/>
    </row>
    <row r="2251" spans="38:38" x14ac:dyDescent="0.35">
      <c r="AL2251" s="20"/>
    </row>
    <row r="2252" spans="38:38" x14ac:dyDescent="0.35">
      <c r="AL2252" s="20"/>
    </row>
    <row r="2253" spans="38:38" x14ac:dyDescent="0.35">
      <c r="AL2253" s="20"/>
    </row>
    <row r="2254" spans="38:38" x14ac:dyDescent="0.35">
      <c r="AL2254" s="20"/>
    </row>
    <row r="2255" spans="38:38" x14ac:dyDescent="0.35">
      <c r="AL2255" s="20"/>
    </row>
    <row r="2256" spans="38:38" x14ac:dyDescent="0.35">
      <c r="AL2256" s="20"/>
    </row>
    <row r="2257" spans="38:38" x14ac:dyDescent="0.35">
      <c r="AL2257" s="20"/>
    </row>
    <row r="2258" spans="38:38" x14ac:dyDescent="0.35">
      <c r="AL2258" s="20"/>
    </row>
    <row r="2259" spans="38:38" x14ac:dyDescent="0.35">
      <c r="AL2259" s="20"/>
    </row>
    <row r="2260" spans="38:38" x14ac:dyDescent="0.35">
      <c r="AL2260" s="20"/>
    </row>
    <row r="2261" spans="38:38" x14ac:dyDescent="0.35">
      <c r="AL2261" s="20"/>
    </row>
    <row r="2262" spans="38:38" x14ac:dyDescent="0.35">
      <c r="AL2262" s="20"/>
    </row>
    <row r="2263" spans="38:38" x14ac:dyDescent="0.35">
      <c r="AL2263" s="20"/>
    </row>
    <row r="2264" spans="38:38" x14ac:dyDescent="0.35">
      <c r="AL2264" s="20"/>
    </row>
    <row r="2265" spans="38:38" x14ac:dyDescent="0.35">
      <c r="AL2265" s="20"/>
    </row>
    <row r="2266" spans="38:38" x14ac:dyDescent="0.35">
      <c r="AL2266" s="20"/>
    </row>
    <row r="2267" spans="38:38" x14ac:dyDescent="0.35">
      <c r="AL2267" s="20"/>
    </row>
    <row r="2268" spans="38:38" x14ac:dyDescent="0.35">
      <c r="AL2268" s="20"/>
    </row>
    <row r="2269" spans="38:38" x14ac:dyDescent="0.35">
      <c r="AL2269" s="20"/>
    </row>
    <row r="2270" spans="38:38" x14ac:dyDescent="0.35">
      <c r="AL2270" s="20"/>
    </row>
    <row r="2271" spans="38:38" x14ac:dyDescent="0.35">
      <c r="AL2271" s="20"/>
    </row>
    <row r="2272" spans="38:38" x14ac:dyDescent="0.35">
      <c r="AL2272" s="20"/>
    </row>
    <row r="2273" spans="38:38" x14ac:dyDescent="0.35">
      <c r="AL2273" s="20"/>
    </row>
    <row r="2274" spans="38:38" x14ac:dyDescent="0.35">
      <c r="AL2274" s="20"/>
    </row>
    <row r="2275" spans="38:38" x14ac:dyDescent="0.35">
      <c r="AL2275" s="20"/>
    </row>
    <row r="2276" spans="38:38" x14ac:dyDescent="0.35">
      <c r="AL2276" s="20"/>
    </row>
    <row r="2277" spans="38:38" x14ac:dyDescent="0.35">
      <c r="AL2277" s="20"/>
    </row>
    <row r="2278" spans="38:38" x14ac:dyDescent="0.35">
      <c r="AL2278" s="20"/>
    </row>
    <row r="2279" spans="38:38" x14ac:dyDescent="0.35">
      <c r="AL2279" s="20"/>
    </row>
    <row r="2280" spans="38:38" x14ac:dyDescent="0.35">
      <c r="AL2280" s="20"/>
    </row>
    <row r="2281" spans="38:38" x14ac:dyDescent="0.35">
      <c r="AL2281" s="20"/>
    </row>
    <row r="2282" spans="38:38" x14ac:dyDescent="0.35">
      <c r="AL2282" s="20"/>
    </row>
    <row r="2283" spans="38:38" x14ac:dyDescent="0.35">
      <c r="AL2283" s="20"/>
    </row>
    <row r="2284" spans="38:38" x14ac:dyDescent="0.35">
      <c r="AL2284" s="20"/>
    </row>
    <row r="2285" spans="38:38" x14ac:dyDescent="0.35">
      <c r="AL2285" s="20"/>
    </row>
    <row r="2286" spans="38:38" x14ac:dyDescent="0.35">
      <c r="AL2286" s="20"/>
    </row>
    <row r="2287" spans="38:38" x14ac:dyDescent="0.35">
      <c r="AL2287" s="20"/>
    </row>
    <row r="2288" spans="38:38" x14ac:dyDescent="0.35">
      <c r="AL2288" s="20"/>
    </row>
    <row r="2289" spans="38:38" x14ac:dyDescent="0.35">
      <c r="AL2289" s="20"/>
    </row>
    <row r="2290" spans="38:38" x14ac:dyDescent="0.35">
      <c r="AL2290" s="20"/>
    </row>
    <row r="2291" spans="38:38" x14ac:dyDescent="0.35">
      <c r="AL2291" s="20"/>
    </row>
    <row r="2292" spans="38:38" x14ac:dyDescent="0.35">
      <c r="AL2292" s="20"/>
    </row>
    <row r="2293" spans="38:38" x14ac:dyDescent="0.35">
      <c r="AL2293" s="20"/>
    </row>
    <row r="2294" spans="38:38" x14ac:dyDescent="0.35">
      <c r="AL2294" s="20"/>
    </row>
    <row r="2295" spans="38:38" x14ac:dyDescent="0.35">
      <c r="AL2295" s="20"/>
    </row>
    <row r="2296" spans="38:38" x14ac:dyDescent="0.35">
      <c r="AL2296" s="20"/>
    </row>
    <row r="2297" spans="38:38" x14ac:dyDescent="0.35">
      <c r="AL2297" s="20"/>
    </row>
    <row r="2298" spans="38:38" x14ac:dyDescent="0.35">
      <c r="AL2298" s="20"/>
    </row>
    <row r="2299" spans="38:38" x14ac:dyDescent="0.35">
      <c r="AL2299" s="20"/>
    </row>
    <row r="2300" spans="38:38" x14ac:dyDescent="0.35">
      <c r="AL2300" s="20"/>
    </row>
    <row r="2301" spans="38:38" x14ac:dyDescent="0.35">
      <c r="AL2301" s="20"/>
    </row>
    <row r="2302" spans="38:38" x14ac:dyDescent="0.35">
      <c r="AL2302" s="20"/>
    </row>
    <row r="2303" spans="38:38" x14ac:dyDescent="0.35">
      <c r="AL2303" s="20"/>
    </row>
    <row r="2304" spans="38:38" x14ac:dyDescent="0.35">
      <c r="AL2304" s="20"/>
    </row>
    <row r="2305" spans="38:38" x14ac:dyDescent="0.35">
      <c r="AL2305" s="20"/>
    </row>
    <row r="2306" spans="38:38" x14ac:dyDescent="0.35">
      <c r="AL2306" s="20"/>
    </row>
    <row r="2307" spans="38:38" x14ac:dyDescent="0.35">
      <c r="AL2307" s="20"/>
    </row>
    <row r="2308" spans="38:38" x14ac:dyDescent="0.35">
      <c r="AL2308" s="20"/>
    </row>
    <row r="2309" spans="38:38" x14ac:dyDescent="0.35">
      <c r="AL2309" s="20"/>
    </row>
    <row r="2310" spans="38:38" x14ac:dyDescent="0.35">
      <c r="AL2310" s="20"/>
    </row>
    <row r="2311" spans="38:38" x14ac:dyDescent="0.35">
      <c r="AL2311" s="20"/>
    </row>
    <row r="2312" spans="38:38" x14ac:dyDescent="0.35">
      <c r="AL2312" s="20"/>
    </row>
    <row r="2313" spans="38:38" x14ac:dyDescent="0.35">
      <c r="AL2313" s="20"/>
    </row>
    <row r="2314" spans="38:38" x14ac:dyDescent="0.35">
      <c r="AL2314" s="20"/>
    </row>
    <row r="2315" spans="38:38" x14ac:dyDescent="0.35">
      <c r="AL2315" s="20"/>
    </row>
    <row r="2316" spans="38:38" x14ac:dyDescent="0.35">
      <c r="AL2316" s="20"/>
    </row>
    <row r="2317" spans="38:38" x14ac:dyDescent="0.35">
      <c r="AL2317" s="20"/>
    </row>
    <row r="2318" spans="38:38" x14ac:dyDescent="0.35">
      <c r="AL2318" s="20"/>
    </row>
    <row r="2319" spans="38:38" x14ac:dyDescent="0.35">
      <c r="AL2319" s="20"/>
    </row>
    <row r="2320" spans="38:38" x14ac:dyDescent="0.35">
      <c r="AL2320" s="20"/>
    </row>
    <row r="2321" spans="38:38" x14ac:dyDescent="0.35">
      <c r="AL2321" s="20"/>
    </row>
    <row r="2322" spans="38:38" x14ac:dyDescent="0.35">
      <c r="AL2322" s="20"/>
    </row>
    <row r="2323" spans="38:38" x14ac:dyDescent="0.35">
      <c r="AL2323" s="20"/>
    </row>
    <row r="2324" spans="38:38" x14ac:dyDescent="0.35">
      <c r="AL2324" s="20"/>
    </row>
    <row r="2325" spans="38:38" x14ac:dyDescent="0.35">
      <c r="AL2325" s="20"/>
    </row>
    <row r="2326" spans="38:38" x14ac:dyDescent="0.35">
      <c r="AL2326" s="20"/>
    </row>
    <row r="2327" spans="38:38" x14ac:dyDescent="0.35">
      <c r="AL2327" s="20"/>
    </row>
    <row r="2328" spans="38:38" x14ac:dyDescent="0.35">
      <c r="AL2328" s="20"/>
    </row>
    <row r="2329" spans="38:38" x14ac:dyDescent="0.35">
      <c r="AL2329" s="20"/>
    </row>
    <row r="2330" spans="38:38" x14ac:dyDescent="0.35">
      <c r="AL2330" s="20"/>
    </row>
    <row r="2331" spans="38:38" x14ac:dyDescent="0.35">
      <c r="AL2331" s="20"/>
    </row>
    <row r="2332" spans="38:38" x14ac:dyDescent="0.35">
      <c r="AL2332" s="20"/>
    </row>
    <row r="2333" spans="38:38" x14ac:dyDescent="0.35">
      <c r="AL2333" s="20"/>
    </row>
    <row r="2334" spans="38:38" x14ac:dyDescent="0.35">
      <c r="AL2334" s="20"/>
    </row>
    <row r="2335" spans="38:38" x14ac:dyDescent="0.35">
      <c r="AL2335" s="20"/>
    </row>
    <row r="2336" spans="38:38" x14ac:dyDescent="0.35">
      <c r="AL2336" s="20"/>
    </row>
    <row r="2337" spans="38:38" x14ac:dyDescent="0.35">
      <c r="AL2337" s="20"/>
    </row>
    <row r="2338" spans="38:38" x14ac:dyDescent="0.35">
      <c r="AL2338" s="20"/>
    </row>
    <row r="2339" spans="38:38" x14ac:dyDescent="0.35">
      <c r="AL2339" s="20"/>
    </row>
    <row r="2340" spans="38:38" x14ac:dyDescent="0.35">
      <c r="AL2340" s="20"/>
    </row>
    <row r="2341" spans="38:38" x14ac:dyDescent="0.35">
      <c r="AL2341" s="20"/>
    </row>
    <row r="2342" spans="38:38" x14ac:dyDescent="0.35">
      <c r="AL2342" s="20"/>
    </row>
    <row r="2343" spans="38:38" x14ac:dyDescent="0.35">
      <c r="AL2343" s="20"/>
    </row>
    <row r="2344" spans="38:38" x14ac:dyDescent="0.35">
      <c r="AL2344" s="20"/>
    </row>
    <row r="2345" spans="38:38" x14ac:dyDescent="0.35">
      <c r="AL2345" s="20"/>
    </row>
    <row r="2346" spans="38:38" x14ac:dyDescent="0.35">
      <c r="AL2346" s="20"/>
    </row>
    <row r="2347" spans="38:38" x14ac:dyDescent="0.35">
      <c r="AL2347" s="20"/>
    </row>
    <row r="2348" spans="38:38" x14ac:dyDescent="0.35">
      <c r="AL2348" s="20"/>
    </row>
    <row r="2349" spans="38:38" x14ac:dyDescent="0.35">
      <c r="AL2349" s="20"/>
    </row>
    <row r="2350" spans="38:38" x14ac:dyDescent="0.35">
      <c r="AL2350" s="20"/>
    </row>
    <row r="2351" spans="38:38" x14ac:dyDescent="0.35">
      <c r="AL2351" s="20"/>
    </row>
    <row r="2352" spans="38:38" x14ac:dyDescent="0.35">
      <c r="AL2352" s="20"/>
    </row>
    <row r="2353" spans="38:38" x14ac:dyDescent="0.35">
      <c r="AL2353" s="20"/>
    </row>
    <row r="2354" spans="38:38" x14ac:dyDescent="0.35">
      <c r="AL2354" s="20"/>
    </row>
    <row r="2355" spans="38:38" x14ac:dyDescent="0.35">
      <c r="AL2355" s="20"/>
    </row>
    <row r="2356" spans="38:38" x14ac:dyDescent="0.35">
      <c r="AL2356" s="20"/>
    </row>
    <row r="2357" spans="38:38" x14ac:dyDescent="0.35">
      <c r="AL2357" s="20"/>
    </row>
    <row r="2358" spans="38:38" x14ac:dyDescent="0.35">
      <c r="AL2358" s="20"/>
    </row>
    <row r="2359" spans="38:38" x14ac:dyDescent="0.35">
      <c r="AL2359" s="20"/>
    </row>
    <row r="2360" spans="38:38" x14ac:dyDescent="0.35">
      <c r="AL2360" s="20"/>
    </row>
    <row r="2361" spans="38:38" x14ac:dyDescent="0.35">
      <c r="AL2361" s="20"/>
    </row>
    <row r="2362" spans="38:38" x14ac:dyDescent="0.35">
      <c r="AL2362" s="20"/>
    </row>
    <row r="2363" spans="38:38" x14ac:dyDescent="0.35">
      <c r="AL2363" s="20"/>
    </row>
    <row r="2364" spans="38:38" x14ac:dyDescent="0.35">
      <c r="AL2364" s="20"/>
    </row>
    <row r="2365" spans="38:38" x14ac:dyDescent="0.35">
      <c r="AL2365" s="20"/>
    </row>
    <row r="2366" spans="38:38" x14ac:dyDescent="0.35">
      <c r="AL2366" s="20"/>
    </row>
    <row r="2367" spans="38:38" x14ac:dyDescent="0.35">
      <c r="AL2367" s="20"/>
    </row>
    <row r="2368" spans="38:38" x14ac:dyDescent="0.35">
      <c r="AL2368" s="20"/>
    </row>
    <row r="2369" spans="38:38" x14ac:dyDescent="0.35">
      <c r="AL2369" s="20"/>
    </row>
    <row r="2370" spans="38:38" x14ac:dyDescent="0.35">
      <c r="AL2370" s="20"/>
    </row>
    <row r="2371" spans="38:38" x14ac:dyDescent="0.35">
      <c r="AL2371" s="20"/>
    </row>
    <row r="2372" spans="38:38" x14ac:dyDescent="0.35">
      <c r="AL2372" s="20"/>
    </row>
    <row r="2373" spans="38:38" x14ac:dyDescent="0.35">
      <c r="AL2373" s="20"/>
    </row>
    <row r="2374" spans="38:38" x14ac:dyDescent="0.35">
      <c r="AL2374" s="20"/>
    </row>
    <row r="2375" spans="38:38" x14ac:dyDescent="0.35">
      <c r="AL2375" s="20"/>
    </row>
    <row r="2376" spans="38:38" x14ac:dyDescent="0.35">
      <c r="AL2376" s="20"/>
    </row>
    <row r="2377" spans="38:38" x14ac:dyDescent="0.35">
      <c r="AL2377" s="20"/>
    </row>
    <row r="2378" spans="38:38" x14ac:dyDescent="0.35">
      <c r="AL2378" s="20"/>
    </row>
    <row r="2379" spans="38:38" x14ac:dyDescent="0.35">
      <c r="AL2379" s="20"/>
    </row>
    <row r="2380" spans="38:38" x14ac:dyDescent="0.35">
      <c r="AL2380" s="20"/>
    </row>
    <row r="2381" spans="38:38" x14ac:dyDescent="0.35">
      <c r="AL2381" s="20"/>
    </row>
    <row r="2382" spans="38:38" x14ac:dyDescent="0.35">
      <c r="AL2382" s="20"/>
    </row>
    <row r="2383" spans="38:38" x14ac:dyDescent="0.35">
      <c r="AL2383" s="20"/>
    </row>
    <row r="2384" spans="38:38" x14ac:dyDescent="0.35">
      <c r="AL2384" s="20"/>
    </row>
    <row r="2385" spans="38:38" x14ac:dyDescent="0.35">
      <c r="AL2385" s="20"/>
    </row>
    <row r="2386" spans="38:38" x14ac:dyDescent="0.35">
      <c r="AL2386" s="20"/>
    </row>
    <row r="2387" spans="38:38" x14ac:dyDescent="0.35">
      <c r="AL2387" s="20"/>
    </row>
    <row r="2388" spans="38:38" x14ac:dyDescent="0.35">
      <c r="AL2388" s="20"/>
    </row>
    <row r="2389" spans="38:38" x14ac:dyDescent="0.35">
      <c r="AL2389" s="20"/>
    </row>
    <row r="2390" spans="38:38" x14ac:dyDescent="0.35">
      <c r="AL2390" s="20"/>
    </row>
    <row r="2391" spans="38:38" x14ac:dyDescent="0.35">
      <c r="AL2391" s="20"/>
    </row>
    <row r="2392" spans="38:38" x14ac:dyDescent="0.35">
      <c r="AL2392" s="20"/>
    </row>
    <row r="2393" spans="38:38" x14ac:dyDescent="0.35">
      <c r="AL2393" s="20"/>
    </row>
    <row r="2394" spans="38:38" x14ac:dyDescent="0.35">
      <c r="AL2394" s="20"/>
    </row>
    <row r="2395" spans="38:38" x14ac:dyDescent="0.35">
      <c r="AL2395" s="20"/>
    </row>
    <row r="2396" spans="38:38" x14ac:dyDescent="0.35">
      <c r="AL2396" s="20"/>
    </row>
    <row r="2397" spans="38:38" x14ac:dyDescent="0.35">
      <c r="AL2397" s="20"/>
    </row>
    <row r="2398" spans="38:38" x14ac:dyDescent="0.35">
      <c r="AL2398" s="20"/>
    </row>
    <row r="2399" spans="38:38" x14ac:dyDescent="0.35">
      <c r="AL2399" s="20"/>
    </row>
    <row r="2400" spans="38:38" x14ac:dyDescent="0.35">
      <c r="AL2400" s="20"/>
    </row>
    <row r="2401" spans="38:38" x14ac:dyDescent="0.35">
      <c r="AL2401" s="20"/>
    </row>
    <row r="2402" spans="38:38" x14ac:dyDescent="0.35">
      <c r="AL2402" s="20"/>
    </row>
    <row r="2403" spans="38:38" x14ac:dyDescent="0.35">
      <c r="AL2403" s="20"/>
    </row>
    <row r="2404" spans="38:38" x14ac:dyDescent="0.35">
      <c r="AL2404" s="20"/>
    </row>
    <row r="2405" spans="38:38" x14ac:dyDescent="0.35">
      <c r="AL2405" s="20"/>
    </row>
    <row r="2406" spans="38:38" x14ac:dyDescent="0.35">
      <c r="AL2406" s="20"/>
    </row>
    <row r="2407" spans="38:38" x14ac:dyDescent="0.35">
      <c r="AL2407" s="20"/>
    </row>
    <row r="2408" spans="38:38" x14ac:dyDescent="0.35">
      <c r="AL2408" s="20"/>
    </row>
    <row r="2409" spans="38:38" x14ac:dyDescent="0.35">
      <c r="AL2409" s="20"/>
    </row>
    <row r="2410" spans="38:38" x14ac:dyDescent="0.35">
      <c r="AL2410" s="20"/>
    </row>
    <row r="2411" spans="38:38" x14ac:dyDescent="0.35">
      <c r="AL2411" s="20"/>
    </row>
    <row r="2412" spans="38:38" x14ac:dyDescent="0.35">
      <c r="AL2412" s="20"/>
    </row>
    <row r="2413" spans="38:38" x14ac:dyDescent="0.35">
      <c r="AL2413" s="20"/>
    </row>
    <row r="2414" spans="38:38" x14ac:dyDescent="0.35">
      <c r="AL2414" s="20"/>
    </row>
    <row r="2415" spans="38:38" x14ac:dyDescent="0.35">
      <c r="AL2415" s="20"/>
    </row>
    <row r="2416" spans="38:38" x14ac:dyDescent="0.35">
      <c r="AL2416" s="20"/>
    </row>
    <row r="2417" spans="38:38" x14ac:dyDescent="0.35">
      <c r="AL2417" s="20"/>
    </row>
    <row r="2418" spans="38:38" x14ac:dyDescent="0.35">
      <c r="AL2418" s="20"/>
    </row>
    <row r="2419" spans="38:38" x14ac:dyDescent="0.35">
      <c r="AL2419" s="20"/>
    </row>
    <row r="2420" spans="38:38" x14ac:dyDescent="0.35">
      <c r="AL2420" s="20"/>
    </row>
    <row r="2421" spans="38:38" x14ac:dyDescent="0.35">
      <c r="AL2421" s="20"/>
    </row>
    <row r="2422" spans="38:38" x14ac:dyDescent="0.35">
      <c r="AL2422" s="20"/>
    </row>
    <row r="2423" spans="38:38" x14ac:dyDescent="0.35">
      <c r="AL2423" s="20"/>
    </row>
    <row r="2424" spans="38:38" x14ac:dyDescent="0.35">
      <c r="AL2424" s="20"/>
    </row>
    <row r="2425" spans="38:38" x14ac:dyDescent="0.35">
      <c r="AL2425" s="20"/>
    </row>
    <row r="2426" spans="38:38" x14ac:dyDescent="0.35">
      <c r="AL2426" s="20"/>
    </row>
    <row r="2427" spans="38:38" x14ac:dyDescent="0.35">
      <c r="AL2427" s="20"/>
    </row>
    <row r="2428" spans="38:38" x14ac:dyDescent="0.35">
      <c r="AL2428" s="20"/>
    </row>
    <row r="2429" spans="38:38" x14ac:dyDescent="0.35">
      <c r="AL2429" s="20"/>
    </row>
    <row r="2430" spans="38:38" x14ac:dyDescent="0.35">
      <c r="AL2430" s="20"/>
    </row>
    <row r="2431" spans="38:38" x14ac:dyDescent="0.35">
      <c r="AL2431" s="20"/>
    </row>
    <row r="2432" spans="38:38" x14ac:dyDescent="0.35">
      <c r="AL2432" s="20"/>
    </row>
    <row r="2433" spans="38:38" x14ac:dyDescent="0.35">
      <c r="AL2433" s="20"/>
    </row>
    <row r="2434" spans="38:38" x14ac:dyDescent="0.35">
      <c r="AL2434" s="20"/>
    </row>
    <row r="2435" spans="38:38" x14ac:dyDescent="0.35">
      <c r="AL2435" s="20"/>
    </row>
    <row r="2436" spans="38:38" x14ac:dyDescent="0.35">
      <c r="AL2436" s="20"/>
    </row>
    <row r="2437" spans="38:38" x14ac:dyDescent="0.35">
      <c r="AL2437" s="20"/>
    </row>
    <row r="2438" spans="38:38" x14ac:dyDescent="0.35">
      <c r="AL2438" s="20"/>
    </row>
    <row r="2439" spans="38:38" x14ac:dyDescent="0.35">
      <c r="AL2439" s="20"/>
    </row>
    <row r="2440" spans="38:38" x14ac:dyDescent="0.35">
      <c r="AL2440" s="20"/>
    </row>
    <row r="2441" spans="38:38" x14ac:dyDescent="0.35">
      <c r="AL2441" s="20"/>
    </row>
    <row r="2442" spans="38:38" x14ac:dyDescent="0.35">
      <c r="AL2442" s="20"/>
    </row>
    <row r="2443" spans="38:38" x14ac:dyDescent="0.35">
      <c r="AL2443" s="20"/>
    </row>
    <row r="2444" spans="38:38" x14ac:dyDescent="0.35">
      <c r="AL2444" s="20"/>
    </row>
    <row r="2445" spans="38:38" x14ac:dyDescent="0.35">
      <c r="AL2445" s="20"/>
    </row>
    <row r="2446" spans="38:38" x14ac:dyDescent="0.35">
      <c r="AL2446" s="20"/>
    </row>
    <row r="2447" spans="38:38" x14ac:dyDescent="0.35">
      <c r="AL2447" s="20"/>
    </row>
    <row r="2448" spans="38:38" x14ac:dyDescent="0.35">
      <c r="AL2448" s="20"/>
    </row>
    <row r="2449" spans="38:38" x14ac:dyDescent="0.35">
      <c r="AL2449" s="20"/>
    </row>
    <row r="2450" spans="38:38" x14ac:dyDescent="0.35">
      <c r="AL2450" s="20"/>
    </row>
    <row r="2451" spans="38:38" x14ac:dyDescent="0.35">
      <c r="AL2451" s="20"/>
    </row>
    <row r="2452" spans="38:38" x14ac:dyDescent="0.35">
      <c r="AL2452" s="20"/>
    </row>
    <row r="2453" spans="38:38" x14ac:dyDescent="0.35">
      <c r="AL2453" s="20"/>
    </row>
    <row r="2454" spans="38:38" x14ac:dyDescent="0.35">
      <c r="AL2454" s="20"/>
    </row>
    <row r="2455" spans="38:38" x14ac:dyDescent="0.35">
      <c r="AL2455" s="20"/>
    </row>
    <row r="2456" spans="38:38" x14ac:dyDescent="0.35">
      <c r="AL2456" s="20"/>
    </row>
    <row r="2457" spans="38:38" x14ac:dyDescent="0.35">
      <c r="AL2457" s="20"/>
    </row>
    <row r="2458" spans="38:38" x14ac:dyDescent="0.35">
      <c r="AL2458" s="20"/>
    </row>
    <row r="2459" spans="38:38" x14ac:dyDescent="0.35">
      <c r="AL2459" s="20"/>
    </row>
    <row r="2460" spans="38:38" x14ac:dyDescent="0.35">
      <c r="AL2460" s="20"/>
    </row>
    <row r="2461" spans="38:38" x14ac:dyDescent="0.35">
      <c r="AL2461" s="20"/>
    </row>
    <row r="2462" spans="38:38" x14ac:dyDescent="0.35">
      <c r="AL2462" s="20"/>
    </row>
    <row r="2463" spans="38:38" x14ac:dyDescent="0.35">
      <c r="AL2463" s="20"/>
    </row>
    <row r="2464" spans="38:38" x14ac:dyDescent="0.35">
      <c r="AL2464" s="20"/>
    </row>
    <row r="2465" spans="38:38" x14ac:dyDescent="0.35">
      <c r="AL2465" s="20"/>
    </row>
    <row r="2466" spans="38:38" x14ac:dyDescent="0.35">
      <c r="AL2466" s="20"/>
    </row>
    <row r="2467" spans="38:38" x14ac:dyDescent="0.35">
      <c r="AL2467" s="20"/>
    </row>
    <row r="2468" spans="38:38" x14ac:dyDescent="0.35">
      <c r="AL2468" s="20"/>
    </row>
    <row r="2469" spans="38:38" x14ac:dyDescent="0.35">
      <c r="AL2469" s="20"/>
    </row>
    <row r="2470" spans="38:38" x14ac:dyDescent="0.35">
      <c r="AL2470" s="20"/>
    </row>
    <row r="2471" spans="38:38" x14ac:dyDescent="0.35">
      <c r="AL2471" s="20"/>
    </row>
    <row r="2472" spans="38:38" x14ac:dyDescent="0.35">
      <c r="AL2472" s="20"/>
    </row>
    <row r="2473" spans="38:38" x14ac:dyDescent="0.35">
      <c r="AL2473" s="20"/>
    </row>
    <row r="2474" spans="38:38" x14ac:dyDescent="0.35">
      <c r="AL2474" s="20"/>
    </row>
    <row r="2475" spans="38:38" x14ac:dyDescent="0.35">
      <c r="AL2475" s="20"/>
    </row>
    <row r="2476" spans="38:38" x14ac:dyDescent="0.35">
      <c r="AL2476" s="20"/>
    </row>
    <row r="2477" spans="38:38" x14ac:dyDescent="0.35">
      <c r="AL2477" s="20"/>
    </row>
    <row r="2478" spans="38:38" x14ac:dyDescent="0.35">
      <c r="AL2478" s="20"/>
    </row>
    <row r="2479" spans="38:38" x14ac:dyDescent="0.35">
      <c r="AL2479" s="20"/>
    </row>
    <row r="2480" spans="38:38" x14ac:dyDescent="0.35">
      <c r="AL2480" s="20"/>
    </row>
    <row r="2481" spans="38:38" x14ac:dyDescent="0.35">
      <c r="AL2481" s="20"/>
    </row>
    <row r="2482" spans="38:38" x14ac:dyDescent="0.35">
      <c r="AL2482" s="20"/>
    </row>
    <row r="2483" spans="38:38" x14ac:dyDescent="0.35">
      <c r="AL2483" s="20"/>
    </row>
    <row r="2484" spans="38:38" x14ac:dyDescent="0.35">
      <c r="AL2484" s="20"/>
    </row>
    <row r="2485" spans="38:38" x14ac:dyDescent="0.35">
      <c r="AL2485" s="20"/>
    </row>
    <row r="2486" spans="38:38" x14ac:dyDescent="0.35">
      <c r="AL2486" s="20"/>
    </row>
    <row r="2487" spans="38:38" x14ac:dyDescent="0.35">
      <c r="AL2487" s="20"/>
    </row>
    <row r="2488" spans="38:38" x14ac:dyDescent="0.35">
      <c r="AL2488" s="20"/>
    </row>
    <row r="2489" spans="38:38" x14ac:dyDescent="0.35">
      <c r="AL2489" s="20"/>
    </row>
    <row r="2490" spans="38:38" x14ac:dyDescent="0.35">
      <c r="AL2490" s="20"/>
    </row>
    <row r="2491" spans="38:38" x14ac:dyDescent="0.35">
      <c r="AL2491" s="20"/>
    </row>
    <row r="2492" spans="38:38" x14ac:dyDescent="0.35">
      <c r="AL2492" s="20"/>
    </row>
    <row r="2493" spans="38:38" x14ac:dyDescent="0.35">
      <c r="AL2493" s="20"/>
    </row>
    <row r="2494" spans="38:38" x14ac:dyDescent="0.35">
      <c r="AL2494" s="20"/>
    </row>
    <row r="2495" spans="38:38" x14ac:dyDescent="0.35">
      <c r="AL2495" s="20"/>
    </row>
    <row r="2496" spans="38:38" x14ac:dyDescent="0.35">
      <c r="AL2496" s="20"/>
    </row>
    <row r="2497" spans="38:38" x14ac:dyDescent="0.35">
      <c r="AL2497" s="20"/>
    </row>
    <row r="2498" spans="38:38" x14ac:dyDescent="0.35">
      <c r="AL2498" s="20"/>
    </row>
    <row r="2499" spans="38:38" x14ac:dyDescent="0.35">
      <c r="AL2499" s="20"/>
    </row>
    <row r="2500" spans="38:38" x14ac:dyDescent="0.35">
      <c r="AL2500" s="20"/>
    </row>
    <row r="2501" spans="38:38" x14ac:dyDescent="0.35">
      <c r="AL2501" s="20"/>
    </row>
    <row r="2502" spans="38:38" x14ac:dyDescent="0.35">
      <c r="AL2502" s="20"/>
    </row>
    <row r="2503" spans="38:38" x14ac:dyDescent="0.35">
      <c r="AL2503" s="20"/>
    </row>
    <row r="2504" spans="38:38" x14ac:dyDescent="0.35">
      <c r="AL2504" s="20"/>
    </row>
    <row r="2505" spans="38:38" x14ac:dyDescent="0.35">
      <c r="AL2505" s="20"/>
    </row>
    <row r="2506" spans="38:38" x14ac:dyDescent="0.35">
      <c r="AL2506" s="20"/>
    </row>
    <row r="2507" spans="38:38" x14ac:dyDescent="0.35">
      <c r="AL2507" s="20"/>
    </row>
    <row r="2508" spans="38:38" x14ac:dyDescent="0.35">
      <c r="AL2508" s="20"/>
    </row>
    <row r="2509" spans="38:38" x14ac:dyDescent="0.35">
      <c r="AL2509" s="20"/>
    </row>
    <row r="2510" spans="38:38" x14ac:dyDescent="0.35">
      <c r="AL2510" s="20"/>
    </row>
    <row r="2511" spans="38:38" x14ac:dyDescent="0.35">
      <c r="AL2511" s="20"/>
    </row>
    <row r="2512" spans="38:38" x14ac:dyDescent="0.35">
      <c r="AL2512" s="20"/>
    </row>
    <row r="2513" spans="38:38" x14ac:dyDescent="0.35">
      <c r="AL2513" s="20"/>
    </row>
    <row r="2514" spans="38:38" x14ac:dyDescent="0.35">
      <c r="AL2514" s="20"/>
    </row>
    <row r="2515" spans="38:38" x14ac:dyDescent="0.35">
      <c r="AL2515" s="20"/>
    </row>
    <row r="2516" spans="38:38" x14ac:dyDescent="0.35">
      <c r="AL2516" s="20"/>
    </row>
    <row r="2517" spans="38:38" x14ac:dyDescent="0.35">
      <c r="AL2517" s="20"/>
    </row>
    <row r="2518" spans="38:38" x14ac:dyDescent="0.35">
      <c r="AL2518" s="20"/>
    </row>
    <row r="2519" spans="38:38" x14ac:dyDescent="0.35">
      <c r="AL2519" s="20"/>
    </row>
    <row r="2520" spans="38:38" x14ac:dyDescent="0.35">
      <c r="AL2520" s="20"/>
    </row>
    <row r="2521" spans="38:38" x14ac:dyDescent="0.35">
      <c r="AL2521" s="20"/>
    </row>
    <row r="2522" spans="38:38" x14ac:dyDescent="0.35">
      <c r="AL2522" s="20"/>
    </row>
    <row r="2523" spans="38:38" x14ac:dyDescent="0.35">
      <c r="AL2523" s="20"/>
    </row>
    <row r="2524" spans="38:38" x14ac:dyDescent="0.35">
      <c r="AL2524" s="20"/>
    </row>
    <row r="2525" spans="38:38" x14ac:dyDescent="0.35">
      <c r="AL2525" s="20"/>
    </row>
    <row r="2526" spans="38:38" x14ac:dyDescent="0.35">
      <c r="AL2526" s="20"/>
    </row>
    <row r="2527" spans="38:38" x14ac:dyDescent="0.35">
      <c r="AL2527" s="20"/>
    </row>
    <row r="2528" spans="38:38" x14ac:dyDescent="0.35">
      <c r="AL2528" s="20"/>
    </row>
    <row r="2529" spans="38:38" x14ac:dyDescent="0.35">
      <c r="AL2529" s="20"/>
    </row>
    <row r="2530" spans="38:38" x14ac:dyDescent="0.35">
      <c r="AL2530" s="20"/>
    </row>
    <row r="2531" spans="38:38" x14ac:dyDescent="0.35">
      <c r="AL2531" s="20"/>
    </row>
    <row r="2532" spans="38:38" x14ac:dyDescent="0.35">
      <c r="AL2532" s="20"/>
    </row>
    <row r="2533" spans="38:38" x14ac:dyDescent="0.35">
      <c r="AL2533" s="20"/>
    </row>
    <row r="2534" spans="38:38" x14ac:dyDescent="0.35">
      <c r="AL2534" s="20"/>
    </row>
    <row r="2535" spans="38:38" x14ac:dyDescent="0.35">
      <c r="AL2535" s="20"/>
    </row>
    <row r="2536" spans="38:38" x14ac:dyDescent="0.35">
      <c r="AL2536" s="20"/>
    </row>
    <row r="2537" spans="38:38" x14ac:dyDescent="0.35">
      <c r="AL2537" s="20"/>
    </row>
    <row r="2538" spans="38:38" x14ac:dyDescent="0.35">
      <c r="AL2538" s="20"/>
    </row>
    <row r="2539" spans="38:38" x14ac:dyDescent="0.35">
      <c r="AL2539" s="20"/>
    </row>
    <row r="2540" spans="38:38" x14ac:dyDescent="0.35">
      <c r="AL2540" s="20"/>
    </row>
    <row r="2541" spans="38:38" x14ac:dyDescent="0.35">
      <c r="AL2541" s="20"/>
    </row>
    <row r="2542" spans="38:38" x14ac:dyDescent="0.35">
      <c r="AL2542" s="20"/>
    </row>
    <row r="2543" spans="38:38" x14ac:dyDescent="0.35">
      <c r="AL2543" s="20"/>
    </row>
    <row r="2544" spans="38:38" x14ac:dyDescent="0.35">
      <c r="AL2544" s="20"/>
    </row>
    <row r="2545" spans="38:38" x14ac:dyDescent="0.35">
      <c r="AL2545" s="20"/>
    </row>
    <row r="2546" spans="38:38" x14ac:dyDescent="0.35">
      <c r="AL2546" s="20"/>
    </row>
    <row r="2547" spans="38:38" x14ac:dyDescent="0.35">
      <c r="AL2547" s="20"/>
    </row>
    <row r="2548" spans="38:38" x14ac:dyDescent="0.35">
      <c r="AL2548" s="20"/>
    </row>
    <row r="2549" spans="38:38" x14ac:dyDescent="0.35">
      <c r="AL2549" s="20"/>
    </row>
    <row r="2550" spans="38:38" x14ac:dyDescent="0.35">
      <c r="AL2550" s="20"/>
    </row>
    <row r="2551" spans="38:38" x14ac:dyDescent="0.35">
      <c r="AL2551" s="20"/>
    </row>
    <row r="2552" spans="38:38" x14ac:dyDescent="0.35">
      <c r="AL2552" s="20"/>
    </row>
    <row r="2553" spans="38:38" x14ac:dyDescent="0.35">
      <c r="AL2553" s="20"/>
    </row>
    <row r="2554" spans="38:38" x14ac:dyDescent="0.35">
      <c r="AL2554" s="20"/>
    </row>
    <row r="2555" spans="38:38" x14ac:dyDescent="0.35">
      <c r="AL2555" s="20"/>
    </row>
    <row r="2556" spans="38:38" x14ac:dyDescent="0.35">
      <c r="AL2556" s="20"/>
    </row>
    <row r="2557" spans="38:38" x14ac:dyDescent="0.35">
      <c r="AL2557" s="20"/>
    </row>
    <row r="2558" spans="38:38" x14ac:dyDescent="0.35">
      <c r="AL2558" s="20"/>
    </row>
    <row r="2559" spans="38:38" x14ac:dyDescent="0.35">
      <c r="AL2559" s="20"/>
    </row>
    <row r="2560" spans="38:38" x14ac:dyDescent="0.35">
      <c r="AL2560" s="20"/>
    </row>
    <row r="2561" spans="38:38" x14ac:dyDescent="0.35">
      <c r="AL2561" s="20"/>
    </row>
    <row r="2562" spans="38:38" x14ac:dyDescent="0.35">
      <c r="AL2562" s="20"/>
    </row>
    <row r="2563" spans="38:38" x14ac:dyDescent="0.35">
      <c r="AL2563" s="20"/>
    </row>
    <row r="2564" spans="38:38" x14ac:dyDescent="0.35">
      <c r="AL2564" s="20"/>
    </row>
    <row r="2565" spans="38:38" x14ac:dyDescent="0.35">
      <c r="AL2565" s="20"/>
    </row>
    <row r="2566" spans="38:38" x14ac:dyDescent="0.35">
      <c r="AL2566" s="20"/>
    </row>
    <row r="2567" spans="38:38" x14ac:dyDescent="0.35">
      <c r="AL2567" s="20"/>
    </row>
    <row r="2568" spans="38:38" x14ac:dyDescent="0.35">
      <c r="AL2568" s="20"/>
    </row>
    <row r="2569" spans="38:38" x14ac:dyDescent="0.35">
      <c r="AL2569" s="20"/>
    </row>
    <row r="2570" spans="38:38" x14ac:dyDescent="0.35">
      <c r="AL2570" s="20"/>
    </row>
    <row r="2571" spans="38:38" x14ac:dyDescent="0.35">
      <c r="AL2571" s="20"/>
    </row>
    <row r="2572" spans="38:38" x14ac:dyDescent="0.35">
      <c r="AL2572" s="20"/>
    </row>
    <row r="2573" spans="38:38" x14ac:dyDescent="0.35">
      <c r="AL2573" s="20"/>
    </row>
    <row r="2574" spans="38:38" x14ac:dyDescent="0.35">
      <c r="AL2574" s="20"/>
    </row>
    <row r="2575" spans="38:38" x14ac:dyDescent="0.35">
      <c r="AL2575" s="20"/>
    </row>
    <row r="2576" spans="38:38" x14ac:dyDescent="0.35">
      <c r="AL2576" s="20"/>
    </row>
    <row r="2577" spans="38:38" x14ac:dyDescent="0.35">
      <c r="AL2577" s="20"/>
    </row>
    <row r="2578" spans="38:38" x14ac:dyDescent="0.35">
      <c r="AL2578" s="20"/>
    </row>
    <row r="2579" spans="38:38" x14ac:dyDescent="0.35">
      <c r="AL2579" s="20"/>
    </row>
    <row r="2580" spans="38:38" x14ac:dyDescent="0.35">
      <c r="AL2580" s="20"/>
    </row>
    <row r="2581" spans="38:38" x14ac:dyDescent="0.35">
      <c r="AL2581" s="20"/>
    </row>
    <row r="2582" spans="38:38" x14ac:dyDescent="0.35">
      <c r="AL2582" s="20"/>
    </row>
    <row r="2583" spans="38:38" x14ac:dyDescent="0.35">
      <c r="AL2583" s="20"/>
    </row>
    <row r="2584" spans="38:38" x14ac:dyDescent="0.35">
      <c r="AL2584" s="20"/>
    </row>
    <row r="2585" spans="38:38" x14ac:dyDescent="0.35">
      <c r="AL2585" s="20"/>
    </row>
    <row r="2586" spans="38:38" x14ac:dyDescent="0.35">
      <c r="AL2586" s="20"/>
    </row>
    <row r="2587" spans="38:38" x14ac:dyDescent="0.35">
      <c r="AL2587" s="20"/>
    </row>
    <row r="2588" spans="38:38" x14ac:dyDescent="0.35">
      <c r="AL2588" s="20"/>
    </row>
    <row r="2589" spans="38:38" x14ac:dyDescent="0.35">
      <c r="AL2589" s="20"/>
    </row>
    <row r="2590" spans="38:38" x14ac:dyDescent="0.35">
      <c r="AL2590" s="20"/>
    </row>
    <row r="2591" spans="38:38" x14ac:dyDescent="0.35">
      <c r="AL2591" s="20"/>
    </row>
    <row r="2592" spans="38:38" x14ac:dyDescent="0.35">
      <c r="AL2592" s="20"/>
    </row>
    <row r="2593" spans="38:38" x14ac:dyDescent="0.35">
      <c r="AL2593" s="20"/>
    </row>
    <row r="2594" spans="38:38" x14ac:dyDescent="0.35">
      <c r="AL2594" s="20"/>
    </row>
    <row r="2595" spans="38:38" x14ac:dyDescent="0.35">
      <c r="AL2595" s="20"/>
    </row>
    <row r="2596" spans="38:38" x14ac:dyDescent="0.35">
      <c r="AL2596" s="20"/>
    </row>
    <row r="2597" spans="38:38" x14ac:dyDescent="0.35">
      <c r="AL2597" s="20"/>
    </row>
    <row r="2598" spans="38:38" x14ac:dyDescent="0.35">
      <c r="AL2598" s="20"/>
    </row>
    <row r="2599" spans="38:38" x14ac:dyDescent="0.35">
      <c r="AL2599" s="20"/>
    </row>
    <row r="2600" spans="38:38" x14ac:dyDescent="0.35">
      <c r="AL2600" s="20"/>
    </row>
    <row r="2601" spans="38:38" x14ac:dyDescent="0.35">
      <c r="AL2601" s="20"/>
    </row>
    <row r="2602" spans="38:38" x14ac:dyDescent="0.35">
      <c r="AL2602" s="20"/>
    </row>
    <row r="2603" spans="38:38" x14ac:dyDescent="0.35">
      <c r="AL2603" s="20"/>
    </row>
    <row r="2604" spans="38:38" x14ac:dyDescent="0.35">
      <c r="AL2604" s="20"/>
    </row>
    <row r="2605" spans="38:38" x14ac:dyDescent="0.35">
      <c r="AL2605" s="20"/>
    </row>
    <row r="2606" spans="38:38" x14ac:dyDescent="0.35">
      <c r="AL2606" s="20"/>
    </row>
    <row r="2607" spans="38:38" x14ac:dyDescent="0.35">
      <c r="AL2607" s="20"/>
    </row>
    <row r="2608" spans="38:38" x14ac:dyDescent="0.35">
      <c r="AL2608" s="20"/>
    </row>
    <row r="2609" spans="38:38" x14ac:dyDescent="0.35">
      <c r="AL2609" s="20"/>
    </row>
    <row r="2610" spans="38:38" x14ac:dyDescent="0.35">
      <c r="AL2610" s="20"/>
    </row>
    <row r="2611" spans="38:38" x14ac:dyDescent="0.35">
      <c r="AL2611" s="20"/>
    </row>
    <row r="2612" spans="38:38" x14ac:dyDescent="0.35">
      <c r="AL2612" s="20"/>
    </row>
    <row r="2613" spans="38:38" x14ac:dyDescent="0.35">
      <c r="AL2613" s="20"/>
    </row>
    <row r="2614" spans="38:38" x14ac:dyDescent="0.35">
      <c r="AL2614" s="20"/>
    </row>
    <row r="2615" spans="38:38" x14ac:dyDescent="0.35">
      <c r="AL2615" s="20"/>
    </row>
    <row r="2616" spans="38:38" x14ac:dyDescent="0.35">
      <c r="AL2616" s="20"/>
    </row>
    <row r="2617" spans="38:38" x14ac:dyDescent="0.35">
      <c r="AL2617" s="20"/>
    </row>
    <row r="2618" spans="38:38" x14ac:dyDescent="0.35">
      <c r="AL2618" s="20"/>
    </row>
    <row r="2619" spans="38:38" x14ac:dyDescent="0.35">
      <c r="AL2619" s="20"/>
    </row>
    <row r="2620" spans="38:38" x14ac:dyDescent="0.35">
      <c r="AL2620" s="20"/>
    </row>
    <row r="2621" spans="38:38" x14ac:dyDescent="0.35">
      <c r="AL2621" s="20"/>
    </row>
    <row r="2622" spans="38:38" x14ac:dyDescent="0.35">
      <c r="AL2622" s="20"/>
    </row>
    <row r="2623" spans="38:38" x14ac:dyDescent="0.35">
      <c r="AL2623" s="20"/>
    </row>
    <row r="2624" spans="38:38" x14ac:dyDescent="0.35">
      <c r="AL2624" s="20"/>
    </row>
    <row r="2625" spans="38:38" x14ac:dyDescent="0.35">
      <c r="AL2625" s="20"/>
    </row>
    <row r="2626" spans="38:38" x14ac:dyDescent="0.35">
      <c r="AL2626" s="20"/>
    </row>
    <row r="2627" spans="38:38" x14ac:dyDescent="0.35">
      <c r="AL2627" s="20"/>
    </row>
    <row r="2628" spans="38:38" x14ac:dyDescent="0.35">
      <c r="AL2628" s="20"/>
    </row>
    <row r="2629" spans="38:38" x14ac:dyDescent="0.35">
      <c r="AL2629" s="20"/>
    </row>
    <row r="2630" spans="38:38" x14ac:dyDescent="0.35">
      <c r="AL2630" s="20"/>
    </row>
    <row r="2631" spans="38:38" x14ac:dyDescent="0.35">
      <c r="AL2631" s="20"/>
    </row>
    <row r="2632" spans="38:38" x14ac:dyDescent="0.35">
      <c r="AL2632" s="20"/>
    </row>
    <row r="2633" spans="38:38" x14ac:dyDescent="0.35">
      <c r="AL2633" s="20"/>
    </row>
    <row r="2634" spans="38:38" x14ac:dyDescent="0.35">
      <c r="AL2634" s="20"/>
    </row>
    <row r="2635" spans="38:38" x14ac:dyDescent="0.35">
      <c r="AL2635" s="20"/>
    </row>
    <row r="2636" spans="38:38" x14ac:dyDescent="0.35">
      <c r="AL2636" s="20"/>
    </row>
    <row r="2637" spans="38:38" x14ac:dyDescent="0.35">
      <c r="AL2637" s="20"/>
    </row>
    <row r="2638" spans="38:38" x14ac:dyDescent="0.35">
      <c r="AL2638" s="20"/>
    </row>
    <row r="2639" spans="38:38" x14ac:dyDescent="0.35">
      <c r="AL2639" s="20"/>
    </row>
    <row r="2640" spans="38:38" x14ac:dyDescent="0.35">
      <c r="AL2640" s="20"/>
    </row>
    <row r="2641" spans="38:38" x14ac:dyDescent="0.35">
      <c r="AL2641" s="20"/>
    </row>
    <row r="2642" spans="38:38" x14ac:dyDescent="0.35">
      <c r="AL2642" s="20"/>
    </row>
    <row r="2643" spans="38:38" x14ac:dyDescent="0.35">
      <c r="AL2643" s="20"/>
    </row>
    <row r="2644" spans="38:38" x14ac:dyDescent="0.35">
      <c r="AL2644" s="20"/>
    </row>
    <row r="2645" spans="38:38" x14ac:dyDescent="0.35">
      <c r="AL2645" s="20"/>
    </row>
    <row r="2646" spans="38:38" x14ac:dyDescent="0.35">
      <c r="AL2646" s="20"/>
    </row>
    <row r="2647" spans="38:38" x14ac:dyDescent="0.35">
      <c r="AL2647" s="20"/>
    </row>
    <row r="2648" spans="38:38" x14ac:dyDescent="0.35">
      <c r="AL2648" s="20"/>
    </row>
    <row r="2649" spans="38:38" x14ac:dyDescent="0.35">
      <c r="AL2649" s="20"/>
    </row>
    <row r="2650" spans="38:38" x14ac:dyDescent="0.35">
      <c r="AL2650" s="20"/>
    </row>
    <row r="2651" spans="38:38" x14ac:dyDescent="0.35">
      <c r="AL2651" s="20"/>
    </row>
    <row r="2652" spans="38:38" x14ac:dyDescent="0.35">
      <c r="AL2652" s="20"/>
    </row>
    <row r="2653" spans="38:38" x14ac:dyDescent="0.35">
      <c r="AL2653" s="20"/>
    </row>
    <row r="2654" spans="38:38" x14ac:dyDescent="0.35">
      <c r="AL2654" s="20"/>
    </row>
    <row r="2655" spans="38:38" x14ac:dyDescent="0.35">
      <c r="AL2655" s="20"/>
    </row>
    <row r="2656" spans="38:38" x14ac:dyDescent="0.35">
      <c r="AL2656" s="20"/>
    </row>
    <row r="2657" spans="38:38" x14ac:dyDescent="0.35">
      <c r="AL2657" s="20"/>
    </row>
    <row r="2658" spans="38:38" x14ac:dyDescent="0.35">
      <c r="AL2658" s="20"/>
    </row>
    <row r="2659" spans="38:38" x14ac:dyDescent="0.35">
      <c r="AL2659" s="20"/>
    </row>
    <row r="2660" spans="38:38" x14ac:dyDescent="0.35">
      <c r="AL2660" s="20"/>
    </row>
    <row r="2661" spans="38:38" x14ac:dyDescent="0.35">
      <c r="AL2661" s="20"/>
    </row>
    <row r="2662" spans="38:38" x14ac:dyDescent="0.35">
      <c r="AL2662" s="20"/>
    </row>
    <row r="2663" spans="38:38" x14ac:dyDescent="0.35">
      <c r="AL2663" s="20"/>
    </row>
    <row r="2664" spans="38:38" x14ac:dyDescent="0.35">
      <c r="AL2664" s="20"/>
    </row>
    <row r="2665" spans="38:38" x14ac:dyDescent="0.35">
      <c r="AL2665" s="20"/>
    </row>
    <row r="2666" spans="38:38" x14ac:dyDescent="0.35">
      <c r="AL2666" s="20"/>
    </row>
    <row r="2667" spans="38:38" x14ac:dyDescent="0.35">
      <c r="AL2667" s="20"/>
    </row>
    <row r="2668" spans="38:38" x14ac:dyDescent="0.35">
      <c r="AL2668" s="20"/>
    </row>
    <row r="2669" spans="38:38" x14ac:dyDescent="0.35">
      <c r="AL2669" s="20"/>
    </row>
    <row r="2670" spans="38:38" x14ac:dyDescent="0.35">
      <c r="AL2670" s="20"/>
    </row>
    <row r="2671" spans="38:38" x14ac:dyDescent="0.35">
      <c r="AL2671" s="20"/>
    </row>
    <row r="2672" spans="38:38" x14ac:dyDescent="0.35">
      <c r="AL2672" s="20"/>
    </row>
    <row r="2673" spans="38:38" x14ac:dyDescent="0.35">
      <c r="AL2673" s="20"/>
    </row>
    <row r="2674" spans="38:38" x14ac:dyDescent="0.35">
      <c r="AL2674" s="20"/>
    </row>
    <row r="2675" spans="38:38" x14ac:dyDescent="0.35">
      <c r="AL2675" s="20"/>
    </row>
    <row r="2676" spans="38:38" x14ac:dyDescent="0.35">
      <c r="AL2676" s="20"/>
    </row>
    <row r="2677" spans="38:38" x14ac:dyDescent="0.35">
      <c r="AL2677" s="20"/>
    </row>
    <row r="2678" spans="38:38" x14ac:dyDescent="0.35">
      <c r="AL2678" s="20"/>
    </row>
    <row r="2679" spans="38:38" x14ac:dyDescent="0.35">
      <c r="AL2679" s="20"/>
    </row>
    <row r="2680" spans="38:38" x14ac:dyDescent="0.35">
      <c r="AL2680" s="20"/>
    </row>
    <row r="2681" spans="38:38" x14ac:dyDescent="0.35">
      <c r="AL2681" s="20"/>
    </row>
    <row r="2682" spans="38:38" x14ac:dyDescent="0.35">
      <c r="AL2682" s="20"/>
    </row>
    <row r="2683" spans="38:38" x14ac:dyDescent="0.35">
      <c r="AL2683" s="20"/>
    </row>
    <row r="2684" spans="38:38" x14ac:dyDescent="0.35">
      <c r="AL2684" s="20"/>
    </row>
    <row r="2685" spans="38:38" x14ac:dyDescent="0.35">
      <c r="AL2685" s="20"/>
    </row>
    <row r="2686" spans="38:38" x14ac:dyDescent="0.35">
      <c r="AL2686" s="20"/>
    </row>
    <row r="2687" spans="38:38" x14ac:dyDescent="0.35">
      <c r="AL2687" s="20"/>
    </row>
    <row r="2688" spans="38:38" x14ac:dyDescent="0.35">
      <c r="AL2688" s="20"/>
    </row>
    <row r="2689" spans="38:38" x14ac:dyDescent="0.35">
      <c r="AL2689" s="20"/>
    </row>
    <row r="2690" spans="38:38" x14ac:dyDescent="0.35">
      <c r="AL2690" s="20"/>
    </row>
    <row r="2691" spans="38:38" x14ac:dyDescent="0.35">
      <c r="AL2691" s="20"/>
    </row>
    <row r="2692" spans="38:38" x14ac:dyDescent="0.35">
      <c r="AL2692" s="20"/>
    </row>
    <row r="2693" spans="38:38" x14ac:dyDescent="0.35">
      <c r="AL2693" s="20"/>
    </row>
    <row r="2694" spans="38:38" x14ac:dyDescent="0.35">
      <c r="AL2694" s="20"/>
    </row>
    <row r="2695" spans="38:38" x14ac:dyDescent="0.35">
      <c r="AL2695" s="20"/>
    </row>
    <row r="2696" spans="38:38" x14ac:dyDescent="0.35">
      <c r="AL2696" s="20"/>
    </row>
    <row r="2697" spans="38:38" x14ac:dyDescent="0.35">
      <c r="AL2697" s="20"/>
    </row>
    <row r="2698" spans="38:38" x14ac:dyDescent="0.35">
      <c r="AL2698" s="20"/>
    </row>
    <row r="2699" spans="38:38" x14ac:dyDescent="0.35">
      <c r="AL2699" s="20"/>
    </row>
    <row r="2700" spans="38:38" x14ac:dyDescent="0.35">
      <c r="AL2700" s="20"/>
    </row>
    <row r="2701" spans="38:38" x14ac:dyDescent="0.35">
      <c r="AL2701" s="20"/>
    </row>
    <row r="2702" spans="38:38" x14ac:dyDescent="0.35">
      <c r="AL2702" s="20"/>
    </row>
    <row r="2703" spans="38:38" x14ac:dyDescent="0.35">
      <c r="AL2703" s="20"/>
    </row>
    <row r="2704" spans="38:38" x14ac:dyDescent="0.35">
      <c r="AL2704" s="20"/>
    </row>
    <row r="2705" spans="38:38" x14ac:dyDescent="0.35">
      <c r="AL2705" s="20"/>
    </row>
    <row r="2706" spans="38:38" x14ac:dyDescent="0.35">
      <c r="AL2706" s="20"/>
    </row>
    <row r="2707" spans="38:38" x14ac:dyDescent="0.35">
      <c r="AL2707" s="20"/>
    </row>
    <row r="2708" spans="38:38" x14ac:dyDescent="0.35">
      <c r="AL2708" s="20"/>
    </row>
    <row r="2709" spans="38:38" x14ac:dyDescent="0.35">
      <c r="AL2709" s="20"/>
    </row>
    <row r="2710" spans="38:38" x14ac:dyDescent="0.35">
      <c r="AL2710" s="20"/>
    </row>
    <row r="2711" spans="38:38" x14ac:dyDescent="0.35">
      <c r="AL2711" s="20"/>
    </row>
    <row r="2712" spans="38:38" x14ac:dyDescent="0.35">
      <c r="AL2712" s="20"/>
    </row>
    <row r="2713" spans="38:38" x14ac:dyDescent="0.35">
      <c r="AL2713" s="20"/>
    </row>
    <row r="2714" spans="38:38" x14ac:dyDescent="0.35">
      <c r="AL2714" s="20"/>
    </row>
    <row r="2715" spans="38:38" x14ac:dyDescent="0.35">
      <c r="AL2715" s="20"/>
    </row>
    <row r="2716" spans="38:38" x14ac:dyDescent="0.35">
      <c r="AL2716" s="20"/>
    </row>
    <row r="2717" spans="38:38" x14ac:dyDescent="0.35">
      <c r="AL2717" s="20"/>
    </row>
    <row r="2718" spans="38:38" x14ac:dyDescent="0.35">
      <c r="AL2718" s="20"/>
    </row>
    <row r="2719" spans="38:38" x14ac:dyDescent="0.35">
      <c r="AL2719" s="20"/>
    </row>
    <row r="2720" spans="38:38" x14ac:dyDescent="0.35">
      <c r="AL2720" s="20"/>
    </row>
    <row r="2721" spans="38:38" x14ac:dyDescent="0.35">
      <c r="AL2721" s="20"/>
    </row>
    <row r="2722" spans="38:38" x14ac:dyDescent="0.35">
      <c r="AL2722" s="20"/>
    </row>
    <row r="2723" spans="38:38" x14ac:dyDescent="0.35">
      <c r="AL2723" s="20"/>
    </row>
    <row r="2724" spans="38:38" x14ac:dyDescent="0.35">
      <c r="AL2724" s="20"/>
    </row>
    <row r="2725" spans="38:38" x14ac:dyDescent="0.35">
      <c r="AL2725" s="20"/>
    </row>
    <row r="2726" spans="38:38" x14ac:dyDescent="0.35">
      <c r="AL2726" s="20"/>
    </row>
    <row r="2727" spans="38:38" x14ac:dyDescent="0.35">
      <c r="AL2727" s="20"/>
    </row>
    <row r="2728" spans="38:38" x14ac:dyDescent="0.35">
      <c r="AL2728" s="20"/>
    </row>
    <row r="2729" spans="38:38" x14ac:dyDescent="0.35">
      <c r="AL2729" s="20"/>
    </row>
    <row r="2730" spans="38:38" x14ac:dyDescent="0.35">
      <c r="AL2730" s="20"/>
    </row>
    <row r="2731" spans="38:38" x14ac:dyDescent="0.35">
      <c r="AL2731" s="20"/>
    </row>
    <row r="2732" spans="38:38" x14ac:dyDescent="0.35">
      <c r="AL2732" s="20"/>
    </row>
    <row r="2733" spans="38:38" x14ac:dyDescent="0.35">
      <c r="AL2733" s="20"/>
    </row>
    <row r="2734" spans="38:38" x14ac:dyDescent="0.35">
      <c r="AL2734" s="20"/>
    </row>
    <row r="2735" spans="38:38" x14ac:dyDescent="0.35">
      <c r="AL2735" s="20"/>
    </row>
    <row r="2736" spans="38:38" x14ac:dyDescent="0.35">
      <c r="AL2736" s="20"/>
    </row>
    <row r="2737" spans="38:38" x14ac:dyDescent="0.35">
      <c r="AL2737" s="20"/>
    </row>
    <row r="2738" spans="38:38" x14ac:dyDescent="0.35">
      <c r="AL2738" s="20"/>
    </row>
    <row r="2739" spans="38:38" x14ac:dyDescent="0.35">
      <c r="AL2739" s="20"/>
    </row>
    <row r="2740" spans="38:38" x14ac:dyDescent="0.35">
      <c r="AL2740" s="20"/>
    </row>
    <row r="2741" spans="38:38" x14ac:dyDescent="0.35">
      <c r="AL2741" s="20"/>
    </row>
    <row r="2742" spans="38:38" x14ac:dyDescent="0.35">
      <c r="AL2742" s="20"/>
    </row>
    <row r="2743" spans="38:38" x14ac:dyDescent="0.35">
      <c r="AL2743" s="20"/>
    </row>
    <row r="2744" spans="38:38" x14ac:dyDescent="0.35">
      <c r="AL2744" s="20"/>
    </row>
    <row r="2745" spans="38:38" x14ac:dyDescent="0.35">
      <c r="AL2745" s="20"/>
    </row>
    <row r="2746" spans="38:38" x14ac:dyDescent="0.35">
      <c r="AL2746" s="20"/>
    </row>
    <row r="2747" spans="38:38" x14ac:dyDescent="0.35">
      <c r="AL2747" s="20"/>
    </row>
    <row r="2748" spans="38:38" x14ac:dyDescent="0.35">
      <c r="AL2748" s="20"/>
    </row>
    <row r="2749" spans="38:38" x14ac:dyDescent="0.35">
      <c r="AL2749" s="20"/>
    </row>
    <row r="2750" spans="38:38" x14ac:dyDescent="0.35">
      <c r="AL2750" s="20"/>
    </row>
    <row r="2751" spans="38:38" x14ac:dyDescent="0.35">
      <c r="AL2751" s="20"/>
    </row>
    <row r="2752" spans="38:38" x14ac:dyDescent="0.35">
      <c r="AL2752" s="20"/>
    </row>
    <row r="2753" spans="38:38" x14ac:dyDescent="0.35">
      <c r="AL2753" s="20"/>
    </row>
    <row r="2754" spans="38:38" x14ac:dyDescent="0.35">
      <c r="AL2754" s="20"/>
    </row>
    <row r="2755" spans="38:38" x14ac:dyDescent="0.35">
      <c r="AL2755" s="20"/>
    </row>
    <row r="2756" spans="38:38" x14ac:dyDescent="0.35">
      <c r="AL2756" s="20"/>
    </row>
    <row r="2757" spans="38:38" x14ac:dyDescent="0.35">
      <c r="AL2757" s="20"/>
    </row>
    <row r="2758" spans="38:38" x14ac:dyDescent="0.35">
      <c r="AL2758" s="20"/>
    </row>
    <row r="2759" spans="38:38" x14ac:dyDescent="0.35">
      <c r="AL2759" s="20"/>
    </row>
    <row r="2760" spans="38:38" x14ac:dyDescent="0.35">
      <c r="AL2760" s="20"/>
    </row>
    <row r="2761" spans="38:38" x14ac:dyDescent="0.35">
      <c r="AL2761" s="20"/>
    </row>
    <row r="2762" spans="38:38" x14ac:dyDescent="0.35">
      <c r="AL2762" s="20"/>
    </row>
    <row r="2763" spans="38:38" x14ac:dyDescent="0.35">
      <c r="AL2763" s="20"/>
    </row>
    <row r="2764" spans="38:38" x14ac:dyDescent="0.35">
      <c r="AL2764" s="20"/>
    </row>
    <row r="2765" spans="38:38" x14ac:dyDescent="0.35">
      <c r="AL2765" s="20"/>
    </row>
    <row r="2766" spans="38:38" x14ac:dyDescent="0.35">
      <c r="AL2766" s="20"/>
    </row>
    <row r="2767" spans="38:38" x14ac:dyDescent="0.35">
      <c r="AL2767" s="20"/>
    </row>
    <row r="2768" spans="38:38" x14ac:dyDescent="0.35">
      <c r="AL2768" s="20"/>
    </row>
    <row r="2769" spans="38:38" x14ac:dyDescent="0.35">
      <c r="AL2769" s="20"/>
    </row>
    <row r="2770" spans="38:38" x14ac:dyDescent="0.35">
      <c r="AL2770" s="20"/>
    </row>
    <row r="2771" spans="38:38" x14ac:dyDescent="0.35">
      <c r="AL2771" s="20"/>
    </row>
    <row r="2772" spans="38:38" x14ac:dyDescent="0.35">
      <c r="AL2772" s="20"/>
    </row>
    <row r="2773" spans="38:38" x14ac:dyDescent="0.35">
      <c r="AL2773" s="20"/>
    </row>
    <row r="2774" spans="38:38" x14ac:dyDescent="0.35">
      <c r="AL2774" s="20"/>
    </row>
    <row r="2775" spans="38:38" x14ac:dyDescent="0.35">
      <c r="AL2775" s="20"/>
    </row>
    <row r="2776" spans="38:38" x14ac:dyDescent="0.35">
      <c r="AL2776" s="20"/>
    </row>
    <row r="2777" spans="38:38" x14ac:dyDescent="0.35">
      <c r="AL2777" s="20"/>
    </row>
    <row r="2778" spans="38:38" x14ac:dyDescent="0.35">
      <c r="AL2778" s="20"/>
    </row>
    <row r="2779" spans="38:38" x14ac:dyDescent="0.35">
      <c r="AL2779" s="20"/>
    </row>
    <row r="2780" spans="38:38" x14ac:dyDescent="0.35">
      <c r="AL2780" s="20"/>
    </row>
    <row r="2781" spans="38:38" x14ac:dyDescent="0.35">
      <c r="AL2781" s="20"/>
    </row>
    <row r="2782" spans="38:38" x14ac:dyDescent="0.35">
      <c r="AL2782" s="20"/>
    </row>
    <row r="2783" spans="38:38" x14ac:dyDescent="0.35">
      <c r="AL2783" s="20"/>
    </row>
    <row r="2784" spans="38:38" x14ac:dyDescent="0.35">
      <c r="AL2784" s="20"/>
    </row>
    <row r="2785" spans="38:38" x14ac:dyDescent="0.35">
      <c r="AL2785" s="20"/>
    </row>
    <row r="2786" spans="38:38" x14ac:dyDescent="0.35">
      <c r="AL2786" s="20"/>
    </row>
    <row r="2787" spans="38:38" x14ac:dyDescent="0.35">
      <c r="AL2787" s="20"/>
    </row>
    <row r="2788" spans="38:38" x14ac:dyDescent="0.35">
      <c r="AL2788" s="20"/>
    </row>
    <row r="2789" spans="38:38" x14ac:dyDescent="0.35">
      <c r="AL2789" s="20"/>
    </row>
    <row r="2790" spans="38:38" x14ac:dyDescent="0.35">
      <c r="AL2790" s="20"/>
    </row>
    <row r="2791" spans="38:38" x14ac:dyDescent="0.35">
      <c r="AL2791" s="20"/>
    </row>
    <row r="2792" spans="38:38" x14ac:dyDescent="0.35">
      <c r="AL2792" s="20"/>
    </row>
    <row r="2793" spans="38:38" x14ac:dyDescent="0.35">
      <c r="AL2793" s="20"/>
    </row>
    <row r="2794" spans="38:38" x14ac:dyDescent="0.35">
      <c r="AL2794" s="20"/>
    </row>
    <row r="2795" spans="38:38" x14ac:dyDescent="0.35">
      <c r="AL2795" s="20"/>
    </row>
    <row r="2796" spans="38:38" x14ac:dyDescent="0.35">
      <c r="AL2796" s="20"/>
    </row>
    <row r="2797" spans="38:38" x14ac:dyDescent="0.35">
      <c r="AL2797" s="20"/>
    </row>
    <row r="2798" spans="38:38" x14ac:dyDescent="0.35">
      <c r="AL2798" s="20"/>
    </row>
    <row r="2799" spans="38:38" x14ac:dyDescent="0.35">
      <c r="AL2799" s="20"/>
    </row>
    <row r="2800" spans="38:38" x14ac:dyDescent="0.35">
      <c r="AL2800" s="20"/>
    </row>
    <row r="2801" spans="38:38" x14ac:dyDescent="0.35">
      <c r="AL2801" s="20"/>
    </row>
    <row r="2802" spans="38:38" x14ac:dyDescent="0.35">
      <c r="AL2802" s="20"/>
    </row>
    <row r="2803" spans="38:38" x14ac:dyDescent="0.35">
      <c r="AL2803" s="20"/>
    </row>
    <row r="2804" spans="38:38" x14ac:dyDescent="0.35">
      <c r="AL2804" s="20"/>
    </row>
    <row r="2805" spans="38:38" x14ac:dyDescent="0.35">
      <c r="AL2805" s="20"/>
    </row>
    <row r="2806" spans="38:38" x14ac:dyDescent="0.35">
      <c r="AL2806" s="20"/>
    </row>
    <row r="2807" spans="38:38" x14ac:dyDescent="0.35">
      <c r="AL2807" s="20"/>
    </row>
    <row r="2808" spans="38:38" x14ac:dyDescent="0.35">
      <c r="AL2808" s="20"/>
    </row>
    <row r="2809" spans="38:38" x14ac:dyDescent="0.35">
      <c r="AL2809" s="20"/>
    </row>
    <row r="2810" spans="38:38" x14ac:dyDescent="0.35">
      <c r="AL2810" s="20"/>
    </row>
    <row r="2811" spans="38:38" x14ac:dyDescent="0.35">
      <c r="AL2811" s="20"/>
    </row>
    <row r="2812" spans="38:38" x14ac:dyDescent="0.35">
      <c r="AL2812" s="20"/>
    </row>
    <row r="2813" spans="38:38" x14ac:dyDescent="0.35">
      <c r="AL2813" s="20"/>
    </row>
    <row r="2814" spans="38:38" x14ac:dyDescent="0.35">
      <c r="AL2814" s="20"/>
    </row>
    <row r="2815" spans="38:38" x14ac:dyDescent="0.35">
      <c r="AL2815" s="20"/>
    </row>
    <row r="2816" spans="38:38" x14ac:dyDescent="0.35">
      <c r="AL2816" s="20"/>
    </row>
    <row r="2817" spans="38:38" x14ac:dyDescent="0.35">
      <c r="AL2817" s="20"/>
    </row>
    <row r="2818" spans="38:38" x14ac:dyDescent="0.35">
      <c r="AL2818" s="20"/>
    </row>
    <row r="2819" spans="38:38" x14ac:dyDescent="0.35">
      <c r="AL2819" s="20"/>
    </row>
    <row r="2820" spans="38:38" x14ac:dyDescent="0.35">
      <c r="AL2820" s="20"/>
    </row>
    <row r="2821" spans="38:38" x14ac:dyDescent="0.35">
      <c r="AL2821" s="20"/>
    </row>
    <row r="2822" spans="38:38" x14ac:dyDescent="0.35">
      <c r="AL2822" s="20"/>
    </row>
    <row r="2823" spans="38:38" x14ac:dyDescent="0.35">
      <c r="AL2823" s="20"/>
    </row>
    <row r="2824" spans="38:38" x14ac:dyDescent="0.35">
      <c r="AL2824" s="20"/>
    </row>
    <row r="2825" spans="38:38" x14ac:dyDescent="0.35">
      <c r="AL2825" s="20"/>
    </row>
    <row r="2826" spans="38:38" x14ac:dyDescent="0.35">
      <c r="AL2826" s="20"/>
    </row>
    <row r="2827" spans="38:38" x14ac:dyDescent="0.35">
      <c r="AL2827" s="20"/>
    </row>
    <row r="2828" spans="38:38" x14ac:dyDescent="0.35">
      <c r="AL2828" s="20"/>
    </row>
    <row r="2829" spans="38:38" x14ac:dyDescent="0.35">
      <c r="AL2829" s="20"/>
    </row>
    <row r="2830" spans="38:38" x14ac:dyDescent="0.35">
      <c r="AL2830" s="20"/>
    </row>
    <row r="2831" spans="38:38" x14ac:dyDescent="0.35">
      <c r="AL2831" s="20"/>
    </row>
    <row r="2832" spans="38:38" x14ac:dyDescent="0.35">
      <c r="AL2832" s="20"/>
    </row>
    <row r="2833" spans="38:38" x14ac:dyDescent="0.35">
      <c r="AL2833" s="20"/>
    </row>
    <row r="2834" spans="38:38" x14ac:dyDescent="0.35">
      <c r="AL2834" s="20"/>
    </row>
    <row r="2835" spans="38:38" x14ac:dyDescent="0.35">
      <c r="AL2835" s="20"/>
    </row>
    <row r="2836" spans="38:38" x14ac:dyDescent="0.35">
      <c r="AL2836" s="20"/>
    </row>
    <row r="2837" spans="38:38" x14ac:dyDescent="0.35">
      <c r="AL2837" s="20"/>
    </row>
    <row r="2838" spans="38:38" x14ac:dyDescent="0.35">
      <c r="AL2838" s="20"/>
    </row>
    <row r="2839" spans="38:38" x14ac:dyDescent="0.35">
      <c r="AL2839" s="20"/>
    </row>
    <row r="2840" spans="38:38" x14ac:dyDescent="0.35">
      <c r="AL2840" s="20"/>
    </row>
    <row r="2841" spans="38:38" x14ac:dyDescent="0.35">
      <c r="AL2841" s="20"/>
    </row>
    <row r="2842" spans="38:38" x14ac:dyDescent="0.35">
      <c r="AL2842" s="20"/>
    </row>
    <row r="2843" spans="38:38" x14ac:dyDescent="0.35">
      <c r="AL2843" s="20"/>
    </row>
    <row r="2844" spans="38:38" x14ac:dyDescent="0.35">
      <c r="AL2844" s="20"/>
    </row>
    <row r="2845" spans="38:38" x14ac:dyDescent="0.35">
      <c r="AL2845" s="20"/>
    </row>
    <row r="2846" spans="38:38" x14ac:dyDescent="0.35">
      <c r="AL2846" s="20"/>
    </row>
    <row r="2847" spans="38:38" x14ac:dyDescent="0.35">
      <c r="AL2847" s="20"/>
    </row>
    <row r="2848" spans="38:38" x14ac:dyDescent="0.35">
      <c r="AL2848" s="20"/>
    </row>
    <row r="2849" spans="38:38" x14ac:dyDescent="0.35">
      <c r="AL2849" s="20"/>
    </row>
    <row r="2850" spans="38:38" x14ac:dyDescent="0.35">
      <c r="AL2850" s="20"/>
    </row>
    <row r="2851" spans="38:38" x14ac:dyDescent="0.35">
      <c r="AL2851" s="20"/>
    </row>
    <row r="2852" spans="38:38" x14ac:dyDescent="0.35">
      <c r="AL2852" s="20"/>
    </row>
    <row r="2853" spans="38:38" x14ac:dyDescent="0.35">
      <c r="AL2853" s="20"/>
    </row>
    <row r="2854" spans="38:38" x14ac:dyDescent="0.35">
      <c r="AL2854" s="20"/>
    </row>
    <row r="2855" spans="38:38" x14ac:dyDescent="0.35">
      <c r="AL2855" s="20"/>
    </row>
    <row r="2856" spans="38:38" x14ac:dyDescent="0.35">
      <c r="AL2856" s="20"/>
    </row>
    <row r="2857" spans="38:38" x14ac:dyDescent="0.35">
      <c r="AL2857" s="20"/>
    </row>
    <row r="2858" spans="38:38" x14ac:dyDescent="0.35">
      <c r="AL2858" s="20"/>
    </row>
    <row r="2859" spans="38:38" x14ac:dyDescent="0.35">
      <c r="AL2859" s="20"/>
    </row>
    <row r="2860" spans="38:38" x14ac:dyDescent="0.35">
      <c r="AL2860" s="20"/>
    </row>
    <row r="2861" spans="38:38" x14ac:dyDescent="0.35">
      <c r="AL2861" s="20"/>
    </row>
    <row r="2862" spans="38:38" x14ac:dyDescent="0.35">
      <c r="AL2862" s="20"/>
    </row>
    <row r="2863" spans="38:38" x14ac:dyDescent="0.35">
      <c r="AL2863" s="20"/>
    </row>
    <row r="2864" spans="38:38" x14ac:dyDescent="0.35">
      <c r="AL2864" s="20"/>
    </row>
    <row r="2865" spans="38:38" x14ac:dyDescent="0.35">
      <c r="AL2865" s="20"/>
    </row>
    <row r="2866" spans="38:38" x14ac:dyDescent="0.35">
      <c r="AL2866" s="20"/>
    </row>
    <row r="2867" spans="38:38" x14ac:dyDescent="0.35">
      <c r="AL2867" s="20"/>
    </row>
    <row r="2868" spans="38:38" x14ac:dyDescent="0.35">
      <c r="AL2868" s="20"/>
    </row>
    <row r="2869" spans="38:38" x14ac:dyDescent="0.35">
      <c r="AL2869" s="20"/>
    </row>
    <row r="2870" spans="38:38" x14ac:dyDescent="0.35">
      <c r="AL2870" s="20"/>
    </row>
    <row r="2871" spans="38:38" x14ac:dyDescent="0.35">
      <c r="AL2871" s="20"/>
    </row>
    <row r="2872" spans="38:38" x14ac:dyDescent="0.35">
      <c r="AL2872" s="20"/>
    </row>
    <row r="2873" spans="38:38" x14ac:dyDescent="0.35">
      <c r="AL2873" s="20"/>
    </row>
    <row r="2874" spans="38:38" x14ac:dyDescent="0.35">
      <c r="AL2874" s="20"/>
    </row>
    <row r="2875" spans="38:38" x14ac:dyDescent="0.35">
      <c r="AL2875" s="20"/>
    </row>
    <row r="2876" spans="38:38" x14ac:dyDescent="0.35">
      <c r="AL2876" s="20"/>
    </row>
    <row r="2877" spans="38:38" x14ac:dyDescent="0.35">
      <c r="AL2877" s="20"/>
    </row>
    <row r="2878" spans="38:38" x14ac:dyDescent="0.35">
      <c r="AL2878" s="20"/>
    </row>
    <row r="2879" spans="38:38" x14ac:dyDescent="0.35">
      <c r="AL2879" s="20"/>
    </row>
    <row r="2880" spans="38:38" x14ac:dyDescent="0.35">
      <c r="AL2880" s="20"/>
    </row>
    <row r="2881" spans="38:38" x14ac:dyDescent="0.35">
      <c r="AL2881" s="20"/>
    </row>
    <row r="2882" spans="38:38" x14ac:dyDescent="0.35">
      <c r="AL2882" s="20"/>
    </row>
    <row r="2883" spans="38:38" x14ac:dyDescent="0.35">
      <c r="AL2883" s="20"/>
    </row>
    <row r="2884" spans="38:38" x14ac:dyDescent="0.35">
      <c r="AL2884" s="20"/>
    </row>
    <row r="2885" spans="38:38" x14ac:dyDescent="0.35">
      <c r="AL2885" s="20"/>
    </row>
    <row r="2886" spans="38:38" x14ac:dyDescent="0.35">
      <c r="AL2886" s="20"/>
    </row>
    <row r="2887" spans="38:38" x14ac:dyDescent="0.35">
      <c r="AL2887" s="20"/>
    </row>
    <row r="2888" spans="38:38" x14ac:dyDescent="0.35">
      <c r="AL2888" s="20"/>
    </row>
    <row r="2889" spans="38:38" x14ac:dyDescent="0.35">
      <c r="AL2889" s="20"/>
    </row>
    <row r="2890" spans="38:38" x14ac:dyDescent="0.35">
      <c r="AL2890" s="20"/>
    </row>
    <row r="2891" spans="38:38" x14ac:dyDescent="0.35">
      <c r="AL2891" s="20"/>
    </row>
    <row r="2892" spans="38:38" x14ac:dyDescent="0.35">
      <c r="AL2892" s="20"/>
    </row>
    <row r="2893" spans="38:38" x14ac:dyDescent="0.35">
      <c r="AL2893" s="20"/>
    </row>
    <row r="2894" spans="38:38" x14ac:dyDescent="0.35">
      <c r="AL2894" s="20"/>
    </row>
    <row r="2895" spans="38:38" x14ac:dyDescent="0.35">
      <c r="AL2895" s="20"/>
    </row>
    <row r="2896" spans="38:38" x14ac:dyDescent="0.35">
      <c r="AL2896" s="20"/>
    </row>
    <row r="2897" spans="38:38" x14ac:dyDescent="0.35">
      <c r="AL2897" s="20"/>
    </row>
    <row r="2898" spans="38:38" x14ac:dyDescent="0.35">
      <c r="AL2898" s="20"/>
    </row>
    <row r="2899" spans="38:38" x14ac:dyDescent="0.35">
      <c r="AL2899" s="20"/>
    </row>
    <row r="2900" spans="38:38" x14ac:dyDescent="0.35">
      <c r="AL2900" s="20"/>
    </row>
    <row r="2901" spans="38:38" x14ac:dyDescent="0.35">
      <c r="AL2901" s="20"/>
    </row>
    <row r="2902" spans="38:38" x14ac:dyDescent="0.35">
      <c r="AL2902" s="20"/>
    </row>
    <row r="2903" spans="38:38" x14ac:dyDescent="0.35">
      <c r="AL2903" s="20"/>
    </row>
    <row r="2904" spans="38:38" x14ac:dyDescent="0.35">
      <c r="AL2904" s="20"/>
    </row>
    <row r="2905" spans="38:38" x14ac:dyDescent="0.35">
      <c r="AL2905" s="20"/>
    </row>
    <row r="2906" spans="38:38" x14ac:dyDescent="0.35">
      <c r="AL2906" s="20"/>
    </row>
    <row r="2907" spans="38:38" x14ac:dyDescent="0.35">
      <c r="AL2907" s="20"/>
    </row>
    <row r="2908" spans="38:38" x14ac:dyDescent="0.35">
      <c r="AL2908" s="20"/>
    </row>
    <row r="2909" spans="38:38" x14ac:dyDescent="0.35">
      <c r="AL2909" s="20"/>
    </row>
    <row r="2910" spans="38:38" x14ac:dyDescent="0.35">
      <c r="AL2910" s="20"/>
    </row>
    <row r="2911" spans="38:38" x14ac:dyDescent="0.35">
      <c r="AL2911" s="20"/>
    </row>
    <row r="2912" spans="38:38" x14ac:dyDescent="0.35">
      <c r="AL2912" s="20"/>
    </row>
    <row r="2913" spans="38:38" x14ac:dyDescent="0.35">
      <c r="AL2913" s="20"/>
    </row>
    <row r="2914" spans="38:38" x14ac:dyDescent="0.35">
      <c r="AL2914" s="20"/>
    </row>
    <row r="2915" spans="38:38" x14ac:dyDescent="0.35">
      <c r="AL2915" s="20"/>
    </row>
    <row r="2916" spans="38:38" x14ac:dyDescent="0.35">
      <c r="AL2916" s="20"/>
    </row>
    <row r="2917" spans="38:38" x14ac:dyDescent="0.35">
      <c r="AL2917" s="20"/>
    </row>
    <row r="2918" spans="38:38" x14ac:dyDescent="0.35">
      <c r="AL2918" s="20"/>
    </row>
    <row r="2919" spans="38:38" x14ac:dyDescent="0.35">
      <c r="AL2919" s="20"/>
    </row>
    <row r="2920" spans="38:38" x14ac:dyDescent="0.35">
      <c r="AL2920" s="20"/>
    </row>
    <row r="2921" spans="38:38" x14ac:dyDescent="0.35">
      <c r="AL2921" s="20"/>
    </row>
    <row r="2922" spans="38:38" x14ac:dyDescent="0.35">
      <c r="AL2922" s="20"/>
    </row>
    <row r="2923" spans="38:38" x14ac:dyDescent="0.35">
      <c r="AL2923" s="20"/>
    </row>
    <row r="2924" spans="38:38" x14ac:dyDescent="0.35">
      <c r="AL2924" s="20"/>
    </row>
    <row r="2925" spans="38:38" x14ac:dyDescent="0.35">
      <c r="AL2925" s="20"/>
    </row>
    <row r="2926" spans="38:38" x14ac:dyDescent="0.35">
      <c r="AL2926" s="20"/>
    </row>
    <row r="2927" spans="38:38" x14ac:dyDescent="0.35">
      <c r="AL2927" s="20"/>
    </row>
    <row r="2928" spans="38:38" x14ac:dyDescent="0.35">
      <c r="AL2928" s="20"/>
    </row>
    <row r="2929" spans="38:38" x14ac:dyDescent="0.35">
      <c r="AL2929" s="20"/>
    </row>
    <row r="2930" spans="38:38" x14ac:dyDescent="0.35">
      <c r="AL2930" s="20"/>
    </row>
    <row r="2931" spans="38:38" x14ac:dyDescent="0.35">
      <c r="AL2931" s="20"/>
    </row>
    <row r="2932" spans="38:38" x14ac:dyDescent="0.35">
      <c r="AL2932" s="20"/>
    </row>
    <row r="2933" spans="38:38" x14ac:dyDescent="0.35">
      <c r="AL2933" s="20"/>
    </row>
    <row r="2934" spans="38:38" x14ac:dyDescent="0.35">
      <c r="AL2934" s="20"/>
    </row>
    <row r="2935" spans="38:38" x14ac:dyDescent="0.35">
      <c r="AL2935" s="20"/>
    </row>
    <row r="2936" spans="38:38" x14ac:dyDescent="0.35">
      <c r="AL2936" s="20"/>
    </row>
    <row r="2937" spans="38:38" x14ac:dyDescent="0.35">
      <c r="AL2937" s="20"/>
    </row>
    <row r="2938" spans="38:38" x14ac:dyDescent="0.35">
      <c r="AL2938" s="20"/>
    </row>
    <row r="2939" spans="38:38" x14ac:dyDescent="0.35">
      <c r="AL2939" s="20"/>
    </row>
    <row r="2940" spans="38:38" x14ac:dyDescent="0.35">
      <c r="AL2940" s="20"/>
    </row>
    <row r="2941" spans="38:38" x14ac:dyDescent="0.35">
      <c r="AL2941" s="20"/>
    </row>
    <row r="2942" spans="38:38" x14ac:dyDescent="0.35">
      <c r="AL2942" s="20"/>
    </row>
    <row r="2943" spans="38:38" x14ac:dyDescent="0.35">
      <c r="AL2943" s="20"/>
    </row>
    <row r="2944" spans="38:38" x14ac:dyDescent="0.35">
      <c r="AL2944" s="20"/>
    </row>
    <row r="2945" spans="38:38" x14ac:dyDescent="0.35">
      <c r="AL2945" s="20"/>
    </row>
    <row r="2946" spans="38:38" x14ac:dyDescent="0.35">
      <c r="AL2946" s="20"/>
    </row>
    <row r="2947" spans="38:38" x14ac:dyDescent="0.35">
      <c r="AL2947" s="20"/>
    </row>
    <row r="2948" spans="38:38" x14ac:dyDescent="0.35">
      <c r="AL2948" s="20"/>
    </row>
    <row r="2949" spans="38:38" x14ac:dyDescent="0.35">
      <c r="AL2949" s="20"/>
    </row>
    <row r="2950" spans="38:38" x14ac:dyDescent="0.35">
      <c r="AL2950" s="20"/>
    </row>
    <row r="2951" spans="38:38" x14ac:dyDescent="0.35">
      <c r="AL2951" s="20"/>
    </row>
    <row r="2952" spans="38:38" x14ac:dyDescent="0.35">
      <c r="AL2952" s="20"/>
    </row>
    <row r="2953" spans="38:38" x14ac:dyDescent="0.35">
      <c r="AL2953" s="20"/>
    </row>
    <row r="2954" spans="38:38" x14ac:dyDescent="0.35">
      <c r="AL2954" s="20"/>
    </row>
    <row r="2955" spans="38:38" x14ac:dyDescent="0.35">
      <c r="AL2955" s="20"/>
    </row>
    <row r="2956" spans="38:38" x14ac:dyDescent="0.35">
      <c r="AL2956" s="20"/>
    </row>
    <row r="2957" spans="38:38" x14ac:dyDescent="0.35">
      <c r="AL2957" s="20"/>
    </row>
    <row r="2958" spans="38:38" x14ac:dyDescent="0.35">
      <c r="AL2958" s="20"/>
    </row>
    <row r="2959" spans="38:38" x14ac:dyDescent="0.35">
      <c r="AL2959" s="20"/>
    </row>
    <row r="2960" spans="38:38" x14ac:dyDescent="0.35">
      <c r="AL2960" s="20"/>
    </row>
    <row r="2961" spans="38:38" x14ac:dyDescent="0.35">
      <c r="AL2961" s="20"/>
    </row>
    <row r="2962" spans="38:38" x14ac:dyDescent="0.35">
      <c r="AL2962" s="20"/>
    </row>
    <row r="2963" spans="38:38" x14ac:dyDescent="0.35">
      <c r="AL2963" s="20"/>
    </row>
    <row r="2964" spans="38:38" x14ac:dyDescent="0.35">
      <c r="AL2964" s="20"/>
    </row>
    <row r="2965" spans="38:38" x14ac:dyDescent="0.35">
      <c r="AL2965" s="20"/>
    </row>
    <row r="2966" spans="38:38" x14ac:dyDescent="0.35">
      <c r="AL2966" s="20"/>
    </row>
    <row r="2967" spans="38:38" x14ac:dyDescent="0.35">
      <c r="AL2967" s="20"/>
    </row>
    <row r="2968" spans="38:38" x14ac:dyDescent="0.35">
      <c r="AL2968" s="20"/>
    </row>
    <row r="2969" spans="38:38" x14ac:dyDescent="0.35">
      <c r="AL2969" s="20"/>
    </row>
    <row r="2970" spans="38:38" x14ac:dyDescent="0.35">
      <c r="AL2970" s="20"/>
    </row>
    <row r="2971" spans="38:38" x14ac:dyDescent="0.35">
      <c r="AL2971" s="20"/>
    </row>
    <row r="2972" spans="38:38" x14ac:dyDescent="0.35">
      <c r="AL2972" s="20"/>
    </row>
    <row r="2973" spans="38:38" x14ac:dyDescent="0.35">
      <c r="AL2973" s="20"/>
    </row>
    <row r="2974" spans="38:38" x14ac:dyDescent="0.35">
      <c r="AL2974" s="20"/>
    </row>
    <row r="2975" spans="38:38" x14ac:dyDescent="0.35">
      <c r="AL2975" s="20"/>
    </row>
    <row r="2976" spans="38:38" x14ac:dyDescent="0.35">
      <c r="AL2976" s="20"/>
    </row>
    <row r="2977" spans="38:38" x14ac:dyDescent="0.35">
      <c r="AL2977" s="20"/>
    </row>
    <row r="2978" spans="38:38" x14ac:dyDescent="0.35">
      <c r="AL2978" s="20"/>
    </row>
    <row r="2979" spans="38:38" x14ac:dyDescent="0.35">
      <c r="AL2979" s="20"/>
    </row>
    <row r="2980" spans="38:38" x14ac:dyDescent="0.35">
      <c r="AL2980" s="20"/>
    </row>
    <row r="2981" spans="38:38" x14ac:dyDescent="0.35">
      <c r="AL2981" s="20"/>
    </row>
    <row r="2982" spans="38:38" x14ac:dyDescent="0.35">
      <c r="AL2982" s="20"/>
    </row>
    <row r="2983" spans="38:38" x14ac:dyDescent="0.35">
      <c r="AL2983" s="20"/>
    </row>
    <row r="2984" spans="38:38" x14ac:dyDescent="0.35">
      <c r="AL2984" s="20"/>
    </row>
    <row r="2985" spans="38:38" x14ac:dyDescent="0.35">
      <c r="AL2985" s="20"/>
    </row>
    <row r="2986" spans="38:38" x14ac:dyDescent="0.35">
      <c r="AL2986" s="20"/>
    </row>
    <row r="2987" spans="38:38" x14ac:dyDescent="0.35">
      <c r="AL2987" s="20"/>
    </row>
    <row r="2988" spans="38:38" x14ac:dyDescent="0.35">
      <c r="AL2988" s="20"/>
    </row>
    <row r="2989" spans="38:38" x14ac:dyDescent="0.35">
      <c r="AL2989" s="20"/>
    </row>
    <row r="2990" spans="38:38" x14ac:dyDescent="0.35">
      <c r="AL2990" s="20"/>
    </row>
    <row r="2991" spans="38:38" x14ac:dyDescent="0.35">
      <c r="AL2991" s="20"/>
    </row>
    <row r="2992" spans="38:38" x14ac:dyDescent="0.35">
      <c r="AL2992" s="20"/>
    </row>
    <row r="2993" spans="38:38" x14ac:dyDescent="0.35">
      <c r="AL2993" s="20"/>
    </row>
    <row r="2994" spans="38:38" x14ac:dyDescent="0.35">
      <c r="AL2994" s="20"/>
    </row>
    <row r="2995" spans="38:38" x14ac:dyDescent="0.35">
      <c r="AL2995" s="20"/>
    </row>
    <row r="2996" spans="38:38" x14ac:dyDescent="0.35">
      <c r="AL2996" s="20"/>
    </row>
    <row r="2997" spans="38:38" x14ac:dyDescent="0.35">
      <c r="AL2997" s="20"/>
    </row>
    <row r="2998" spans="38:38" x14ac:dyDescent="0.35">
      <c r="AL2998" s="20"/>
    </row>
    <row r="2999" spans="38:38" x14ac:dyDescent="0.35">
      <c r="AL2999" s="20"/>
    </row>
    <row r="3000" spans="38:38" x14ac:dyDescent="0.35">
      <c r="AL3000" s="20"/>
    </row>
    <row r="3001" spans="38:38" x14ac:dyDescent="0.35">
      <c r="AL3001" s="20"/>
    </row>
    <row r="3002" spans="38:38" x14ac:dyDescent="0.35">
      <c r="AL3002" s="20"/>
    </row>
    <row r="3003" spans="38:38" x14ac:dyDescent="0.35">
      <c r="AL3003" s="20"/>
    </row>
    <row r="3004" spans="38:38" x14ac:dyDescent="0.35">
      <c r="AL3004" s="20"/>
    </row>
    <row r="3005" spans="38:38" x14ac:dyDescent="0.35">
      <c r="AL3005" s="20"/>
    </row>
    <row r="3006" spans="38:38" x14ac:dyDescent="0.35">
      <c r="AL3006" s="20"/>
    </row>
    <row r="3007" spans="38:38" x14ac:dyDescent="0.35">
      <c r="AL3007" s="20"/>
    </row>
    <row r="3008" spans="38:38" x14ac:dyDescent="0.35">
      <c r="AL3008" s="20"/>
    </row>
    <row r="3009" spans="38:38" x14ac:dyDescent="0.35">
      <c r="AL3009" s="20"/>
    </row>
    <row r="3010" spans="38:38" x14ac:dyDescent="0.35">
      <c r="AL3010" s="20"/>
    </row>
    <row r="3011" spans="38:38" x14ac:dyDescent="0.35">
      <c r="AL3011" s="20"/>
    </row>
    <row r="3012" spans="38:38" x14ac:dyDescent="0.35">
      <c r="AL3012" s="20"/>
    </row>
    <row r="3013" spans="38:38" x14ac:dyDescent="0.35">
      <c r="AL3013" s="20"/>
    </row>
    <row r="3014" spans="38:38" x14ac:dyDescent="0.35">
      <c r="AL3014" s="20"/>
    </row>
    <row r="3015" spans="38:38" x14ac:dyDescent="0.35">
      <c r="AL3015" s="20"/>
    </row>
    <row r="3016" spans="38:38" x14ac:dyDescent="0.35">
      <c r="AL3016" s="20"/>
    </row>
    <row r="3017" spans="38:38" x14ac:dyDescent="0.35">
      <c r="AL3017" s="20"/>
    </row>
    <row r="3018" spans="38:38" x14ac:dyDescent="0.35">
      <c r="AL3018" s="20"/>
    </row>
    <row r="3019" spans="38:38" x14ac:dyDescent="0.35">
      <c r="AL3019" s="20"/>
    </row>
    <row r="3020" spans="38:38" x14ac:dyDescent="0.35">
      <c r="AL3020" s="20"/>
    </row>
    <row r="3021" spans="38:38" x14ac:dyDescent="0.35">
      <c r="AL3021" s="20"/>
    </row>
    <row r="3022" spans="38:38" x14ac:dyDescent="0.35">
      <c r="AL3022" s="20"/>
    </row>
    <row r="3023" spans="38:38" x14ac:dyDescent="0.35">
      <c r="AL3023" s="20"/>
    </row>
    <row r="3024" spans="38:38" x14ac:dyDescent="0.35">
      <c r="AL3024" s="20"/>
    </row>
    <row r="3025" spans="38:38" x14ac:dyDescent="0.35">
      <c r="AL3025" s="20"/>
    </row>
    <row r="3026" spans="38:38" x14ac:dyDescent="0.35">
      <c r="AL3026" s="20"/>
    </row>
    <row r="3027" spans="38:38" x14ac:dyDescent="0.35">
      <c r="AL3027" s="20"/>
    </row>
    <row r="3028" spans="38:38" x14ac:dyDescent="0.35">
      <c r="AL3028" s="20"/>
    </row>
    <row r="3029" spans="38:38" x14ac:dyDescent="0.35">
      <c r="AL3029" s="20"/>
    </row>
    <row r="3030" spans="38:38" x14ac:dyDescent="0.35">
      <c r="AL3030" s="20"/>
    </row>
    <row r="3031" spans="38:38" x14ac:dyDescent="0.35">
      <c r="AL3031" s="20"/>
    </row>
    <row r="3032" spans="38:38" x14ac:dyDescent="0.35">
      <c r="AL3032" s="20"/>
    </row>
    <row r="3033" spans="38:38" x14ac:dyDescent="0.35">
      <c r="AL3033" s="20"/>
    </row>
    <row r="3034" spans="38:38" x14ac:dyDescent="0.35">
      <c r="AL3034" s="20"/>
    </row>
    <row r="3035" spans="38:38" x14ac:dyDescent="0.35">
      <c r="AL3035" s="20"/>
    </row>
    <row r="3036" spans="38:38" x14ac:dyDescent="0.35">
      <c r="AL3036" s="20"/>
    </row>
    <row r="3037" spans="38:38" x14ac:dyDescent="0.35">
      <c r="AL3037" s="20"/>
    </row>
    <row r="3038" spans="38:38" x14ac:dyDescent="0.35">
      <c r="AL3038" s="20"/>
    </row>
    <row r="3039" spans="38:38" x14ac:dyDescent="0.35">
      <c r="AL3039" s="20"/>
    </row>
    <row r="3040" spans="38:38" x14ac:dyDescent="0.35">
      <c r="AL3040" s="20"/>
    </row>
    <row r="3041" spans="38:38" x14ac:dyDescent="0.35">
      <c r="AL3041" s="20"/>
    </row>
    <row r="3042" spans="38:38" x14ac:dyDescent="0.35">
      <c r="AL3042" s="20"/>
    </row>
    <row r="3043" spans="38:38" x14ac:dyDescent="0.35">
      <c r="AL3043" s="20"/>
    </row>
    <row r="3044" spans="38:38" x14ac:dyDescent="0.35">
      <c r="AL3044" s="20"/>
    </row>
    <row r="3045" spans="38:38" x14ac:dyDescent="0.35">
      <c r="AL3045" s="20"/>
    </row>
    <row r="3046" spans="38:38" x14ac:dyDescent="0.35">
      <c r="AL3046" s="20"/>
    </row>
    <row r="3047" spans="38:38" x14ac:dyDescent="0.35">
      <c r="AL3047" s="20"/>
    </row>
    <row r="3048" spans="38:38" x14ac:dyDescent="0.35">
      <c r="AL3048" s="20"/>
    </row>
    <row r="3049" spans="38:38" x14ac:dyDescent="0.35">
      <c r="AL3049" s="20"/>
    </row>
    <row r="3050" spans="38:38" x14ac:dyDescent="0.35">
      <c r="AL3050" s="20"/>
    </row>
    <row r="3051" spans="38:38" x14ac:dyDescent="0.35">
      <c r="AL3051" s="20"/>
    </row>
    <row r="3052" spans="38:38" x14ac:dyDescent="0.35">
      <c r="AL3052" s="20"/>
    </row>
    <row r="3053" spans="38:38" x14ac:dyDescent="0.35">
      <c r="AL3053" s="20"/>
    </row>
    <row r="3054" spans="38:38" x14ac:dyDescent="0.35">
      <c r="AL3054" s="20"/>
    </row>
    <row r="3055" spans="38:38" x14ac:dyDescent="0.35">
      <c r="AL3055" s="20"/>
    </row>
    <row r="3056" spans="38:38" x14ac:dyDescent="0.35">
      <c r="AL3056" s="20"/>
    </row>
    <row r="3057" spans="38:38" x14ac:dyDescent="0.35">
      <c r="AL3057" s="20"/>
    </row>
    <row r="3058" spans="38:38" x14ac:dyDescent="0.35">
      <c r="AL3058" s="20"/>
    </row>
    <row r="3059" spans="38:38" x14ac:dyDescent="0.35">
      <c r="AL3059" s="20"/>
    </row>
    <row r="3060" spans="38:38" x14ac:dyDescent="0.35">
      <c r="AL3060" s="20"/>
    </row>
    <row r="3061" spans="38:38" x14ac:dyDescent="0.35">
      <c r="AL3061" s="20"/>
    </row>
    <row r="3062" spans="38:38" x14ac:dyDescent="0.35">
      <c r="AL3062" s="20"/>
    </row>
    <row r="3063" spans="38:38" x14ac:dyDescent="0.35">
      <c r="AL3063" s="20"/>
    </row>
    <row r="3064" spans="38:38" x14ac:dyDescent="0.35">
      <c r="AL3064" s="20"/>
    </row>
    <row r="3065" spans="38:38" x14ac:dyDescent="0.35">
      <c r="AL3065" s="20"/>
    </row>
    <row r="3066" spans="38:38" x14ac:dyDescent="0.35">
      <c r="AL3066" s="20"/>
    </row>
    <row r="3067" spans="38:38" x14ac:dyDescent="0.35">
      <c r="AL3067" s="20"/>
    </row>
    <row r="3068" spans="38:38" x14ac:dyDescent="0.35">
      <c r="AL3068" s="20"/>
    </row>
    <row r="3069" spans="38:38" x14ac:dyDescent="0.35">
      <c r="AL3069" s="20"/>
    </row>
    <row r="3070" spans="38:38" x14ac:dyDescent="0.35">
      <c r="AL3070" s="20"/>
    </row>
    <row r="3071" spans="38:38" x14ac:dyDescent="0.35">
      <c r="AL3071" s="20"/>
    </row>
    <row r="3072" spans="38:38" x14ac:dyDescent="0.35">
      <c r="AL3072" s="20"/>
    </row>
    <row r="3073" spans="38:38" x14ac:dyDescent="0.35">
      <c r="AL3073" s="20"/>
    </row>
    <row r="3074" spans="38:38" x14ac:dyDescent="0.35">
      <c r="AL3074" s="20"/>
    </row>
    <row r="3075" spans="38:38" x14ac:dyDescent="0.35">
      <c r="AL3075" s="20"/>
    </row>
    <row r="3076" spans="38:38" x14ac:dyDescent="0.35">
      <c r="AL3076" s="20"/>
    </row>
    <row r="3077" spans="38:38" x14ac:dyDescent="0.35">
      <c r="AL3077" s="20"/>
    </row>
    <row r="3078" spans="38:38" x14ac:dyDescent="0.35">
      <c r="AL3078" s="20"/>
    </row>
    <row r="3079" spans="38:38" x14ac:dyDescent="0.35">
      <c r="AL3079" s="20"/>
    </row>
    <row r="3080" spans="38:38" x14ac:dyDescent="0.35">
      <c r="AL3080" s="20"/>
    </row>
    <row r="3081" spans="38:38" x14ac:dyDescent="0.35">
      <c r="AL3081" s="20"/>
    </row>
    <row r="3082" spans="38:38" x14ac:dyDescent="0.35">
      <c r="AL3082" s="20"/>
    </row>
    <row r="3083" spans="38:38" x14ac:dyDescent="0.35">
      <c r="AL3083" s="20"/>
    </row>
    <row r="3084" spans="38:38" x14ac:dyDescent="0.35">
      <c r="AL3084" s="20"/>
    </row>
    <row r="3085" spans="38:38" x14ac:dyDescent="0.35">
      <c r="AL3085" s="20"/>
    </row>
    <row r="3086" spans="38:38" x14ac:dyDescent="0.35">
      <c r="AL3086" s="20"/>
    </row>
    <row r="3087" spans="38:38" x14ac:dyDescent="0.35">
      <c r="AL3087" s="20"/>
    </row>
    <row r="3088" spans="38:38" x14ac:dyDescent="0.35">
      <c r="AL3088" s="20"/>
    </row>
    <row r="3089" spans="38:38" x14ac:dyDescent="0.35">
      <c r="AL3089" s="20"/>
    </row>
    <row r="3090" spans="38:38" x14ac:dyDescent="0.35">
      <c r="AL3090" s="20"/>
    </row>
    <row r="3091" spans="38:38" x14ac:dyDescent="0.35">
      <c r="AL3091" s="20"/>
    </row>
    <row r="3092" spans="38:38" x14ac:dyDescent="0.35">
      <c r="AL3092" s="20"/>
    </row>
    <row r="3093" spans="38:38" x14ac:dyDescent="0.35">
      <c r="AL3093" s="20"/>
    </row>
    <row r="3094" spans="38:38" x14ac:dyDescent="0.35">
      <c r="AL3094" s="20"/>
    </row>
    <row r="3095" spans="38:38" x14ac:dyDescent="0.35">
      <c r="AL3095" s="20"/>
    </row>
    <row r="3096" spans="38:38" x14ac:dyDescent="0.35">
      <c r="AL3096" s="20"/>
    </row>
    <row r="3097" spans="38:38" x14ac:dyDescent="0.35">
      <c r="AL3097" s="20"/>
    </row>
    <row r="3098" spans="38:38" x14ac:dyDescent="0.35">
      <c r="AL3098" s="20"/>
    </row>
    <row r="3099" spans="38:38" x14ac:dyDescent="0.35">
      <c r="AL3099" s="20"/>
    </row>
    <row r="3100" spans="38:38" x14ac:dyDescent="0.35">
      <c r="AL3100" s="20"/>
    </row>
    <row r="3101" spans="38:38" x14ac:dyDescent="0.35">
      <c r="AL3101" s="20"/>
    </row>
    <row r="3102" spans="38:38" x14ac:dyDescent="0.35">
      <c r="AL3102" s="20"/>
    </row>
    <row r="3103" spans="38:38" x14ac:dyDescent="0.35">
      <c r="AL3103" s="20"/>
    </row>
    <row r="3104" spans="38:38" x14ac:dyDescent="0.35">
      <c r="AL3104" s="20"/>
    </row>
    <row r="3105" spans="38:38" x14ac:dyDescent="0.35">
      <c r="AL3105" s="20"/>
    </row>
    <row r="3106" spans="38:38" x14ac:dyDescent="0.35">
      <c r="AL3106" s="20"/>
    </row>
    <row r="3107" spans="38:38" x14ac:dyDescent="0.35">
      <c r="AL3107" s="20"/>
    </row>
    <row r="3108" spans="38:38" x14ac:dyDescent="0.35">
      <c r="AL3108" s="20"/>
    </row>
    <row r="3109" spans="38:38" x14ac:dyDescent="0.35">
      <c r="AL3109" s="20"/>
    </row>
    <row r="3110" spans="38:38" x14ac:dyDescent="0.35">
      <c r="AL3110" s="20"/>
    </row>
    <row r="3111" spans="38:38" x14ac:dyDescent="0.35">
      <c r="AL3111" s="20"/>
    </row>
    <row r="3112" spans="38:38" x14ac:dyDescent="0.35">
      <c r="AL3112" s="20"/>
    </row>
    <row r="3113" spans="38:38" x14ac:dyDescent="0.35">
      <c r="AL3113" s="20"/>
    </row>
    <row r="3114" spans="38:38" x14ac:dyDescent="0.35">
      <c r="AL3114" s="20"/>
    </row>
    <row r="3115" spans="38:38" x14ac:dyDescent="0.35">
      <c r="AL3115" s="20"/>
    </row>
    <row r="3116" spans="38:38" x14ac:dyDescent="0.35">
      <c r="AL3116" s="20"/>
    </row>
    <row r="3117" spans="38:38" x14ac:dyDescent="0.35">
      <c r="AL3117" s="20"/>
    </row>
    <row r="3118" spans="38:38" x14ac:dyDescent="0.35">
      <c r="AL3118" s="20"/>
    </row>
    <row r="3119" spans="38:38" x14ac:dyDescent="0.35">
      <c r="AL3119" s="20"/>
    </row>
    <row r="3120" spans="38:38" x14ac:dyDescent="0.35">
      <c r="AL3120" s="20"/>
    </row>
    <row r="3121" spans="38:38" x14ac:dyDescent="0.35">
      <c r="AL3121" s="20"/>
    </row>
    <row r="3122" spans="38:38" x14ac:dyDescent="0.35">
      <c r="AL3122" s="20"/>
    </row>
    <row r="3123" spans="38:38" x14ac:dyDescent="0.35">
      <c r="AL3123" s="20"/>
    </row>
    <row r="3124" spans="38:38" x14ac:dyDescent="0.35">
      <c r="AL3124" s="20"/>
    </row>
    <row r="3125" spans="38:38" x14ac:dyDescent="0.35">
      <c r="AL3125" s="20"/>
    </row>
    <row r="3126" spans="38:38" x14ac:dyDescent="0.35">
      <c r="AL3126" s="20"/>
    </row>
    <row r="3127" spans="38:38" x14ac:dyDescent="0.35">
      <c r="AL3127" s="20"/>
    </row>
    <row r="3128" spans="38:38" x14ac:dyDescent="0.35">
      <c r="AL3128" s="20"/>
    </row>
    <row r="3129" spans="38:38" x14ac:dyDescent="0.35">
      <c r="AL3129" s="20"/>
    </row>
    <row r="3130" spans="38:38" x14ac:dyDescent="0.35">
      <c r="AL3130" s="20"/>
    </row>
    <row r="3131" spans="38:38" x14ac:dyDescent="0.35">
      <c r="AL3131" s="20"/>
    </row>
    <row r="3132" spans="38:38" x14ac:dyDescent="0.35">
      <c r="AL3132" s="20"/>
    </row>
    <row r="3133" spans="38:38" x14ac:dyDescent="0.35">
      <c r="AL3133" s="20"/>
    </row>
    <row r="3134" spans="38:38" x14ac:dyDescent="0.35">
      <c r="AL3134" s="20"/>
    </row>
    <row r="3135" spans="38:38" x14ac:dyDescent="0.35">
      <c r="AL3135" s="20"/>
    </row>
    <row r="3136" spans="38:38" x14ac:dyDescent="0.35">
      <c r="AL3136" s="20"/>
    </row>
    <row r="3137" spans="38:38" x14ac:dyDescent="0.35">
      <c r="AL3137" s="20"/>
    </row>
    <row r="3138" spans="38:38" x14ac:dyDescent="0.35">
      <c r="AL3138" s="20"/>
    </row>
    <row r="3139" spans="38:38" x14ac:dyDescent="0.35">
      <c r="AL3139" s="20"/>
    </row>
    <row r="3140" spans="38:38" x14ac:dyDescent="0.35">
      <c r="AL3140" s="20"/>
    </row>
    <row r="3141" spans="38:38" x14ac:dyDescent="0.35">
      <c r="AL3141" s="20"/>
    </row>
    <row r="3142" spans="38:38" x14ac:dyDescent="0.35">
      <c r="AL3142" s="20"/>
    </row>
    <row r="3143" spans="38:38" x14ac:dyDescent="0.35">
      <c r="AL3143" s="20"/>
    </row>
    <row r="3144" spans="38:38" x14ac:dyDescent="0.35">
      <c r="AL3144" s="20"/>
    </row>
    <row r="3145" spans="38:38" x14ac:dyDescent="0.35">
      <c r="AL3145" s="20"/>
    </row>
    <row r="3146" spans="38:38" x14ac:dyDescent="0.35">
      <c r="AL3146" s="20"/>
    </row>
    <row r="3147" spans="38:38" x14ac:dyDescent="0.35">
      <c r="AL3147" s="20"/>
    </row>
    <row r="3148" spans="38:38" x14ac:dyDescent="0.35">
      <c r="AL3148" s="20"/>
    </row>
    <row r="3149" spans="38:38" x14ac:dyDescent="0.35">
      <c r="AL3149" s="20"/>
    </row>
    <row r="3150" spans="38:38" x14ac:dyDescent="0.35">
      <c r="AL3150" s="20"/>
    </row>
    <row r="3151" spans="38:38" x14ac:dyDescent="0.35">
      <c r="AL3151" s="20"/>
    </row>
    <row r="3152" spans="38:38" x14ac:dyDescent="0.35">
      <c r="AL3152" s="20"/>
    </row>
    <row r="3153" spans="38:38" x14ac:dyDescent="0.35">
      <c r="AL3153" s="20"/>
    </row>
    <row r="3154" spans="38:38" x14ac:dyDescent="0.35">
      <c r="AL3154" s="20"/>
    </row>
    <row r="3155" spans="38:38" x14ac:dyDescent="0.35">
      <c r="AL3155" s="20"/>
    </row>
    <row r="3156" spans="38:38" x14ac:dyDescent="0.35">
      <c r="AL3156" s="20"/>
    </row>
    <row r="3157" spans="38:38" x14ac:dyDescent="0.35">
      <c r="AL3157" s="20"/>
    </row>
    <row r="3158" spans="38:38" x14ac:dyDescent="0.35">
      <c r="AL3158" s="20"/>
    </row>
    <row r="3159" spans="38:38" x14ac:dyDescent="0.35">
      <c r="AL3159" s="20"/>
    </row>
    <row r="3160" spans="38:38" x14ac:dyDescent="0.35">
      <c r="AL3160" s="20"/>
    </row>
    <row r="3161" spans="38:38" x14ac:dyDescent="0.35">
      <c r="AL3161" s="20"/>
    </row>
    <row r="3162" spans="38:38" x14ac:dyDescent="0.35">
      <c r="AL3162" s="20"/>
    </row>
    <row r="3163" spans="38:38" x14ac:dyDescent="0.35">
      <c r="AL3163" s="20"/>
    </row>
    <row r="3164" spans="38:38" x14ac:dyDescent="0.35">
      <c r="AL3164" s="20"/>
    </row>
    <row r="3165" spans="38:38" x14ac:dyDescent="0.35">
      <c r="AL3165" s="20"/>
    </row>
    <row r="3166" spans="38:38" x14ac:dyDescent="0.35">
      <c r="AL3166" s="20"/>
    </row>
    <row r="3167" spans="38:38" x14ac:dyDescent="0.35">
      <c r="AL3167" s="20"/>
    </row>
    <row r="3168" spans="38:38" x14ac:dyDescent="0.35">
      <c r="AL3168" s="20"/>
    </row>
    <row r="3169" spans="38:38" x14ac:dyDescent="0.35">
      <c r="AL3169" s="20"/>
    </row>
    <row r="3170" spans="38:38" x14ac:dyDescent="0.35">
      <c r="AL3170" s="20"/>
    </row>
    <row r="3171" spans="38:38" x14ac:dyDescent="0.35">
      <c r="AL3171" s="20"/>
    </row>
    <row r="3172" spans="38:38" x14ac:dyDescent="0.35">
      <c r="AL3172" s="20"/>
    </row>
    <row r="3173" spans="38:38" x14ac:dyDescent="0.35">
      <c r="AL3173" s="20"/>
    </row>
    <row r="3174" spans="38:38" x14ac:dyDescent="0.35">
      <c r="AL3174" s="20"/>
    </row>
    <row r="3175" spans="38:38" x14ac:dyDescent="0.35">
      <c r="AL3175" s="20"/>
    </row>
    <row r="3176" spans="38:38" x14ac:dyDescent="0.35">
      <c r="AL3176" s="20"/>
    </row>
    <row r="3177" spans="38:38" x14ac:dyDescent="0.35">
      <c r="AL3177" s="20"/>
    </row>
    <row r="3178" spans="38:38" x14ac:dyDescent="0.35">
      <c r="AL3178" s="20"/>
    </row>
    <row r="3179" spans="38:38" x14ac:dyDescent="0.35">
      <c r="AL3179" s="20"/>
    </row>
    <row r="3180" spans="38:38" x14ac:dyDescent="0.35">
      <c r="AL3180" s="20"/>
    </row>
    <row r="3181" spans="38:38" x14ac:dyDescent="0.35">
      <c r="AL3181" s="20"/>
    </row>
    <row r="3182" spans="38:38" x14ac:dyDescent="0.35">
      <c r="AL3182" s="20"/>
    </row>
    <row r="3183" spans="38:38" x14ac:dyDescent="0.35">
      <c r="AL3183" s="20"/>
    </row>
    <row r="3184" spans="38:38" x14ac:dyDescent="0.35">
      <c r="AL3184" s="20"/>
    </row>
    <row r="3185" spans="38:38" x14ac:dyDescent="0.35">
      <c r="AL3185" s="20"/>
    </row>
    <row r="3186" spans="38:38" x14ac:dyDescent="0.35">
      <c r="AL3186" s="20"/>
    </row>
    <row r="3187" spans="38:38" x14ac:dyDescent="0.35">
      <c r="AL3187" s="20"/>
    </row>
    <row r="3188" spans="38:38" x14ac:dyDescent="0.35">
      <c r="AL3188" s="20"/>
    </row>
    <row r="3189" spans="38:38" x14ac:dyDescent="0.35">
      <c r="AL3189" s="20"/>
    </row>
    <row r="3190" spans="38:38" x14ac:dyDescent="0.35">
      <c r="AL3190" s="20"/>
    </row>
    <row r="3191" spans="38:38" x14ac:dyDescent="0.35">
      <c r="AL3191" s="20"/>
    </row>
    <row r="3192" spans="38:38" x14ac:dyDescent="0.35">
      <c r="AL3192" s="20"/>
    </row>
    <row r="3193" spans="38:38" x14ac:dyDescent="0.35">
      <c r="AL3193" s="20"/>
    </row>
    <row r="3194" spans="38:38" x14ac:dyDescent="0.35">
      <c r="AL3194" s="20"/>
    </row>
    <row r="3195" spans="38:38" x14ac:dyDescent="0.35">
      <c r="AL3195" s="20"/>
    </row>
    <row r="3196" spans="38:38" x14ac:dyDescent="0.35">
      <c r="AL3196" s="20"/>
    </row>
    <row r="3197" spans="38:38" x14ac:dyDescent="0.35">
      <c r="AL3197" s="20"/>
    </row>
    <row r="3198" spans="38:38" x14ac:dyDescent="0.35">
      <c r="AL3198" s="20"/>
    </row>
    <row r="3199" spans="38:38" x14ac:dyDescent="0.35">
      <c r="AL3199" s="20"/>
    </row>
    <row r="3200" spans="38:38" x14ac:dyDescent="0.35">
      <c r="AL3200" s="20"/>
    </row>
    <row r="3201" spans="38:38" x14ac:dyDescent="0.35">
      <c r="AL3201" s="20"/>
    </row>
    <row r="3202" spans="38:38" x14ac:dyDescent="0.35">
      <c r="AL3202" s="20"/>
    </row>
    <row r="3203" spans="38:38" x14ac:dyDescent="0.35">
      <c r="AL3203" s="20"/>
    </row>
    <row r="3204" spans="38:38" x14ac:dyDescent="0.35">
      <c r="AL3204" s="20"/>
    </row>
    <row r="3205" spans="38:38" x14ac:dyDescent="0.35">
      <c r="AL3205" s="20"/>
    </row>
    <row r="3206" spans="38:38" x14ac:dyDescent="0.35">
      <c r="AL3206" s="20"/>
    </row>
    <row r="3207" spans="38:38" x14ac:dyDescent="0.35">
      <c r="AL3207" s="20"/>
    </row>
    <row r="3208" spans="38:38" x14ac:dyDescent="0.35">
      <c r="AL3208" s="20"/>
    </row>
    <row r="3209" spans="38:38" x14ac:dyDescent="0.35">
      <c r="AL3209" s="20"/>
    </row>
    <row r="3210" spans="38:38" x14ac:dyDescent="0.35">
      <c r="AL3210" s="20"/>
    </row>
    <row r="3211" spans="38:38" x14ac:dyDescent="0.35">
      <c r="AL3211" s="20"/>
    </row>
    <row r="3212" spans="38:38" x14ac:dyDescent="0.35">
      <c r="AL3212" s="20"/>
    </row>
    <row r="3213" spans="38:38" x14ac:dyDescent="0.35">
      <c r="AL3213" s="20"/>
    </row>
    <row r="3214" spans="38:38" x14ac:dyDescent="0.35">
      <c r="AL3214" s="20"/>
    </row>
    <row r="3215" spans="38:38" x14ac:dyDescent="0.35">
      <c r="AL3215" s="20"/>
    </row>
    <row r="3216" spans="38:38" x14ac:dyDescent="0.35">
      <c r="AL3216" s="20"/>
    </row>
    <row r="3217" spans="38:38" x14ac:dyDescent="0.35">
      <c r="AL3217" s="20"/>
    </row>
    <row r="3218" spans="38:38" x14ac:dyDescent="0.35">
      <c r="AL3218" s="20"/>
    </row>
    <row r="3219" spans="38:38" x14ac:dyDescent="0.35">
      <c r="AL3219" s="20"/>
    </row>
    <row r="3220" spans="38:38" x14ac:dyDescent="0.35">
      <c r="AL3220" s="20"/>
    </row>
    <row r="3221" spans="38:38" x14ac:dyDescent="0.35">
      <c r="AL3221" s="20"/>
    </row>
    <row r="3222" spans="38:38" x14ac:dyDescent="0.35">
      <c r="AL3222" s="20"/>
    </row>
    <row r="3223" spans="38:38" x14ac:dyDescent="0.35">
      <c r="AL3223" s="20"/>
    </row>
    <row r="3224" spans="38:38" x14ac:dyDescent="0.35">
      <c r="AL3224" s="20"/>
    </row>
    <row r="3225" spans="38:38" x14ac:dyDescent="0.35">
      <c r="AL3225" s="20"/>
    </row>
    <row r="3226" spans="38:38" x14ac:dyDescent="0.35">
      <c r="AL3226" s="20"/>
    </row>
    <row r="3227" spans="38:38" x14ac:dyDescent="0.35">
      <c r="AL3227" s="20"/>
    </row>
    <row r="3228" spans="38:38" x14ac:dyDescent="0.35">
      <c r="AL3228" s="20"/>
    </row>
    <row r="3229" spans="38:38" x14ac:dyDescent="0.35">
      <c r="AL3229" s="20"/>
    </row>
    <row r="3230" spans="38:38" x14ac:dyDescent="0.35">
      <c r="AL3230" s="20"/>
    </row>
    <row r="3231" spans="38:38" x14ac:dyDescent="0.35">
      <c r="AL3231" s="20"/>
    </row>
    <row r="3232" spans="38:38" x14ac:dyDescent="0.35">
      <c r="AL3232" s="20"/>
    </row>
    <row r="3233" spans="38:38" x14ac:dyDescent="0.35">
      <c r="AL3233" s="20"/>
    </row>
    <row r="3234" spans="38:38" x14ac:dyDescent="0.35">
      <c r="AL3234" s="20"/>
    </row>
    <row r="3235" spans="38:38" x14ac:dyDescent="0.35">
      <c r="AL3235" s="20"/>
    </row>
    <row r="3236" spans="38:38" x14ac:dyDescent="0.35">
      <c r="AL3236" s="20"/>
    </row>
    <row r="3237" spans="38:38" x14ac:dyDescent="0.35">
      <c r="AL3237" s="20"/>
    </row>
    <row r="3238" spans="38:38" x14ac:dyDescent="0.35">
      <c r="AL3238" s="20"/>
    </row>
    <row r="3239" spans="38:38" x14ac:dyDescent="0.35">
      <c r="AL3239" s="20"/>
    </row>
    <row r="3240" spans="38:38" x14ac:dyDescent="0.35">
      <c r="AL3240" s="20"/>
    </row>
    <row r="3241" spans="38:38" x14ac:dyDescent="0.35">
      <c r="AL3241" s="20"/>
    </row>
    <row r="3242" spans="38:38" x14ac:dyDescent="0.35">
      <c r="AL3242" s="20"/>
    </row>
    <row r="3243" spans="38:38" x14ac:dyDescent="0.35">
      <c r="AL3243" s="20"/>
    </row>
    <row r="3244" spans="38:38" x14ac:dyDescent="0.35">
      <c r="AL3244" s="20"/>
    </row>
    <row r="3245" spans="38:38" x14ac:dyDescent="0.35">
      <c r="AL3245" s="20"/>
    </row>
    <row r="3246" spans="38:38" x14ac:dyDescent="0.35">
      <c r="AL3246" s="20"/>
    </row>
    <row r="3247" spans="38:38" x14ac:dyDescent="0.35">
      <c r="AL3247" s="20"/>
    </row>
    <row r="3248" spans="38:38" x14ac:dyDescent="0.35">
      <c r="AL3248" s="20"/>
    </row>
    <row r="3249" spans="38:38" x14ac:dyDescent="0.35">
      <c r="AL3249" s="20"/>
    </row>
    <row r="3250" spans="38:38" x14ac:dyDescent="0.35">
      <c r="AL3250" s="20"/>
    </row>
    <row r="3251" spans="38:38" x14ac:dyDescent="0.35">
      <c r="AL3251" s="20"/>
    </row>
    <row r="3252" spans="38:38" x14ac:dyDescent="0.35">
      <c r="AL3252" s="20"/>
    </row>
    <row r="3253" spans="38:38" x14ac:dyDescent="0.35">
      <c r="AL3253" s="20"/>
    </row>
    <row r="3254" spans="38:38" x14ac:dyDescent="0.35">
      <c r="AL3254" s="20"/>
    </row>
    <row r="3255" spans="38:38" x14ac:dyDescent="0.35">
      <c r="AL3255" s="20"/>
    </row>
    <row r="3256" spans="38:38" x14ac:dyDescent="0.35">
      <c r="AL3256" s="20"/>
    </row>
    <row r="3257" spans="38:38" x14ac:dyDescent="0.35">
      <c r="AL3257" s="20"/>
    </row>
    <row r="3258" spans="38:38" x14ac:dyDescent="0.35">
      <c r="AL3258" s="20"/>
    </row>
    <row r="3259" spans="38:38" x14ac:dyDescent="0.35">
      <c r="AL3259" s="20"/>
    </row>
    <row r="3260" spans="38:38" x14ac:dyDescent="0.35">
      <c r="AL3260" s="20"/>
    </row>
    <row r="3261" spans="38:38" x14ac:dyDescent="0.35">
      <c r="AL3261" s="20"/>
    </row>
    <row r="3262" spans="38:38" x14ac:dyDescent="0.35">
      <c r="AL3262" s="20"/>
    </row>
    <row r="3263" spans="38:38" x14ac:dyDescent="0.35">
      <c r="AL3263" s="20"/>
    </row>
    <row r="3264" spans="38:38" x14ac:dyDescent="0.35">
      <c r="AL3264" s="20"/>
    </row>
    <row r="3265" spans="38:38" x14ac:dyDescent="0.35">
      <c r="AL3265" s="20"/>
    </row>
    <row r="3266" spans="38:38" x14ac:dyDescent="0.35">
      <c r="AL3266" s="20"/>
    </row>
    <row r="3267" spans="38:38" x14ac:dyDescent="0.35">
      <c r="AL3267" s="20"/>
    </row>
    <row r="3268" spans="38:38" x14ac:dyDescent="0.35">
      <c r="AL3268" s="20"/>
    </row>
    <row r="3269" spans="38:38" x14ac:dyDescent="0.35">
      <c r="AL3269" s="20"/>
    </row>
    <row r="3270" spans="38:38" x14ac:dyDescent="0.35">
      <c r="AL3270" s="20"/>
    </row>
    <row r="3271" spans="38:38" x14ac:dyDescent="0.35">
      <c r="AL3271" s="20"/>
    </row>
    <row r="3272" spans="38:38" x14ac:dyDescent="0.35">
      <c r="AL3272" s="20"/>
    </row>
    <row r="3273" spans="38:38" x14ac:dyDescent="0.35">
      <c r="AL3273" s="20"/>
    </row>
    <row r="3274" spans="38:38" x14ac:dyDescent="0.35">
      <c r="AL3274" s="20"/>
    </row>
    <row r="3275" spans="38:38" x14ac:dyDescent="0.35">
      <c r="AL3275" s="20"/>
    </row>
    <row r="3276" spans="38:38" x14ac:dyDescent="0.35">
      <c r="AL3276" s="20"/>
    </row>
    <row r="3277" spans="38:38" x14ac:dyDescent="0.35">
      <c r="AL3277" s="20"/>
    </row>
    <row r="3278" spans="38:38" x14ac:dyDescent="0.35">
      <c r="AL3278" s="20"/>
    </row>
    <row r="3279" spans="38:38" x14ac:dyDescent="0.35">
      <c r="AL3279" s="20"/>
    </row>
    <row r="3280" spans="38:38" x14ac:dyDescent="0.35">
      <c r="AL3280" s="20"/>
    </row>
    <row r="3281" spans="38:38" x14ac:dyDescent="0.35">
      <c r="AL3281" s="20"/>
    </row>
    <row r="3282" spans="38:38" x14ac:dyDescent="0.35">
      <c r="AL3282" s="20"/>
    </row>
    <row r="3283" spans="38:38" x14ac:dyDescent="0.35">
      <c r="AL3283" s="20"/>
    </row>
    <row r="3284" spans="38:38" x14ac:dyDescent="0.35">
      <c r="AL3284" s="20"/>
    </row>
    <row r="3285" spans="38:38" x14ac:dyDescent="0.35">
      <c r="AL3285" s="20"/>
    </row>
    <row r="3286" spans="38:38" x14ac:dyDescent="0.35">
      <c r="AL3286" s="20"/>
    </row>
    <row r="3287" spans="38:38" x14ac:dyDescent="0.35">
      <c r="AL3287" s="20"/>
    </row>
    <row r="3288" spans="38:38" x14ac:dyDescent="0.35">
      <c r="AL3288" s="20"/>
    </row>
    <row r="3289" spans="38:38" x14ac:dyDescent="0.35">
      <c r="AL3289" s="20"/>
    </row>
    <row r="3290" spans="38:38" x14ac:dyDescent="0.35">
      <c r="AL3290" s="20"/>
    </row>
    <row r="3291" spans="38:38" x14ac:dyDescent="0.35">
      <c r="AL3291" s="20"/>
    </row>
    <row r="3292" spans="38:38" x14ac:dyDescent="0.35">
      <c r="AL3292" s="20"/>
    </row>
    <row r="3293" spans="38:38" x14ac:dyDescent="0.35">
      <c r="AL3293" s="20"/>
    </row>
    <row r="3294" spans="38:38" x14ac:dyDescent="0.35">
      <c r="AL3294" s="20"/>
    </row>
    <row r="3295" spans="38:38" x14ac:dyDescent="0.35">
      <c r="AL3295" s="20"/>
    </row>
    <row r="3296" spans="38:38" x14ac:dyDescent="0.35">
      <c r="AL3296" s="20"/>
    </row>
    <row r="3297" spans="38:38" x14ac:dyDescent="0.35">
      <c r="AL3297" s="20"/>
    </row>
    <row r="3298" spans="38:38" x14ac:dyDescent="0.35">
      <c r="AL3298" s="20"/>
    </row>
    <row r="3299" spans="38:38" x14ac:dyDescent="0.35">
      <c r="AL3299" s="20"/>
    </row>
    <row r="3300" spans="38:38" x14ac:dyDescent="0.35">
      <c r="AL3300" s="20"/>
    </row>
    <row r="3301" spans="38:38" x14ac:dyDescent="0.35">
      <c r="AL3301" s="20"/>
    </row>
    <row r="3302" spans="38:38" x14ac:dyDescent="0.35">
      <c r="AL3302" s="20"/>
    </row>
    <row r="3303" spans="38:38" x14ac:dyDescent="0.35">
      <c r="AL3303" s="20"/>
    </row>
    <row r="3304" spans="38:38" x14ac:dyDescent="0.35">
      <c r="AL3304" s="20"/>
    </row>
    <row r="3305" spans="38:38" x14ac:dyDescent="0.35">
      <c r="AL3305" s="20"/>
    </row>
    <row r="3306" spans="38:38" x14ac:dyDescent="0.35">
      <c r="AL3306" s="20"/>
    </row>
    <row r="3307" spans="38:38" x14ac:dyDescent="0.35">
      <c r="AL3307" s="20"/>
    </row>
    <row r="3308" spans="38:38" x14ac:dyDescent="0.35">
      <c r="AL3308" s="20"/>
    </row>
    <row r="3309" spans="38:38" x14ac:dyDescent="0.35">
      <c r="AL3309" s="20"/>
    </row>
    <row r="3310" spans="38:38" x14ac:dyDescent="0.35">
      <c r="AL3310" s="20"/>
    </row>
    <row r="3311" spans="38:38" x14ac:dyDescent="0.35">
      <c r="AL3311" s="20"/>
    </row>
    <row r="3312" spans="38:38" x14ac:dyDescent="0.35">
      <c r="AL3312" s="20"/>
    </row>
    <row r="3313" spans="38:38" x14ac:dyDescent="0.35">
      <c r="AL3313" s="20"/>
    </row>
    <row r="3314" spans="38:38" x14ac:dyDescent="0.35">
      <c r="AL3314" s="20"/>
    </row>
    <row r="3315" spans="38:38" x14ac:dyDescent="0.35">
      <c r="AL3315" s="20"/>
    </row>
    <row r="3316" spans="38:38" x14ac:dyDescent="0.35">
      <c r="AL3316" s="20"/>
    </row>
    <row r="3317" spans="38:38" x14ac:dyDescent="0.35">
      <c r="AL3317" s="20"/>
    </row>
    <row r="3318" spans="38:38" x14ac:dyDescent="0.35">
      <c r="AL3318" s="20"/>
    </row>
    <row r="3319" spans="38:38" x14ac:dyDescent="0.35">
      <c r="AL3319" s="20"/>
    </row>
    <row r="3320" spans="38:38" x14ac:dyDescent="0.35">
      <c r="AL3320" s="20"/>
    </row>
    <row r="3321" spans="38:38" x14ac:dyDescent="0.35">
      <c r="AL3321" s="20"/>
    </row>
    <row r="3322" spans="38:38" x14ac:dyDescent="0.35">
      <c r="AL3322" s="20"/>
    </row>
    <row r="3323" spans="38:38" x14ac:dyDescent="0.35">
      <c r="AL3323" s="20"/>
    </row>
    <row r="3324" spans="38:38" x14ac:dyDescent="0.35">
      <c r="AL3324" s="20"/>
    </row>
    <row r="3325" spans="38:38" x14ac:dyDescent="0.35">
      <c r="AL3325" s="20"/>
    </row>
    <row r="3326" spans="38:38" x14ac:dyDescent="0.35">
      <c r="AL3326" s="20"/>
    </row>
    <row r="3327" spans="38:38" x14ac:dyDescent="0.35">
      <c r="AL3327" s="20"/>
    </row>
    <row r="3328" spans="38:38" x14ac:dyDescent="0.35">
      <c r="AL3328" s="20"/>
    </row>
    <row r="3329" spans="38:38" x14ac:dyDescent="0.35">
      <c r="AL3329" s="20"/>
    </row>
    <row r="3330" spans="38:38" x14ac:dyDescent="0.35">
      <c r="AL3330" s="20"/>
    </row>
    <row r="3331" spans="38:38" x14ac:dyDescent="0.35">
      <c r="AL3331" s="20"/>
    </row>
    <row r="3332" spans="38:38" x14ac:dyDescent="0.35">
      <c r="AL3332" s="20"/>
    </row>
    <row r="3333" spans="38:38" x14ac:dyDescent="0.35">
      <c r="AL3333" s="20"/>
    </row>
    <row r="3334" spans="38:38" x14ac:dyDescent="0.35">
      <c r="AL3334" s="20"/>
    </row>
    <row r="3335" spans="38:38" x14ac:dyDescent="0.35">
      <c r="AL3335" s="20"/>
    </row>
    <row r="3336" spans="38:38" x14ac:dyDescent="0.35">
      <c r="AL3336" s="20"/>
    </row>
    <row r="3337" spans="38:38" x14ac:dyDescent="0.35">
      <c r="AL3337" s="20"/>
    </row>
    <row r="3338" spans="38:38" x14ac:dyDescent="0.35">
      <c r="AL3338" s="20"/>
    </row>
    <row r="3339" spans="38:38" x14ac:dyDescent="0.35">
      <c r="AL3339" s="20"/>
    </row>
    <row r="3340" spans="38:38" x14ac:dyDescent="0.35">
      <c r="AL3340" s="20"/>
    </row>
    <row r="3341" spans="38:38" x14ac:dyDescent="0.35">
      <c r="AL3341" s="20"/>
    </row>
    <row r="3342" spans="38:38" x14ac:dyDescent="0.35">
      <c r="AL3342" s="20"/>
    </row>
    <row r="3343" spans="38:38" x14ac:dyDescent="0.35">
      <c r="AL3343" s="20"/>
    </row>
    <row r="3344" spans="38:38" x14ac:dyDescent="0.35">
      <c r="AL3344" s="20"/>
    </row>
    <row r="3345" spans="38:38" x14ac:dyDescent="0.35">
      <c r="AL3345" s="20"/>
    </row>
    <row r="3346" spans="38:38" x14ac:dyDescent="0.35">
      <c r="AL3346" s="20"/>
    </row>
    <row r="3347" spans="38:38" x14ac:dyDescent="0.35">
      <c r="AL3347" s="20"/>
    </row>
    <row r="3348" spans="38:38" x14ac:dyDescent="0.35">
      <c r="AL3348" s="20"/>
    </row>
    <row r="3349" spans="38:38" x14ac:dyDescent="0.35">
      <c r="AL3349" s="20"/>
    </row>
    <row r="3350" spans="38:38" x14ac:dyDescent="0.35">
      <c r="AL3350" s="20"/>
    </row>
    <row r="3351" spans="38:38" x14ac:dyDescent="0.35">
      <c r="AL3351" s="20"/>
    </row>
    <row r="3352" spans="38:38" x14ac:dyDescent="0.35">
      <c r="AL3352" s="20"/>
    </row>
    <row r="3353" spans="38:38" x14ac:dyDescent="0.35">
      <c r="AL3353" s="20"/>
    </row>
    <row r="3354" spans="38:38" x14ac:dyDescent="0.35">
      <c r="AL3354" s="20"/>
    </row>
    <row r="3355" spans="38:38" x14ac:dyDescent="0.35">
      <c r="AL3355" s="20"/>
    </row>
    <row r="3356" spans="38:38" x14ac:dyDescent="0.35">
      <c r="AL3356" s="20"/>
    </row>
    <row r="3357" spans="38:38" x14ac:dyDescent="0.35">
      <c r="AL3357" s="20"/>
    </row>
    <row r="3358" spans="38:38" x14ac:dyDescent="0.35">
      <c r="AL3358" s="20"/>
    </row>
    <row r="3359" spans="38:38" x14ac:dyDescent="0.35">
      <c r="AL3359" s="20"/>
    </row>
    <row r="3360" spans="38:38" x14ac:dyDescent="0.35">
      <c r="AL3360" s="20"/>
    </row>
    <row r="3361" spans="38:38" x14ac:dyDescent="0.35">
      <c r="AL3361" s="20"/>
    </row>
    <row r="3362" spans="38:38" x14ac:dyDescent="0.35">
      <c r="AL3362" s="20"/>
    </row>
    <row r="3363" spans="38:38" x14ac:dyDescent="0.35">
      <c r="AL3363" s="20"/>
    </row>
    <row r="3364" spans="38:38" x14ac:dyDescent="0.35">
      <c r="AL3364" s="20"/>
    </row>
    <row r="3365" spans="38:38" x14ac:dyDescent="0.35">
      <c r="AL3365" s="20"/>
    </row>
    <row r="3366" spans="38:38" x14ac:dyDescent="0.35">
      <c r="AL3366" s="20"/>
    </row>
    <row r="3367" spans="38:38" x14ac:dyDescent="0.35">
      <c r="AL3367" s="20"/>
    </row>
    <row r="3368" spans="38:38" x14ac:dyDescent="0.35">
      <c r="AL3368" s="20"/>
    </row>
    <row r="3369" spans="38:38" x14ac:dyDescent="0.35">
      <c r="AL3369" s="20"/>
    </row>
    <row r="3370" spans="38:38" x14ac:dyDescent="0.35">
      <c r="AL3370" s="20"/>
    </row>
    <row r="3371" spans="38:38" x14ac:dyDescent="0.35">
      <c r="AL3371" s="20"/>
    </row>
    <row r="3372" spans="38:38" x14ac:dyDescent="0.35">
      <c r="AL3372" s="20"/>
    </row>
    <row r="3373" spans="38:38" x14ac:dyDescent="0.35">
      <c r="AL3373" s="20"/>
    </row>
    <row r="3374" spans="38:38" x14ac:dyDescent="0.35">
      <c r="AL3374" s="20"/>
    </row>
    <row r="3375" spans="38:38" x14ac:dyDescent="0.35">
      <c r="AL3375" s="20"/>
    </row>
    <row r="3376" spans="38:38" x14ac:dyDescent="0.35">
      <c r="AL3376" s="20"/>
    </row>
    <row r="3377" spans="38:38" x14ac:dyDescent="0.35">
      <c r="AL3377" s="20"/>
    </row>
    <row r="3378" spans="38:38" x14ac:dyDescent="0.35">
      <c r="AL3378" s="20"/>
    </row>
    <row r="3379" spans="38:38" x14ac:dyDescent="0.35">
      <c r="AL3379" s="20"/>
    </row>
    <row r="3380" spans="38:38" x14ac:dyDescent="0.35">
      <c r="AL3380" s="20"/>
    </row>
    <row r="3381" spans="38:38" x14ac:dyDescent="0.35">
      <c r="AL3381" s="20"/>
    </row>
    <row r="3382" spans="38:38" x14ac:dyDescent="0.35">
      <c r="AL3382" s="20"/>
    </row>
    <row r="3383" spans="38:38" x14ac:dyDescent="0.35">
      <c r="AL3383" s="20"/>
    </row>
    <row r="3384" spans="38:38" x14ac:dyDescent="0.35">
      <c r="AL3384" s="20"/>
    </row>
    <row r="3385" spans="38:38" x14ac:dyDescent="0.35">
      <c r="AL3385" s="20"/>
    </row>
    <row r="3386" spans="38:38" x14ac:dyDescent="0.35">
      <c r="AL3386" s="20"/>
    </row>
    <row r="3387" spans="38:38" x14ac:dyDescent="0.35">
      <c r="AL3387" s="20"/>
    </row>
    <row r="3388" spans="38:38" x14ac:dyDescent="0.35">
      <c r="AL3388" s="20"/>
    </row>
    <row r="3389" spans="38:38" x14ac:dyDescent="0.35">
      <c r="AL3389" s="20"/>
    </row>
    <row r="3390" spans="38:38" x14ac:dyDescent="0.35">
      <c r="AL3390" s="20"/>
    </row>
    <row r="3391" spans="38:38" x14ac:dyDescent="0.35">
      <c r="AL3391" s="20"/>
    </row>
    <row r="3392" spans="38:38" x14ac:dyDescent="0.35">
      <c r="AL3392" s="20"/>
    </row>
    <row r="3393" spans="38:38" x14ac:dyDescent="0.35">
      <c r="AL3393" s="20"/>
    </row>
    <row r="3394" spans="38:38" x14ac:dyDescent="0.35">
      <c r="AL3394" s="20"/>
    </row>
    <row r="3395" spans="38:38" x14ac:dyDescent="0.35">
      <c r="AL3395" s="20"/>
    </row>
    <row r="3396" spans="38:38" x14ac:dyDescent="0.35">
      <c r="AL3396" s="20"/>
    </row>
    <row r="3397" spans="38:38" x14ac:dyDescent="0.35">
      <c r="AL3397" s="20"/>
    </row>
    <row r="3398" spans="38:38" x14ac:dyDescent="0.35">
      <c r="AL3398" s="20"/>
    </row>
    <row r="3399" spans="38:38" x14ac:dyDescent="0.35">
      <c r="AL3399" s="20"/>
    </row>
    <row r="3400" spans="38:38" x14ac:dyDescent="0.35">
      <c r="AL3400" s="20"/>
    </row>
    <row r="3401" spans="38:38" x14ac:dyDescent="0.35">
      <c r="AL3401" s="20"/>
    </row>
    <row r="3402" spans="38:38" x14ac:dyDescent="0.35">
      <c r="AL3402" s="20"/>
    </row>
    <row r="3403" spans="38:38" x14ac:dyDescent="0.35">
      <c r="AL3403" s="20"/>
    </row>
    <row r="3404" spans="38:38" x14ac:dyDescent="0.35">
      <c r="AL3404" s="20"/>
    </row>
    <row r="3405" spans="38:38" x14ac:dyDescent="0.35">
      <c r="AL3405" s="20"/>
    </row>
    <row r="3406" spans="38:38" x14ac:dyDescent="0.35">
      <c r="AL3406" s="20"/>
    </row>
    <row r="3407" spans="38:38" x14ac:dyDescent="0.35">
      <c r="AL3407" s="20"/>
    </row>
    <row r="3408" spans="38:38" x14ac:dyDescent="0.35">
      <c r="AL3408" s="20"/>
    </row>
    <row r="3409" spans="38:38" x14ac:dyDescent="0.35">
      <c r="AL3409" s="20"/>
    </row>
    <row r="3410" spans="38:38" x14ac:dyDescent="0.35">
      <c r="AL3410" s="20"/>
    </row>
    <row r="3411" spans="38:38" x14ac:dyDescent="0.35">
      <c r="AL3411" s="20"/>
    </row>
    <row r="3412" spans="38:38" x14ac:dyDescent="0.35">
      <c r="AL3412" s="20"/>
    </row>
    <row r="3413" spans="38:38" x14ac:dyDescent="0.35">
      <c r="AL3413" s="20"/>
    </row>
    <row r="3414" spans="38:38" x14ac:dyDescent="0.35">
      <c r="AL3414" s="20"/>
    </row>
    <row r="3415" spans="38:38" x14ac:dyDescent="0.35">
      <c r="AL3415" s="20"/>
    </row>
    <row r="3416" spans="38:38" x14ac:dyDescent="0.35">
      <c r="AL3416" s="20"/>
    </row>
    <row r="3417" spans="38:38" x14ac:dyDescent="0.35">
      <c r="AL3417" s="20"/>
    </row>
    <row r="3418" spans="38:38" x14ac:dyDescent="0.35">
      <c r="AL3418" s="20"/>
    </row>
    <row r="3419" spans="38:38" x14ac:dyDescent="0.35">
      <c r="AL3419" s="20"/>
    </row>
    <row r="3420" spans="38:38" x14ac:dyDescent="0.35">
      <c r="AL3420" s="20"/>
    </row>
    <row r="3421" spans="38:38" x14ac:dyDescent="0.35">
      <c r="AL3421" s="20"/>
    </row>
    <row r="3422" spans="38:38" x14ac:dyDescent="0.35">
      <c r="AL3422" s="20"/>
    </row>
    <row r="3423" spans="38:38" x14ac:dyDescent="0.35">
      <c r="AL3423" s="20"/>
    </row>
    <row r="3424" spans="38:38" x14ac:dyDescent="0.35">
      <c r="AL3424" s="20"/>
    </row>
    <row r="3425" spans="38:38" x14ac:dyDescent="0.35">
      <c r="AL3425" s="20"/>
    </row>
    <row r="3426" spans="38:38" x14ac:dyDescent="0.35">
      <c r="AL3426" s="20"/>
    </row>
    <row r="3427" spans="38:38" x14ac:dyDescent="0.35">
      <c r="AL3427" s="20"/>
    </row>
    <row r="3428" spans="38:38" x14ac:dyDescent="0.35">
      <c r="AL3428" s="20"/>
    </row>
    <row r="3429" spans="38:38" x14ac:dyDescent="0.35">
      <c r="AL3429" s="20"/>
    </row>
    <row r="3430" spans="38:38" x14ac:dyDescent="0.35">
      <c r="AL3430" s="20"/>
    </row>
    <row r="3431" spans="38:38" x14ac:dyDescent="0.35">
      <c r="AL3431" s="20"/>
    </row>
    <row r="3432" spans="38:38" x14ac:dyDescent="0.35">
      <c r="AL3432" s="20"/>
    </row>
    <row r="3433" spans="38:38" x14ac:dyDescent="0.35">
      <c r="AL3433" s="20"/>
    </row>
    <row r="3434" spans="38:38" x14ac:dyDescent="0.35">
      <c r="AL3434" s="20"/>
    </row>
    <row r="3435" spans="38:38" x14ac:dyDescent="0.35">
      <c r="AL3435" s="20"/>
    </row>
    <row r="3436" spans="38:38" x14ac:dyDescent="0.35">
      <c r="AL3436" s="20"/>
    </row>
    <row r="3437" spans="38:38" x14ac:dyDescent="0.35">
      <c r="AL3437" s="20"/>
    </row>
    <row r="3438" spans="38:38" x14ac:dyDescent="0.35">
      <c r="AL3438" s="20"/>
    </row>
    <row r="3439" spans="38:38" x14ac:dyDescent="0.35">
      <c r="AL3439" s="20"/>
    </row>
    <row r="3440" spans="38:38" x14ac:dyDescent="0.35">
      <c r="AL3440" s="20"/>
    </row>
    <row r="3441" spans="38:38" x14ac:dyDescent="0.35">
      <c r="AL3441" s="20"/>
    </row>
    <row r="3442" spans="38:38" x14ac:dyDescent="0.35">
      <c r="AL3442" s="20"/>
    </row>
    <row r="3443" spans="38:38" x14ac:dyDescent="0.35">
      <c r="AL3443" s="20"/>
    </row>
    <row r="3444" spans="38:38" x14ac:dyDescent="0.35">
      <c r="AL3444" s="20"/>
    </row>
    <row r="3445" spans="38:38" x14ac:dyDescent="0.35">
      <c r="AL3445" s="20"/>
    </row>
    <row r="3446" spans="38:38" x14ac:dyDescent="0.35">
      <c r="AL3446" s="20"/>
    </row>
    <row r="3447" spans="38:38" x14ac:dyDescent="0.35">
      <c r="AL3447" s="20"/>
    </row>
    <row r="3448" spans="38:38" x14ac:dyDescent="0.35">
      <c r="AL3448" s="20"/>
    </row>
    <row r="3449" spans="38:38" x14ac:dyDescent="0.35">
      <c r="AL3449" s="20"/>
    </row>
    <row r="3450" spans="38:38" x14ac:dyDescent="0.35">
      <c r="AL3450" s="20"/>
    </row>
    <row r="3451" spans="38:38" x14ac:dyDescent="0.35">
      <c r="AL3451" s="20"/>
    </row>
    <row r="3452" spans="38:38" x14ac:dyDescent="0.35">
      <c r="AL3452" s="20"/>
    </row>
    <row r="3453" spans="38:38" x14ac:dyDescent="0.35">
      <c r="AL3453" s="20"/>
    </row>
    <row r="3454" spans="38:38" x14ac:dyDescent="0.35">
      <c r="AL3454" s="20"/>
    </row>
    <row r="3455" spans="38:38" x14ac:dyDescent="0.35">
      <c r="AL3455" s="20"/>
    </row>
    <row r="3456" spans="38:38" x14ac:dyDescent="0.35">
      <c r="AL3456" s="20"/>
    </row>
    <row r="3457" spans="38:38" x14ac:dyDescent="0.35">
      <c r="AL3457" s="20"/>
    </row>
    <row r="3458" spans="38:38" x14ac:dyDescent="0.35">
      <c r="AL3458" s="20"/>
    </row>
    <row r="3459" spans="38:38" x14ac:dyDescent="0.35">
      <c r="AL3459" s="20"/>
    </row>
    <row r="3460" spans="38:38" x14ac:dyDescent="0.35">
      <c r="AL3460" s="20"/>
    </row>
    <row r="3461" spans="38:38" x14ac:dyDescent="0.35">
      <c r="AL3461" s="20"/>
    </row>
    <row r="3462" spans="38:38" x14ac:dyDescent="0.35">
      <c r="AL3462" s="20"/>
    </row>
    <row r="3463" spans="38:38" x14ac:dyDescent="0.35">
      <c r="AL3463" s="20"/>
    </row>
    <row r="3464" spans="38:38" x14ac:dyDescent="0.35">
      <c r="AL3464" s="20"/>
    </row>
    <row r="3465" spans="38:38" x14ac:dyDescent="0.35">
      <c r="AL3465" s="20"/>
    </row>
    <row r="3466" spans="38:38" x14ac:dyDescent="0.35">
      <c r="AL3466" s="20"/>
    </row>
    <row r="3467" spans="38:38" x14ac:dyDescent="0.35">
      <c r="AL3467" s="20"/>
    </row>
    <row r="3468" spans="38:38" x14ac:dyDescent="0.35">
      <c r="AL3468" s="20"/>
    </row>
    <row r="3469" spans="38:38" x14ac:dyDescent="0.35">
      <c r="AL3469" s="20"/>
    </row>
    <row r="3470" spans="38:38" x14ac:dyDescent="0.35">
      <c r="AL3470" s="20"/>
    </row>
    <row r="3471" spans="38:38" x14ac:dyDescent="0.35">
      <c r="AL3471" s="20"/>
    </row>
    <row r="3472" spans="38:38" x14ac:dyDescent="0.35">
      <c r="AL3472" s="20"/>
    </row>
    <row r="3473" spans="38:38" x14ac:dyDescent="0.35">
      <c r="AL3473" s="20"/>
    </row>
    <row r="3474" spans="38:38" x14ac:dyDescent="0.35">
      <c r="AL3474" s="20"/>
    </row>
    <row r="3475" spans="38:38" x14ac:dyDescent="0.35">
      <c r="AL3475" s="20"/>
    </row>
    <row r="3476" spans="38:38" x14ac:dyDescent="0.35">
      <c r="AL3476" s="20"/>
    </row>
    <row r="3477" spans="38:38" x14ac:dyDescent="0.35">
      <c r="AL3477" s="20"/>
    </row>
    <row r="3478" spans="38:38" x14ac:dyDescent="0.35">
      <c r="AL3478" s="20"/>
    </row>
    <row r="3479" spans="38:38" x14ac:dyDescent="0.35">
      <c r="AL3479" s="20"/>
    </row>
    <row r="3480" spans="38:38" x14ac:dyDescent="0.35">
      <c r="AL3480" s="20"/>
    </row>
    <row r="3481" spans="38:38" x14ac:dyDescent="0.35">
      <c r="AL3481" s="20"/>
    </row>
    <row r="3482" spans="38:38" x14ac:dyDescent="0.35">
      <c r="AL3482" s="20"/>
    </row>
    <row r="3483" spans="38:38" x14ac:dyDescent="0.35">
      <c r="AL3483" s="20"/>
    </row>
    <row r="3484" spans="38:38" x14ac:dyDescent="0.35">
      <c r="AL3484" s="20"/>
    </row>
    <row r="3485" spans="38:38" x14ac:dyDescent="0.35">
      <c r="AL3485" s="20"/>
    </row>
    <row r="3486" spans="38:38" x14ac:dyDescent="0.35">
      <c r="AL3486" s="20"/>
    </row>
    <row r="3487" spans="38:38" x14ac:dyDescent="0.35">
      <c r="AL3487" s="20"/>
    </row>
    <row r="3488" spans="38:38" x14ac:dyDescent="0.35">
      <c r="AL3488" s="20"/>
    </row>
    <row r="3489" spans="38:38" x14ac:dyDescent="0.35">
      <c r="AL3489" s="20"/>
    </row>
    <row r="3490" spans="38:38" x14ac:dyDescent="0.35">
      <c r="AL3490" s="20"/>
    </row>
    <row r="3491" spans="38:38" x14ac:dyDescent="0.35">
      <c r="AL3491" s="20"/>
    </row>
    <row r="3492" spans="38:38" x14ac:dyDescent="0.35">
      <c r="AL3492" s="20"/>
    </row>
    <row r="3493" spans="38:38" x14ac:dyDescent="0.35">
      <c r="AL3493" s="20"/>
    </row>
    <row r="3494" spans="38:38" x14ac:dyDescent="0.35">
      <c r="AL3494" s="20"/>
    </row>
    <row r="3495" spans="38:38" x14ac:dyDescent="0.35">
      <c r="AL3495" s="20"/>
    </row>
    <row r="3496" spans="38:38" x14ac:dyDescent="0.35">
      <c r="AL3496" s="20"/>
    </row>
    <row r="3497" spans="38:38" x14ac:dyDescent="0.35">
      <c r="AL3497" s="20"/>
    </row>
    <row r="3498" spans="38:38" x14ac:dyDescent="0.35">
      <c r="AL3498" s="20"/>
    </row>
    <row r="3499" spans="38:38" x14ac:dyDescent="0.35">
      <c r="AL3499" s="20"/>
    </row>
    <row r="3500" spans="38:38" x14ac:dyDescent="0.35">
      <c r="AL3500" s="20"/>
    </row>
    <row r="3501" spans="38:38" x14ac:dyDescent="0.35">
      <c r="AL3501" s="20"/>
    </row>
    <row r="3502" spans="38:38" x14ac:dyDescent="0.35">
      <c r="AL3502" s="20"/>
    </row>
    <row r="3503" spans="38:38" x14ac:dyDescent="0.35">
      <c r="AL3503" s="20"/>
    </row>
    <row r="3504" spans="38:38" x14ac:dyDescent="0.35">
      <c r="AL3504" s="20"/>
    </row>
    <row r="3505" spans="38:38" x14ac:dyDescent="0.35">
      <c r="AL3505" s="20"/>
    </row>
    <row r="3506" spans="38:38" x14ac:dyDescent="0.35">
      <c r="AL3506" s="20"/>
    </row>
    <row r="3507" spans="38:38" x14ac:dyDescent="0.35">
      <c r="AL3507" s="20"/>
    </row>
    <row r="3508" spans="38:38" x14ac:dyDescent="0.35">
      <c r="AL3508" s="20"/>
    </row>
    <row r="3509" spans="38:38" x14ac:dyDescent="0.35">
      <c r="AL3509" s="20"/>
    </row>
    <row r="3510" spans="38:38" x14ac:dyDescent="0.35">
      <c r="AL3510" s="20"/>
    </row>
    <row r="3511" spans="38:38" x14ac:dyDescent="0.35">
      <c r="AL3511" s="20"/>
    </row>
    <row r="3512" spans="38:38" x14ac:dyDescent="0.35">
      <c r="AL3512" s="20"/>
    </row>
    <row r="3513" spans="38:38" x14ac:dyDescent="0.35">
      <c r="AL3513" s="20"/>
    </row>
    <row r="3514" spans="38:38" x14ac:dyDescent="0.35">
      <c r="AL3514" s="20"/>
    </row>
    <row r="3515" spans="38:38" x14ac:dyDescent="0.35">
      <c r="AL3515" s="20"/>
    </row>
    <row r="3516" spans="38:38" x14ac:dyDescent="0.35">
      <c r="AL3516" s="20"/>
    </row>
    <row r="3517" spans="38:38" x14ac:dyDescent="0.35">
      <c r="AL3517" s="20"/>
    </row>
    <row r="3518" spans="38:38" x14ac:dyDescent="0.35">
      <c r="AL3518" s="20"/>
    </row>
    <row r="3519" spans="38:38" x14ac:dyDescent="0.35">
      <c r="AL3519" s="20"/>
    </row>
    <row r="3520" spans="38:38" x14ac:dyDescent="0.35">
      <c r="AL3520" s="20"/>
    </row>
    <row r="3521" spans="38:38" x14ac:dyDescent="0.35">
      <c r="AL3521" s="20"/>
    </row>
    <row r="3522" spans="38:38" x14ac:dyDescent="0.35">
      <c r="AL3522" s="20"/>
    </row>
    <row r="3523" spans="38:38" x14ac:dyDescent="0.35">
      <c r="AL3523" s="20"/>
    </row>
    <row r="3524" spans="38:38" x14ac:dyDescent="0.35">
      <c r="AL3524" s="20"/>
    </row>
    <row r="3525" spans="38:38" x14ac:dyDescent="0.35">
      <c r="AL3525" s="20"/>
    </row>
    <row r="3526" spans="38:38" x14ac:dyDescent="0.35">
      <c r="AL3526" s="20"/>
    </row>
    <row r="3527" spans="38:38" x14ac:dyDescent="0.35">
      <c r="AL3527" s="20"/>
    </row>
    <row r="3528" spans="38:38" x14ac:dyDescent="0.35">
      <c r="AL3528" s="20"/>
    </row>
    <row r="3529" spans="38:38" x14ac:dyDescent="0.35">
      <c r="AL3529" s="20"/>
    </row>
    <row r="3530" spans="38:38" x14ac:dyDescent="0.35">
      <c r="AL3530" s="20"/>
    </row>
    <row r="3531" spans="38:38" x14ac:dyDescent="0.35">
      <c r="AL3531" s="20"/>
    </row>
    <row r="3532" spans="38:38" x14ac:dyDescent="0.35">
      <c r="AL3532" s="20"/>
    </row>
    <row r="3533" spans="38:38" x14ac:dyDescent="0.35">
      <c r="AL3533" s="20"/>
    </row>
    <row r="3534" spans="38:38" x14ac:dyDescent="0.35">
      <c r="AL3534" s="20"/>
    </row>
    <row r="3535" spans="38:38" x14ac:dyDescent="0.35">
      <c r="AL3535" s="20"/>
    </row>
    <row r="3536" spans="38:38" x14ac:dyDescent="0.35">
      <c r="AL3536" s="20"/>
    </row>
    <row r="3537" spans="38:38" x14ac:dyDescent="0.35">
      <c r="AL3537" s="20"/>
    </row>
    <row r="3538" spans="38:38" x14ac:dyDescent="0.35">
      <c r="AL3538" s="20"/>
    </row>
    <row r="3539" spans="38:38" x14ac:dyDescent="0.35">
      <c r="AL3539" s="20"/>
    </row>
    <row r="3540" spans="38:38" x14ac:dyDescent="0.35">
      <c r="AL3540" s="20"/>
    </row>
    <row r="3541" spans="38:38" x14ac:dyDescent="0.35">
      <c r="AL3541" s="20"/>
    </row>
    <row r="3542" spans="38:38" x14ac:dyDescent="0.35">
      <c r="AL3542" s="20"/>
    </row>
    <row r="3543" spans="38:38" x14ac:dyDescent="0.35">
      <c r="AL3543" s="20"/>
    </row>
    <row r="3544" spans="38:38" x14ac:dyDescent="0.35">
      <c r="AL3544" s="20"/>
    </row>
    <row r="3545" spans="38:38" x14ac:dyDescent="0.35">
      <c r="AL3545" s="20"/>
    </row>
    <row r="3546" spans="38:38" x14ac:dyDescent="0.35">
      <c r="AL3546" s="20"/>
    </row>
    <row r="3547" spans="38:38" x14ac:dyDescent="0.35">
      <c r="AL3547" s="20"/>
    </row>
    <row r="3548" spans="38:38" x14ac:dyDescent="0.35">
      <c r="AL3548" s="20"/>
    </row>
    <row r="3549" spans="38:38" x14ac:dyDescent="0.35">
      <c r="AL3549" s="20"/>
    </row>
    <row r="3550" spans="38:38" x14ac:dyDescent="0.35">
      <c r="AL3550" s="20"/>
    </row>
    <row r="3551" spans="38:38" x14ac:dyDescent="0.35">
      <c r="AL3551" s="20"/>
    </row>
    <row r="3552" spans="38:38" x14ac:dyDescent="0.35">
      <c r="AL3552" s="20"/>
    </row>
    <row r="3553" spans="38:38" x14ac:dyDescent="0.35">
      <c r="AL3553" s="20"/>
    </row>
    <row r="3554" spans="38:38" x14ac:dyDescent="0.35">
      <c r="AL3554" s="20"/>
    </row>
    <row r="3555" spans="38:38" x14ac:dyDescent="0.35">
      <c r="AL3555" s="20"/>
    </row>
    <row r="3556" spans="38:38" x14ac:dyDescent="0.35">
      <c r="AL3556" s="20"/>
    </row>
    <row r="3557" spans="38:38" x14ac:dyDescent="0.35">
      <c r="AL3557" s="20"/>
    </row>
    <row r="3558" spans="38:38" x14ac:dyDescent="0.35">
      <c r="AL3558" s="20"/>
    </row>
    <row r="3559" spans="38:38" x14ac:dyDescent="0.35">
      <c r="AL3559" s="20"/>
    </row>
    <row r="3560" spans="38:38" x14ac:dyDescent="0.35">
      <c r="AL3560" s="20"/>
    </row>
    <row r="3561" spans="38:38" x14ac:dyDescent="0.35">
      <c r="AL3561" s="20"/>
    </row>
    <row r="3562" spans="38:38" x14ac:dyDescent="0.35">
      <c r="AL3562" s="20"/>
    </row>
    <row r="3563" spans="38:38" x14ac:dyDescent="0.35">
      <c r="AL3563" s="20"/>
    </row>
    <row r="3564" spans="38:38" x14ac:dyDescent="0.35">
      <c r="AL3564" s="20"/>
    </row>
    <row r="3565" spans="38:38" x14ac:dyDescent="0.35">
      <c r="AL3565" s="20"/>
    </row>
    <row r="3566" spans="38:38" x14ac:dyDescent="0.35">
      <c r="AL3566" s="20"/>
    </row>
    <row r="3567" spans="38:38" x14ac:dyDescent="0.35">
      <c r="AL3567" s="20"/>
    </row>
    <row r="3568" spans="38:38" x14ac:dyDescent="0.35">
      <c r="AL3568" s="20"/>
    </row>
    <row r="3569" spans="38:38" x14ac:dyDescent="0.35">
      <c r="AL3569" s="20"/>
    </row>
    <row r="3570" spans="38:38" x14ac:dyDescent="0.35">
      <c r="AL3570" s="20"/>
    </row>
    <row r="3571" spans="38:38" x14ac:dyDescent="0.35">
      <c r="AL3571" s="20"/>
    </row>
    <row r="3572" spans="38:38" x14ac:dyDescent="0.35">
      <c r="AL3572" s="20"/>
    </row>
    <row r="3573" spans="38:38" x14ac:dyDescent="0.35">
      <c r="AL3573" s="20"/>
    </row>
    <row r="3574" spans="38:38" x14ac:dyDescent="0.35">
      <c r="AL3574" s="20"/>
    </row>
    <row r="3575" spans="38:38" x14ac:dyDescent="0.35">
      <c r="AL3575" s="20"/>
    </row>
    <row r="3576" spans="38:38" x14ac:dyDescent="0.35">
      <c r="AL3576" s="20"/>
    </row>
    <row r="3577" spans="38:38" x14ac:dyDescent="0.35">
      <c r="AL3577" s="20"/>
    </row>
    <row r="3578" spans="38:38" x14ac:dyDescent="0.35">
      <c r="AL3578" s="20"/>
    </row>
    <row r="3579" spans="38:38" x14ac:dyDescent="0.35">
      <c r="AL3579" s="20"/>
    </row>
    <row r="3580" spans="38:38" x14ac:dyDescent="0.35">
      <c r="AL3580" s="20"/>
    </row>
    <row r="3581" spans="38:38" x14ac:dyDescent="0.35">
      <c r="AL3581" s="20"/>
    </row>
    <row r="3582" spans="38:38" x14ac:dyDescent="0.35">
      <c r="AL3582" s="20"/>
    </row>
    <row r="3583" spans="38:38" x14ac:dyDescent="0.35">
      <c r="AL3583" s="20"/>
    </row>
    <row r="3584" spans="38:38" x14ac:dyDescent="0.35">
      <c r="AL3584" s="20"/>
    </row>
    <row r="3585" spans="38:38" x14ac:dyDescent="0.35">
      <c r="AL3585" s="20"/>
    </row>
    <row r="3586" spans="38:38" x14ac:dyDescent="0.35">
      <c r="AL3586" s="20"/>
    </row>
    <row r="3587" spans="38:38" x14ac:dyDescent="0.35">
      <c r="AL3587" s="20"/>
    </row>
    <row r="3588" spans="38:38" x14ac:dyDescent="0.35">
      <c r="AL3588" s="20"/>
    </row>
    <row r="3589" spans="38:38" x14ac:dyDescent="0.35">
      <c r="AL3589" s="20"/>
    </row>
    <row r="3590" spans="38:38" x14ac:dyDescent="0.35">
      <c r="AL3590" s="20"/>
    </row>
    <row r="3591" spans="38:38" x14ac:dyDescent="0.35">
      <c r="AL3591" s="20"/>
    </row>
    <row r="3592" spans="38:38" x14ac:dyDescent="0.35">
      <c r="AL3592" s="20"/>
    </row>
    <row r="3593" spans="38:38" x14ac:dyDescent="0.35">
      <c r="AL3593" s="20"/>
    </row>
    <row r="3594" spans="38:38" x14ac:dyDescent="0.35">
      <c r="AL3594" s="20"/>
    </row>
    <row r="3595" spans="38:38" x14ac:dyDescent="0.35">
      <c r="AL3595" s="20"/>
    </row>
    <row r="3596" spans="38:38" x14ac:dyDescent="0.35">
      <c r="AL3596" s="20"/>
    </row>
    <row r="3597" spans="38:38" x14ac:dyDescent="0.35">
      <c r="AL3597" s="20"/>
    </row>
    <row r="3598" spans="38:38" x14ac:dyDescent="0.35">
      <c r="AL3598" s="20"/>
    </row>
    <row r="3599" spans="38:38" x14ac:dyDescent="0.35">
      <c r="AL3599" s="20"/>
    </row>
    <row r="3600" spans="38:38" x14ac:dyDescent="0.35">
      <c r="AL3600" s="20"/>
    </row>
    <row r="3601" spans="38:38" x14ac:dyDescent="0.35">
      <c r="AL3601" s="20"/>
    </row>
    <row r="3602" spans="38:38" x14ac:dyDescent="0.35">
      <c r="AL3602" s="20"/>
    </row>
    <row r="3603" spans="38:38" x14ac:dyDescent="0.35">
      <c r="AL3603" s="20"/>
    </row>
    <row r="3604" spans="38:38" x14ac:dyDescent="0.35">
      <c r="AL3604" s="20"/>
    </row>
    <row r="3605" spans="38:38" x14ac:dyDescent="0.35">
      <c r="AL3605" s="20"/>
    </row>
    <row r="3606" spans="38:38" x14ac:dyDescent="0.35">
      <c r="AL3606" s="20"/>
    </row>
    <row r="3607" spans="38:38" x14ac:dyDescent="0.35">
      <c r="AL3607" s="20"/>
    </row>
    <row r="3608" spans="38:38" x14ac:dyDescent="0.35">
      <c r="AL3608" s="20"/>
    </row>
    <row r="3609" spans="38:38" x14ac:dyDescent="0.35">
      <c r="AL3609" s="20"/>
    </row>
    <row r="3610" spans="38:38" x14ac:dyDescent="0.35">
      <c r="AL3610" s="20"/>
    </row>
    <row r="3611" spans="38:38" x14ac:dyDescent="0.35">
      <c r="AL3611" s="20"/>
    </row>
    <row r="3612" spans="38:38" x14ac:dyDescent="0.35">
      <c r="AL3612" s="20"/>
    </row>
    <row r="3613" spans="38:38" x14ac:dyDescent="0.35">
      <c r="AL3613" s="20"/>
    </row>
    <row r="3614" spans="38:38" x14ac:dyDescent="0.35">
      <c r="AL3614" s="20"/>
    </row>
    <row r="3615" spans="38:38" x14ac:dyDescent="0.35">
      <c r="AL3615" s="20"/>
    </row>
    <row r="3616" spans="38:38" x14ac:dyDescent="0.35">
      <c r="AL3616" s="20"/>
    </row>
    <row r="3617" spans="38:38" x14ac:dyDescent="0.35">
      <c r="AL3617" s="20"/>
    </row>
    <row r="3618" spans="38:38" x14ac:dyDescent="0.35">
      <c r="AL3618" s="20"/>
    </row>
    <row r="3619" spans="38:38" x14ac:dyDescent="0.35">
      <c r="AL3619" s="20"/>
    </row>
    <row r="3620" spans="38:38" x14ac:dyDescent="0.35">
      <c r="AL3620" s="20"/>
    </row>
    <row r="3621" spans="38:38" x14ac:dyDescent="0.35">
      <c r="AL3621" s="20"/>
    </row>
    <row r="3622" spans="38:38" x14ac:dyDescent="0.35">
      <c r="AL3622" s="20"/>
    </row>
    <row r="3623" spans="38:38" x14ac:dyDescent="0.35">
      <c r="AL3623" s="20"/>
    </row>
    <row r="3624" spans="38:38" x14ac:dyDescent="0.35">
      <c r="AL3624" s="20"/>
    </row>
    <row r="3625" spans="38:38" x14ac:dyDescent="0.35">
      <c r="AL3625" s="20"/>
    </row>
    <row r="3626" spans="38:38" x14ac:dyDescent="0.35">
      <c r="AL3626" s="20"/>
    </row>
    <row r="3627" spans="38:38" x14ac:dyDescent="0.35">
      <c r="AL3627" s="20"/>
    </row>
    <row r="3628" spans="38:38" x14ac:dyDescent="0.35">
      <c r="AL3628" s="20"/>
    </row>
    <row r="3629" spans="38:38" x14ac:dyDescent="0.35">
      <c r="AL3629" s="20"/>
    </row>
    <row r="3630" spans="38:38" x14ac:dyDescent="0.35">
      <c r="AL3630" s="20"/>
    </row>
    <row r="3631" spans="38:38" x14ac:dyDescent="0.35">
      <c r="AL3631" s="20"/>
    </row>
    <row r="3632" spans="38:38" x14ac:dyDescent="0.35">
      <c r="AL3632" s="20"/>
    </row>
    <row r="3633" spans="38:38" x14ac:dyDescent="0.35">
      <c r="AL3633" s="20"/>
    </row>
    <row r="3634" spans="38:38" x14ac:dyDescent="0.35">
      <c r="AL3634" s="20"/>
    </row>
    <row r="3635" spans="38:38" x14ac:dyDescent="0.35">
      <c r="AL3635" s="20"/>
    </row>
    <row r="3636" spans="38:38" x14ac:dyDescent="0.35">
      <c r="AL3636" s="20"/>
    </row>
    <row r="3637" spans="38:38" x14ac:dyDescent="0.35">
      <c r="AL3637" s="20"/>
    </row>
    <row r="3638" spans="38:38" x14ac:dyDescent="0.35">
      <c r="AL3638" s="20"/>
    </row>
    <row r="3639" spans="38:38" x14ac:dyDescent="0.35">
      <c r="AL3639" s="20"/>
    </row>
    <row r="3640" spans="38:38" x14ac:dyDescent="0.35">
      <c r="AL3640" s="20"/>
    </row>
    <row r="3641" spans="38:38" x14ac:dyDescent="0.35">
      <c r="AL3641" s="20"/>
    </row>
    <row r="3642" spans="38:38" x14ac:dyDescent="0.35">
      <c r="AL3642" s="20"/>
    </row>
    <row r="3643" spans="38:38" x14ac:dyDescent="0.35">
      <c r="AL3643" s="20"/>
    </row>
    <row r="3644" spans="38:38" x14ac:dyDescent="0.35">
      <c r="AL3644" s="20"/>
    </row>
    <row r="3645" spans="38:38" x14ac:dyDescent="0.35">
      <c r="AL3645" s="20"/>
    </row>
    <row r="3646" spans="38:38" x14ac:dyDescent="0.35">
      <c r="AL3646" s="20"/>
    </row>
    <row r="3647" spans="38:38" x14ac:dyDescent="0.35">
      <c r="AL3647" s="20"/>
    </row>
    <row r="3648" spans="38:38" x14ac:dyDescent="0.35">
      <c r="AL3648" s="20"/>
    </row>
    <row r="3649" spans="38:38" x14ac:dyDescent="0.35">
      <c r="AL3649" s="20"/>
    </row>
    <row r="3650" spans="38:38" x14ac:dyDescent="0.35">
      <c r="AL3650" s="20"/>
    </row>
    <row r="3651" spans="38:38" x14ac:dyDescent="0.35">
      <c r="AL3651" s="20"/>
    </row>
    <row r="3652" spans="38:38" x14ac:dyDescent="0.35">
      <c r="AL3652" s="20"/>
    </row>
    <row r="3653" spans="38:38" x14ac:dyDescent="0.35">
      <c r="AL3653" s="20"/>
    </row>
    <row r="3654" spans="38:38" x14ac:dyDescent="0.35">
      <c r="AL3654" s="20"/>
    </row>
    <row r="3655" spans="38:38" x14ac:dyDescent="0.35">
      <c r="AL3655" s="20"/>
    </row>
    <row r="3656" spans="38:38" x14ac:dyDescent="0.35">
      <c r="AL3656" s="20"/>
    </row>
    <row r="3657" spans="38:38" x14ac:dyDescent="0.35">
      <c r="AL3657" s="20"/>
    </row>
    <row r="3658" spans="38:38" x14ac:dyDescent="0.35">
      <c r="AL3658" s="20"/>
    </row>
    <row r="3659" spans="38:38" x14ac:dyDescent="0.35">
      <c r="AL3659" s="20"/>
    </row>
    <row r="3660" spans="38:38" x14ac:dyDescent="0.35">
      <c r="AL3660" s="20"/>
    </row>
    <row r="3661" spans="38:38" x14ac:dyDescent="0.35">
      <c r="AL3661" s="20"/>
    </row>
    <row r="3662" spans="38:38" x14ac:dyDescent="0.35">
      <c r="AL3662" s="20"/>
    </row>
    <row r="3663" spans="38:38" x14ac:dyDescent="0.35">
      <c r="AL3663" s="20"/>
    </row>
    <row r="3664" spans="38:38" x14ac:dyDescent="0.35">
      <c r="AL3664" s="20"/>
    </row>
    <row r="3665" spans="38:38" x14ac:dyDescent="0.35">
      <c r="AL3665" s="20"/>
    </row>
    <row r="3666" spans="38:38" x14ac:dyDescent="0.35">
      <c r="AL3666" s="20"/>
    </row>
    <row r="3667" spans="38:38" x14ac:dyDescent="0.35">
      <c r="AL3667" s="20"/>
    </row>
    <row r="3668" spans="38:38" x14ac:dyDescent="0.35">
      <c r="AL3668" s="20"/>
    </row>
    <row r="3669" spans="38:38" x14ac:dyDescent="0.35">
      <c r="AL3669" s="20"/>
    </row>
    <row r="3670" spans="38:38" x14ac:dyDescent="0.35">
      <c r="AL3670" s="20"/>
    </row>
    <row r="3671" spans="38:38" x14ac:dyDescent="0.35">
      <c r="AL3671" s="20"/>
    </row>
    <row r="3672" spans="38:38" x14ac:dyDescent="0.35">
      <c r="AL3672" s="20"/>
    </row>
    <row r="3673" spans="38:38" x14ac:dyDescent="0.35">
      <c r="AL3673" s="20"/>
    </row>
    <row r="3674" spans="38:38" x14ac:dyDescent="0.35">
      <c r="AL3674" s="20"/>
    </row>
    <row r="3675" spans="38:38" x14ac:dyDescent="0.35">
      <c r="AL3675" s="20"/>
    </row>
    <row r="3676" spans="38:38" x14ac:dyDescent="0.35">
      <c r="AL3676" s="20"/>
    </row>
    <row r="3677" spans="38:38" x14ac:dyDescent="0.35">
      <c r="AL3677" s="20"/>
    </row>
    <row r="3678" spans="38:38" x14ac:dyDescent="0.35">
      <c r="AL3678" s="20"/>
    </row>
    <row r="3679" spans="38:38" x14ac:dyDescent="0.35">
      <c r="AL3679" s="20"/>
    </row>
    <row r="3680" spans="38:38" x14ac:dyDescent="0.35">
      <c r="AL3680" s="20"/>
    </row>
    <row r="3681" spans="38:38" x14ac:dyDescent="0.35">
      <c r="AL3681" s="20"/>
    </row>
    <row r="3682" spans="38:38" x14ac:dyDescent="0.35">
      <c r="AL3682" s="20"/>
    </row>
    <row r="3683" spans="38:38" x14ac:dyDescent="0.35">
      <c r="AL3683" s="20"/>
    </row>
    <row r="3684" spans="38:38" x14ac:dyDescent="0.35">
      <c r="AL3684" s="20"/>
    </row>
    <row r="3685" spans="38:38" x14ac:dyDescent="0.35">
      <c r="AL3685" s="20"/>
    </row>
    <row r="3686" spans="38:38" x14ac:dyDescent="0.35">
      <c r="AL3686" s="20"/>
    </row>
    <row r="3687" spans="38:38" x14ac:dyDescent="0.35">
      <c r="AL3687" s="20"/>
    </row>
    <row r="3688" spans="38:38" x14ac:dyDescent="0.35">
      <c r="AL3688" s="20"/>
    </row>
    <row r="3689" spans="38:38" x14ac:dyDescent="0.35">
      <c r="AL3689" s="20"/>
    </row>
    <row r="3690" spans="38:38" x14ac:dyDescent="0.35">
      <c r="AL3690" s="20"/>
    </row>
    <row r="3691" spans="38:38" x14ac:dyDescent="0.35">
      <c r="AL3691" s="20"/>
    </row>
    <row r="3692" spans="38:38" x14ac:dyDescent="0.35">
      <c r="AL3692" s="20"/>
    </row>
    <row r="3693" spans="38:38" x14ac:dyDescent="0.35">
      <c r="AL3693" s="20"/>
    </row>
    <row r="3694" spans="38:38" x14ac:dyDescent="0.35">
      <c r="AL3694" s="20"/>
    </row>
    <row r="3695" spans="38:38" x14ac:dyDescent="0.35">
      <c r="AL3695" s="20"/>
    </row>
    <row r="3696" spans="38:38" x14ac:dyDescent="0.35">
      <c r="AL3696" s="20"/>
    </row>
    <row r="3697" spans="38:38" x14ac:dyDescent="0.35">
      <c r="AL3697" s="20"/>
    </row>
    <row r="3698" spans="38:38" x14ac:dyDescent="0.35">
      <c r="AL3698" s="20"/>
    </row>
    <row r="3699" spans="38:38" x14ac:dyDescent="0.35">
      <c r="AL3699" s="20"/>
    </row>
    <row r="3700" spans="38:38" x14ac:dyDescent="0.35">
      <c r="AL3700" s="20"/>
    </row>
    <row r="3701" spans="38:38" x14ac:dyDescent="0.35">
      <c r="AL3701" s="20"/>
    </row>
    <row r="3702" spans="38:38" x14ac:dyDescent="0.35">
      <c r="AL3702" s="20"/>
    </row>
    <row r="3703" spans="38:38" x14ac:dyDescent="0.35">
      <c r="AL3703" s="20"/>
    </row>
    <row r="3704" spans="38:38" x14ac:dyDescent="0.35">
      <c r="AL3704" s="20"/>
    </row>
    <row r="3705" spans="38:38" x14ac:dyDescent="0.35">
      <c r="AL3705" s="20"/>
    </row>
    <row r="3706" spans="38:38" x14ac:dyDescent="0.35">
      <c r="AL3706" s="20"/>
    </row>
    <row r="3707" spans="38:38" x14ac:dyDescent="0.35">
      <c r="AL3707" s="20"/>
    </row>
    <row r="3708" spans="38:38" x14ac:dyDescent="0.35">
      <c r="AL3708" s="20"/>
    </row>
    <row r="3709" spans="38:38" x14ac:dyDescent="0.35">
      <c r="AL3709" s="20"/>
    </row>
    <row r="3710" spans="38:38" x14ac:dyDescent="0.35">
      <c r="AL3710" s="20"/>
    </row>
    <row r="3711" spans="38:38" x14ac:dyDescent="0.35">
      <c r="AL3711" s="20"/>
    </row>
    <row r="3712" spans="38:38" x14ac:dyDescent="0.35">
      <c r="AL3712" s="20"/>
    </row>
    <row r="3713" spans="38:38" x14ac:dyDescent="0.35">
      <c r="AL3713" s="20"/>
    </row>
    <row r="3714" spans="38:38" x14ac:dyDescent="0.35">
      <c r="AL3714" s="20"/>
    </row>
    <row r="3715" spans="38:38" x14ac:dyDescent="0.35">
      <c r="AL3715" s="20"/>
    </row>
    <row r="3716" spans="38:38" x14ac:dyDescent="0.35">
      <c r="AL3716" s="20"/>
    </row>
    <row r="3717" spans="38:38" x14ac:dyDescent="0.35">
      <c r="AL3717" s="20"/>
    </row>
    <row r="3718" spans="38:38" x14ac:dyDescent="0.35">
      <c r="AL3718" s="20"/>
    </row>
    <row r="3719" spans="38:38" x14ac:dyDescent="0.35">
      <c r="AL3719" s="20"/>
    </row>
    <row r="3720" spans="38:38" x14ac:dyDescent="0.35">
      <c r="AL3720" s="20"/>
    </row>
    <row r="3721" spans="38:38" x14ac:dyDescent="0.35">
      <c r="AL3721" s="20"/>
    </row>
    <row r="3722" spans="38:38" x14ac:dyDescent="0.35">
      <c r="AL3722" s="20"/>
    </row>
    <row r="3723" spans="38:38" x14ac:dyDescent="0.35">
      <c r="AL3723" s="20"/>
    </row>
    <row r="3724" spans="38:38" x14ac:dyDescent="0.35">
      <c r="AL3724" s="20"/>
    </row>
    <row r="3725" spans="38:38" x14ac:dyDescent="0.35">
      <c r="AL3725" s="20"/>
    </row>
    <row r="3726" spans="38:38" x14ac:dyDescent="0.35">
      <c r="AL3726" s="20"/>
    </row>
    <row r="3727" spans="38:38" x14ac:dyDescent="0.35">
      <c r="AL3727" s="20"/>
    </row>
    <row r="3728" spans="38:38" x14ac:dyDescent="0.35">
      <c r="AL3728" s="20"/>
    </row>
    <row r="3729" spans="38:38" x14ac:dyDescent="0.35">
      <c r="AL3729" s="20"/>
    </row>
    <row r="3730" spans="38:38" x14ac:dyDescent="0.35">
      <c r="AL3730" s="20"/>
    </row>
    <row r="3731" spans="38:38" x14ac:dyDescent="0.35">
      <c r="AL3731" s="20"/>
    </row>
    <row r="3732" spans="38:38" x14ac:dyDescent="0.35">
      <c r="AL3732" s="20"/>
    </row>
    <row r="3733" spans="38:38" x14ac:dyDescent="0.35">
      <c r="AL3733" s="20"/>
    </row>
    <row r="3734" spans="38:38" x14ac:dyDescent="0.35">
      <c r="AL3734" s="20"/>
    </row>
    <row r="3735" spans="38:38" x14ac:dyDescent="0.35">
      <c r="AL3735" s="20"/>
    </row>
    <row r="3736" spans="38:38" x14ac:dyDescent="0.35">
      <c r="AL3736" s="20"/>
    </row>
    <row r="3737" spans="38:38" x14ac:dyDescent="0.35">
      <c r="AL3737" s="20"/>
    </row>
    <row r="3738" spans="38:38" x14ac:dyDescent="0.35">
      <c r="AL3738" s="20"/>
    </row>
    <row r="3739" spans="38:38" x14ac:dyDescent="0.35">
      <c r="AL3739" s="20"/>
    </row>
    <row r="3740" spans="38:38" x14ac:dyDescent="0.35">
      <c r="AL3740" s="20"/>
    </row>
    <row r="3741" spans="38:38" x14ac:dyDescent="0.35">
      <c r="AL3741" s="20"/>
    </row>
    <row r="3742" spans="38:38" x14ac:dyDescent="0.35">
      <c r="AL3742" s="20"/>
    </row>
    <row r="3743" spans="38:38" x14ac:dyDescent="0.35">
      <c r="AL3743" s="20"/>
    </row>
    <row r="3744" spans="38:38" x14ac:dyDescent="0.35">
      <c r="AL3744" s="20"/>
    </row>
    <row r="3745" spans="38:38" x14ac:dyDescent="0.35">
      <c r="AL3745" s="20"/>
    </row>
    <row r="3746" spans="38:38" x14ac:dyDescent="0.35">
      <c r="AL3746" s="20"/>
    </row>
    <row r="3747" spans="38:38" x14ac:dyDescent="0.35">
      <c r="AL3747" s="20"/>
    </row>
    <row r="3748" spans="38:38" x14ac:dyDescent="0.35">
      <c r="AL3748" s="20"/>
    </row>
    <row r="3749" spans="38:38" x14ac:dyDescent="0.35">
      <c r="AL3749" s="20"/>
    </row>
    <row r="3750" spans="38:38" x14ac:dyDescent="0.35">
      <c r="AL3750" s="20"/>
    </row>
    <row r="3751" spans="38:38" x14ac:dyDescent="0.35">
      <c r="AL3751" s="20"/>
    </row>
    <row r="3752" spans="38:38" x14ac:dyDescent="0.35">
      <c r="AL3752" s="20"/>
    </row>
    <row r="3753" spans="38:38" x14ac:dyDescent="0.35">
      <c r="AL3753" s="20"/>
    </row>
    <row r="3754" spans="38:38" x14ac:dyDescent="0.35">
      <c r="AL3754" s="20"/>
    </row>
    <row r="3755" spans="38:38" x14ac:dyDescent="0.35">
      <c r="AL3755" s="20"/>
    </row>
    <row r="3756" spans="38:38" x14ac:dyDescent="0.35">
      <c r="AL3756" s="20"/>
    </row>
    <row r="3757" spans="38:38" x14ac:dyDescent="0.35">
      <c r="AL3757" s="20"/>
    </row>
    <row r="3758" spans="38:38" x14ac:dyDescent="0.35">
      <c r="AL3758" s="20"/>
    </row>
    <row r="3759" spans="38:38" x14ac:dyDescent="0.35">
      <c r="AL3759" s="20"/>
    </row>
    <row r="3760" spans="38:38" x14ac:dyDescent="0.35">
      <c r="AL3760" s="20"/>
    </row>
    <row r="3761" spans="38:38" x14ac:dyDescent="0.35">
      <c r="AL3761" s="20"/>
    </row>
    <row r="3762" spans="38:38" x14ac:dyDescent="0.35">
      <c r="AL3762" s="20"/>
    </row>
    <row r="3763" spans="38:38" x14ac:dyDescent="0.35">
      <c r="AL3763" s="20"/>
    </row>
    <row r="3764" spans="38:38" x14ac:dyDescent="0.35">
      <c r="AL3764" s="20"/>
    </row>
    <row r="3765" spans="38:38" x14ac:dyDescent="0.35">
      <c r="AL3765" s="20"/>
    </row>
    <row r="3766" spans="38:38" x14ac:dyDescent="0.35">
      <c r="AL3766" s="20"/>
    </row>
    <row r="3767" spans="38:38" x14ac:dyDescent="0.35">
      <c r="AL3767" s="20"/>
    </row>
    <row r="3768" spans="38:38" x14ac:dyDescent="0.35">
      <c r="AL3768" s="20"/>
    </row>
    <row r="3769" spans="38:38" x14ac:dyDescent="0.35">
      <c r="AL3769" s="20"/>
    </row>
    <row r="3770" spans="38:38" x14ac:dyDescent="0.35">
      <c r="AL3770" s="20"/>
    </row>
    <row r="3771" spans="38:38" x14ac:dyDescent="0.35">
      <c r="AL3771" s="20"/>
    </row>
    <row r="3772" spans="38:38" x14ac:dyDescent="0.35">
      <c r="AL3772" s="20"/>
    </row>
    <row r="3773" spans="38:38" x14ac:dyDescent="0.35">
      <c r="AL3773" s="20"/>
    </row>
    <row r="3774" spans="38:38" x14ac:dyDescent="0.35">
      <c r="AL3774" s="20"/>
    </row>
    <row r="3775" spans="38:38" x14ac:dyDescent="0.35">
      <c r="AL3775" s="20"/>
    </row>
    <row r="3776" spans="38:38" x14ac:dyDescent="0.35">
      <c r="AL3776" s="20"/>
    </row>
    <row r="3777" spans="38:38" x14ac:dyDescent="0.35">
      <c r="AL3777" s="20"/>
    </row>
    <row r="3778" spans="38:38" x14ac:dyDescent="0.35">
      <c r="AL3778" s="20"/>
    </row>
    <row r="3779" spans="38:38" x14ac:dyDescent="0.35">
      <c r="AL3779" s="20"/>
    </row>
    <row r="3780" spans="38:38" x14ac:dyDescent="0.35">
      <c r="AL3780" s="20"/>
    </row>
    <row r="3781" spans="38:38" x14ac:dyDescent="0.35">
      <c r="AL3781" s="20"/>
    </row>
    <row r="3782" spans="38:38" x14ac:dyDescent="0.35">
      <c r="AL3782" s="20"/>
    </row>
    <row r="3783" spans="38:38" x14ac:dyDescent="0.35">
      <c r="AL3783" s="20"/>
    </row>
    <row r="3784" spans="38:38" x14ac:dyDescent="0.35">
      <c r="AL3784" s="20"/>
    </row>
    <row r="3785" spans="38:38" x14ac:dyDescent="0.35">
      <c r="AL3785" s="20"/>
    </row>
    <row r="3786" spans="38:38" x14ac:dyDescent="0.35">
      <c r="AL3786" s="20"/>
    </row>
    <row r="3787" spans="38:38" x14ac:dyDescent="0.35">
      <c r="AL3787" s="20"/>
    </row>
    <row r="3788" spans="38:38" x14ac:dyDescent="0.35">
      <c r="AL3788" s="20"/>
    </row>
    <row r="3789" spans="38:38" x14ac:dyDescent="0.35">
      <c r="AL3789" s="20"/>
    </row>
    <row r="3790" spans="38:38" x14ac:dyDescent="0.35">
      <c r="AL3790" s="20"/>
    </row>
    <row r="3791" spans="38:38" x14ac:dyDescent="0.35">
      <c r="AL3791" s="20"/>
    </row>
    <row r="3792" spans="38:38" x14ac:dyDescent="0.35">
      <c r="AL3792" s="20"/>
    </row>
    <row r="3793" spans="38:38" x14ac:dyDescent="0.35">
      <c r="AL3793" s="20"/>
    </row>
    <row r="3794" spans="38:38" x14ac:dyDescent="0.35">
      <c r="AL3794" s="20"/>
    </row>
    <row r="3795" spans="38:38" x14ac:dyDescent="0.35">
      <c r="AL3795" s="20"/>
    </row>
    <row r="3796" spans="38:38" x14ac:dyDescent="0.35">
      <c r="AL3796" s="20"/>
    </row>
    <row r="3797" spans="38:38" x14ac:dyDescent="0.35">
      <c r="AL3797" s="20"/>
    </row>
    <row r="3798" spans="38:38" x14ac:dyDescent="0.35">
      <c r="AL3798" s="20"/>
    </row>
    <row r="3799" spans="38:38" x14ac:dyDescent="0.35">
      <c r="AL3799" s="20"/>
    </row>
    <row r="3800" spans="38:38" x14ac:dyDescent="0.35">
      <c r="AL3800" s="20"/>
    </row>
    <row r="3801" spans="38:38" x14ac:dyDescent="0.35">
      <c r="AL3801" s="20"/>
    </row>
    <row r="3802" spans="38:38" x14ac:dyDescent="0.35">
      <c r="AL3802" s="20"/>
    </row>
    <row r="3803" spans="38:38" x14ac:dyDescent="0.35">
      <c r="AL3803" s="20"/>
    </row>
    <row r="3804" spans="38:38" x14ac:dyDescent="0.35">
      <c r="AL3804" s="20"/>
    </row>
    <row r="3805" spans="38:38" x14ac:dyDescent="0.35">
      <c r="AL3805" s="20"/>
    </row>
    <row r="3806" spans="38:38" x14ac:dyDescent="0.35">
      <c r="AL3806" s="20"/>
    </row>
    <row r="3807" spans="38:38" x14ac:dyDescent="0.35">
      <c r="AL3807" s="20"/>
    </row>
    <row r="3808" spans="38:38" x14ac:dyDescent="0.35">
      <c r="AL3808" s="20"/>
    </row>
    <row r="3809" spans="38:38" x14ac:dyDescent="0.35">
      <c r="AL3809" s="20"/>
    </row>
    <row r="3810" spans="38:38" x14ac:dyDescent="0.35">
      <c r="AL3810" s="20"/>
    </row>
    <row r="3811" spans="38:38" x14ac:dyDescent="0.35">
      <c r="AL3811" s="20"/>
    </row>
    <row r="3812" spans="38:38" x14ac:dyDescent="0.35">
      <c r="AL3812" s="20"/>
    </row>
    <row r="3813" spans="38:38" x14ac:dyDescent="0.35">
      <c r="AL3813" s="20"/>
    </row>
    <row r="3814" spans="38:38" x14ac:dyDescent="0.35">
      <c r="AL3814" s="20"/>
    </row>
    <row r="3815" spans="38:38" x14ac:dyDescent="0.35">
      <c r="AL3815" s="20"/>
    </row>
    <row r="3816" spans="38:38" x14ac:dyDescent="0.35">
      <c r="AL3816" s="20"/>
    </row>
    <row r="3817" spans="38:38" x14ac:dyDescent="0.35">
      <c r="AL3817" s="20"/>
    </row>
    <row r="3818" spans="38:38" x14ac:dyDescent="0.35">
      <c r="AL3818" s="20"/>
    </row>
    <row r="3819" spans="38:38" x14ac:dyDescent="0.35">
      <c r="AL3819" s="20"/>
    </row>
    <row r="3820" spans="38:38" x14ac:dyDescent="0.35">
      <c r="AL3820" s="20"/>
    </row>
    <row r="3821" spans="38:38" x14ac:dyDescent="0.35">
      <c r="AL3821" s="20"/>
    </row>
    <row r="3822" spans="38:38" x14ac:dyDescent="0.35">
      <c r="AL3822" s="20"/>
    </row>
    <row r="3823" spans="38:38" x14ac:dyDescent="0.35">
      <c r="AL3823" s="20"/>
    </row>
    <row r="3824" spans="38:38" x14ac:dyDescent="0.35">
      <c r="AL3824" s="20"/>
    </row>
    <row r="3825" spans="38:38" x14ac:dyDescent="0.35">
      <c r="AL3825" s="20"/>
    </row>
    <row r="3826" spans="38:38" x14ac:dyDescent="0.35">
      <c r="AL3826" s="20"/>
    </row>
    <row r="3827" spans="38:38" x14ac:dyDescent="0.35">
      <c r="AL3827" s="20"/>
    </row>
    <row r="3828" spans="38:38" x14ac:dyDescent="0.35">
      <c r="AL3828" s="20"/>
    </row>
    <row r="3829" spans="38:38" x14ac:dyDescent="0.35">
      <c r="AL3829" s="20"/>
    </row>
    <row r="3830" spans="38:38" x14ac:dyDescent="0.35">
      <c r="AL3830" s="20"/>
    </row>
    <row r="3831" spans="38:38" x14ac:dyDescent="0.35">
      <c r="AL3831" s="20"/>
    </row>
    <row r="3832" spans="38:38" x14ac:dyDescent="0.35">
      <c r="AL3832" s="20"/>
    </row>
    <row r="3833" spans="38:38" x14ac:dyDescent="0.35">
      <c r="AL3833" s="20"/>
    </row>
    <row r="3834" spans="38:38" x14ac:dyDescent="0.35">
      <c r="AL3834" s="20"/>
    </row>
    <row r="3835" spans="38:38" x14ac:dyDescent="0.35">
      <c r="AL3835" s="20"/>
    </row>
    <row r="3836" spans="38:38" x14ac:dyDescent="0.35">
      <c r="AL3836" s="20"/>
    </row>
    <row r="3837" spans="38:38" x14ac:dyDescent="0.35">
      <c r="AL3837" s="20"/>
    </row>
    <row r="3838" spans="38:38" x14ac:dyDescent="0.35">
      <c r="AL3838" s="20"/>
    </row>
    <row r="3839" spans="38:38" x14ac:dyDescent="0.35">
      <c r="AL3839" s="20"/>
    </row>
    <row r="3840" spans="38:38" x14ac:dyDescent="0.35">
      <c r="AL3840" s="20"/>
    </row>
    <row r="3841" spans="38:38" x14ac:dyDescent="0.35">
      <c r="AL3841" s="20"/>
    </row>
    <row r="3842" spans="38:38" x14ac:dyDescent="0.35">
      <c r="AL3842" s="20"/>
    </row>
    <row r="3843" spans="38:38" x14ac:dyDescent="0.35">
      <c r="AL3843" s="20"/>
    </row>
    <row r="3844" spans="38:38" x14ac:dyDescent="0.35">
      <c r="AL3844" s="20"/>
    </row>
    <row r="3845" spans="38:38" x14ac:dyDescent="0.35">
      <c r="AL3845" s="20"/>
    </row>
    <row r="3846" spans="38:38" x14ac:dyDescent="0.35">
      <c r="AL3846" s="20"/>
    </row>
    <row r="3847" spans="38:38" x14ac:dyDescent="0.35">
      <c r="AL3847" s="20"/>
    </row>
    <row r="3848" spans="38:38" x14ac:dyDescent="0.35">
      <c r="AL3848" s="20"/>
    </row>
    <row r="3849" spans="38:38" x14ac:dyDescent="0.35">
      <c r="AL3849" s="20"/>
    </row>
    <row r="3850" spans="38:38" x14ac:dyDescent="0.35">
      <c r="AL3850" s="20"/>
    </row>
    <row r="3851" spans="38:38" x14ac:dyDescent="0.35">
      <c r="AL3851" s="20"/>
    </row>
    <row r="3852" spans="38:38" x14ac:dyDescent="0.35">
      <c r="AL3852" s="20"/>
    </row>
    <row r="3853" spans="38:38" x14ac:dyDescent="0.35">
      <c r="AL3853" s="20"/>
    </row>
    <row r="3854" spans="38:38" x14ac:dyDescent="0.35">
      <c r="AL3854" s="20"/>
    </row>
    <row r="3855" spans="38:38" x14ac:dyDescent="0.35">
      <c r="AL3855" s="20"/>
    </row>
    <row r="3856" spans="38:38" x14ac:dyDescent="0.35">
      <c r="AL3856" s="20"/>
    </row>
    <row r="3857" spans="38:38" x14ac:dyDescent="0.35">
      <c r="AL3857" s="20"/>
    </row>
    <row r="3858" spans="38:38" x14ac:dyDescent="0.35">
      <c r="AL3858" s="20"/>
    </row>
    <row r="3859" spans="38:38" x14ac:dyDescent="0.35">
      <c r="AL3859" s="20"/>
    </row>
    <row r="3860" spans="38:38" x14ac:dyDescent="0.35">
      <c r="AL3860" s="20"/>
    </row>
    <row r="3861" spans="38:38" x14ac:dyDescent="0.35">
      <c r="AL3861" s="20"/>
    </row>
    <row r="3862" spans="38:38" x14ac:dyDescent="0.35">
      <c r="AL3862" s="20"/>
    </row>
    <row r="3863" spans="38:38" x14ac:dyDescent="0.35">
      <c r="AL3863" s="20"/>
    </row>
    <row r="3864" spans="38:38" x14ac:dyDescent="0.35">
      <c r="AL3864" s="20"/>
    </row>
    <row r="3865" spans="38:38" x14ac:dyDescent="0.35">
      <c r="AL3865" s="20"/>
    </row>
    <row r="3866" spans="38:38" x14ac:dyDescent="0.35">
      <c r="AL3866" s="20"/>
    </row>
    <row r="3867" spans="38:38" x14ac:dyDescent="0.35">
      <c r="AL3867" s="20"/>
    </row>
    <row r="3868" spans="38:38" x14ac:dyDescent="0.35">
      <c r="AL3868" s="20"/>
    </row>
    <row r="3869" spans="38:38" x14ac:dyDescent="0.35">
      <c r="AL3869" s="20"/>
    </row>
    <row r="3870" spans="38:38" x14ac:dyDescent="0.35">
      <c r="AL3870" s="20"/>
    </row>
    <row r="3871" spans="38:38" x14ac:dyDescent="0.35">
      <c r="AL3871" s="20"/>
    </row>
    <row r="3872" spans="38:38" x14ac:dyDescent="0.35">
      <c r="AL3872" s="20"/>
    </row>
    <row r="3873" spans="38:38" x14ac:dyDescent="0.35">
      <c r="AL3873" s="20"/>
    </row>
    <row r="3874" spans="38:38" x14ac:dyDescent="0.35">
      <c r="AL3874" s="20"/>
    </row>
    <row r="3875" spans="38:38" x14ac:dyDescent="0.35">
      <c r="AL3875" s="20"/>
    </row>
    <row r="3876" spans="38:38" x14ac:dyDescent="0.35">
      <c r="AL3876" s="20"/>
    </row>
    <row r="3877" spans="38:38" x14ac:dyDescent="0.35">
      <c r="AL3877" s="20"/>
    </row>
    <row r="3878" spans="38:38" x14ac:dyDescent="0.35">
      <c r="AL3878" s="20"/>
    </row>
    <row r="3879" spans="38:38" x14ac:dyDescent="0.35">
      <c r="AL3879" s="20"/>
    </row>
    <row r="3880" spans="38:38" x14ac:dyDescent="0.35">
      <c r="AL3880" s="20"/>
    </row>
    <row r="3881" spans="38:38" x14ac:dyDescent="0.35">
      <c r="AL3881" s="20"/>
    </row>
    <row r="3882" spans="38:38" x14ac:dyDescent="0.35">
      <c r="AL3882" s="20"/>
    </row>
    <row r="3883" spans="38:38" x14ac:dyDescent="0.35">
      <c r="AL3883" s="20"/>
    </row>
    <row r="3884" spans="38:38" x14ac:dyDescent="0.35">
      <c r="AL3884" s="20"/>
    </row>
    <row r="3885" spans="38:38" x14ac:dyDescent="0.35">
      <c r="AL3885" s="20"/>
    </row>
    <row r="3886" spans="38:38" x14ac:dyDescent="0.35">
      <c r="AL3886" s="20"/>
    </row>
    <row r="3887" spans="38:38" x14ac:dyDescent="0.35">
      <c r="AL3887" s="20"/>
    </row>
    <row r="3888" spans="38:38" x14ac:dyDescent="0.35">
      <c r="AL3888" s="20"/>
    </row>
    <row r="3889" spans="38:38" x14ac:dyDescent="0.35">
      <c r="AL3889" s="20"/>
    </row>
    <row r="3890" spans="38:38" x14ac:dyDescent="0.35">
      <c r="AL3890" s="20"/>
    </row>
    <row r="3891" spans="38:38" x14ac:dyDescent="0.35">
      <c r="AL3891" s="20"/>
    </row>
    <row r="3892" spans="38:38" x14ac:dyDescent="0.35">
      <c r="AL3892" s="20"/>
    </row>
    <row r="3893" spans="38:38" x14ac:dyDescent="0.35">
      <c r="AL3893" s="20"/>
    </row>
    <row r="3894" spans="38:38" x14ac:dyDescent="0.35">
      <c r="AL3894" s="20"/>
    </row>
    <row r="3895" spans="38:38" x14ac:dyDescent="0.35">
      <c r="AL3895" s="20"/>
    </row>
    <row r="3896" spans="38:38" x14ac:dyDescent="0.35">
      <c r="AL3896" s="20"/>
    </row>
    <row r="3897" spans="38:38" x14ac:dyDescent="0.35">
      <c r="AL3897" s="20"/>
    </row>
    <row r="3898" spans="38:38" x14ac:dyDescent="0.35">
      <c r="AL3898" s="20"/>
    </row>
    <row r="3899" spans="38:38" x14ac:dyDescent="0.35">
      <c r="AL3899" s="20"/>
    </row>
    <row r="3900" spans="38:38" x14ac:dyDescent="0.35">
      <c r="AL3900" s="20"/>
    </row>
    <row r="3901" spans="38:38" x14ac:dyDescent="0.35">
      <c r="AL3901" s="20"/>
    </row>
    <row r="3902" spans="38:38" x14ac:dyDescent="0.35">
      <c r="AL3902" s="20"/>
    </row>
    <row r="3903" spans="38:38" x14ac:dyDescent="0.35">
      <c r="AL3903" s="20"/>
    </row>
    <row r="3904" spans="38:38" x14ac:dyDescent="0.35">
      <c r="AL3904" s="20"/>
    </row>
    <row r="3905" spans="38:38" x14ac:dyDescent="0.35">
      <c r="AL3905" s="20"/>
    </row>
    <row r="3906" spans="38:38" x14ac:dyDescent="0.35">
      <c r="AL3906" s="20"/>
    </row>
    <row r="3907" spans="38:38" x14ac:dyDescent="0.35">
      <c r="AL3907" s="20"/>
    </row>
    <row r="3908" spans="38:38" x14ac:dyDescent="0.35">
      <c r="AL3908" s="20"/>
    </row>
    <row r="3909" spans="38:38" x14ac:dyDescent="0.35">
      <c r="AL3909" s="20"/>
    </row>
    <row r="3910" spans="38:38" x14ac:dyDescent="0.35">
      <c r="AL3910" s="20"/>
    </row>
    <row r="3911" spans="38:38" x14ac:dyDescent="0.35">
      <c r="AL3911" s="20"/>
    </row>
    <row r="3912" spans="38:38" x14ac:dyDescent="0.35">
      <c r="AL3912" s="20"/>
    </row>
    <row r="3913" spans="38:38" x14ac:dyDescent="0.35">
      <c r="AL3913" s="20"/>
    </row>
    <row r="3914" spans="38:38" x14ac:dyDescent="0.35">
      <c r="AL3914" s="20"/>
    </row>
    <row r="3915" spans="38:38" x14ac:dyDescent="0.35">
      <c r="AL3915" s="20"/>
    </row>
    <row r="3916" spans="38:38" x14ac:dyDescent="0.35">
      <c r="AL3916" s="20"/>
    </row>
    <row r="3917" spans="38:38" x14ac:dyDescent="0.35">
      <c r="AL3917" s="20"/>
    </row>
    <row r="3918" spans="38:38" x14ac:dyDescent="0.35">
      <c r="AL3918" s="20"/>
    </row>
    <row r="3919" spans="38:38" x14ac:dyDescent="0.35">
      <c r="AL3919" s="20"/>
    </row>
    <row r="3920" spans="38:38" x14ac:dyDescent="0.35">
      <c r="AL3920" s="20"/>
    </row>
    <row r="3921" spans="38:38" x14ac:dyDescent="0.35">
      <c r="AL3921" s="20"/>
    </row>
    <row r="3922" spans="38:38" x14ac:dyDescent="0.35">
      <c r="AL3922" s="20"/>
    </row>
    <row r="3923" spans="38:38" x14ac:dyDescent="0.35">
      <c r="AL3923" s="20"/>
    </row>
    <row r="3924" spans="38:38" x14ac:dyDescent="0.35">
      <c r="AL3924" s="20"/>
    </row>
    <row r="3925" spans="38:38" x14ac:dyDescent="0.35">
      <c r="AL3925" s="20"/>
    </row>
    <row r="3926" spans="38:38" x14ac:dyDescent="0.35">
      <c r="AL3926" s="20"/>
    </row>
    <row r="3927" spans="38:38" x14ac:dyDescent="0.35">
      <c r="AL3927" s="20"/>
    </row>
    <row r="3928" spans="38:38" x14ac:dyDescent="0.35">
      <c r="AL3928" s="20"/>
    </row>
    <row r="3929" spans="38:38" x14ac:dyDescent="0.35">
      <c r="AL3929" s="20"/>
    </row>
    <row r="3930" spans="38:38" x14ac:dyDescent="0.35">
      <c r="AL3930" s="20"/>
    </row>
    <row r="3931" spans="38:38" x14ac:dyDescent="0.35">
      <c r="AL3931" s="20"/>
    </row>
    <row r="3932" spans="38:38" x14ac:dyDescent="0.35">
      <c r="AL3932" s="20"/>
    </row>
    <row r="3933" spans="38:38" x14ac:dyDescent="0.35">
      <c r="AL3933" s="20"/>
    </row>
    <row r="3934" spans="38:38" x14ac:dyDescent="0.35">
      <c r="AL3934" s="20"/>
    </row>
    <row r="3935" spans="38:38" x14ac:dyDescent="0.35">
      <c r="AL3935" s="20"/>
    </row>
    <row r="3936" spans="38:38" x14ac:dyDescent="0.35">
      <c r="AL3936" s="20"/>
    </row>
    <row r="3937" spans="38:38" x14ac:dyDescent="0.35">
      <c r="AL3937" s="20"/>
    </row>
    <row r="3938" spans="38:38" x14ac:dyDescent="0.35">
      <c r="AL3938" s="20"/>
    </row>
    <row r="3939" spans="38:38" x14ac:dyDescent="0.35">
      <c r="AL3939" s="20"/>
    </row>
    <row r="3940" spans="38:38" x14ac:dyDescent="0.35">
      <c r="AL3940" s="20"/>
    </row>
    <row r="3941" spans="38:38" x14ac:dyDescent="0.35">
      <c r="AL3941" s="20"/>
    </row>
    <row r="3942" spans="38:38" x14ac:dyDescent="0.35">
      <c r="AL3942" s="20"/>
    </row>
    <row r="3943" spans="38:38" x14ac:dyDescent="0.35">
      <c r="AL3943" s="20"/>
    </row>
    <row r="3944" spans="38:38" x14ac:dyDescent="0.35">
      <c r="AL3944" s="20"/>
    </row>
    <row r="3945" spans="38:38" x14ac:dyDescent="0.35">
      <c r="AL3945" s="20"/>
    </row>
    <row r="3946" spans="38:38" x14ac:dyDescent="0.35">
      <c r="AL3946" s="20"/>
    </row>
    <row r="3947" spans="38:38" x14ac:dyDescent="0.35">
      <c r="AL3947" s="20"/>
    </row>
    <row r="3948" spans="38:38" x14ac:dyDescent="0.35">
      <c r="AL3948" s="20"/>
    </row>
    <row r="3949" spans="38:38" x14ac:dyDescent="0.35">
      <c r="AL3949" s="20"/>
    </row>
    <row r="3950" spans="38:38" x14ac:dyDescent="0.35">
      <c r="AL3950" s="20"/>
    </row>
    <row r="3951" spans="38:38" x14ac:dyDescent="0.35">
      <c r="AL3951" s="20"/>
    </row>
    <row r="3952" spans="38:38" x14ac:dyDescent="0.35">
      <c r="AL3952" s="20"/>
    </row>
    <row r="3953" spans="38:38" x14ac:dyDescent="0.35">
      <c r="AL3953" s="20"/>
    </row>
    <row r="3954" spans="38:38" x14ac:dyDescent="0.35">
      <c r="AL3954" s="20"/>
    </row>
    <row r="3955" spans="38:38" x14ac:dyDescent="0.35">
      <c r="AL3955" s="20"/>
    </row>
    <row r="3956" spans="38:38" x14ac:dyDescent="0.35">
      <c r="AL3956" s="20"/>
    </row>
    <row r="3957" spans="38:38" x14ac:dyDescent="0.35">
      <c r="AL3957" s="20"/>
    </row>
    <row r="3958" spans="38:38" x14ac:dyDescent="0.35">
      <c r="AL3958" s="20"/>
    </row>
    <row r="3959" spans="38:38" x14ac:dyDescent="0.35">
      <c r="AL3959" s="20"/>
    </row>
    <row r="3960" spans="38:38" x14ac:dyDescent="0.35">
      <c r="AL3960" s="20"/>
    </row>
    <row r="3961" spans="38:38" x14ac:dyDescent="0.35">
      <c r="AL3961" s="20"/>
    </row>
    <row r="3962" spans="38:38" x14ac:dyDescent="0.35">
      <c r="AL3962" s="20"/>
    </row>
    <row r="3963" spans="38:38" x14ac:dyDescent="0.35">
      <c r="AL3963" s="20"/>
    </row>
    <row r="3964" spans="38:38" x14ac:dyDescent="0.35">
      <c r="AL3964" s="20"/>
    </row>
    <row r="3965" spans="38:38" x14ac:dyDescent="0.35">
      <c r="AL3965" s="20"/>
    </row>
    <row r="3966" spans="38:38" x14ac:dyDescent="0.35">
      <c r="AL3966" s="20"/>
    </row>
    <row r="3967" spans="38:38" x14ac:dyDescent="0.35">
      <c r="AL3967" s="20"/>
    </row>
    <row r="3968" spans="38:38" x14ac:dyDescent="0.35">
      <c r="AL3968" s="20"/>
    </row>
    <row r="3969" spans="38:38" x14ac:dyDescent="0.35">
      <c r="AL3969" s="20"/>
    </row>
    <row r="3970" spans="38:38" x14ac:dyDescent="0.35">
      <c r="AL3970" s="20"/>
    </row>
    <row r="3971" spans="38:38" x14ac:dyDescent="0.35">
      <c r="AL3971" s="20"/>
    </row>
    <row r="3972" spans="38:38" x14ac:dyDescent="0.35">
      <c r="AL3972" s="20"/>
    </row>
    <row r="3973" spans="38:38" x14ac:dyDescent="0.35">
      <c r="AL3973" s="20"/>
    </row>
    <row r="3974" spans="38:38" x14ac:dyDescent="0.35">
      <c r="AL3974" s="20"/>
    </row>
    <row r="3975" spans="38:38" x14ac:dyDescent="0.35">
      <c r="AL3975" s="20"/>
    </row>
    <row r="3976" spans="38:38" x14ac:dyDescent="0.35">
      <c r="AL3976" s="20"/>
    </row>
    <row r="3977" spans="38:38" x14ac:dyDescent="0.35">
      <c r="AL3977" s="20"/>
    </row>
    <row r="3978" spans="38:38" x14ac:dyDescent="0.35">
      <c r="AL3978" s="20"/>
    </row>
    <row r="3979" spans="38:38" x14ac:dyDescent="0.35">
      <c r="AL3979" s="20"/>
    </row>
    <row r="3980" spans="38:38" x14ac:dyDescent="0.35">
      <c r="AL3980" s="20"/>
    </row>
    <row r="3981" spans="38:38" x14ac:dyDescent="0.35">
      <c r="AL3981" s="20"/>
    </row>
    <row r="3982" spans="38:38" x14ac:dyDescent="0.35">
      <c r="AL3982" s="20"/>
    </row>
    <row r="3983" spans="38:38" x14ac:dyDescent="0.35">
      <c r="AL3983" s="20"/>
    </row>
    <row r="3984" spans="38:38" x14ac:dyDescent="0.35">
      <c r="AL3984" s="20"/>
    </row>
    <row r="3985" spans="38:38" x14ac:dyDescent="0.35">
      <c r="AL3985" s="20"/>
    </row>
    <row r="3986" spans="38:38" x14ac:dyDescent="0.35">
      <c r="AL3986" s="20"/>
    </row>
    <row r="3987" spans="38:38" x14ac:dyDescent="0.35">
      <c r="AL3987" s="20"/>
    </row>
    <row r="3988" spans="38:38" x14ac:dyDescent="0.35">
      <c r="AL3988" s="20"/>
    </row>
    <row r="3989" spans="38:38" x14ac:dyDescent="0.35">
      <c r="AL3989" s="20"/>
    </row>
    <row r="3990" spans="38:38" x14ac:dyDescent="0.35">
      <c r="AL3990" s="20"/>
    </row>
    <row r="3991" spans="38:38" x14ac:dyDescent="0.35">
      <c r="AL3991" s="20"/>
    </row>
    <row r="3992" spans="38:38" x14ac:dyDescent="0.35">
      <c r="AL3992" s="20"/>
    </row>
    <row r="3993" spans="38:38" x14ac:dyDescent="0.35">
      <c r="AL3993" s="20"/>
    </row>
    <row r="3994" spans="38:38" x14ac:dyDescent="0.35">
      <c r="AL3994" s="20"/>
    </row>
    <row r="3995" spans="38:38" x14ac:dyDescent="0.35">
      <c r="AL3995" s="20"/>
    </row>
    <row r="3996" spans="38:38" x14ac:dyDescent="0.35">
      <c r="AL3996" s="20"/>
    </row>
    <row r="3997" spans="38:38" x14ac:dyDescent="0.35">
      <c r="AL3997" s="20"/>
    </row>
    <row r="3998" spans="38:38" x14ac:dyDescent="0.35">
      <c r="AL3998" s="20"/>
    </row>
    <row r="3999" spans="38:38" x14ac:dyDescent="0.35">
      <c r="AL3999" s="20"/>
    </row>
    <row r="4000" spans="38:38" x14ac:dyDescent="0.35">
      <c r="AL4000" s="20"/>
    </row>
    <row r="4001" spans="38:38" x14ac:dyDescent="0.35">
      <c r="AL4001" s="20"/>
    </row>
    <row r="4002" spans="38:38" x14ac:dyDescent="0.35">
      <c r="AL4002" s="20"/>
    </row>
    <row r="4003" spans="38:38" x14ac:dyDescent="0.35">
      <c r="AL4003" s="20"/>
    </row>
    <row r="4004" spans="38:38" x14ac:dyDescent="0.35">
      <c r="AL4004" s="20"/>
    </row>
    <row r="4005" spans="38:38" x14ac:dyDescent="0.35">
      <c r="AL4005" s="20"/>
    </row>
    <row r="4006" spans="38:38" x14ac:dyDescent="0.35">
      <c r="AL4006" s="20"/>
    </row>
    <row r="4007" spans="38:38" x14ac:dyDescent="0.35">
      <c r="AL4007" s="20"/>
    </row>
    <row r="4008" spans="38:38" x14ac:dyDescent="0.35">
      <c r="AL4008" s="20"/>
    </row>
    <row r="4009" spans="38:38" x14ac:dyDescent="0.35">
      <c r="AL4009" s="20"/>
    </row>
    <row r="4010" spans="38:38" x14ac:dyDescent="0.35">
      <c r="AL4010" s="20"/>
    </row>
    <row r="4011" spans="38:38" x14ac:dyDescent="0.35">
      <c r="AL4011" s="20"/>
    </row>
    <row r="4012" spans="38:38" x14ac:dyDescent="0.35">
      <c r="AL4012" s="20"/>
    </row>
    <row r="4013" spans="38:38" x14ac:dyDescent="0.35">
      <c r="AL4013" s="20"/>
    </row>
    <row r="4014" spans="38:38" x14ac:dyDescent="0.35">
      <c r="AL4014" s="20"/>
    </row>
    <row r="4015" spans="38:38" x14ac:dyDescent="0.35">
      <c r="AL4015" s="20"/>
    </row>
    <row r="4016" spans="38:38" x14ac:dyDescent="0.35">
      <c r="AL4016" s="20"/>
    </row>
    <row r="4017" spans="38:38" x14ac:dyDescent="0.35">
      <c r="AL4017" s="20"/>
    </row>
    <row r="4018" spans="38:38" x14ac:dyDescent="0.35">
      <c r="AL4018" s="20"/>
    </row>
    <row r="4019" spans="38:38" x14ac:dyDescent="0.35">
      <c r="AL4019" s="20"/>
    </row>
    <row r="4020" spans="38:38" x14ac:dyDescent="0.35">
      <c r="AL4020" s="20"/>
    </row>
    <row r="4021" spans="38:38" x14ac:dyDescent="0.35">
      <c r="AL4021" s="20"/>
    </row>
    <row r="4022" spans="38:38" x14ac:dyDescent="0.35">
      <c r="AL4022" s="20"/>
    </row>
    <row r="4023" spans="38:38" x14ac:dyDescent="0.35">
      <c r="AL4023" s="20"/>
    </row>
    <row r="4024" spans="38:38" x14ac:dyDescent="0.35">
      <c r="AL4024" s="20"/>
    </row>
    <row r="4025" spans="38:38" x14ac:dyDescent="0.35">
      <c r="AL4025" s="20"/>
    </row>
    <row r="4026" spans="38:38" x14ac:dyDescent="0.35">
      <c r="AL4026" s="20"/>
    </row>
    <row r="4027" spans="38:38" x14ac:dyDescent="0.35">
      <c r="AL4027" s="20"/>
    </row>
    <row r="4028" spans="38:38" x14ac:dyDescent="0.35">
      <c r="AL4028" s="20"/>
    </row>
    <row r="4029" spans="38:38" x14ac:dyDescent="0.35">
      <c r="AL4029" s="20"/>
    </row>
    <row r="4030" spans="38:38" x14ac:dyDescent="0.35">
      <c r="AL4030" s="20"/>
    </row>
    <row r="4031" spans="38:38" x14ac:dyDescent="0.35">
      <c r="AL4031" s="20"/>
    </row>
    <row r="4032" spans="38:38" x14ac:dyDescent="0.35">
      <c r="AL4032" s="20"/>
    </row>
    <row r="4033" spans="38:38" x14ac:dyDescent="0.35">
      <c r="AL4033" s="20"/>
    </row>
    <row r="4034" spans="38:38" x14ac:dyDescent="0.35">
      <c r="AL4034" s="20"/>
    </row>
    <row r="4035" spans="38:38" x14ac:dyDescent="0.35">
      <c r="AL4035" s="20"/>
    </row>
    <row r="4036" spans="38:38" x14ac:dyDescent="0.35">
      <c r="AL4036" s="20"/>
    </row>
    <row r="4037" spans="38:38" x14ac:dyDescent="0.35">
      <c r="AL4037" s="20"/>
    </row>
    <row r="4038" spans="38:38" x14ac:dyDescent="0.35">
      <c r="AL4038" s="20"/>
    </row>
    <row r="4039" spans="38:38" x14ac:dyDescent="0.35">
      <c r="AL4039" s="20"/>
    </row>
    <row r="4040" spans="38:38" x14ac:dyDescent="0.35">
      <c r="AL4040" s="20"/>
    </row>
    <row r="4041" spans="38:38" x14ac:dyDescent="0.35">
      <c r="AL4041" s="20"/>
    </row>
    <row r="4042" spans="38:38" x14ac:dyDescent="0.35">
      <c r="AL4042" s="20"/>
    </row>
    <row r="4043" spans="38:38" x14ac:dyDescent="0.35">
      <c r="AL4043" s="20"/>
    </row>
    <row r="4044" spans="38:38" x14ac:dyDescent="0.35">
      <c r="AL4044" s="20"/>
    </row>
    <row r="4045" spans="38:38" x14ac:dyDescent="0.35">
      <c r="AL4045" s="20"/>
    </row>
    <row r="4046" spans="38:38" x14ac:dyDescent="0.35">
      <c r="AL4046" s="20"/>
    </row>
    <row r="4047" spans="38:38" x14ac:dyDescent="0.35">
      <c r="AL4047" s="20"/>
    </row>
    <row r="4048" spans="38:38" x14ac:dyDescent="0.35">
      <c r="AL4048" s="20"/>
    </row>
    <row r="4049" spans="38:38" x14ac:dyDescent="0.35">
      <c r="AL4049" s="20"/>
    </row>
    <row r="4050" spans="38:38" x14ac:dyDescent="0.35">
      <c r="AL4050" s="20"/>
    </row>
    <row r="4051" spans="38:38" x14ac:dyDescent="0.35">
      <c r="AL4051" s="20"/>
    </row>
    <row r="4052" spans="38:38" x14ac:dyDescent="0.35">
      <c r="AL4052" s="20"/>
    </row>
    <row r="4053" spans="38:38" x14ac:dyDescent="0.35">
      <c r="AL4053" s="20"/>
    </row>
    <row r="4054" spans="38:38" x14ac:dyDescent="0.35">
      <c r="AL4054" s="20"/>
    </row>
    <row r="4055" spans="38:38" x14ac:dyDescent="0.35">
      <c r="AL4055" s="20"/>
    </row>
    <row r="4056" spans="38:38" x14ac:dyDescent="0.35">
      <c r="AL4056" s="20"/>
    </row>
    <row r="4057" spans="38:38" x14ac:dyDescent="0.35">
      <c r="AL4057" s="20"/>
    </row>
    <row r="4058" spans="38:38" x14ac:dyDescent="0.35">
      <c r="AL4058" s="20"/>
    </row>
    <row r="4059" spans="38:38" x14ac:dyDescent="0.35">
      <c r="AL4059" s="20"/>
    </row>
    <row r="4060" spans="38:38" x14ac:dyDescent="0.35">
      <c r="AL4060" s="20"/>
    </row>
    <row r="4061" spans="38:38" x14ac:dyDescent="0.35">
      <c r="AL4061" s="20"/>
    </row>
    <row r="4062" spans="38:38" x14ac:dyDescent="0.35">
      <c r="AL4062" s="20"/>
    </row>
    <row r="4063" spans="38:38" x14ac:dyDescent="0.35">
      <c r="AL4063" s="20"/>
    </row>
    <row r="4064" spans="38:38" x14ac:dyDescent="0.35">
      <c r="AL4064" s="20"/>
    </row>
    <row r="4065" spans="38:38" x14ac:dyDescent="0.35">
      <c r="AL4065" s="20"/>
    </row>
    <row r="4066" spans="38:38" x14ac:dyDescent="0.35">
      <c r="AL4066" s="20"/>
    </row>
    <row r="4067" spans="38:38" x14ac:dyDescent="0.35">
      <c r="AL4067" s="20"/>
    </row>
    <row r="4068" spans="38:38" x14ac:dyDescent="0.35">
      <c r="AL4068" s="20"/>
    </row>
    <row r="4069" spans="38:38" x14ac:dyDescent="0.35">
      <c r="AL4069" s="20"/>
    </row>
    <row r="4070" spans="38:38" x14ac:dyDescent="0.35">
      <c r="AL4070" s="20"/>
    </row>
    <row r="4071" spans="38:38" x14ac:dyDescent="0.35">
      <c r="AL4071" s="20"/>
    </row>
    <row r="4072" spans="38:38" x14ac:dyDescent="0.35">
      <c r="AL4072" s="20"/>
    </row>
    <row r="4073" spans="38:38" x14ac:dyDescent="0.35">
      <c r="AL4073" s="20"/>
    </row>
    <row r="4074" spans="38:38" x14ac:dyDescent="0.35">
      <c r="AL4074" s="20"/>
    </row>
    <row r="4075" spans="38:38" x14ac:dyDescent="0.35">
      <c r="AL4075" s="20"/>
    </row>
    <row r="4076" spans="38:38" x14ac:dyDescent="0.35">
      <c r="AL4076" s="20"/>
    </row>
    <row r="4077" spans="38:38" x14ac:dyDescent="0.35">
      <c r="AL4077" s="20"/>
    </row>
    <row r="4078" spans="38:38" x14ac:dyDescent="0.35">
      <c r="AL4078" s="20"/>
    </row>
    <row r="4079" spans="38:38" x14ac:dyDescent="0.35">
      <c r="AL4079" s="20"/>
    </row>
    <row r="4080" spans="38:38" x14ac:dyDescent="0.35">
      <c r="AL4080" s="20"/>
    </row>
    <row r="4081" spans="38:38" x14ac:dyDescent="0.35">
      <c r="AL4081" s="20"/>
    </row>
    <row r="4082" spans="38:38" x14ac:dyDescent="0.35">
      <c r="AL4082" s="20"/>
    </row>
    <row r="4083" spans="38:38" x14ac:dyDescent="0.35">
      <c r="AL4083" s="20"/>
    </row>
    <row r="4084" spans="38:38" x14ac:dyDescent="0.35">
      <c r="AL4084" s="20"/>
    </row>
    <row r="4085" spans="38:38" x14ac:dyDescent="0.35">
      <c r="AL4085" s="20"/>
    </row>
    <row r="4086" spans="38:38" x14ac:dyDescent="0.35">
      <c r="AL4086" s="20"/>
    </row>
    <row r="4087" spans="38:38" x14ac:dyDescent="0.35">
      <c r="AL4087" s="20"/>
    </row>
    <row r="4088" spans="38:38" x14ac:dyDescent="0.35">
      <c r="AL4088" s="20"/>
    </row>
    <row r="4089" spans="38:38" x14ac:dyDescent="0.35">
      <c r="AL4089" s="20"/>
    </row>
    <row r="4090" spans="38:38" x14ac:dyDescent="0.35">
      <c r="AL4090" s="20"/>
    </row>
    <row r="4091" spans="38:38" x14ac:dyDescent="0.35">
      <c r="AL4091" s="20"/>
    </row>
    <row r="4092" spans="38:38" x14ac:dyDescent="0.35">
      <c r="AL4092" s="20"/>
    </row>
    <row r="4093" spans="38:38" x14ac:dyDescent="0.35">
      <c r="AL4093" s="20"/>
    </row>
    <row r="4094" spans="38:38" x14ac:dyDescent="0.35">
      <c r="AL4094" s="20"/>
    </row>
    <row r="4095" spans="38:38" x14ac:dyDescent="0.35">
      <c r="AL4095" s="20"/>
    </row>
    <row r="4096" spans="38:38" x14ac:dyDescent="0.35">
      <c r="AL4096" s="20"/>
    </row>
    <row r="4097" spans="38:38" x14ac:dyDescent="0.35">
      <c r="AL4097" s="20"/>
    </row>
    <row r="4098" spans="38:38" x14ac:dyDescent="0.35">
      <c r="AL4098" s="20"/>
    </row>
    <row r="4099" spans="38:38" x14ac:dyDescent="0.35">
      <c r="AL4099" s="20"/>
    </row>
    <row r="4100" spans="38:38" x14ac:dyDescent="0.35">
      <c r="AL4100" s="20"/>
    </row>
    <row r="4101" spans="38:38" x14ac:dyDescent="0.35">
      <c r="AL4101" s="20"/>
    </row>
    <row r="4102" spans="38:38" x14ac:dyDescent="0.35">
      <c r="AL4102" s="20"/>
    </row>
    <row r="4103" spans="38:38" x14ac:dyDescent="0.35">
      <c r="AL4103" s="20"/>
    </row>
    <row r="4104" spans="38:38" x14ac:dyDescent="0.35">
      <c r="AL4104" s="20"/>
    </row>
    <row r="4105" spans="38:38" x14ac:dyDescent="0.35">
      <c r="AL4105" s="20"/>
    </row>
    <row r="4106" spans="38:38" x14ac:dyDescent="0.35">
      <c r="AL4106" s="20"/>
    </row>
    <row r="4107" spans="38:38" x14ac:dyDescent="0.35">
      <c r="AL4107" s="20"/>
    </row>
    <row r="4108" spans="38:38" x14ac:dyDescent="0.35">
      <c r="AL4108" s="20"/>
    </row>
    <row r="4109" spans="38:38" x14ac:dyDescent="0.35">
      <c r="AL4109" s="20"/>
    </row>
    <row r="4110" spans="38:38" x14ac:dyDescent="0.35">
      <c r="AL4110" s="20"/>
    </row>
    <row r="4111" spans="38:38" x14ac:dyDescent="0.35">
      <c r="AL4111" s="20"/>
    </row>
    <row r="4112" spans="38:38" x14ac:dyDescent="0.35">
      <c r="AL4112" s="20"/>
    </row>
    <row r="4113" spans="38:38" x14ac:dyDescent="0.35">
      <c r="AL4113" s="20"/>
    </row>
    <row r="4114" spans="38:38" x14ac:dyDescent="0.35">
      <c r="AL4114" s="20"/>
    </row>
    <row r="4115" spans="38:38" x14ac:dyDescent="0.35">
      <c r="AL4115" s="20"/>
    </row>
    <row r="4116" spans="38:38" x14ac:dyDescent="0.35">
      <c r="AL4116" s="20"/>
    </row>
    <row r="4117" spans="38:38" x14ac:dyDescent="0.35">
      <c r="AL4117" s="20"/>
    </row>
    <row r="4118" spans="38:38" x14ac:dyDescent="0.35">
      <c r="AL4118" s="20"/>
    </row>
    <row r="4119" spans="38:38" x14ac:dyDescent="0.35">
      <c r="AL4119" s="20"/>
    </row>
    <row r="4120" spans="38:38" x14ac:dyDescent="0.35">
      <c r="AL4120" s="20"/>
    </row>
    <row r="4121" spans="38:38" x14ac:dyDescent="0.35">
      <c r="AL4121" s="20"/>
    </row>
    <row r="4122" spans="38:38" x14ac:dyDescent="0.35">
      <c r="AL4122" s="20"/>
    </row>
    <row r="4123" spans="38:38" x14ac:dyDescent="0.35">
      <c r="AL4123" s="20"/>
    </row>
    <row r="4124" spans="38:38" x14ac:dyDescent="0.35">
      <c r="AL4124" s="20"/>
    </row>
    <row r="4125" spans="38:38" x14ac:dyDescent="0.35">
      <c r="AL4125" s="20"/>
    </row>
    <row r="4126" spans="38:38" x14ac:dyDescent="0.35">
      <c r="AL4126" s="20"/>
    </row>
    <row r="4127" spans="38:38" x14ac:dyDescent="0.35">
      <c r="AL4127" s="20"/>
    </row>
    <row r="4128" spans="38:38" x14ac:dyDescent="0.35">
      <c r="AL4128" s="20"/>
    </row>
    <row r="4129" spans="38:38" x14ac:dyDescent="0.35">
      <c r="AL4129" s="20"/>
    </row>
    <row r="4130" spans="38:38" x14ac:dyDescent="0.35">
      <c r="AL4130" s="20"/>
    </row>
    <row r="4131" spans="38:38" x14ac:dyDescent="0.35">
      <c r="AL4131" s="20"/>
    </row>
    <row r="4132" spans="38:38" x14ac:dyDescent="0.35">
      <c r="AL4132" s="20"/>
    </row>
    <row r="4133" spans="38:38" x14ac:dyDescent="0.35">
      <c r="AL4133" s="20"/>
    </row>
    <row r="4134" spans="38:38" x14ac:dyDescent="0.35">
      <c r="AL4134" s="20"/>
    </row>
    <row r="4135" spans="38:38" x14ac:dyDescent="0.35">
      <c r="AL4135" s="20"/>
    </row>
    <row r="4136" spans="38:38" x14ac:dyDescent="0.35">
      <c r="AL4136" s="20"/>
    </row>
    <row r="4137" spans="38:38" x14ac:dyDescent="0.35">
      <c r="AL4137" s="20"/>
    </row>
    <row r="4138" spans="38:38" x14ac:dyDescent="0.35">
      <c r="AL4138" s="20"/>
    </row>
    <row r="4139" spans="38:38" x14ac:dyDescent="0.35">
      <c r="AL4139" s="20"/>
    </row>
    <row r="4140" spans="38:38" x14ac:dyDescent="0.35">
      <c r="AL4140" s="20"/>
    </row>
    <row r="4141" spans="38:38" x14ac:dyDescent="0.35">
      <c r="AL4141" s="20"/>
    </row>
    <row r="4142" spans="38:38" x14ac:dyDescent="0.35">
      <c r="AL4142" s="20"/>
    </row>
    <row r="4143" spans="38:38" x14ac:dyDescent="0.35">
      <c r="AL4143" s="20"/>
    </row>
    <row r="4144" spans="38:38" x14ac:dyDescent="0.35">
      <c r="AL4144" s="20"/>
    </row>
    <row r="4145" spans="38:38" x14ac:dyDescent="0.35">
      <c r="AL4145" s="20"/>
    </row>
    <row r="4146" spans="38:38" x14ac:dyDescent="0.35">
      <c r="AL4146" s="20"/>
    </row>
    <row r="4147" spans="38:38" x14ac:dyDescent="0.35">
      <c r="AL4147" s="20"/>
    </row>
    <row r="4148" spans="38:38" x14ac:dyDescent="0.35">
      <c r="AL4148" s="20"/>
    </row>
    <row r="4149" spans="38:38" x14ac:dyDescent="0.35">
      <c r="AL4149" s="20"/>
    </row>
    <row r="4150" spans="38:38" x14ac:dyDescent="0.35">
      <c r="AL4150" s="20"/>
    </row>
    <row r="4151" spans="38:38" x14ac:dyDescent="0.35">
      <c r="AL4151" s="20"/>
    </row>
    <row r="4152" spans="38:38" x14ac:dyDescent="0.35">
      <c r="AL4152" s="20"/>
    </row>
    <row r="4153" spans="38:38" x14ac:dyDescent="0.35">
      <c r="AL4153" s="20"/>
    </row>
    <row r="4154" spans="38:38" x14ac:dyDescent="0.35">
      <c r="AL4154" s="20"/>
    </row>
    <row r="4155" spans="38:38" x14ac:dyDescent="0.35">
      <c r="AL4155" s="20"/>
    </row>
    <row r="4156" spans="38:38" x14ac:dyDescent="0.35">
      <c r="AL4156" s="20"/>
    </row>
    <row r="4157" spans="38:38" x14ac:dyDescent="0.35">
      <c r="AL4157" s="20"/>
    </row>
    <row r="4158" spans="38:38" x14ac:dyDescent="0.35">
      <c r="AL4158" s="20"/>
    </row>
    <row r="4159" spans="38:38" x14ac:dyDescent="0.35">
      <c r="AL4159" s="20"/>
    </row>
    <row r="4160" spans="38:38" x14ac:dyDescent="0.35">
      <c r="AL4160" s="20"/>
    </row>
    <row r="4161" spans="38:38" x14ac:dyDescent="0.35">
      <c r="AL4161" s="20"/>
    </row>
    <row r="4162" spans="38:38" x14ac:dyDescent="0.35">
      <c r="AL4162" s="20"/>
    </row>
    <row r="4163" spans="38:38" x14ac:dyDescent="0.35">
      <c r="AL4163" s="20"/>
    </row>
    <row r="4164" spans="38:38" x14ac:dyDescent="0.35">
      <c r="AL4164" s="20"/>
    </row>
    <row r="4165" spans="38:38" x14ac:dyDescent="0.35">
      <c r="AL4165" s="20"/>
    </row>
    <row r="4166" spans="38:38" x14ac:dyDescent="0.35">
      <c r="AL4166" s="20"/>
    </row>
    <row r="4167" spans="38:38" x14ac:dyDescent="0.35">
      <c r="AL4167" s="20"/>
    </row>
    <row r="4168" spans="38:38" x14ac:dyDescent="0.35">
      <c r="AL4168" s="20"/>
    </row>
    <row r="4169" spans="38:38" x14ac:dyDescent="0.35">
      <c r="AL4169" s="20"/>
    </row>
    <row r="4170" spans="38:38" x14ac:dyDescent="0.35">
      <c r="AL4170" s="20"/>
    </row>
    <row r="4171" spans="38:38" x14ac:dyDescent="0.35">
      <c r="AL4171" s="20"/>
    </row>
    <row r="4172" spans="38:38" x14ac:dyDescent="0.35">
      <c r="AL4172" s="20"/>
    </row>
    <row r="4173" spans="38:38" x14ac:dyDescent="0.35">
      <c r="AL4173" s="20"/>
    </row>
    <row r="4174" spans="38:38" x14ac:dyDescent="0.35">
      <c r="AL4174" s="20"/>
    </row>
    <row r="4175" spans="38:38" x14ac:dyDescent="0.35">
      <c r="AL4175" s="20"/>
    </row>
    <row r="4176" spans="38:38" x14ac:dyDescent="0.35">
      <c r="AL4176" s="20"/>
    </row>
    <row r="4177" spans="38:38" x14ac:dyDescent="0.35">
      <c r="AL4177" s="20"/>
    </row>
    <row r="4178" spans="38:38" x14ac:dyDescent="0.35">
      <c r="AL4178" s="20"/>
    </row>
    <row r="4179" spans="38:38" x14ac:dyDescent="0.35">
      <c r="AL4179" s="20"/>
    </row>
    <row r="4180" spans="38:38" x14ac:dyDescent="0.35">
      <c r="AL4180" s="20"/>
    </row>
    <row r="4181" spans="38:38" x14ac:dyDescent="0.35">
      <c r="AL4181" s="20"/>
    </row>
    <row r="4182" spans="38:38" x14ac:dyDescent="0.35">
      <c r="AL4182" s="20"/>
    </row>
    <row r="4183" spans="38:38" x14ac:dyDescent="0.35">
      <c r="AL4183" s="20"/>
    </row>
    <row r="4184" spans="38:38" x14ac:dyDescent="0.35">
      <c r="AL4184" s="20"/>
    </row>
    <row r="4185" spans="38:38" x14ac:dyDescent="0.35">
      <c r="AL4185" s="20"/>
    </row>
    <row r="4186" spans="38:38" x14ac:dyDescent="0.35">
      <c r="AL4186" s="20"/>
    </row>
    <row r="4187" spans="38:38" x14ac:dyDescent="0.35">
      <c r="AL4187" s="20"/>
    </row>
    <row r="4188" spans="38:38" x14ac:dyDescent="0.35">
      <c r="AL4188" s="20"/>
    </row>
    <row r="4189" spans="38:38" x14ac:dyDescent="0.35">
      <c r="AL4189" s="20"/>
    </row>
    <row r="4190" spans="38:38" x14ac:dyDescent="0.35">
      <c r="AL4190" s="20"/>
    </row>
    <row r="4191" spans="38:38" x14ac:dyDescent="0.35">
      <c r="AL4191" s="20"/>
    </row>
    <row r="4192" spans="38:38" x14ac:dyDescent="0.35">
      <c r="AL4192" s="20"/>
    </row>
    <row r="4193" spans="38:38" x14ac:dyDescent="0.35">
      <c r="AL4193" s="20"/>
    </row>
    <row r="4194" spans="38:38" x14ac:dyDescent="0.35">
      <c r="AL4194" s="20"/>
    </row>
    <row r="4195" spans="38:38" x14ac:dyDescent="0.35">
      <c r="AL4195" s="20"/>
    </row>
    <row r="4196" spans="38:38" x14ac:dyDescent="0.35">
      <c r="AL4196" s="20"/>
    </row>
    <row r="4197" spans="38:38" x14ac:dyDescent="0.35">
      <c r="AL4197" s="20"/>
    </row>
    <row r="4198" spans="38:38" x14ac:dyDescent="0.35">
      <c r="AL4198" s="20"/>
    </row>
    <row r="4199" spans="38:38" x14ac:dyDescent="0.35">
      <c r="AL4199" s="20"/>
    </row>
    <row r="4200" spans="38:38" x14ac:dyDescent="0.35">
      <c r="AL4200" s="20"/>
    </row>
    <row r="4201" spans="38:38" x14ac:dyDescent="0.35">
      <c r="AL4201" s="20"/>
    </row>
    <row r="4202" spans="38:38" x14ac:dyDescent="0.35">
      <c r="AL4202" s="20"/>
    </row>
    <row r="4203" spans="38:38" x14ac:dyDescent="0.35">
      <c r="AL4203" s="20"/>
    </row>
    <row r="4204" spans="38:38" x14ac:dyDescent="0.35">
      <c r="AL4204" s="20"/>
    </row>
    <row r="4205" spans="38:38" x14ac:dyDescent="0.35">
      <c r="AL4205" s="20"/>
    </row>
    <row r="4206" spans="38:38" x14ac:dyDescent="0.35">
      <c r="AL4206" s="20"/>
    </row>
    <row r="4207" spans="38:38" x14ac:dyDescent="0.35">
      <c r="AL4207" s="20"/>
    </row>
    <row r="4208" spans="38:38" x14ac:dyDescent="0.35">
      <c r="AL4208" s="20"/>
    </row>
    <row r="4209" spans="38:38" x14ac:dyDescent="0.35">
      <c r="AL4209" s="20"/>
    </row>
    <row r="4210" spans="38:38" x14ac:dyDescent="0.35">
      <c r="AL4210" s="20"/>
    </row>
    <row r="4211" spans="38:38" x14ac:dyDescent="0.35">
      <c r="AL4211" s="20"/>
    </row>
    <row r="4212" spans="38:38" x14ac:dyDescent="0.35">
      <c r="AL4212" s="20"/>
    </row>
    <row r="4213" spans="38:38" x14ac:dyDescent="0.35">
      <c r="AL4213" s="20"/>
    </row>
    <row r="4214" spans="38:38" x14ac:dyDescent="0.35">
      <c r="AL4214" s="20"/>
    </row>
    <row r="4215" spans="38:38" x14ac:dyDescent="0.35">
      <c r="AL4215" s="20"/>
    </row>
    <row r="4216" spans="38:38" x14ac:dyDescent="0.35">
      <c r="AL4216" s="20"/>
    </row>
    <row r="4217" spans="38:38" x14ac:dyDescent="0.35">
      <c r="AL4217" s="20"/>
    </row>
    <row r="4218" spans="38:38" x14ac:dyDescent="0.35">
      <c r="AL4218" s="20"/>
    </row>
    <row r="4219" spans="38:38" x14ac:dyDescent="0.35">
      <c r="AL4219" s="20"/>
    </row>
    <row r="4220" spans="38:38" x14ac:dyDescent="0.35">
      <c r="AL4220" s="20"/>
    </row>
    <row r="4221" spans="38:38" x14ac:dyDescent="0.35">
      <c r="AL4221" s="20"/>
    </row>
    <row r="4222" spans="38:38" x14ac:dyDescent="0.35">
      <c r="AL4222" s="20"/>
    </row>
    <row r="4223" spans="38:38" x14ac:dyDescent="0.35">
      <c r="AL4223" s="20"/>
    </row>
    <row r="4224" spans="38:38" x14ac:dyDescent="0.35">
      <c r="AL4224" s="20"/>
    </row>
    <row r="4225" spans="38:38" x14ac:dyDescent="0.35">
      <c r="AL4225" s="20"/>
    </row>
    <row r="4226" spans="38:38" x14ac:dyDescent="0.35">
      <c r="AL4226" s="20"/>
    </row>
    <row r="4227" spans="38:38" x14ac:dyDescent="0.35">
      <c r="AL4227" s="20"/>
    </row>
    <row r="4228" spans="38:38" x14ac:dyDescent="0.35">
      <c r="AL4228" s="20"/>
    </row>
    <row r="4229" spans="38:38" x14ac:dyDescent="0.35">
      <c r="AL4229" s="20"/>
    </row>
    <row r="4230" spans="38:38" x14ac:dyDescent="0.35">
      <c r="AL4230" s="20"/>
    </row>
    <row r="4231" spans="38:38" x14ac:dyDescent="0.35">
      <c r="AL4231" s="20"/>
    </row>
    <row r="4232" spans="38:38" x14ac:dyDescent="0.35">
      <c r="AL4232" s="20"/>
    </row>
    <row r="4233" spans="38:38" x14ac:dyDescent="0.35">
      <c r="AL4233" s="20"/>
    </row>
    <row r="4234" spans="38:38" x14ac:dyDescent="0.35">
      <c r="AL4234" s="20"/>
    </row>
    <row r="4235" spans="38:38" x14ac:dyDescent="0.35">
      <c r="AL4235" s="20"/>
    </row>
    <row r="4236" spans="38:38" x14ac:dyDescent="0.35">
      <c r="AL4236" s="20"/>
    </row>
    <row r="4237" spans="38:38" x14ac:dyDescent="0.35">
      <c r="AL4237" s="20"/>
    </row>
    <row r="4238" spans="38:38" x14ac:dyDescent="0.35">
      <c r="AL4238" s="20"/>
    </row>
    <row r="4239" spans="38:38" x14ac:dyDescent="0.35">
      <c r="AL4239" s="20"/>
    </row>
    <row r="4240" spans="38:38" x14ac:dyDescent="0.35">
      <c r="AL4240" s="20"/>
    </row>
    <row r="4241" spans="38:38" x14ac:dyDescent="0.35">
      <c r="AL4241" s="20"/>
    </row>
    <row r="4242" spans="38:38" x14ac:dyDescent="0.35">
      <c r="AL4242" s="20"/>
    </row>
    <row r="4243" spans="38:38" x14ac:dyDescent="0.35">
      <c r="AL4243" s="20"/>
    </row>
    <row r="4244" spans="38:38" x14ac:dyDescent="0.35">
      <c r="AL4244" s="20"/>
    </row>
    <row r="4245" spans="38:38" x14ac:dyDescent="0.35">
      <c r="AL4245" s="20"/>
    </row>
    <row r="4246" spans="38:38" x14ac:dyDescent="0.35">
      <c r="AL4246" s="20"/>
    </row>
    <row r="4247" spans="38:38" x14ac:dyDescent="0.35">
      <c r="AL4247" s="20"/>
    </row>
    <row r="4248" spans="38:38" x14ac:dyDescent="0.35">
      <c r="AL4248" s="20"/>
    </row>
    <row r="4249" spans="38:38" x14ac:dyDescent="0.35">
      <c r="AL4249" s="20"/>
    </row>
    <row r="4250" spans="38:38" x14ac:dyDescent="0.35">
      <c r="AL4250" s="20"/>
    </row>
    <row r="4251" spans="38:38" x14ac:dyDescent="0.35">
      <c r="AL4251" s="20"/>
    </row>
    <row r="4252" spans="38:38" x14ac:dyDescent="0.35">
      <c r="AL4252" s="20"/>
    </row>
    <row r="4253" spans="38:38" x14ac:dyDescent="0.35">
      <c r="AL4253" s="20"/>
    </row>
    <row r="4254" spans="38:38" x14ac:dyDescent="0.35">
      <c r="AL4254" s="20"/>
    </row>
    <row r="4255" spans="38:38" x14ac:dyDescent="0.35">
      <c r="AL4255" s="20"/>
    </row>
    <row r="4256" spans="38:38" x14ac:dyDescent="0.35">
      <c r="AL4256" s="20"/>
    </row>
    <row r="4257" spans="38:38" x14ac:dyDescent="0.35">
      <c r="AL4257" s="20"/>
    </row>
    <row r="4258" spans="38:38" x14ac:dyDescent="0.35">
      <c r="AL4258" s="20"/>
    </row>
    <row r="4259" spans="38:38" x14ac:dyDescent="0.35">
      <c r="AL4259" s="20"/>
    </row>
    <row r="4260" spans="38:38" x14ac:dyDescent="0.35">
      <c r="AL4260" s="20"/>
    </row>
    <row r="4261" spans="38:38" x14ac:dyDescent="0.35">
      <c r="AL4261" s="20"/>
    </row>
    <row r="4262" spans="38:38" x14ac:dyDescent="0.35">
      <c r="AL4262" s="20"/>
    </row>
    <row r="4263" spans="38:38" x14ac:dyDescent="0.35">
      <c r="AL4263" s="20"/>
    </row>
    <row r="4264" spans="38:38" x14ac:dyDescent="0.35">
      <c r="AL4264" s="20"/>
    </row>
    <row r="4265" spans="38:38" x14ac:dyDescent="0.35">
      <c r="AL4265" s="20"/>
    </row>
    <row r="4266" spans="38:38" x14ac:dyDescent="0.35">
      <c r="AL4266" s="20"/>
    </row>
    <row r="4267" spans="38:38" x14ac:dyDescent="0.35">
      <c r="AL4267" s="20"/>
    </row>
    <row r="4268" spans="38:38" x14ac:dyDescent="0.35">
      <c r="AL4268" s="20"/>
    </row>
    <row r="4269" spans="38:38" x14ac:dyDescent="0.35">
      <c r="AL4269" s="20"/>
    </row>
    <row r="4270" spans="38:38" x14ac:dyDescent="0.35">
      <c r="AL4270" s="20"/>
    </row>
    <row r="4271" spans="38:38" x14ac:dyDescent="0.35">
      <c r="AL4271" s="20"/>
    </row>
    <row r="4272" spans="38:38" x14ac:dyDescent="0.35">
      <c r="AL4272" s="20"/>
    </row>
    <row r="4273" spans="38:38" x14ac:dyDescent="0.35">
      <c r="AL4273" s="20"/>
    </row>
    <row r="4274" spans="38:38" x14ac:dyDescent="0.35">
      <c r="AL4274" s="20"/>
    </row>
    <row r="4275" spans="38:38" x14ac:dyDescent="0.35">
      <c r="AL4275" s="20"/>
    </row>
    <row r="4276" spans="38:38" x14ac:dyDescent="0.35">
      <c r="AL4276" s="20"/>
    </row>
    <row r="4277" spans="38:38" x14ac:dyDescent="0.35">
      <c r="AL4277" s="20"/>
    </row>
    <row r="4278" spans="38:38" x14ac:dyDescent="0.35">
      <c r="AL4278" s="20"/>
    </row>
    <row r="4279" spans="38:38" x14ac:dyDescent="0.35">
      <c r="AL4279" s="20"/>
    </row>
    <row r="4280" spans="38:38" x14ac:dyDescent="0.35">
      <c r="AL4280" s="20"/>
    </row>
    <row r="4281" spans="38:38" x14ac:dyDescent="0.35">
      <c r="AL4281" s="20"/>
    </row>
    <row r="4282" spans="38:38" x14ac:dyDescent="0.35">
      <c r="AL4282" s="20"/>
    </row>
    <row r="4283" spans="38:38" x14ac:dyDescent="0.35">
      <c r="AL4283" s="20"/>
    </row>
    <row r="4284" spans="38:38" x14ac:dyDescent="0.35">
      <c r="AL4284" s="20"/>
    </row>
    <row r="4285" spans="38:38" x14ac:dyDescent="0.35">
      <c r="AL4285" s="20"/>
    </row>
    <row r="4286" spans="38:38" x14ac:dyDescent="0.35">
      <c r="AL4286" s="20"/>
    </row>
    <row r="4287" spans="38:38" x14ac:dyDescent="0.35">
      <c r="AL4287" s="20"/>
    </row>
    <row r="4288" spans="38:38" x14ac:dyDescent="0.35">
      <c r="AL4288" s="20"/>
    </row>
    <row r="4289" spans="38:38" x14ac:dyDescent="0.35">
      <c r="AL4289" s="20"/>
    </row>
    <row r="4290" spans="38:38" x14ac:dyDescent="0.35">
      <c r="AL4290" s="20"/>
    </row>
    <row r="4291" spans="38:38" x14ac:dyDescent="0.35">
      <c r="AL4291" s="20"/>
    </row>
    <row r="4292" spans="38:38" x14ac:dyDescent="0.35">
      <c r="AL4292" s="20"/>
    </row>
    <row r="4293" spans="38:38" x14ac:dyDescent="0.35">
      <c r="AL4293" s="20"/>
    </row>
    <row r="4294" spans="38:38" x14ac:dyDescent="0.35">
      <c r="AL4294" s="20"/>
    </row>
    <row r="4295" spans="38:38" x14ac:dyDescent="0.35">
      <c r="AL4295" s="20"/>
    </row>
    <row r="4296" spans="38:38" x14ac:dyDescent="0.35">
      <c r="AL4296" s="20"/>
    </row>
    <row r="4297" spans="38:38" x14ac:dyDescent="0.35">
      <c r="AL4297" s="20"/>
    </row>
    <row r="4298" spans="38:38" x14ac:dyDescent="0.35">
      <c r="AL4298" s="20"/>
    </row>
    <row r="4299" spans="38:38" x14ac:dyDescent="0.35">
      <c r="AL4299" s="20"/>
    </row>
    <row r="4300" spans="38:38" x14ac:dyDescent="0.35">
      <c r="AL4300" s="20"/>
    </row>
    <row r="4301" spans="38:38" x14ac:dyDescent="0.35">
      <c r="AL4301" s="20"/>
    </row>
    <row r="4302" spans="38:38" x14ac:dyDescent="0.35">
      <c r="AL4302" s="20"/>
    </row>
    <row r="4303" spans="38:38" x14ac:dyDescent="0.35">
      <c r="AL4303" s="20"/>
    </row>
    <row r="4304" spans="38:38" x14ac:dyDescent="0.35">
      <c r="AL4304" s="20"/>
    </row>
    <row r="4305" spans="38:38" x14ac:dyDescent="0.35">
      <c r="AL4305" s="20"/>
    </row>
    <row r="4306" spans="38:38" x14ac:dyDescent="0.35">
      <c r="AL4306" s="20"/>
    </row>
    <row r="4307" spans="38:38" x14ac:dyDescent="0.35">
      <c r="AL4307" s="20"/>
    </row>
    <row r="4308" spans="38:38" x14ac:dyDescent="0.35">
      <c r="AL4308" s="20"/>
    </row>
    <row r="4309" spans="38:38" x14ac:dyDescent="0.35">
      <c r="AL4309" s="20"/>
    </row>
    <row r="4310" spans="38:38" x14ac:dyDescent="0.35">
      <c r="AL4310" s="20"/>
    </row>
    <row r="4311" spans="38:38" x14ac:dyDescent="0.35">
      <c r="AL4311" s="20"/>
    </row>
    <row r="4312" spans="38:38" x14ac:dyDescent="0.35">
      <c r="AL4312" s="20"/>
    </row>
    <row r="4313" spans="38:38" x14ac:dyDescent="0.35">
      <c r="AL4313" s="20"/>
    </row>
    <row r="4314" spans="38:38" x14ac:dyDescent="0.35">
      <c r="AL4314" s="20"/>
    </row>
    <row r="4315" spans="38:38" x14ac:dyDescent="0.35">
      <c r="AL4315" s="20"/>
    </row>
    <row r="4316" spans="38:38" x14ac:dyDescent="0.35">
      <c r="AL4316" s="20"/>
    </row>
    <row r="4317" spans="38:38" x14ac:dyDescent="0.35">
      <c r="AL4317" s="20"/>
    </row>
    <row r="4318" spans="38:38" x14ac:dyDescent="0.35">
      <c r="AL4318" s="20"/>
    </row>
    <row r="4319" spans="38:38" x14ac:dyDescent="0.35">
      <c r="AL4319" s="20"/>
    </row>
    <row r="4320" spans="38:38" x14ac:dyDescent="0.35">
      <c r="AL4320" s="20"/>
    </row>
    <row r="4321" spans="38:38" x14ac:dyDescent="0.35">
      <c r="AL4321" s="20"/>
    </row>
    <row r="4322" spans="38:38" x14ac:dyDescent="0.35">
      <c r="AL4322" s="20"/>
    </row>
    <row r="4323" spans="38:38" x14ac:dyDescent="0.35">
      <c r="AL4323" s="20"/>
    </row>
    <row r="4324" spans="38:38" x14ac:dyDescent="0.35">
      <c r="AL4324" s="20"/>
    </row>
    <row r="4325" spans="38:38" x14ac:dyDescent="0.35">
      <c r="AL4325" s="20"/>
    </row>
    <row r="4326" spans="38:38" x14ac:dyDescent="0.35">
      <c r="AL4326" s="20"/>
    </row>
    <row r="4327" spans="38:38" x14ac:dyDescent="0.35">
      <c r="AL4327" s="20"/>
    </row>
    <row r="4328" spans="38:38" x14ac:dyDescent="0.35">
      <c r="AL4328" s="20"/>
    </row>
    <row r="4329" spans="38:38" x14ac:dyDescent="0.35">
      <c r="AL4329" s="20"/>
    </row>
    <row r="4330" spans="38:38" x14ac:dyDescent="0.35">
      <c r="AL4330" s="20"/>
    </row>
    <row r="4331" spans="38:38" x14ac:dyDescent="0.35">
      <c r="AL4331" s="20"/>
    </row>
    <row r="4332" spans="38:38" x14ac:dyDescent="0.35">
      <c r="AL4332" s="20"/>
    </row>
    <row r="4333" spans="38:38" x14ac:dyDescent="0.35">
      <c r="AL4333" s="20"/>
    </row>
    <row r="4334" spans="38:38" x14ac:dyDescent="0.35">
      <c r="AL4334" s="20"/>
    </row>
    <row r="4335" spans="38:38" x14ac:dyDescent="0.35">
      <c r="AL4335" s="20"/>
    </row>
    <row r="4336" spans="38:38" x14ac:dyDescent="0.35">
      <c r="AL4336" s="20"/>
    </row>
    <row r="4337" spans="38:38" x14ac:dyDescent="0.35">
      <c r="AL4337" s="20"/>
    </row>
    <row r="4338" spans="38:38" x14ac:dyDescent="0.35">
      <c r="AL4338" s="20"/>
    </row>
    <row r="4339" spans="38:38" x14ac:dyDescent="0.35">
      <c r="AL4339" s="20"/>
    </row>
    <row r="4340" spans="38:38" x14ac:dyDescent="0.35">
      <c r="AL4340" s="20"/>
    </row>
    <row r="4341" spans="38:38" x14ac:dyDescent="0.35">
      <c r="AL4341" s="20"/>
    </row>
    <row r="4342" spans="38:38" x14ac:dyDescent="0.35">
      <c r="AL4342" s="20"/>
    </row>
    <row r="4343" spans="38:38" x14ac:dyDescent="0.35">
      <c r="AL4343" s="20"/>
    </row>
    <row r="4344" spans="38:38" x14ac:dyDescent="0.35">
      <c r="AL4344" s="20"/>
    </row>
    <row r="4345" spans="38:38" x14ac:dyDescent="0.35">
      <c r="AL4345" s="20"/>
    </row>
    <row r="4346" spans="38:38" x14ac:dyDescent="0.35">
      <c r="AL4346" s="20"/>
    </row>
    <row r="4347" spans="38:38" x14ac:dyDescent="0.35">
      <c r="AL4347" s="20"/>
    </row>
    <row r="4348" spans="38:38" x14ac:dyDescent="0.35">
      <c r="AL4348" s="20"/>
    </row>
    <row r="4349" spans="38:38" x14ac:dyDescent="0.35">
      <c r="AL4349" s="20"/>
    </row>
    <row r="4350" spans="38:38" x14ac:dyDescent="0.35">
      <c r="AL4350" s="20"/>
    </row>
    <row r="4351" spans="38:38" x14ac:dyDescent="0.35">
      <c r="AL4351" s="20"/>
    </row>
    <row r="4352" spans="38:38" x14ac:dyDescent="0.35">
      <c r="AL4352" s="20"/>
    </row>
    <row r="4353" spans="38:38" x14ac:dyDescent="0.35">
      <c r="AL4353" s="20"/>
    </row>
    <row r="4354" spans="38:38" x14ac:dyDescent="0.35">
      <c r="AL4354" s="20"/>
    </row>
    <row r="4355" spans="38:38" x14ac:dyDescent="0.35">
      <c r="AL4355" s="20"/>
    </row>
    <row r="4356" spans="38:38" x14ac:dyDescent="0.35">
      <c r="AL4356" s="20"/>
    </row>
    <row r="4357" spans="38:38" x14ac:dyDescent="0.35">
      <c r="AL4357" s="20"/>
    </row>
    <row r="4358" spans="38:38" x14ac:dyDescent="0.35">
      <c r="AL4358" s="20"/>
    </row>
    <row r="4359" spans="38:38" x14ac:dyDescent="0.35">
      <c r="AL4359" s="20"/>
    </row>
    <row r="4360" spans="38:38" x14ac:dyDescent="0.35">
      <c r="AL4360" s="20"/>
    </row>
    <row r="4361" spans="38:38" x14ac:dyDescent="0.35">
      <c r="AL4361" s="20"/>
    </row>
    <row r="4362" spans="38:38" x14ac:dyDescent="0.35">
      <c r="AL4362" s="20"/>
    </row>
    <row r="4363" spans="38:38" x14ac:dyDescent="0.35">
      <c r="AL4363" s="20"/>
    </row>
    <row r="4364" spans="38:38" x14ac:dyDescent="0.35">
      <c r="AL4364" s="20"/>
    </row>
    <row r="4365" spans="38:38" x14ac:dyDescent="0.35">
      <c r="AL4365" s="20"/>
    </row>
    <row r="4366" spans="38:38" x14ac:dyDescent="0.35">
      <c r="AL4366" s="20"/>
    </row>
    <row r="4367" spans="38:38" x14ac:dyDescent="0.35">
      <c r="AL4367" s="20"/>
    </row>
    <row r="4368" spans="38:38" x14ac:dyDescent="0.35">
      <c r="AL4368" s="20"/>
    </row>
    <row r="4369" spans="38:38" x14ac:dyDescent="0.35">
      <c r="AL4369" s="20"/>
    </row>
    <row r="4370" spans="38:38" x14ac:dyDescent="0.35">
      <c r="AL4370" s="20"/>
    </row>
    <row r="4371" spans="38:38" x14ac:dyDescent="0.35">
      <c r="AL4371" s="20"/>
    </row>
    <row r="4372" spans="38:38" x14ac:dyDescent="0.35">
      <c r="AL4372" s="20"/>
    </row>
    <row r="4373" spans="38:38" x14ac:dyDescent="0.35">
      <c r="AL4373" s="20"/>
    </row>
    <row r="4374" spans="38:38" x14ac:dyDescent="0.35">
      <c r="AL4374" s="20"/>
    </row>
    <row r="4375" spans="38:38" x14ac:dyDescent="0.35">
      <c r="AL4375" s="20"/>
    </row>
    <row r="4376" spans="38:38" x14ac:dyDescent="0.35">
      <c r="AL4376" s="20"/>
    </row>
    <row r="4377" spans="38:38" x14ac:dyDescent="0.35">
      <c r="AL4377" s="20"/>
    </row>
    <row r="4378" spans="38:38" x14ac:dyDescent="0.35">
      <c r="AL4378" s="20"/>
    </row>
    <row r="4379" spans="38:38" x14ac:dyDescent="0.35">
      <c r="AL4379" s="20"/>
    </row>
    <row r="4380" spans="38:38" x14ac:dyDescent="0.35">
      <c r="AL4380" s="20"/>
    </row>
    <row r="4381" spans="38:38" x14ac:dyDescent="0.35">
      <c r="AL4381" s="20"/>
    </row>
    <row r="4382" spans="38:38" x14ac:dyDescent="0.35">
      <c r="AL4382" s="20"/>
    </row>
    <row r="4383" spans="38:38" x14ac:dyDescent="0.35">
      <c r="AL4383" s="20"/>
    </row>
    <row r="4384" spans="38:38" x14ac:dyDescent="0.35">
      <c r="AL4384" s="20"/>
    </row>
    <row r="4385" spans="38:38" x14ac:dyDescent="0.35">
      <c r="AL4385" s="20"/>
    </row>
    <row r="4386" spans="38:38" x14ac:dyDescent="0.35">
      <c r="AL4386" s="20"/>
    </row>
    <row r="4387" spans="38:38" x14ac:dyDescent="0.35">
      <c r="AL4387" s="20"/>
    </row>
    <row r="4388" spans="38:38" x14ac:dyDescent="0.35">
      <c r="AL4388" s="20"/>
    </row>
    <row r="4389" spans="38:38" x14ac:dyDescent="0.35">
      <c r="AL4389" s="20"/>
    </row>
    <row r="4390" spans="38:38" x14ac:dyDescent="0.35">
      <c r="AL4390" s="20"/>
    </row>
    <row r="4391" spans="38:38" x14ac:dyDescent="0.35">
      <c r="AL4391" s="20"/>
    </row>
    <row r="4392" spans="38:38" x14ac:dyDescent="0.35">
      <c r="AL4392" s="20"/>
    </row>
    <row r="4393" spans="38:38" x14ac:dyDescent="0.35">
      <c r="AL4393" s="20"/>
    </row>
    <row r="4394" spans="38:38" x14ac:dyDescent="0.35">
      <c r="AL4394" s="20"/>
    </row>
    <row r="4395" spans="38:38" x14ac:dyDescent="0.35">
      <c r="AL4395" s="20"/>
    </row>
    <row r="4396" spans="38:38" x14ac:dyDescent="0.35">
      <c r="AL4396" s="20"/>
    </row>
    <row r="4397" spans="38:38" x14ac:dyDescent="0.35">
      <c r="AL4397" s="20"/>
    </row>
    <row r="4398" spans="38:38" x14ac:dyDescent="0.35">
      <c r="AL4398" s="20"/>
    </row>
    <row r="4399" spans="38:38" x14ac:dyDescent="0.35">
      <c r="AL4399" s="20"/>
    </row>
    <row r="4400" spans="38:38" x14ac:dyDescent="0.35">
      <c r="AL4400" s="20"/>
    </row>
    <row r="4401" spans="38:38" x14ac:dyDescent="0.35">
      <c r="AL4401" s="20"/>
    </row>
    <row r="4402" spans="38:38" x14ac:dyDescent="0.35">
      <c r="AL4402" s="20"/>
    </row>
    <row r="4403" spans="38:38" x14ac:dyDescent="0.35">
      <c r="AL4403" s="20"/>
    </row>
    <row r="4404" spans="38:38" x14ac:dyDescent="0.35">
      <c r="AL4404" s="20"/>
    </row>
    <row r="4405" spans="38:38" x14ac:dyDescent="0.35">
      <c r="AL4405" s="20"/>
    </row>
    <row r="4406" spans="38:38" x14ac:dyDescent="0.35">
      <c r="AL4406" s="20"/>
    </row>
    <row r="4407" spans="38:38" x14ac:dyDescent="0.35">
      <c r="AL4407" s="20"/>
    </row>
    <row r="4408" spans="38:38" x14ac:dyDescent="0.35">
      <c r="AL4408" s="20"/>
    </row>
    <row r="4409" spans="38:38" x14ac:dyDescent="0.35">
      <c r="AL4409" s="20"/>
    </row>
    <row r="4410" spans="38:38" x14ac:dyDescent="0.35">
      <c r="AL4410" s="20"/>
    </row>
    <row r="4411" spans="38:38" x14ac:dyDescent="0.35">
      <c r="AL4411" s="20"/>
    </row>
    <row r="4412" spans="38:38" x14ac:dyDescent="0.35">
      <c r="AL4412" s="20"/>
    </row>
    <row r="4413" spans="38:38" x14ac:dyDescent="0.35">
      <c r="AL4413" s="20"/>
    </row>
    <row r="4414" spans="38:38" x14ac:dyDescent="0.35">
      <c r="AL4414" s="20"/>
    </row>
    <row r="4415" spans="38:38" x14ac:dyDescent="0.35">
      <c r="AL4415" s="20"/>
    </row>
    <row r="4416" spans="38:38" x14ac:dyDescent="0.35">
      <c r="AL4416" s="20"/>
    </row>
    <row r="4417" spans="38:38" x14ac:dyDescent="0.35">
      <c r="AL4417" s="20"/>
    </row>
    <row r="4418" spans="38:38" x14ac:dyDescent="0.35">
      <c r="AL4418" s="20"/>
    </row>
    <row r="4419" spans="38:38" x14ac:dyDescent="0.35">
      <c r="AL4419" s="20"/>
    </row>
    <row r="4420" spans="38:38" x14ac:dyDescent="0.35">
      <c r="AL4420" s="20"/>
    </row>
    <row r="4421" spans="38:38" x14ac:dyDescent="0.35">
      <c r="AL4421" s="20"/>
    </row>
    <row r="4422" spans="38:38" x14ac:dyDescent="0.35">
      <c r="AL4422" s="20"/>
    </row>
    <row r="4423" spans="38:38" x14ac:dyDescent="0.35">
      <c r="AL4423" s="20"/>
    </row>
    <row r="4424" spans="38:38" x14ac:dyDescent="0.35">
      <c r="AL4424" s="20"/>
    </row>
    <row r="4425" spans="38:38" x14ac:dyDescent="0.35">
      <c r="AL4425" s="20"/>
    </row>
    <row r="4426" spans="38:38" x14ac:dyDescent="0.35">
      <c r="AL4426" s="20"/>
    </row>
    <row r="4427" spans="38:38" x14ac:dyDescent="0.35">
      <c r="AL4427" s="20"/>
    </row>
    <row r="4428" spans="38:38" x14ac:dyDescent="0.35">
      <c r="AL4428" s="20"/>
    </row>
    <row r="4429" spans="38:38" x14ac:dyDescent="0.35">
      <c r="AL4429" s="20"/>
    </row>
    <row r="4430" spans="38:38" x14ac:dyDescent="0.35">
      <c r="AL4430" s="20"/>
    </row>
    <row r="4431" spans="38:38" x14ac:dyDescent="0.35">
      <c r="AL4431" s="20"/>
    </row>
    <row r="4432" spans="38:38" x14ac:dyDescent="0.35">
      <c r="AL4432" s="20"/>
    </row>
    <row r="4433" spans="38:38" x14ac:dyDescent="0.35">
      <c r="AL4433" s="20"/>
    </row>
    <row r="4434" spans="38:38" x14ac:dyDescent="0.35">
      <c r="AL4434" s="20"/>
    </row>
    <row r="4435" spans="38:38" x14ac:dyDescent="0.35">
      <c r="AL4435" s="20"/>
    </row>
    <row r="4436" spans="38:38" x14ac:dyDescent="0.35">
      <c r="AL4436" s="20"/>
    </row>
    <row r="4437" spans="38:38" x14ac:dyDescent="0.35">
      <c r="AL4437" s="20"/>
    </row>
    <row r="4438" spans="38:38" x14ac:dyDescent="0.35">
      <c r="AL4438" s="20"/>
    </row>
    <row r="4439" spans="38:38" x14ac:dyDescent="0.35">
      <c r="AL4439" s="20"/>
    </row>
    <row r="4440" spans="38:38" x14ac:dyDescent="0.35">
      <c r="AL4440" s="20"/>
    </row>
    <row r="4441" spans="38:38" x14ac:dyDescent="0.35">
      <c r="AL4441" s="20"/>
    </row>
    <row r="4442" spans="38:38" x14ac:dyDescent="0.35">
      <c r="AL4442" s="20"/>
    </row>
    <row r="4443" spans="38:38" x14ac:dyDescent="0.35">
      <c r="AL4443" s="20"/>
    </row>
    <row r="4444" spans="38:38" x14ac:dyDescent="0.35">
      <c r="AL4444" s="20"/>
    </row>
    <row r="4445" spans="38:38" x14ac:dyDescent="0.35">
      <c r="AL4445" s="20"/>
    </row>
    <row r="4446" spans="38:38" x14ac:dyDescent="0.35">
      <c r="AL4446" s="20"/>
    </row>
    <row r="4447" spans="38:38" x14ac:dyDescent="0.35">
      <c r="AL4447" s="20"/>
    </row>
    <row r="4448" spans="38:38" x14ac:dyDescent="0.35">
      <c r="AL4448" s="20"/>
    </row>
    <row r="4449" spans="38:38" x14ac:dyDescent="0.35">
      <c r="AL4449" s="20"/>
    </row>
    <row r="4450" spans="38:38" x14ac:dyDescent="0.35">
      <c r="AL4450" s="20"/>
    </row>
    <row r="4451" spans="38:38" x14ac:dyDescent="0.35">
      <c r="AL4451" s="20"/>
    </row>
    <row r="4452" spans="38:38" x14ac:dyDescent="0.35">
      <c r="AL4452" s="20"/>
    </row>
    <row r="4453" spans="38:38" x14ac:dyDescent="0.35">
      <c r="AL4453" s="20"/>
    </row>
    <row r="4454" spans="38:38" x14ac:dyDescent="0.35">
      <c r="AL4454" s="20"/>
    </row>
    <row r="4455" spans="38:38" x14ac:dyDescent="0.35">
      <c r="AL4455" s="20"/>
    </row>
    <row r="4456" spans="38:38" x14ac:dyDescent="0.35">
      <c r="AL4456" s="20"/>
    </row>
    <row r="4457" spans="38:38" x14ac:dyDescent="0.35">
      <c r="AL4457" s="20"/>
    </row>
    <row r="4458" spans="38:38" x14ac:dyDescent="0.35">
      <c r="AL4458" s="20"/>
    </row>
    <row r="4459" spans="38:38" x14ac:dyDescent="0.35">
      <c r="AL4459" s="20"/>
    </row>
    <row r="4460" spans="38:38" x14ac:dyDescent="0.35">
      <c r="AL4460" s="20"/>
    </row>
    <row r="4461" spans="38:38" x14ac:dyDescent="0.35">
      <c r="AL4461" s="20"/>
    </row>
    <row r="4462" spans="38:38" x14ac:dyDescent="0.35">
      <c r="AL4462" s="20"/>
    </row>
    <row r="4463" spans="38:38" x14ac:dyDescent="0.35">
      <c r="AL4463" s="20"/>
    </row>
    <row r="4464" spans="38:38" x14ac:dyDescent="0.35">
      <c r="AL4464" s="20"/>
    </row>
    <row r="4465" spans="38:38" x14ac:dyDescent="0.35">
      <c r="AL4465" s="20"/>
    </row>
    <row r="4466" spans="38:38" x14ac:dyDescent="0.35">
      <c r="AL4466" s="20"/>
    </row>
    <row r="4467" spans="38:38" x14ac:dyDescent="0.35">
      <c r="AL4467" s="20"/>
    </row>
    <row r="4468" spans="38:38" x14ac:dyDescent="0.35">
      <c r="AL4468" s="20"/>
    </row>
    <row r="4469" spans="38:38" x14ac:dyDescent="0.35">
      <c r="AL4469" s="20"/>
    </row>
    <row r="4470" spans="38:38" x14ac:dyDescent="0.35">
      <c r="AL4470" s="20"/>
    </row>
    <row r="4471" spans="38:38" x14ac:dyDescent="0.35">
      <c r="AL4471" s="20"/>
    </row>
    <row r="4472" spans="38:38" x14ac:dyDescent="0.35">
      <c r="AL4472" s="20"/>
    </row>
    <row r="4473" spans="38:38" x14ac:dyDescent="0.35">
      <c r="AL4473" s="20"/>
    </row>
    <row r="4474" spans="38:38" x14ac:dyDescent="0.35">
      <c r="AL4474" s="20"/>
    </row>
    <row r="4475" spans="38:38" x14ac:dyDescent="0.35">
      <c r="AL4475" s="20"/>
    </row>
    <row r="4476" spans="38:38" x14ac:dyDescent="0.35">
      <c r="AL4476" s="20"/>
    </row>
    <row r="4477" spans="38:38" x14ac:dyDescent="0.35">
      <c r="AL4477" s="20"/>
    </row>
    <row r="4478" spans="38:38" x14ac:dyDescent="0.35">
      <c r="AL4478" s="20"/>
    </row>
    <row r="4479" spans="38:38" x14ac:dyDescent="0.35">
      <c r="AL4479" s="20"/>
    </row>
    <row r="4480" spans="38:38" x14ac:dyDescent="0.35">
      <c r="AL4480" s="20"/>
    </row>
    <row r="4481" spans="38:38" x14ac:dyDescent="0.35">
      <c r="AL4481" s="20"/>
    </row>
    <row r="4482" spans="38:38" x14ac:dyDescent="0.35">
      <c r="AL4482" s="20"/>
    </row>
    <row r="4483" spans="38:38" x14ac:dyDescent="0.35">
      <c r="AL4483" s="20"/>
    </row>
    <row r="4484" spans="38:38" x14ac:dyDescent="0.35">
      <c r="AL4484" s="20"/>
    </row>
    <row r="4485" spans="38:38" x14ac:dyDescent="0.35">
      <c r="AL4485" s="20"/>
    </row>
    <row r="4486" spans="38:38" x14ac:dyDescent="0.35">
      <c r="AL4486" s="20"/>
    </row>
    <row r="4487" spans="38:38" x14ac:dyDescent="0.35">
      <c r="AL4487" s="20"/>
    </row>
    <row r="4488" spans="38:38" x14ac:dyDescent="0.35">
      <c r="AL4488" s="20"/>
    </row>
    <row r="4489" spans="38:38" x14ac:dyDescent="0.35">
      <c r="AL4489" s="20"/>
    </row>
    <row r="4490" spans="38:38" x14ac:dyDescent="0.35">
      <c r="AL4490" s="20"/>
    </row>
    <row r="4491" spans="38:38" x14ac:dyDescent="0.35">
      <c r="AL4491" s="20"/>
    </row>
    <row r="4492" spans="38:38" x14ac:dyDescent="0.35">
      <c r="AL4492" s="20"/>
    </row>
    <row r="4493" spans="38:38" x14ac:dyDescent="0.35">
      <c r="AL4493" s="20"/>
    </row>
    <row r="4494" spans="38:38" x14ac:dyDescent="0.35">
      <c r="AL4494" s="20"/>
    </row>
    <row r="4495" spans="38:38" x14ac:dyDescent="0.35">
      <c r="AL4495" s="20"/>
    </row>
    <row r="4496" spans="38:38" x14ac:dyDescent="0.35">
      <c r="AL4496" s="20"/>
    </row>
    <row r="4497" spans="38:38" x14ac:dyDescent="0.35">
      <c r="AL4497" s="20"/>
    </row>
    <row r="4498" spans="38:38" x14ac:dyDescent="0.35">
      <c r="AL4498" s="20"/>
    </row>
    <row r="4499" spans="38:38" x14ac:dyDescent="0.35">
      <c r="AL4499" s="20"/>
    </row>
    <row r="4500" spans="38:38" x14ac:dyDescent="0.35">
      <c r="AL4500" s="20"/>
    </row>
    <row r="4501" spans="38:38" x14ac:dyDescent="0.35">
      <c r="AL4501" s="20"/>
    </row>
    <row r="4502" spans="38:38" x14ac:dyDescent="0.35">
      <c r="AL4502" s="20"/>
    </row>
    <row r="4503" spans="38:38" x14ac:dyDescent="0.35">
      <c r="AL4503" s="20"/>
    </row>
    <row r="4504" spans="38:38" x14ac:dyDescent="0.35">
      <c r="AL4504" s="20"/>
    </row>
    <row r="4505" spans="38:38" x14ac:dyDescent="0.35">
      <c r="AL4505" s="20"/>
    </row>
    <row r="4506" spans="38:38" x14ac:dyDescent="0.35">
      <c r="AL4506" s="20"/>
    </row>
    <row r="4507" spans="38:38" x14ac:dyDescent="0.35">
      <c r="AL4507" s="20"/>
    </row>
    <row r="4508" spans="38:38" x14ac:dyDescent="0.35">
      <c r="AL4508" s="20"/>
    </row>
    <row r="4509" spans="38:38" x14ac:dyDescent="0.35">
      <c r="AL4509" s="20"/>
    </row>
    <row r="4510" spans="38:38" x14ac:dyDescent="0.35">
      <c r="AL4510" s="20"/>
    </row>
    <row r="4511" spans="38:38" x14ac:dyDescent="0.35">
      <c r="AL4511" s="20"/>
    </row>
    <row r="4512" spans="38:38" x14ac:dyDescent="0.35">
      <c r="AL4512" s="20"/>
    </row>
    <row r="4513" spans="38:38" x14ac:dyDescent="0.35">
      <c r="AL4513" s="20"/>
    </row>
    <row r="4514" spans="38:38" x14ac:dyDescent="0.35">
      <c r="AL4514" s="20"/>
    </row>
    <row r="4515" spans="38:38" x14ac:dyDescent="0.35">
      <c r="AL4515" s="20"/>
    </row>
    <row r="4516" spans="38:38" x14ac:dyDescent="0.35">
      <c r="AL4516" s="20"/>
    </row>
    <row r="4517" spans="38:38" x14ac:dyDescent="0.35">
      <c r="AL4517" s="20"/>
    </row>
    <row r="4518" spans="38:38" x14ac:dyDescent="0.35">
      <c r="AL4518" s="20"/>
    </row>
    <row r="4519" spans="38:38" x14ac:dyDescent="0.35">
      <c r="AL4519" s="20"/>
    </row>
    <row r="4520" spans="38:38" x14ac:dyDescent="0.35">
      <c r="AL4520" s="20"/>
    </row>
    <row r="4521" spans="38:38" x14ac:dyDescent="0.35">
      <c r="AL4521" s="20"/>
    </row>
    <row r="4522" spans="38:38" x14ac:dyDescent="0.35">
      <c r="AL4522" s="20"/>
    </row>
    <row r="4523" spans="38:38" x14ac:dyDescent="0.35">
      <c r="AL4523" s="20"/>
    </row>
    <row r="4524" spans="38:38" x14ac:dyDescent="0.35">
      <c r="AL4524" s="20"/>
    </row>
    <row r="4525" spans="38:38" x14ac:dyDescent="0.35">
      <c r="AL4525" s="20"/>
    </row>
    <row r="4526" spans="38:38" x14ac:dyDescent="0.35">
      <c r="AL4526" s="20"/>
    </row>
    <row r="4527" spans="38:38" x14ac:dyDescent="0.35">
      <c r="AL4527" s="20"/>
    </row>
    <row r="4528" spans="38:38" x14ac:dyDescent="0.35">
      <c r="AL4528" s="20"/>
    </row>
    <row r="4529" spans="38:38" x14ac:dyDescent="0.35">
      <c r="AL4529" s="20"/>
    </row>
    <row r="4530" spans="38:38" x14ac:dyDescent="0.35">
      <c r="AL4530" s="20"/>
    </row>
    <row r="4531" spans="38:38" x14ac:dyDescent="0.35">
      <c r="AL4531" s="20"/>
    </row>
    <row r="4532" spans="38:38" x14ac:dyDescent="0.35">
      <c r="AL4532" s="20"/>
    </row>
    <row r="4533" spans="38:38" x14ac:dyDescent="0.35">
      <c r="AL4533" s="20"/>
    </row>
    <row r="4534" spans="38:38" x14ac:dyDescent="0.35">
      <c r="AL4534" s="20"/>
    </row>
    <row r="4535" spans="38:38" x14ac:dyDescent="0.35">
      <c r="AL4535" s="20"/>
    </row>
    <row r="4536" spans="38:38" x14ac:dyDescent="0.35">
      <c r="AL4536" s="20"/>
    </row>
    <row r="4537" spans="38:38" x14ac:dyDescent="0.35">
      <c r="AL4537" s="20"/>
    </row>
    <row r="4538" spans="38:38" x14ac:dyDescent="0.35">
      <c r="AL4538" s="20"/>
    </row>
    <row r="4539" spans="38:38" x14ac:dyDescent="0.35">
      <c r="AL4539" s="20"/>
    </row>
    <row r="4540" spans="38:38" x14ac:dyDescent="0.35">
      <c r="AL4540" s="20"/>
    </row>
    <row r="4541" spans="38:38" x14ac:dyDescent="0.35">
      <c r="AL4541" s="20"/>
    </row>
    <row r="4542" spans="38:38" x14ac:dyDescent="0.35">
      <c r="AL4542" s="20"/>
    </row>
    <row r="4543" spans="38:38" x14ac:dyDescent="0.35">
      <c r="AL4543" s="20"/>
    </row>
    <row r="4544" spans="38:38" x14ac:dyDescent="0.35">
      <c r="AL4544" s="20"/>
    </row>
    <row r="4545" spans="38:38" x14ac:dyDescent="0.35">
      <c r="AL4545" s="20"/>
    </row>
    <row r="4546" spans="38:38" x14ac:dyDescent="0.35">
      <c r="AL4546" s="20"/>
    </row>
    <row r="4547" spans="38:38" x14ac:dyDescent="0.35">
      <c r="AL4547" s="20"/>
    </row>
    <row r="4548" spans="38:38" x14ac:dyDescent="0.35">
      <c r="AL4548" s="20"/>
    </row>
    <row r="4549" spans="38:38" x14ac:dyDescent="0.35">
      <c r="AL4549" s="20"/>
    </row>
    <row r="4550" spans="38:38" x14ac:dyDescent="0.35">
      <c r="AL4550" s="20"/>
    </row>
    <row r="4551" spans="38:38" x14ac:dyDescent="0.35">
      <c r="AL4551" s="20"/>
    </row>
    <row r="4552" spans="38:38" x14ac:dyDescent="0.35">
      <c r="AL4552" s="20"/>
    </row>
    <row r="4553" spans="38:38" x14ac:dyDescent="0.35">
      <c r="AL4553" s="20"/>
    </row>
    <row r="4554" spans="38:38" x14ac:dyDescent="0.35">
      <c r="AL4554" s="20"/>
    </row>
    <row r="4555" spans="38:38" x14ac:dyDescent="0.35">
      <c r="AL4555" s="20"/>
    </row>
    <row r="4556" spans="38:38" x14ac:dyDescent="0.35">
      <c r="AL4556" s="20"/>
    </row>
    <row r="4557" spans="38:38" x14ac:dyDescent="0.35">
      <c r="AL4557" s="20"/>
    </row>
    <row r="4558" spans="38:38" x14ac:dyDescent="0.35">
      <c r="AL4558" s="20"/>
    </row>
    <row r="4559" spans="38:38" x14ac:dyDescent="0.35">
      <c r="AL4559" s="20"/>
    </row>
    <row r="4560" spans="38:38" x14ac:dyDescent="0.35">
      <c r="AL4560" s="20"/>
    </row>
    <row r="4561" spans="38:38" x14ac:dyDescent="0.35">
      <c r="AL4561" s="20"/>
    </row>
    <row r="4562" spans="38:38" x14ac:dyDescent="0.35">
      <c r="AL4562" s="20"/>
    </row>
    <row r="4563" spans="38:38" x14ac:dyDescent="0.35">
      <c r="AL4563" s="20"/>
    </row>
    <row r="4564" spans="38:38" x14ac:dyDescent="0.35">
      <c r="AL4564" s="20"/>
    </row>
    <row r="4565" spans="38:38" x14ac:dyDescent="0.35">
      <c r="AL4565" s="20"/>
    </row>
    <row r="4566" spans="38:38" x14ac:dyDescent="0.35">
      <c r="AL4566" s="20"/>
    </row>
    <row r="4567" spans="38:38" x14ac:dyDescent="0.35">
      <c r="AL4567" s="20"/>
    </row>
    <row r="4568" spans="38:38" x14ac:dyDescent="0.35">
      <c r="AL4568" s="20"/>
    </row>
    <row r="4569" spans="38:38" x14ac:dyDescent="0.35">
      <c r="AL4569" s="20"/>
    </row>
    <row r="4570" spans="38:38" x14ac:dyDescent="0.35">
      <c r="AL4570" s="20"/>
    </row>
    <row r="4571" spans="38:38" x14ac:dyDescent="0.35">
      <c r="AL4571" s="20"/>
    </row>
    <row r="4572" spans="38:38" x14ac:dyDescent="0.35">
      <c r="AL4572" s="20"/>
    </row>
    <row r="4573" spans="38:38" x14ac:dyDescent="0.35">
      <c r="AL4573" s="20"/>
    </row>
    <row r="4574" spans="38:38" x14ac:dyDescent="0.35">
      <c r="AL4574" s="20"/>
    </row>
    <row r="4575" spans="38:38" x14ac:dyDescent="0.35">
      <c r="AL4575" s="20"/>
    </row>
    <row r="4576" spans="38:38" x14ac:dyDescent="0.35">
      <c r="AL4576" s="20"/>
    </row>
    <row r="4577" spans="38:38" x14ac:dyDescent="0.35">
      <c r="AL4577" s="20"/>
    </row>
    <row r="4578" spans="38:38" x14ac:dyDescent="0.35">
      <c r="AL4578" s="20"/>
    </row>
    <row r="4579" spans="38:38" x14ac:dyDescent="0.35">
      <c r="AL4579" s="20"/>
    </row>
    <row r="4580" spans="38:38" x14ac:dyDescent="0.35">
      <c r="AL4580" s="20"/>
    </row>
    <row r="4581" spans="38:38" x14ac:dyDescent="0.35">
      <c r="AL4581" s="20"/>
    </row>
    <row r="4582" spans="38:38" x14ac:dyDescent="0.35">
      <c r="AL4582" s="20"/>
    </row>
    <row r="4583" spans="38:38" x14ac:dyDescent="0.35">
      <c r="AL4583" s="20"/>
    </row>
    <row r="4584" spans="38:38" x14ac:dyDescent="0.35">
      <c r="AL4584" s="20"/>
    </row>
    <row r="4585" spans="38:38" x14ac:dyDescent="0.35">
      <c r="AL4585" s="20"/>
    </row>
    <row r="4586" spans="38:38" x14ac:dyDescent="0.35">
      <c r="AL4586" s="20"/>
    </row>
    <row r="4587" spans="38:38" x14ac:dyDescent="0.35">
      <c r="AL4587" s="20"/>
    </row>
    <row r="4588" spans="38:38" x14ac:dyDescent="0.35">
      <c r="AL4588" s="20"/>
    </row>
    <row r="4589" spans="38:38" x14ac:dyDescent="0.35">
      <c r="AL4589" s="20"/>
    </row>
    <row r="4590" spans="38:38" x14ac:dyDescent="0.35">
      <c r="AL4590" s="20"/>
    </row>
    <row r="4591" spans="38:38" x14ac:dyDescent="0.35">
      <c r="AL4591" s="20"/>
    </row>
    <row r="4592" spans="38:38" x14ac:dyDescent="0.35">
      <c r="AL4592" s="20"/>
    </row>
    <row r="4593" spans="38:38" x14ac:dyDescent="0.35">
      <c r="AL4593" s="20"/>
    </row>
    <row r="4594" spans="38:38" x14ac:dyDescent="0.35">
      <c r="AL4594" s="20"/>
    </row>
    <row r="4595" spans="38:38" x14ac:dyDescent="0.35">
      <c r="AL4595" s="20"/>
    </row>
    <row r="4596" spans="38:38" x14ac:dyDescent="0.35">
      <c r="AL4596" s="20"/>
    </row>
    <row r="4597" spans="38:38" x14ac:dyDescent="0.35">
      <c r="AL4597" s="20"/>
    </row>
    <row r="4598" spans="38:38" x14ac:dyDescent="0.35">
      <c r="AL4598" s="20"/>
    </row>
    <row r="4599" spans="38:38" x14ac:dyDescent="0.35">
      <c r="AL4599" s="20"/>
    </row>
    <row r="4600" spans="38:38" x14ac:dyDescent="0.35">
      <c r="AL4600" s="20"/>
    </row>
    <row r="4601" spans="38:38" x14ac:dyDescent="0.35">
      <c r="AL4601" s="20"/>
    </row>
    <row r="4602" spans="38:38" x14ac:dyDescent="0.35">
      <c r="AL4602" s="20"/>
    </row>
    <row r="4603" spans="38:38" x14ac:dyDescent="0.35">
      <c r="AL4603" s="20"/>
    </row>
    <row r="4604" spans="38:38" x14ac:dyDescent="0.35">
      <c r="AL4604" s="20"/>
    </row>
    <row r="4605" spans="38:38" x14ac:dyDescent="0.35">
      <c r="AL4605" s="20"/>
    </row>
    <row r="4606" spans="38:38" x14ac:dyDescent="0.35">
      <c r="AL4606" s="20"/>
    </row>
    <row r="4607" spans="38:38" x14ac:dyDescent="0.35">
      <c r="AL4607" s="20"/>
    </row>
    <row r="4608" spans="38:38" x14ac:dyDescent="0.35">
      <c r="AL4608" s="20"/>
    </row>
    <row r="4609" spans="38:38" x14ac:dyDescent="0.35">
      <c r="AL4609" s="20"/>
    </row>
    <row r="4610" spans="38:38" x14ac:dyDescent="0.35">
      <c r="AL4610" s="20"/>
    </row>
    <row r="4611" spans="38:38" x14ac:dyDescent="0.35">
      <c r="AL4611" s="20"/>
    </row>
    <row r="4612" spans="38:38" x14ac:dyDescent="0.35">
      <c r="AL4612" s="20"/>
    </row>
    <row r="4613" spans="38:38" x14ac:dyDescent="0.35">
      <c r="AL4613" s="20"/>
    </row>
    <row r="4614" spans="38:38" x14ac:dyDescent="0.35">
      <c r="AL4614" s="20"/>
    </row>
    <row r="4615" spans="38:38" x14ac:dyDescent="0.35">
      <c r="AL4615" s="20"/>
    </row>
    <row r="4616" spans="38:38" x14ac:dyDescent="0.35">
      <c r="AL4616" s="20"/>
    </row>
    <row r="4617" spans="38:38" x14ac:dyDescent="0.35">
      <c r="AL4617" s="20"/>
    </row>
    <row r="4618" spans="38:38" x14ac:dyDescent="0.35">
      <c r="AL4618" s="20"/>
    </row>
    <row r="4619" spans="38:38" x14ac:dyDescent="0.35">
      <c r="AL4619" s="20"/>
    </row>
    <row r="4620" spans="38:38" x14ac:dyDescent="0.35">
      <c r="AL4620" s="20"/>
    </row>
    <row r="4621" spans="38:38" x14ac:dyDescent="0.35">
      <c r="AL4621" s="20"/>
    </row>
    <row r="4622" spans="38:38" x14ac:dyDescent="0.35">
      <c r="AL4622" s="20"/>
    </row>
    <row r="4623" spans="38:38" x14ac:dyDescent="0.35">
      <c r="AL4623" s="20"/>
    </row>
    <row r="4624" spans="38:38" x14ac:dyDescent="0.35">
      <c r="AL4624" s="20"/>
    </row>
    <row r="4625" spans="38:38" x14ac:dyDescent="0.35">
      <c r="AL4625" s="20"/>
    </row>
    <row r="4626" spans="38:38" x14ac:dyDescent="0.35">
      <c r="AL4626" s="20"/>
    </row>
    <row r="4627" spans="38:38" x14ac:dyDescent="0.35">
      <c r="AL4627" s="20"/>
    </row>
    <row r="4628" spans="38:38" x14ac:dyDescent="0.35">
      <c r="AL4628" s="20"/>
    </row>
    <row r="4629" spans="38:38" x14ac:dyDescent="0.35">
      <c r="AL4629" s="20"/>
    </row>
    <row r="4630" spans="38:38" x14ac:dyDescent="0.35">
      <c r="AL4630" s="20"/>
    </row>
    <row r="4631" spans="38:38" x14ac:dyDescent="0.35">
      <c r="AL4631" s="20"/>
    </row>
    <row r="4632" spans="38:38" x14ac:dyDescent="0.35">
      <c r="AL4632" s="20"/>
    </row>
    <row r="4633" spans="38:38" x14ac:dyDescent="0.35">
      <c r="AL4633" s="20"/>
    </row>
    <row r="4634" spans="38:38" x14ac:dyDescent="0.35">
      <c r="AL4634" s="20"/>
    </row>
    <row r="4635" spans="38:38" x14ac:dyDescent="0.35">
      <c r="AL4635" s="20"/>
    </row>
    <row r="4636" spans="38:38" x14ac:dyDescent="0.35">
      <c r="AL4636" s="20"/>
    </row>
    <row r="4637" spans="38:38" x14ac:dyDescent="0.35">
      <c r="AL4637" s="20"/>
    </row>
    <row r="4638" spans="38:38" x14ac:dyDescent="0.35">
      <c r="AL4638" s="20"/>
    </row>
    <row r="4639" spans="38:38" x14ac:dyDescent="0.35">
      <c r="AL4639" s="20"/>
    </row>
    <row r="4640" spans="38:38" x14ac:dyDescent="0.35">
      <c r="AL4640" s="20"/>
    </row>
    <row r="4641" spans="38:38" x14ac:dyDescent="0.35">
      <c r="AL4641" s="20"/>
    </row>
    <row r="4642" spans="38:38" x14ac:dyDescent="0.35">
      <c r="AL4642" s="20"/>
    </row>
    <row r="4643" spans="38:38" x14ac:dyDescent="0.35">
      <c r="AL4643" s="20"/>
    </row>
    <row r="4644" spans="38:38" x14ac:dyDescent="0.35">
      <c r="AL4644" s="20"/>
    </row>
    <row r="4645" spans="38:38" x14ac:dyDescent="0.35">
      <c r="AL4645" s="20"/>
    </row>
    <row r="4646" spans="38:38" x14ac:dyDescent="0.35">
      <c r="AL4646" s="20"/>
    </row>
    <row r="4647" spans="38:38" x14ac:dyDescent="0.35">
      <c r="AL4647" s="20"/>
    </row>
    <row r="4648" spans="38:38" x14ac:dyDescent="0.35">
      <c r="AL4648" s="20"/>
    </row>
    <row r="4649" spans="38:38" x14ac:dyDescent="0.35">
      <c r="AL4649" s="20"/>
    </row>
    <row r="4650" spans="38:38" x14ac:dyDescent="0.35">
      <c r="AL4650" s="20"/>
    </row>
    <row r="4651" spans="38:38" x14ac:dyDescent="0.35">
      <c r="AL4651" s="20"/>
    </row>
    <row r="4652" spans="38:38" x14ac:dyDescent="0.35">
      <c r="AL4652" s="20"/>
    </row>
    <row r="4653" spans="38:38" x14ac:dyDescent="0.35">
      <c r="AL4653" s="20"/>
    </row>
    <row r="4654" spans="38:38" x14ac:dyDescent="0.35">
      <c r="AL4654" s="20"/>
    </row>
    <row r="4655" spans="38:38" x14ac:dyDescent="0.35">
      <c r="AL4655" s="20"/>
    </row>
    <row r="4656" spans="38:38" x14ac:dyDescent="0.35">
      <c r="AL4656" s="20"/>
    </row>
    <row r="4657" spans="38:38" x14ac:dyDescent="0.35">
      <c r="AL4657" s="20"/>
    </row>
    <row r="4658" spans="38:38" x14ac:dyDescent="0.35">
      <c r="AL4658" s="20"/>
    </row>
    <row r="4659" spans="38:38" x14ac:dyDescent="0.35">
      <c r="AL4659" s="20"/>
    </row>
    <row r="4660" spans="38:38" x14ac:dyDescent="0.35">
      <c r="AL4660" s="20"/>
    </row>
    <row r="4661" spans="38:38" x14ac:dyDescent="0.35">
      <c r="AL4661" s="20"/>
    </row>
    <row r="4662" spans="38:38" x14ac:dyDescent="0.35">
      <c r="AL4662" s="20"/>
    </row>
    <row r="4663" spans="38:38" x14ac:dyDescent="0.35">
      <c r="AL4663" s="20"/>
    </row>
    <row r="4664" spans="38:38" x14ac:dyDescent="0.35">
      <c r="AL4664" s="20"/>
    </row>
    <row r="4665" spans="38:38" x14ac:dyDescent="0.35">
      <c r="AL4665" s="20"/>
    </row>
    <row r="4666" spans="38:38" x14ac:dyDescent="0.35">
      <c r="AL4666" s="20"/>
    </row>
    <row r="4667" spans="38:38" x14ac:dyDescent="0.35">
      <c r="AL4667" s="20"/>
    </row>
    <row r="4668" spans="38:38" x14ac:dyDescent="0.35">
      <c r="AL4668" s="20"/>
    </row>
    <row r="4669" spans="38:38" x14ac:dyDescent="0.35">
      <c r="AL4669" s="20"/>
    </row>
    <row r="4670" spans="38:38" x14ac:dyDescent="0.35">
      <c r="AL4670" s="20"/>
    </row>
    <row r="4671" spans="38:38" x14ac:dyDescent="0.35">
      <c r="AL4671" s="20"/>
    </row>
    <row r="4672" spans="38:38" x14ac:dyDescent="0.35">
      <c r="AL4672" s="20"/>
    </row>
    <row r="4673" spans="38:38" x14ac:dyDescent="0.35">
      <c r="AL4673" s="20"/>
    </row>
    <row r="4674" spans="38:38" x14ac:dyDescent="0.35">
      <c r="AL4674" s="20"/>
    </row>
    <row r="4675" spans="38:38" x14ac:dyDescent="0.35">
      <c r="AL4675" s="20"/>
    </row>
    <row r="4676" spans="38:38" x14ac:dyDescent="0.35">
      <c r="AL4676" s="20"/>
    </row>
    <row r="4677" spans="38:38" x14ac:dyDescent="0.35">
      <c r="AL4677" s="20"/>
    </row>
    <row r="4678" spans="38:38" x14ac:dyDescent="0.35">
      <c r="AL4678" s="20"/>
    </row>
    <row r="4679" spans="38:38" x14ac:dyDescent="0.35">
      <c r="AL4679" s="20"/>
    </row>
    <row r="4680" spans="38:38" x14ac:dyDescent="0.35">
      <c r="AL4680" s="20"/>
    </row>
    <row r="4681" spans="38:38" x14ac:dyDescent="0.35">
      <c r="AL4681" s="20"/>
    </row>
    <row r="4682" spans="38:38" x14ac:dyDescent="0.35">
      <c r="AL4682" s="20"/>
    </row>
    <row r="4683" spans="38:38" x14ac:dyDescent="0.35">
      <c r="AL4683" s="20"/>
    </row>
    <row r="4684" spans="38:38" x14ac:dyDescent="0.35">
      <c r="AL4684" s="20"/>
    </row>
    <row r="4685" spans="38:38" x14ac:dyDescent="0.35">
      <c r="AL4685" s="20"/>
    </row>
    <row r="4686" spans="38:38" x14ac:dyDescent="0.35">
      <c r="AL4686" s="20"/>
    </row>
    <row r="4687" spans="38:38" x14ac:dyDescent="0.35">
      <c r="AL4687" s="20"/>
    </row>
    <row r="4688" spans="38:38" x14ac:dyDescent="0.35">
      <c r="AL4688" s="20"/>
    </row>
    <row r="4689" spans="38:38" x14ac:dyDescent="0.35">
      <c r="AL4689" s="20"/>
    </row>
    <row r="4690" spans="38:38" x14ac:dyDescent="0.35">
      <c r="AL4690" s="20"/>
    </row>
    <row r="4691" spans="38:38" x14ac:dyDescent="0.35">
      <c r="AL4691" s="20"/>
    </row>
    <row r="4692" spans="38:38" x14ac:dyDescent="0.35">
      <c r="AL4692" s="20"/>
    </row>
    <row r="4693" spans="38:38" x14ac:dyDescent="0.35">
      <c r="AL4693" s="20"/>
    </row>
    <row r="4694" spans="38:38" x14ac:dyDescent="0.35">
      <c r="AL4694" s="20"/>
    </row>
    <row r="4695" spans="38:38" x14ac:dyDescent="0.35">
      <c r="AL4695" s="20"/>
    </row>
    <row r="4696" spans="38:38" x14ac:dyDescent="0.35">
      <c r="AL4696" s="20"/>
    </row>
    <row r="4697" spans="38:38" x14ac:dyDescent="0.35">
      <c r="AL4697" s="20"/>
    </row>
    <row r="4698" spans="38:38" x14ac:dyDescent="0.35">
      <c r="AL4698" s="20"/>
    </row>
    <row r="4699" spans="38:38" x14ac:dyDescent="0.35">
      <c r="AL4699" s="20"/>
    </row>
    <row r="4700" spans="38:38" x14ac:dyDescent="0.35">
      <c r="AL4700" s="20"/>
    </row>
    <row r="4701" spans="38:38" x14ac:dyDescent="0.35">
      <c r="AL4701" s="20"/>
    </row>
    <row r="4702" spans="38:38" x14ac:dyDescent="0.35">
      <c r="AL4702" s="20"/>
    </row>
    <row r="4703" spans="38:38" x14ac:dyDescent="0.35">
      <c r="AL4703" s="20"/>
    </row>
    <row r="4704" spans="38:38" x14ac:dyDescent="0.35">
      <c r="AL4704" s="20"/>
    </row>
    <row r="4705" spans="38:38" x14ac:dyDescent="0.35">
      <c r="AL4705" s="20"/>
    </row>
    <row r="4706" spans="38:38" x14ac:dyDescent="0.35">
      <c r="AL4706" s="20"/>
    </row>
    <row r="4707" spans="38:38" x14ac:dyDescent="0.35">
      <c r="AL4707" s="20"/>
    </row>
    <row r="4708" spans="38:38" x14ac:dyDescent="0.35">
      <c r="AL4708" s="20"/>
    </row>
    <row r="4709" spans="38:38" x14ac:dyDescent="0.35">
      <c r="AL4709" s="20"/>
    </row>
    <row r="4710" spans="38:38" x14ac:dyDescent="0.35">
      <c r="AL4710" s="20"/>
    </row>
    <row r="4711" spans="38:38" x14ac:dyDescent="0.35">
      <c r="AL4711" s="20"/>
    </row>
    <row r="4712" spans="38:38" x14ac:dyDescent="0.35">
      <c r="AL4712" s="20"/>
    </row>
    <row r="4713" spans="38:38" x14ac:dyDescent="0.35">
      <c r="AL4713" s="20"/>
    </row>
    <row r="4714" spans="38:38" x14ac:dyDescent="0.35">
      <c r="AL4714" s="20"/>
    </row>
    <row r="4715" spans="38:38" x14ac:dyDescent="0.35">
      <c r="AL4715" s="20"/>
    </row>
    <row r="4716" spans="38:38" x14ac:dyDescent="0.35">
      <c r="AL4716" s="20"/>
    </row>
    <row r="4717" spans="38:38" x14ac:dyDescent="0.35">
      <c r="AL4717" s="20"/>
    </row>
    <row r="4718" spans="38:38" x14ac:dyDescent="0.35">
      <c r="AL4718" s="20"/>
    </row>
    <row r="4719" spans="38:38" x14ac:dyDescent="0.35">
      <c r="AL4719" s="20"/>
    </row>
    <row r="4720" spans="38:38" x14ac:dyDescent="0.35">
      <c r="AL4720" s="20"/>
    </row>
    <row r="4721" spans="38:38" x14ac:dyDescent="0.35">
      <c r="AL4721" s="20"/>
    </row>
    <row r="4722" spans="38:38" x14ac:dyDescent="0.35">
      <c r="AL4722" s="20"/>
    </row>
    <row r="4723" spans="38:38" x14ac:dyDescent="0.35">
      <c r="AL4723" s="20"/>
    </row>
    <row r="4724" spans="38:38" x14ac:dyDescent="0.35">
      <c r="AL4724" s="20"/>
    </row>
    <row r="4725" spans="38:38" x14ac:dyDescent="0.35">
      <c r="AL4725" s="20"/>
    </row>
    <row r="4726" spans="38:38" x14ac:dyDescent="0.35">
      <c r="AL4726" s="20"/>
    </row>
    <row r="4727" spans="38:38" x14ac:dyDescent="0.35">
      <c r="AL4727" s="20"/>
    </row>
    <row r="4728" spans="38:38" x14ac:dyDescent="0.35">
      <c r="AL4728" s="20"/>
    </row>
    <row r="4729" spans="38:38" x14ac:dyDescent="0.35">
      <c r="AL4729" s="20"/>
    </row>
    <row r="4730" spans="38:38" x14ac:dyDescent="0.35">
      <c r="AL4730" s="20"/>
    </row>
    <row r="4731" spans="38:38" x14ac:dyDescent="0.35">
      <c r="AL4731" s="20"/>
    </row>
    <row r="4732" spans="38:38" x14ac:dyDescent="0.35">
      <c r="AL4732" s="20"/>
    </row>
    <row r="4733" spans="38:38" x14ac:dyDescent="0.35">
      <c r="AL4733" s="20"/>
    </row>
    <row r="4734" spans="38:38" x14ac:dyDescent="0.35">
      <c r="AL4734" s="20"/>
    </row>
    <row r="4735" spans="38:38" x14ac:dyDescent="0.35">
      <c r="AL4735" s="20"/>
    </row>
    <row r="4736" spans="38:38" x14ac:dyDescent="0.35">
      <c r="AL4736" s="20"/>
    </row>
    <row r="4737" spans="38:38" x14ac:dyDescent="0.35">
      <c r="AL4737" s="20"/>
    </row>
    <row r="4738" spans="38:38" x14ac:dyDescent="0.35">
      <c r="AL4738" s="20"/>
    </row>
    <row r="4739" spans="38:38" x14ac:dyDescent="0.35">
      <c r="AL4739" s="20"/>
    </row>
    <row r="4740" spans="38:38" x14ac:dyDescent="0.35">
      <c r="AL4740" s="20"/>
    </row>
    <row r="4741" spans="38:38" x14ac:dyDescent="0.35">
      <c r="AL4741" s="20"/>
    </row>
    <row r="4742" spans="38:38" x14ac:dyDescent="0.35">
      <c r="AL4742" s="20"/>
    </row>
    <row r="4743" spans="38:38" x14ac:dyDescent="0.35">
      <c r="AL4743" s="20"/>
    </row>
    <row r="4744" spans="38:38" x14ac:dyDescent="0.35">
      <c r="AL4744" s="20"/>
    </row>
    <row r="4745" spans="38:38" x14ac:dyDescent="0.35">
      <c r="AL4745" s="20"/>
    </row>
    <row r="4746" spans="38:38" x14ac:dyDescent="0.35">
      <c r="AL4746" s="20"/>
    </row>
    <row r="4747" spans="38:38" x14ac:dyDescent="0.35">
      <c r="AL4747" s="20"/>
    </row>
    <row r="4748" spans="38:38" x14ac:dyDescent="0.35">
      <c r="AL4748" s="20"/>
    </row>
    <row r="4749" spans="38:38" x14ac:dyDescent="0.35">
      <c r="AL4749" s="20"/>
    </row>
    <row r="4750" spans="38:38" x14ac:dyDescent="0.35">
      <c r="AL4750" s="20"/>
    </row>
    <row r="4751" spans="38:38" x14ac:dyDescent="0.35">
      <c r="AL4751" s="20"/>
    </row>
    <row r="4752" spans="38:38" x14ac:dyDescent="0.35">
      <c r="AL4752" s="20"/>
    </row>
    <row r="4753" spans="38:38" x14ac:dyDescent="0.35">
      <c r="AL4753" s="20"/>
    </row>
    <row r="4754" spans="38:38" x14ac:dyDescent="0.35">
      <c r="AL4754" s="20"/>
    </row>
    <row r="4755" spans="38:38" x14ac:dyDescent="0.35">
      <c r="AL4755" s="20"/>
    </row>
    <row r="4756" spans="38:38" x14ac:dyDescent="0.35">
      <c r="AL4756" s="20"/>
    </row>
    <row r="4757" spans="38:38" x14ac:dyDescent="0.35">
      <c r="AL4757" s="20"/>
    </row>
    <row r="4758" spans="38:38" x14ac:dyDescent="0.35">
      <c r="AL4758" s="20"/>
    </row>
    <row r="4759" spans="38:38" x14ac:dyDescent="0.35">
      <c r="AL4759" s="20"/>
    </row>
    <row r="4760" spans="38:38" x14ac:dyDescent="0.35">
      <c r="AL4760" s="20"/>
    </row>
    <row r="4761" spans="38:38" x14ac:dyDescent="0.35">
      <c r="AL4761" s="20"/>
    </row>
    <row r="4762" spans="38:38" x14ac:dyDescent="0.35">
      <c r="AL4762" s="20"/>
    </row>
    <row r="4763" spans="38:38" x14ac:dyDescent="0.35">
      <c r="AL4763" s="20"/>
    </row>
    <row r="4764" spans="38:38" x14ac:dyDescent="0.35">
      <c r="AL4764" s="20"/>
    </row>
    <row r="4765" spans="38:38" x14ac:dyDescent="0.35">
      <c r="AL4765" s="20"/>
    </row>
    <row r="4766" spans="38:38" x14ac:dyDescent="0.35">
      <c r="AL4766" s="20"/>
    </row>
    <row r="4767" spans="38:38" x14ac:dyDescent="0.35">
      <c r="AL4767" s="20"/>
    </row>
    <row r="4768" spans="38:38" x14ac:dyDescent="0.35">
      <c r="AL4768" s="20"/>
    </row>
    <row r="4769" spans="38:38" x14ac:dyDescent="0.35">
      <c r="AL4769" s="20"/>
    </row>
    <row r="4770" spans="38:38" x14ac:dyDescent="0.35">
      <c r="AL4770" s="20"/>
    </row>
    <row r="4771" spans="38:38" x14ac:dyDescent="0.35">
      <c r="AL4771" s="20"/>
    </row>
    <row r="4772" spans="38:38" x14ac:dyDescent="0.35">
      <c r="AL4772" s="20"/>
    </row>
    <row r="4773" spans="38:38" x14ac:dyDescent="0.35">
      <c r="AL4773" s="20"/>
    </row>
    <row r="4774" spans="38:38" x14ac:dyDescent="0.35">
      <c r="AL4774" s="20"/>
    </row>
    <row r="4775" spans="38:38" x14ac:dyDescent="0.35">
      <c r="AL4775" s="20"/>
    </row>
    <row r="4776" spans="38:38" x14ac:dyDescent="0.35">
      <c r="AL4776" s="20"/>
    </row>
    <row r="4777" spans="38:38" x14ac:dyDescent="0.35">
      <c r="AL4777" s="20"/>
    </row>
    <row r="4778" spans="38:38" x14ac:dyDescent="0.35">
      <c r="AL4778" s="20"/>
    </row>
    <row r="4779" spans="38:38" x14ac:dyDescent="0.35">
      <c r="AL4779" s="20"/>
    </row>
    <row r="4780" spans="38:38" x14ac:dyDescent="0.35">
      <c r="AL4780" s="20"/>
    </row>
    <row r="4781" spans="38:38" x14ac:dyDescent="0.35">
      <c r="AL4781" s="20"/>
    </row>
    <row r="4782" spans="38:38" x14ac:dyDescent="0.35">
      <c r="AL4782" s="20"/>
    </row>
    <row r="4783" spans="38:38" x14ac:dyDescent="0.35">
      <c r="AL4783" s="20"/>
    </row>
    <row r="4784" spans="38:38" x14ac:dyDescent="0.35">
      <c r="AL4784" s="20"/>
    </row>
    <row r="4785" spans="38:38" x14ac:dyDescent="0.35">
      <c r="AL4785" s="20"/>
    </row>
    <row r="4786" spans="38:38" x14ac:dyDescent="0.35">
      <c r="AL4786" s="20"/>
    </row>
    <row r="4787" spans="38:38" x14ac:dyDescent="0.35">
      <c r="AL4787" s="20"/>
    </row>
    <row r="4788" spans="38:38" x14ac:dyDescent="0.35">
      <c r="AL4788" s="20"/>
    </row>
    <row r="4789" spans="38:38" x14ac:dyDescent="0.35">
      <c r="AL4789" s="20"/>
    </row>
    <row r="4790" spans="38:38" x14ac:dyDescent="0.35">
      <c r="AL4790" s="20"/>
    </row>
    <row r="4791" spans="38:38" x14ac:dyDescent="0.35">
      <c r="AL4791" s="20"/>
    </row>
    <row r="4792" spans="38:38" x14ac:dyDescent="0.35">
      <c r="AL4792" s="20"/>
    </row>
    <row r="4793" spans="38:38" x14ac:dyDescent="0.35">
      <c r="AL4793" s="20"/>
    </row>
    <row r="4794" spans="38:38" x14ac:dyDescent="0.35">
      <c r="AL4794" s="20"/>
    </row>
    <row r="4795" spans="38:38" x14ac:dyDescent="0.35">
      <c r="AL4795" s="20"/>
    </row>
    <row r="4796" spans="38:38" x14ac:dyDescent="0.35">
      <c r="AL4796" s="20"/>
    </row>
    <row r="4797" spans="38:38" x14ac:dyDescent="0.35">
      <c r="AL4797" s="20"/>
    </row>
    <row r="4798" spans="38:38" x14ac:dyDescent="0.35">
      <c r="AL4798" s="20"/>
    </row>
    <row r="4799" spans="38:38" x14ac:dyDescent="0.35">
      <c r="AL4799" s="20"/>
    </row>
    <row r="4800" spans="38:38" x14ac:dyDescent="0.35">
      <c r="AL4800" s="20"/>
    </row>
    <row r="4801" spans="38:38" x14ac:dyDescent="0.35">
      <c r="AL4801" s="20"/>
    </row>
    <row r="4802" spans="38:38" x14ac:dyDescent="0.35">
      <c r="AL4802" s="20"/>
    </row>
    <row r="4803" spans="38:38" x14ac:dyDescent="0.35">
      <c r="AL4803" s="20"/>
    </row>
    <row r="4804" spans="38:38" x14ac:dyDescent="0.35">
      <c r="AL4804" s="20"/>
    </row>
    <row r="4805" spans="38:38" x14ac:dyDescent="0.35">
      <c r="AL4805" s="20"/>
    </row>
    <row r="4806" spans="38:38" x14ac:dyDescent="0.35">
      <c r="AL4806" s="20"/>
    </row>
    <row r="4807" spans="38:38" x14ac:dyDescent="0.35">
      <c r="AL4807" s="20"/>
    </row>
    <row r="4808" spans="38:38" x14ac:dyDescent="0.35">
      <c r="AL4808" s="20"/>
    </row>
    <row r="4809" spans="38:38" x14ac:dyDescent="0.35">
      <c r="AL4809" s="20"/>
    </row>
    <row r="4810" spans="38:38" x14ac:dyDescent="0.35">
      <c r="AL4810" s="20"/>
    </row>
    <row r="4811" spans="38:38" x14ac:dyDescent="0.35">
      <c r="AL4811" s="20"/>
    </row>
    <row r="4812" spans="38:38" x14ac:dyDescent="0.35">
      <c r="AL4812" s="20"/>
    </row>
    <row r="4813" spans="38:38" x14ac:dyDescent="0.35">
      <c r="AL4813" s="20"/>
    </row>
    <row r="4814" spans="38:38" x14ac:dyDescent="0.35">
      <c r="AL4814" s="20"/>
    </row>
    <row r="4815" spans="38:38" x14ac:dyDescent="0.35">
      <c r="AL4815" s="20"/>
    </row>
    <row r="4816" spans="38:38" x14ac:dyDescent="0.35">
      <c r="AL4816" s="20"/>
    </row>
    <row r="4817" spans="38:38" x14ac:dyDescent="0.35">
      <c r="AL4817" s="20"/>
    </row>
    <row r="4818" spans="38:38" x14ac:dyDescent="0.35">
      <c r="AL4818" s="20"/>
    </row>
    <row r="4819" spans="38:38" x14ac:dyDescent="0.35">
      <c r="AL4819" s="20"/>
    </row>
    <row r="4820" spans="38:38" x14ac:dyDescent="0.35">
      <c r="AL4820" s="20"/>
    </row>
    <row r="4821" spans="38:38" x14ac:dyDescent="0.35">
      <c r="AL4821" s="20"/>
    </row>
    <row r="4822" spans="38:38" x14ac:dyDescent="0.35">
      <c r="AL4822" s="20"/>
    </row>
    <row r="4823" spans="38:38" x14ac:dyDescent="0.35">
      <c r="AL4823" s="20"/>
    </row>
    <row r="4824" spans="38:38" x14ac:dyDescent="0.35">
      <c r="AL4824" s="20"/>
    </row>
    <row r="4825" spans="38:38" x14ac:dyDescent="0.35">
      <c r="AL4825" s="20"/>
    </row>
    <row r="4826" spans="38:38" x14ac:dyDescent="0.35">
      <c r="AL4826" s="20"/>
    </row>
    <row r="4827" spans="38:38" x14ac:dyDescent="0.35">
      <c r="AL4827" s="20"/>
    </row>
    <row r="4828" spans="38:38" x14ac:dyDescent="0.35">
      <c r="AL4828" s="20"/>
    </row>
    <row r="4829" spans="38:38" x14ac:dyDescent="0.35">
      <c r="AL4829" s="20"/>
    </row>
    <row r="4830" spans="38:38" x14ac:dyDescent="0.35">
      <c r="AL4830" s="20"/>
    </row>
    <row r="4831" spans="38:38" x14ac:dyDescent="0.35">
      <c r="AL4831" s="20"/>
    </row>
    <row r="4832" spans="38:38" x14ac:dyDescent="0.35">
      <c r="AL4832" s="20"/>
    </row>
    <row r="4833" spans="38:38" x14ac:dyDescent="0.35">
      <c r="AL4833" s="20"/>
    </row>
    <row r="4834" spans="38:38" x14ac:dyDescent="0.35">
      <c r="AL4834" s="20"/>
    </row>
    <row r="4835" spans="38:38" x14ac:dyDescent="0.35">
      <c r="AL4835" s="20"/>
    </row>
    <row r="4836" spans="38:38" x14ac:dyDescent="0.35">
      <c r="AL4836" s="20"/>
    </row>
    <row r="4837" spans="38:38" x14ac:dyDescent="0.35">
      <c r="AL4837" s="20"/>
    </row>
    <row r="4838" spans="38:38" x14ac:dyDescent="0.35">
      <c r="AL4838" s="20"/>
    </row>
    <row r="4839" spans="38:38" x14ac:dyDescent="0.35">
      <c r="AL4839" s="20"/>
    </row>
    <row r="4840" spans="38:38" x14ac:dyDescent="0.35">
      <c r="AL4840" s="20"/>
    </row>
    <row r="4841" spans="38:38" x14ac:dyDescent="0.35">
      <c r="AL4841" s="20"/>
    </row>
    <row r="4842" spans="38:38" x14ac:dyDescent="0.35">
      <c r="AL4842" s="20"/>
    </row>
    <row r="4843" spans="38:38" x14ac:dyDescent="0.35">
      <c r="AL4843" s="20"/>
    </row>
    <row r="4844" spans="38:38" x14ac:dyDescent="0.35">
      <c r="AL4844" s="20"/>
    </row>
    <row r="4845" spans="38:38" x14ac:dyDescent="0.35">
      <c r="AL4845" s="20"/>
    </row>
    <row r="4846" spans="38:38" x14ac:dyDescent="0.35">
      <c r="AL4846" s="20"/>
    </row>
    <row r="4847" spans="38:38" x14ac:dyDescent="0.35">
      <c r="AL4847" s="20"/>
    </row>
    <row r="4848" spans="38:38" x14ac:dyDescent="0.35">
      <c r="AL4848" s="20"/>
    </row>
    <row r="4849" spans="38:38" x14ac:dyDescent="0.35">
      <c r="AL4849" s="20"/>
    </row>
    <row r="4850" spans="38:38" x14ac:dyDescent="0.35">
      <c r="AL4850" s="20"/>
    </row>
    <row r="4851" spans="38:38" x14ac:dyDescent="0.35">
      <c r="AL4851" s="20"/>
    </row>
    <row r="4852" spans="38:38" x14ac:dyDescent="0.35">
      <c r="AL4852" s="20"/>
    </row>
    <row r="4853" spans="38:38" x14ac:dyDescent="0.35">
      <c r="AL4853" s="20"/>
    </row>
    <row r="4854" spans="38:38" x14ac:dyDescent="0.35">
      <c r="AL4854" s="20"/>
    </row>
    <row r="4855" spans="38:38" x14ac:dyDescent="0.35">
      <c r="AL4855" s="20"/>
    </row>
    <row r="4856" spans="38:38" x14ac:dyDescent="0.35">
      <c r="AL4856" s="20"/>
    </row>
    <row r="4857" spans="38:38" x14ac:dyDescent="0.35">
      <c r="AL4857" s="20"/>
    </row>
    <row r="4858" spans="38:38" x14ac:dyDescent="0.35">
      <c r="AL4858" s="20"/>
    </row>
    <row r="4859" spans="38:38" x14ac:dyDescent="0.35">
      <c r="AL4859" s="20"/>
    </row>
    <row r="4860" spans="38:38" x14ac:dyDescent="0.35">
      <c r="AL4860" s="20"/>
    </row>
    <row r="4861" spans="38:38" x14ac:dyDescent="0.35">
      <c r="AL4861" s="20"/>
    </row>
    <row r="4862" spans="38:38" x14ac:dyDescent="0.35">
      <c r="AL4862" s="20"/>
    </row>
    <row r="4863" spans="38:38" x14ac:dyDescent="0.35">
      <c r="AL4863" s="20"/>
    </row>
    <row r="4864" spans="38:38" x14ac:dyDescent="0.35">
      <c r="AL4864" s="20"/>
    </row>
    <row r="4865" spans="38:38" x14ac:dyDescent="0.35">
      <c r="AL4865" s="20"/>
    </row>
    <row r="4866" spans="38:38" x14ac:dyDescent="0.35">
      <c r="AL4866" s="20"/>
    </row>
    <row r="4867" spans="38:38" x14ac:dyDescent="0.35">
      <c r="AL4867" s="20"/>
    </row>
    <row r="4868" spans="38:38" x14ac:dyDescent="0.35">
      <c r="AL4868" s="20"/>
    </row>
    <row r="4869" spans="38:38" x14ac:dyDescent="0.35">
      <c r="AL4869" s="20"/>
    </row>
    <row r="4870" spans="38:38" x14ac:dyDescent="0.35">
      <c r="AL4870" s="20"/>
    </row>
    <row r="4871" spans="38:38" x14ac:dyDescent="0.35">
      <c r="AL4871" s="20"/>
    </row>
    <row r="4872" spans="38:38" x14ac:dyDescent="0.35">
      <c r="AL4872" s="20"/>
    </row>
    <row r="4873" spans="38:38" x14ac:dyDescent="0.35">
      <c r="AL4873" s="20"/>
    </row>
    <row r="4874" spans="38:38" x14ac:dyDescent="0.35">
      <c r="AL4874" s="20"/>
    </row>
    <row r="4875" spans="38:38" x14ac:dyDescent="0.35">
      <c r="AL4875" s="20"/>
    </row>
    <row r="4876" spans="38:38" x14ac:dyDescent="0.35">
      <c r="AL4876" s="20"/>
    </row>
    <row r="4877" spans="38:38" x14ac:dyDescent="0.35">
      <c r="AL4877" s="20"/>
    </row>
    <row r="4878" spans="38:38" x14ac:dyDescent="0.35">
      <c r="AL4878" s="20"/>
    </row>
    <row r="4879" spans="38:38" x14ac:dyDescent="0.35">
      <c r="AL4879" s="20"/>
    </row>
    <row r="4880" spans="38:38" x14ac:dyDescent="0.35">
      <c r="AL4880" s="20"/>
    </row>
    <row r="4881" spans="38:38" x14ac:dyDescent="0.35">
      <c r="AL4881" s="20"/>
    </row>
    <row r="4882" spans="38:38" x14ac:dyDescent="0.35">
      <c r="AL4882" s="20"/>
    </row>
    <row r="4883" spans="38:38" x14ac:dyDescent="0.35">
      <c r="AL4883" s="20"/>
    </row>
    <row r="4884" spans="38:38" x14ac:dyDescent="0.35">
      <c r="AL4884" s="20"/>
    </row>
    <row r="4885" spans="38:38" x14ac:dyDescent="0.35">
      <c r="AL4885" s="20"/>
    </row>
    <row r="4886" spans="38:38" x14ac:dyDescent="0.35">
      <c r="AL4886" s="20"/>
    </row>
    <row r="4887" spans="38:38" x14ac:dyDescent="0.35">
      <c r="AL4887" s="20"/>
    </row>
    <row r="4888" spans="38:38" x14ac:dyDescent="0.35">
      <c r="AL4888" s="20"/>
    </row>
    <row r="4889" spans="38:38" x14ac:dyDescent="0.35">
      <c r="AL4889" s="20"/>
    </row>
    <row r="4890" spans="38:38" x14ac:dyDescent="0.35">
      <c r="AL4890" s="20"/>
    </row>
    <row r="4891" spans="38:38" x14ac:dyDescent="0.35">
      <c r="AL4891" s="20"/>
    </row>
    <row r="4892" spans="38:38" x14ac:dyDescent="0.35">
      <c r="AL4892" s="20"/>
    </row>
    <row r="4893" spans="38:38" x14ac:dyDescent="0.35">
      <c r="AL4893" s="20"/>
    </row>
    <row r="4894" spans="38:38" x14ac:dyDescent="0.35">
      <c r="AL4894" s="20"/>
    </row>
    <row r="4895" spans="38:38" x14ac:dyDescent="0.35">
      <c r="AL4895" s="20"/>
    </row>
    <row r="4896" spans="38:38" x14ac:dyDescent="0.35">
      <c r="AL4896" s="20"/>
    </row>
    <row r="4897" spans="38:38" x14ac:dyDescent="0.35">
      <c r="AL4897" s="20"/>
    </row>
    <row r="4898" spans="38:38" x14ac:dyDescent="0.35">
      <c r="AL4898" s="20"/>
    </row>
    <row r="4899" spans="38:38" x14ac:dyDescent="0.35">
      <c r="AL4899" s="20"/>
    </row>
    <row r="4900" spans="38:38" x14ac:dyDescent="0.35">
      <c r="AL4900" s="20"/>
    </row>
    <row r="4901" spans="38:38" x14ac:dyDescent="0.35">
      <c r="AL4901" s="20"/>
    </row>
    <row r="4902" spans="38:38" x14ac:dyDescent="0.35">
      <c r="AL4902" s="20"/>
    </row>
    <row r="4903" spans="38:38" x14ac:dyDescent="0.35">
      <c r="AL4903" s="20"/>
    </row>
    <row r="4904" spans="38:38" x14ac:dyDescent="0.35">
      <c r="AL4904" s="20"/>
    </row>
    <row r="4905" spans="38:38" x14ac:dyDescent="0.35">
      <c r="AL4905" s="20"/>
    </row>
    <row r="4906" spans="38:38" x14ac:dyDescent="0.35">
      <c r="AL4906" s="20"/>
    </row>
    <row r="4907" spans="38:38" x14ac:dyDescent="0.35">
      <c r="AL4907" s="20"/>
    </row>
    <row r="4908" spans="38:38" x14ac:dyDescent="0.35">
      <c r="AL4908" s="20"/>
    </row>
    <row r="4909" spans="38:38" x14ac:dyDescent="0.35">
      <c r="AL4909" s="20"/>
    </row>
    <row r="4910" spans="38:38" x14ac:dyDescent="0.35">
      <c r="AL4910" s="20"/>
    </row>
    <row r="4911" spans="38:38" x14ac:dyDescent="0.35">
      <c r="AL4911" s="20"/>
    </row>
    <row r="4912" spans="38:38" x14ac:dyDescent="0.35">
      <c r="AL4912" s="20"/>
    </row>
    <row r="4913" spans="38:38" x14ac:dyDescent="0.35">
      <c r="AL4913" s="20"/>
    </row>
    <row r="4914" spans="38:38" x14ac:dyDescent="0.35">
      <c r="AL4914" s="20"/>
    </row>
    <row r="4915" spans="38:38" x14ac:dyDescent="0.35">
      <c r="AL4915" s="20"/>
    </row>
    <row r="4916" spans="38:38" x14ac:dyDescent="0.35">
      <c r="AL4916" s="20"/>
    </row>
    <row r="4917" spans="38:38" x14ac:dyDescent="0.35">
      <c r="AL4917" s="20"/>
    </row>
    <row r="4918" spans="38:38" x14ac:dyDescent="0.35">
      <c r="AL4918" s="20"/>
    </row>
    <row r="4919" spans="38:38" x14ac:dyDescent="0.35">
      <c r="AL4919" s="20"/>
    </row>
    <row r="4920" spans="38:38" x14ac:dyDescent="0.35">
      <c r="AL4920" s="20"/>
    </row>
    <row r="4921" spans="38:38" x14ac:dyDescent="0.35">
      <c r="AL4921" s="20"/>
    </row>
    <row r="4922" spans="38:38" x14ac:dyDescent="0.35">
      <c r="AL4922" s="20"/>
    </row>
    <row r="4923" spans="38:38" x14ac:dyDescent="0.35">
      <c r="AL4923" s="20"/>
    </row>
    <row r="4924" spans="38:38" x14ac:dyDescent="0.35">
      <c r="AL4924" s="20"/>
    </row>
    <row r="4925" spans="38:38" x14ac:dyDescent="0.35">
      <c r="AL4925" s="20"/>
    </row>
    <row r="4926" spans="38:38" x14ac:dyDescent="0.35">
      <c r="AL4926" s="20"/>
    </row>
    <row r="4927" spans="38:38" x14ac:dyDescent="0.35">
      <c r="AL4927" s="20"/>
    </row>
    <row r="4928" spans="38:38" x14ac:dyDescent="0.35">
      <c r="AL4928" s="20"/>
    </row>
    <row r="4929" spans="38:38" x14ac:dyDescent="0.35">
      <c r="AL4929" s="20"/>
    </row>
    <row r="4930" spans="38:38" x14ac:dyDescent="0.35">
      <c r="AL4930" s="20"/>
    </row>
    <row r="4931" spans="38:38" x14ac:dyDescent="0.35">
      <c r="AL4931" s="20"/>
    </row>
    <row r="4932" spans="38:38" x14ac:dyDescent="0.35">
      <c r="AL4932" s="20"/>
    </row>
    <row r="4933" spans="38:38" x14ac:dyDescent="0.35">
      <c r="AL4933" s="20"/>
    </row>
    <row r="4934" spans="38:38" x14ac:dyDescent="0.35">
      <c r="AL4934" s="20"/>
    </row>
    <row r="4935" spans="38:38" x14ac:dyDescent="0.35">
      <c r="AL4935" s="20"/>
    </row>
    <row r="4936" spans="38:38" x14ac:dyDescent="0.35">
      <c r="AL4936" s="20"/>
    </row>
    <row r="4937" spans="38:38" x14ac:dyDescent="0.35">
      <c r="AL4937" s="20"/>
    </row>
    <row r="4938" spans="38:38" x14ac:dyDescent="0.35">
      <c r="AL4938" s="20"/>
    </row>
    <row r="4939" spans="38:38" x14ac:dyDescent="0.35">
      <c r="AL4939" s="20"/>
    </row>
    <row r="4940" spans="38:38" x14ac:dyDescent="0.35">
      <c r="AL4940" s="20"/>
    </row>
    <row r="4941" spans="38:38" x14ac:dyDescent="0.35">
      <c r="AL4941" s="20"/>
    </row>
    <row r="4942" spans="38:38" x14ac:dyDescent="0.35">
      <c r="AL4942" s="20"/>
    </row>
    <row r="4943" spans="38:38" x14ac:dyDescent="0.35">
      <c r="AL4943" s="20"/>
    </row>
    <row r="4944" spans="38:38" x14ac:dyDescent="0.35">
      <c r="AL4944" s="20"/>
    </row>
    <row r="4945" spans="38:38" x14ac:dyDescent="0.35">
      <c r="AL4945" s="20"/>
    </row>
    <row r="4946" spans="38:38" x14ac:dyDescent="0.35">
      <c r="AL4946" s="20"/>
    </row>
    <row r="4947" spans="38:38" x14ac:dyDescent="0.35">
      <c r="AL4947" s="20"/>
    </row>
    <row r="4948" spans="38:38" x14ac:dyDescent="0.35">
      <c r="AL4948" s="20"/>
    </row>
    <row r="4949" spans="38:38" x14ac:dyDescent="0.35">
      <c r="AL4949" s="20"/>
    </row>
    <row r="4950" spans="38:38" x14ac:dyDescent="0.35">
      <c r="AL4950" s="20"/>
    </row>
    <row r="4951" spans="38:38" x14ac:dyDescent="0.35">
      <c r="AL4951" s="20"/>
    </row>
    <row r="4952" spans="38:38" x14ac:dyDescent="0.35">
      <c r="AL4952" s="20"/>
    </row>
    <row r="4953" spans="38:38" x14ac:dyDescent="0.35">
      <c r="AL4953" s="20"/>
    </row>
    <row r="4954" spans="38:38" x14ac:dyDescent="0.35">
      <c r="AL4954" s="20"/>
    </row>
    <row r="4955" spans="38:38" x14ac:dyDescent="0.35">
      <c r="AL4955" s="20"/>
    </row>
    <row r="4956" spans="38:38" x14ac:dyDescent="0.35">
      <c r="AL4956" s="20"/>
    </row>
    <row r="4957" spans="38:38" x14ac:dyDescent="0.35">
      <c r="AL4957" s="20"/>
    </row>
    <row r="4958" spans="38:38" x14ac:dyDescent="0.35">
      <c r="AL4958" s="20"/>
    </row>
    <row r="4959" spans="38:38" x14ac:dyDescent="0.35">
      <c r="AL4959" s="20"/>
    </row>
    <row r="4960" spans="38:38" x14ac:dyDescent="0.35">
      <c r="AL4960" s="20"/>
    </row>
    <row r="4961" spans="38:38" x14ac:dyDescent="0.35">
      <c r="AL4961" s="20"/>
    </row>
    <row r="4962" spans="38:38" x14ac:dyDescent="0.35">
      <c r="AL4962" s="20"/>
    </row>
    <row r="4963" spans="38:38" x14ac:dyDescent="0.35">
      <c r="AL4963" s="20"/>
    </row>
    <row r="4964" spans="38:38" x14ac:dyDescent="0.35">
      <c r="AL4964" s="20"/>
    </row>
    <row r="4965" spans="38:38" x14ac:dyDescent="0.35">
      <c r="AL4965" s="20"/>
    </row>
    <row r="4966" spans="38:38" x14ac:dyDescent="0.35">
      <c r="AL4966" s="20"/>
    </row>
    <row r="4967" spans="38:38" x14ac:dyDescent="0.35">
      <c r="AL4967" s="20"/>
    </row>
    <row r="4968" spans="38:38" x14ac:dyDescent="0.35">
      <c r="AL4968" s="20"/>
    </row>
    <row r="4969" spans="38:38" x14ac:dyDescent="0.35">
      <c r="AL4969" s="20"/>
    </row>
    <row r="4970" spans="38:38" x14ac:dyDescent="0.35">
      <c r="AL4970" s="20"/>
    </row>
    <row r="4971" spans="38:38" x14ac:dyDescent="0.35">
      <c r="AL4971" s="20"/>
    </row>
    <row r="4972" spans="38:38" x14ac:dyDescent="0.35">
      <c r="AL4972" s="20"/>
    </row>
    <row r="4973" spans="38:38" x14ac:dyDescent="0.35">
      <c r="AL4973" s="20"/>
    </row>
    <row r="4974" spans="38:38" x14ac:dyDescent="0.35">
      <c r="AL4974" s="20"/>
    </row>
    <row r="4975" spans="38:38" x14ac:dyDescent="0.35">
      <c r="AL4975" s="20"/>
    </row>
    <row r="4976" spans="38:38" x14ac:dyDescent="0.35">
      <c r="AL4976" s="20"/>
    </row>
    <row r="4977" spans="38:38" x14ac:dyDescent="0.35">
      <c r="AL4977" s="20"/>
    </row>
    <row r="4978" spans="38:38" x14ac:dyDescent="0.35">
      <c r="AL4978" s="20"/>
    </row>
    <row r="4979" spans="38:38" x14ac:dyDescent="0.35">
      <c r="AL4979" s="20"/>
    </row>
    <row r="4980" spans="38:38" x14ac:dyDescent="0.35">
      <c r="AL4980" s="20"/>
    </row>
    <row r="4981" spans="38:38" x14ac:dyDescent="0.35">
      <c r="AL4981" s="20"/>
    </row>
    <row r="4982" spans="38:38" x14ac:dyDescent="0.35">
      <c r="AL4982" s="20"/>
    </row>
    <row r="4983" spans="38:38" x14ac:dyDescent="0.35">
      <c r="AL4983" s="20"/>
    </row>
    <row r="4984" spans="38:38" x14ac:dyDescent="0.35">
      <c r="AL4984" s="20"/>
    </row>
    <row r="4985" spans="38:38" x14ac:dyDescent="0.35">
      <c r="AL4985" s="20"/>
    </row>
    <row r="4986" spans="38:38" x14ac:dyDescent="0.35">
      <c r="AL4986" s="20"/>
    </row>
    <row r="4987" spans="38:38" x14ac:dyDescent="0.35">
      <c r="AL4987" s="20"/>
    </row>
    <row r="4988" spans="38:38" x14ac:dyDescent="0.35">
      <c r="AL4988" s="20"/>
    </row>
    <row r="4989" spans="38:38" x14ac:dyDescent="0.35">
      <c r="AL4989" s="20"/>
    </row>
    <row r="4990" spans="38:38" x14ac:dyDescent="0.35">
      <c r="AL4990" s="20"/>
    </row>
    <row r="4991" spans="38:38" x14ac:dyDescent="0.35">
      <c r="AL4991" s="20"/>
    </row>
    <row r="4992" spans="38:38" x14ac:dyDescent="0.35">
      <c r="AL4992" s="20"/>
    </row>
    <row r="4993" spans="38:38" x14ac:dyDescent="0.35">
      <c r="AL4993" s="20"/>
    </row>
    <row r="4994" spans="38:38" x14ac:dyDescent="0.35">
      <c r="AL4994" s="20"/>
    </row>
    <row r="4995" spans="38:38" x14ac:dyDescent="0.35">
      <c r="AL4995" s="20"/>
    </row>
    <row r="4996" spans="38:38" x14ac:dyDescent="0.35">
      <c r="AL4996" s="20"/>
    </row>
    <row r="4997" spans="38:38" x14ac:dyDescent="0.35">
      <c r="AL4997" s="20"/>
    </row>
    <row r="4998" spans="38:38" x14ac:dyDescent="0.35">
      <c r="AL4998" s="20"/>
    </row>
    <row r="4999" spans="38:38" x14ac:dyDescent="0.35">
      <c r="AL4999" s="20"/>
    </row>
    <row r="5000" spans="38:38" x14ac:dyDescent="0.35">
      <c r="AL5000" s="20"/>
    </row>
    <row r="5001" spans="38:38" x14ac:dyDescent="0.35">
      <c r="AL5001" s="20"/>
    </row>
    <row r="5002" spans="38:38" x14ac:dyDescent="0.35">
      <c r="AL5002" s="20"/>
    </row>
    <row r="5003" spans="38:38" x14ac:dyDescent="0.35">
      <c r="AL5003" s="20"/>
    </row>
    <row r="5004" spans="38:38" x14ac:dyDescent="0.35">
      <c r="AL5004" s="20"/>
    </row>
    <row r="5005" spans="38:38" x14ac:dyDescent="0.35">
      <c r="AL5005" s="20"/>
    </row>
    <row r="5006" spans="38:38" x14ac:dyDescent="0.35">
      <c r="AL5006" s="20"/>
    </row>
    <row r="5007" spans="38:38" x14ac:dyDescent="0.35">
      <c r="AL5007" s="20"/>
    </row>
    <row r="5008" spans="38:38" x14ac:dyDescent="0.35">
      <c r="AL5008" s="20"/>
    </row>
    <row r="5009" spans="38:38" x14ac:dyDescent="0.35">
      <c r="AL5009" s="20"/>
    </row>
    <row r="5010" spans="38:38" x14ac:dyDescent="0.35">
      <c r="AL5010" s="20"/>
    </row>
    <row r="5011" spans="38:38" x14ac:dyDescent="0.35">
      <c r="AL5011" s="20"/>
    </row>
    <row r="5012" spans="38:38" x14ac:dyDescent="0.35">
      <c r="AL5012" s="20"/>
    </row>
    <row r="5013" spans="38:38" x14ac:dyDescent="0.35">
      <c r="AL5013" s="20"/>
    </row>
    <row r="5014" spans="38:38" x14ac:dyDescent="0.35">
      <c r="AL5014" s="20"/>
    </row>
    <row r="5015" spans="38:38" x14ac:dyDescent="0.35">
      <c r="AL5015" s="20"/>
    </row>
    <row r="5016" spans="38:38" x14ac:dyDescent="0.35">
      <c r="AL5016" s="20"/>
    </row>
    <row r="5017" spans="38:38" x14ac:dyDescent="0.35">
      <c r="AL5017" s="20"/>
    </row>
    <row r="5018" spans="38:38" x14ac:dyDescent="0.35">
      <c r="AL5018" s="20"/>
    </row>
    <row r="5019" spans="38:38" x14ac:dyDescent="0.35">
      <c r="AL5019" s="20"/>
    </row>
    <row r="5020" spans="38:38" x14ac:dyDescent="0.35">
      <c r="AL5020" s="20"/>
    </row>
    <row r="5021" spans="38:38" x14ac:dyDescent="0.35">
      <c r="AL5021" s="20"/>
    </row>
    <row r="5022" spans="38:38" x14ac:dyDescent="0.35">
      <c r="AL5022" s="20"/>
    </row>
    <row r="5023" spans="38:38" x14ac:dyDescent="0.35">
      <c r="AL5023" s="20"/>
    </row>
    <row r="5024" spans="38:38" x14ac:dyDescent="0.35">
      <c r="AL5024" s="20"/>
    </row>
    <row r="5025" spans="38:38" x14ac:dyDescent="0.35">
      <c r="AL5025" s="20"/>
    </row>
    <row r="5026" spans="38:38" x14ac:dyDescent="0.35">
      <c r="AL5026" s="20"/>
    </row>
    <row r="5027" spans="38:38" x14ac:dyDescent="0.35">
      <c r="AL5027" s="20"/>
    </row>
    <row r="5028" spans="38:38" x14ac:dyDescent="0.35">
      <c r="AL5028" s="20"/>
    </row>
    <row r="5029" spans="38:38" x14ac:dyDescent="0.35">
      <c r="AL5029" s="20"/>
    </row>
    <row r="5030" spans="38:38" x14ac:dyDescent="0.35">
      <c r="AL5030" s="20"/>
    </row>
    <row r="5031" spans="38:38" x14ac:dyDescent="0.35">
      <c r="AL5031" s="20"/>
    </row>
    <row r="5032" spans="38:38" x14ac:dyDescent="0.35">
      <c r="AL5032" s="20"/>
    </row>
    <row r="5033" spans="38:38" x14ac:dyDescent="0.35">
      <c r="AL5033" s="20"/>
    </row>
    <row r="5034" spans="38:38" x14ac:dyDescent="0.35">
      <c r="AL5034" s="20"/>
    </row>
    <row r="5035" spans="38:38" x14ac:dyDescent="0.35">
      <c r="AL5035" s="20"/>
    </row>
    <row r="5036" spans="38:38" x14ac:dyDescent="0.35">
      <c r="AL5036" s="20"/>
    </row>
    <row r="5037" spans="38:38" x14ac:dyDescent="0.35">
      <c r="AL5037" s="20"/>
    </row>
    <row r="5038" spans="38:38" x14ac:dyDescent="0.35">
      <c r="AL5038" s="20"/>
    </row>
    <row r="5039" spans="38:38" x14ac:dyDescent="0.35">
      <c r="AL5039" s="20"/>
    </row>
    <row r="5040" spans="38:38" x14ac:dyDescent="0.35">
      <c r="AL5040" s="20"/>
    </row>
    <row r="5041" spans="38:38" x14ac:dyDescent="0.35">
      <c r="AL5041" s="20"/>
    </row>
    <row r="5042" spans="38:38" x14ac:dyDescent="0.35">
      <c r="AL5042" s="20"/>
    </row>
    <row r="5043" spans="38:38" x14ac:dyDescent="0.35">
      <c r="AL5043" s="20"/>
    </row>
    <row r="5044" spans="38:38" x14ac:dyDescent="0.35">
      <c r="AL5044" s="20"/>
    </row>
    <row r="5045" spans="38:38" x14ac:dyDescent="0.35">
      <c r="AL5045" s="20"/>
    </row>
    <row r="5046" spans="38:38" x14ac:dyDescent="0.35">
      <c r="AL5046" s="20"/>
    </row>
    <row r="5047" spans="38:38" x14ac:dyDescent="0.35">
      <c r="AL5047" s="20"/>
    </row>
    <row r="5048" spans="38:38" x14ac:dyDescent="0.35">
      <c r="AL5048" s="20"/>
    </row>
    <row r="5049" spans="38:38" x14ac:dyDescent="0.35">
      <c r="AL5049" s="20"/>
    </row>
    <row r="5050" spans="38:38" x14ac:dyDescent="0.35">
      <c r="AL5050" s="20"/>
    </row>
    <row r="5051" spans="38:38" x14ac:dyDescent="0.35">
      <c r="AL5051" s="20"/>
    </row>
    <row r="5052" spans="38:38" x14ac:dyDescent="0.35">
      <c r="AL5052" s="20"/>
    </row>
    <row r="5053" spans="38:38" x14ac:dyDescent="0.35">
      <c r="AL5053" s="20"/>
    </row>
    <row r="5054" spans="38:38" x14ac:dyDescent="0.35">
      <c r="AL5054" s="20"/>
    </row>
    <row r="5055" spans="38:38" x14ac:dyDescent="0.35">
      <c r="AL5055" s="20"/>
    </row>
    <row r="5056" spans="38:38" x14ac:dyDescent="0.35">
      <c r="AL5056" s="20"/>
    </row>
    <row r="5057" spans="38:38" x14ac:dyDescent="0.35">
      <c r="AL5057" s="20"/>
    </row>
    <row r="5058" spans="38:38" x14ac:dyDescent="0.35">
      <c r="AL5058" s="20"/>
    </row>
    <row r="5059" spans="38:38" x14ac:dyDescent="0.35">
      <c r="AL5059" s="20"/>
    </row>
    <row r="5060" spans="38:38" x14ac:dyDescent="0.35">
      <c r="AL5060" s="20"/>
    </row>
    <row r="5061" spans="38:38" x14ac:dyDescent="0.35">
      <c r="AL5061" s="20"/>
    </row>
    <row r="5062" spans="38:38" x14ac:dyDescent="0.35">
      <c r="AL5062" s="20"/>
    </row>
    <row r="5063" spans="38:38" x14ac:dyDescent="0.35">
      <c r="AL5063" s="20"/>
    </row>
    <row r="5064" spans="38:38" x14ac:dyDescent="0.35">
      <c r="AL5064" s="20"/>
    </row>
    <row r="5065" spans="38:38" x14ac:dyDescent="0.35">
      <c r="AL5065" s="20"/>
    </row>
    <row r="5066" spans="38:38" x14ac:dyDescent="0.35">
      <c r="AL5066" s="20"/>
    </row>
    <row r="5067" spans="38:38" x14ac:dyDescent="0.35">
      <c r="AL5067" s="20"/>
    </row>
    <row r="5068" spans="38:38" x14ac:dyDescent="0.35">
      <c r="AL5068" s="20"/>
    </row>
    <row r="5069" spans="38:38" x14ac:dyDescent="0.35">
      <c r="AL5069" s="20"/>
    </row>
    <row r="5070" spans="38:38" x14ac:dyDescent="0.35">
      <c r="AL5070" s="20"/>
    </row>
    <row r="5071" spans="38:38" x14ac:dyDescent="0.35">
      <c r="AL5071" s="20"/>
    </row>
    <row r="5072" spans="38:38" x14ac:dyDescent="0.35">
      <c r="AL5072" s="20"/>
    </row>
    <row r="5073" spans="38:38" x14ac:dyDescent="0.35">
      <c r="AL5073" s="20"/>
    </row>
    <row r="5074" spans="38:38" x14ac:dyDescent="0.35">
      <c r="AL5074" s="20"/>
    </row>
    <row r="5075" spans="38:38" x14ac:dyDescent="0.35">
      <c r="AL5075" s="20"/>
    </row>
    <row r="5076" spans="38:38" x14ac:dyDescent="0.35">
      <c r="AL5076" s="20"/>
    </row>
    <row r="5077" spans="38:38" x14ac:dyDescent="0.35">
      <c r="AL5077" s="20"/>
    </row>
    <row r="5078" spans="38:38" x14ac:dyDescent="0.35">
      <c r="AL5078" s="20"/>
    </row>
    <row r="5079" spans="38:38" x14ac:dyDescent="0.35">
      <c r="AL5079" s="20"/>
    </row>
    <row r="5080" spans="38:38" x14ac:dyDescent="0.35">
      <c r="AL5080" s="20"/>
    </row>
    <row r="5081" spans="38:38" x14ac:dyDescent="0.35">
      <c r="AL5081" s="20"/>
    </row>
    <row r="5082" spans="38:38" x14ac:dyDescent="0.35">
      <c r="AL5082" s="20"/>
    </row>
    <row r="5083" spans="38:38" x14ac:dyDescent="0.35">
      <c r="AL5083" s="20"/>
    </row>
    <row r="5084" spans="38:38" x14ac:dyDescent="0.35">
      <c r="AL5084" s="20"/>
    </row>
    <row r="5085" spans="38:38" x14ac:dyDescent="0.35">
      <c r="AL5085" s="20"/>
    </row>
    <row r="5086" spans="38:38" x14ac:dyDescent="0.35">
      <c r="AL5086" s="20"/>
    </row>
    <row r="5087" spans="38:38" x14ac:dyDescent="0.35">
      <c r="AL5087" s="20"/>
    </row>
    <row r="5088" spans="38:38" x14ac:dyDescent="0.35">
      <c r="AL5088" s="20"/>
    </row>
    <row r="5089" spans="38:38" x14ac:dyDescent="0.35">
      <c r="AL5089" s="20"/>
    </row>
    <row r="5090" spans="38:38" x14ac:dyDescent="0.35">
      <c r="AL5090" s="20"/>
    </row>
    <row r="5091" spans="38:38" x14ac:dyDescent="0.35">
      <c r="AL5091" s="20"/>
    </row>
    <row r="5092" spans="38:38" x14ac:dyDescent="0.35">
      <c r="AL5092" s="20"/>
    </row>
    <row r="5093" spans="38:38" x14ac:dyDescent="0.35">
      <c r="AL5093" s="20"/>
    </row>
    <row r="5094" spans="38:38" x14ac:dyDescent="0.35">
      <c r="AL5094" s="20"/>
    </row>
    <row r="5095" spans="38:38" x14ac:dyDescent="0.35">
      <c r="AL5095" s="20"/>
    </row>
    <row r="5096" spans="38:38" x14ac:dyDescent="0.35">
      <c r="AL5096" s="20"/>
    </row>
    <row r="5097" spans="38:38" x14ac:dyDescent="0.35">
      <c r="AL5097" s="20"/>
    </row>
    <row r="5098" spans="38:38" x14ac:dyDescent="0.35">
      <c r="AL5098" s="20"/>
    </row>
    <row r="5099" spans="38:38" x14ac:dyDescent="0.35">
      <c r="AL5099" s="20"/>
    </row>
    <row r="5100" spans="38:38" x14ac:dyDescent="0.35">
      <c r="AL5100" s="20"/>
    </row>
    <row r="5101" spans="38:38" x14ac:dyDescent="0.35">
      <c r="AL5101" s="20"/>
    </row>
    <row r="5102" spans="38:38" x14ac:dyDescent="0.35">
      <c r="AL5102" s="20"/>
    </row>
    <row r="5103" spans="38:38" x14ac:dyDescent="0.35">
      <c r="AL5103" s="20"/>
    </row>
    <row r="5104" spans="38:38" x14ac:dyDescent="0.35">
      <c r="AL5104" s="20"/>
    </row>
    <row r="5105" spans="38:38" x14ac:dyDescent="0.35">
      <c r="AL5105" s="20"/>
    </row>
    <row r="5106" spans="38:38" x14ac:dyDescent="0.35">
      <c r="AL5106" s="20"/>
    </row>
    <row r="5107" spans="38:38" x14ac:dyDescent="0.35">
      <c r="AL5107" s="20"/>
    </row>
    <row r="5108" spans="38:38" x14ac:dyDescent="0.35">
      <c r="AL5108" s="20"/>
    </row>
    <row r="5109" spans="38:38" x14ac:dyDescent="0.35">
      <c r="AL5109" s="20"/>
    </row>
    <row r="5110" spans="38:38" x14ac:dyDescent="0.35">
      <c r="AL5110" s="20"/>
    </row>
    <row r="5111" spans="38:38" x14ac:dyDescent="0.35">
      <c r="AL5111" s="20"/>
    </row>
    <row r="5112" spans="38:38" x14ac:dyDescent="0.35">
      <c r="AL5112" s="20"/>
    </row>
    <row r="5113" spans="38:38" x14ac:dyDescent="0.35">
      <c r="AL5113" s="20"/>
    </row>
    <row r="5114" spans="38:38" x14ac:dyDescent="0.35">
      <c r="AL5114" s="20"/>
    </row>
    <row r="5115" spans="38:38" x14ac:dyDescent="0.35">
      <c r="AL5115" s="20"/>
    </row>
    <row r="5116" spans="38:38" x14ac:dyDescent="0.35">
      <c r="AL5116" s="20"/>
    </row>
    <row r="5117" spans="38:38" x14ac:dyDescent="0.35">
      <c r="AL5117" s="20"/>
    </row>
    <row r="5118" spans="38:38" x14ac:dyDescent="0.35">
      <c r="AL5118" s="20"/>
    </row>
    <row r="5119" spans="38:38" x14ac:dyDescent="0.35">
      <c r="AL5119" s="20"/>
    </row>
    <row r="5120" spans="38:38" x14ac:dyDescent="0.35">
      <c r="AL5120" s="20"/>
    </row>
    <row r="5121" spans="38:38" x14ac:dyDescent="0.35">
      <c r="AL5121" s="20"/>
    </row>
    <row r="5122" spans="38:38" x14ac:dyDescent="0.35">
      <c r="AL5122" s="20"/>
    </row>
    <row r="5123" spans="38:38" x14ac:dyDescent="0.35">
      <c r="AL5123" s="20"/>
    </row>
    <row r="5124" spans="38:38" x14ac:dyDescent="0.35">
      <c r="AL5124" s="20"/>
    </row>
    <row r="5125" spans="38:38" x14ac:dyDescent="0.35">
      <c r="AL5125" s="20"/>
    </row>
    <row r="5126" spans="38:38" x14ac:dyDescent="0.35">
      <c r="AL5126" s="20"/>
    </row>
    <row r="5127" spans="38:38" x14ac:dyDescent="0.35">
      <c r="AL5127" s="20"/>
    </row>
    <row r="5128" spans="38:38" x14ac:dyDescent="0.35">
      <c r="AL5128" s="20"/>
    </row>
    <row r="5129" spans="38:38" x14ac:dyDescent="0.35">
      <c r="AL5129" s="20"/>
    </row>
    <row r="5130" spans="38:38" x14ac:dyDescent="0.35">
      <c r="AL5130" s="20"/>
    </row>
    <row r="5131" spans="38:38" x14ac:dyDescent="0.35">
      <c r="AL5131" s="20"/>
    </row>
    <row r="5132" spans="38:38" x14ac:dyDescent="0.35">
      <c r="AL5132" s="20"/>
    </row>
    <row r="5133" spans="38:38" x14ac:dyDescent="0.35">
      <c r="AL5133" s="20"/>
    </row>
    <row r="5134" spans="38:38" x14ac:dyDescent="0.35">
      <c r="AL5134" s="20"/>
    </row>
    <row r="5135" spans="38:38" x14ac:dyDescent="0.35">
      <c r="AL5135" s="20"/>
    </row>
    <row r="5136" spans="38:38" x14ac:dyDescent="0.35">
      <c r="AL5136" s="20"/>
    </row>
    <row r="5137" spans="38:38" x14ac:dyDescent="0.35">
      <c r="AL5137" s="20"/>
    </row>
    <row r="5138" spans="38:38" x14ac:dyDescent="0.35">
      <c r="AL5138" s="20"/>
    </row>
    <row r="5139" spans="38:38" x14ac:dyDescent="0.35">
      <c r="AL5139" s="20"/>
    </row>
    <row r="5140" spans="38:38" x14ac:dyDescent="0.35">
      <c r="AL5140" s="20"/>
    </row>
    <row r="5141" spans="38:38" x14ac:dyDescent="0.35">
      <c r="AL5141" s="20"/>
    </row>
    <row r="5142" spans="38:38" x14ac:dyDescent="0.35">
      <c r="AL5142" s="20"/>
    </row>
    <row r="5143" spans="38:38" x14ac:dyDescent="0.35">
      <c r="AL5143" s="20"/>
    </row>
    <row r="5144" spans="38:38" x14ac:dyDescent="0.35">
      <c r="AL5144" s="20"/>
    </row>
    <row r="5145" spans="38:38" x14ac:dyDescent="0.35">
      <c r="AL5145" s="20"/>
    </row>
    <row r="5146" spans="38:38" x14ac:dyDescent="0.35">
      <c r="AL5146" s="20"/>
    </row>
    <row r="5147" spans="38:38" x14ac:dyDescent="0.35">
      <c r="AL5147" s="20"/>
    </row>
    <row r="5148" spans="38:38" x14ac:dyDescent="0.35">
      <c r="AL5148" s="20"/>
    </row>
    <row r="5149" spans="38:38" x14ac:dyDescent="0.35">
      <c r="AL5149" s="20"/>
    </row>
    <row r="5150" spans="38:38" x14ac:dyDescent="0.35">
      <c r="AL5150" s="20"/>
    </row>
    <row r="5151" spans="38:38" x14ac:dyDescent="0.35">
      <c r="AL5151" s="20"/>
    </row>
    <row r="5152" spans="38:38" x14ac:dyDescent="0.35">
      <c r="AL5152" s="20"/>
    </row>
    <row r="5153" spans="38:38" x14ac:dyDescent="0.35">
      <c r="AL5153" s="20"/>
    </row>
    <row r="5154" spans="38:38" x14ac:dyDescent="0.35">
      <c r="AL5154" s="20"/>
    </row>
    <row r="5155" spans="38:38" x14ac:dyDescent="0.35">
      <c r="AL5155" s="20"/>
    </row>
    <row r="5156" spans="38:38" x14ac:dyDescent="0.35">
      <c r="AL5156" s="20"/>
    </row>
    <row r="5157" spans="38:38" x14ac:dyDescent="0.35">
      <c r="AL5157" s="20"/>
    </row>
    <row r="5158" spans="38:38" x14ac:dyDescent="0.35">
      <c r="AL5158" s="20"/>
    </row>
    <row r="5159" spans="38:38" x14ac:dyDescent="0.35">
      <c r="AL5159" s="20"/>
    </row>
    <row r="5160" spans="38:38" x14ac:dyDescent="0.35">
      <c r="AL5160" s="20"/>
    </row>
    <row r="5161" spans="38:38" x14ac:dyDescent="0.35">
      <c r="AL5161" s="20"/>
    </row>
    <row r="5162" spans="38:38" x14ac:dyDescent="0.35">
      <c r="AL5162" s="20"/>
    </row>
    <row r="5163" spans="38:38" x14ac:dyDescent="0.35">
      <c r="AL5163" s="20"/>
    </row>
    <row r="5164" spans="38:38" x14ac:dyDescent="0.35">
      <c r="AL5164" s="20"/>
    </row>
    <row r="5165" spans="38:38" x14ac:dyDescent="0.35">
      <c r="AL5165" s="20"/>
    </row>
    <row r="5166" spans="38:38" x14ac:dyDescent="0.35">
      <c r="AL5166" s="20"/>
    </row>
    <row r="5167" spans="38:38" x14ac:dyDescent="0.35">
      <c r="AL5167" s="20"/>
    </row>
    <row r="5168" spans="38:38" x14ac:dyDescent="0.35">
      <c r="AL5168" s="20"/>
    </row>
    <row r="5169" spans="38:38" x14ac:dyDescent="0.35">
      <c r="AL5169" s="20"/>
    </row>
    <row r="5170" spans="38:38" x14ac:dyDescent="0.35">
      <c r="AL5170" s="20"/>
    </row>
    <row r="5171" spans="38:38" x14ac:dyDescent="0.35">
      <c r="AL5171" s="20"/>
    </row>
    <row r="5172" spans="38:38" x14ac:dyDescent="0.35">
      <c r="AL5172" s="20"/>
    </row>
    <row r="5173" spans="38:38" x14ac:dyDescent="0.35">
      <c r="AL5173" s="20"/>
    </row>
    <row r="5174" spans="38:38" x14ac:dyDescent="0.35">
      <c r="AL5174" s="20"/>
    </row>
    <row r="5175" spans="38:38" x14ac:dyDescent="0.35">
      <c r="AL5175" s="20"/>
    </row>
    <row r="5176" spans="38:38" x14ac:dyDescent="0.35">
      <c r="AL5176" s="20"/>
    </row>
    <row r="5177" spans="38:38" x14ac:dyDescent="0.35">
      <c r="AL5177" s="20"/>
    </row>
    <row r="5178" spans="38:38" x14ac:dyDescent="0.35">
      <c r="AL5178" s="20"/>
    </row>
    <row r="5179" spans="38:38" x14ac:dyDescent="0.35">
      <c r="AL5179" s="20"/>
    </row>
    <row r="5180" spans="38:38" x14ac:dyDescent="0.35">
      <c r="AL5180" s="20"/>
    </row>
    <row r="5181" spans="38:38" x14ac:dyDescent="0.35">
      <c r="AL5181" s="20"/>
    </row>
    <row r="5182" spans="38:38" x14ac:dyDescent="0.35">
      <c r="AL5182" s="20"/>
    </row>
    <row r="5183" spans="38:38" x14ac:dyDescent="0.35">
      <c r="AL5183" s="20"/>
    </row>
    <row r="5184" spans="38:38" x14ac:dyDescent="0.35">
      <c r="AL5184" s="20"/>
    </row>
    <row r="5185" spans="38:38" x14ac:dyDescent="0.35">
      <c r="AL5185" s="20"/>
    </row>
    <row r="5186" spans="38:38" x14ac:dyDescent="0.35">
      <c r="AL5186" s="20"/>
    </row>
    <row r="5187" spans="38:38" x14ac:dyDescent="0.35">
      <c r="AL5187" s="20"/>
    </row>
    <row r="5188" spans="38:38" x14ac:dyDescent="0.35">
      <c r="AL5188" s="20"/>
    </row>
    <row r="5189" spans="38:38" x14ac:dyDescent="0.35">
      <c r="AL5189" s="20"/>
    </row>
    <row r="5190" spans="38:38" x14ac:dyDescent="0.35">
      <c r="AL5190" s="20"/>
    </row>
    <row r="5191" spans="38:38" x14ac:dyDescent="0.35">
      <c r="AL5191" s="20"/>
    </row>
    <row r="5192" spans="38:38" x14ac:dyDescent="0.35">
      <c r="AL5192" s="20"/>
    </row>
    <row r="5193" spans="38:38" x14ac:dyDescent="0.35">
      <c r="AL5193" s="20"/>
    </row>
    <row r="5194" spans="38:38" x14ac:dyDescent="0.35">
      <c r="AL5194" s="20"/>
    </row>
    <row r="5195" spans="38:38" x14ac:dyDescent="0.35">
      <c r="AL5195" s="20"/>
    </row>
    <row r="5196" spans="38:38" x14ac:dyDescent="0.35">
      <c r="AL5196" s="20"/>
    </row>
    <row r="5197" spans="38:38" x14ac:dyDescent="0.35">
      <c r="AL5197" s="20"/>
    </row>
    <row r="5198" spans="38:38" x14ac:dyDescent="0.35">
      <c r="AL5198" s="20"/>
    </row>
    <row r="5199" spans="38:38" x14ac:dyDescent="0.35">
      <c r="AL5199" s="20"/>
    </row>
    <row r="5200" spans="38:38" x14ac:dyDescent="0.35">
      <c r="AL5200" s="20"/>
    </row>
    <row r="5201" spans="38:38" x14ac:dyDescent="0.35">
      <c r="AL5201" s="20"/>
    </row>
    <row r="5202" spans="38:38" x14ac:dyDescent="0.35">
      <c r="AL5202" s="20"/>
    </row>
    <row r="5203" spans="38:38" x14ac:dyDescent="0.35">
      <c r="AL5203" s="20"/>
    </row>
    <row r="5204" spans="38:38" x14ac:dyDescent="0.35">
      <c r="AL5204" s="20"/>
    </row>
    <row r="5205" spans="38:38" x14ac:dyDescent="0.35">
      <c r="AL5205" s="20"/>
    </row>
    <row r="5206" spans="38:38" x14ac:dyDescent="0.35">
      <c r="AL5206" s="20"/>
    </row>
    <row r="5207" spans="38:38" x14ac:dyDescent="0.35">
      <c r="AL5207" s="20"/>
    </row>
    <row r="5208" spans="38:38" x14ac:dyDescent="0.35">
      <c r="AL5208" s="20"/>
    </row>
    <row r="5209" spans="38:38" x14ac:dyDescent="0.35">
      <c r="AL5209" s="20"/>
    </row>
    <row r="5210" spans="38:38" x14ac:dyDescent="0.35">
      <c r="AL5210" s="20"/>
    </row>
    <row r="5211" spans="38:38" x14ac:dyDescent="0.35">
      <c r="AL5211" s="20"/>
    </row>
    <row r="5212" spans="38:38" x14ac:dyDescent="0.35">
      <c r="AL5212" s="20"/>
    </row>
    <row r="5213" spans="38:38" x14ac:dyDescent="0.35">
      <c r="AL5213" s="20"/>
    </row>
    <row r="5214" spans="38:38" x14ac:dyDescent="0.35">
      <c r="AL5214" s="20"/>
    </row>
    <row r="5215" spans="38:38" x14ac:dyDescent="0.35">
      <c r="AL5215" s="20"/>
    </row>
    <row r="5216" spans="38:38" x14ac:dyDescent="0.35">
      <c r="AL5216" s="20"/>
    </row>
    <row r="5217" spans="38:38" x14ac:dyDescent="0.35">
      <c r="AL5217" s="20"/>
    </row>
    <row r="5218" spans="38:38" x14ac:dyDescent="0.35">
      <c r="AL5218" s="20"/>
    </row>
    <row r="5219" spans="38:38" x14ac:dyDescent="0.35">
      <c r="AL5219" s="20"/>
    </row>
    <row r="5220" spans="38:38" x14ac:dyDescent="0.35">
      <c r="AL5220" s="20"/>
    </row>
    <row r="5221" spans="38:38" x14ac:dyDescent="0.35">
      <c r="AL5221" s="20"/>
    </row>
    <row r="5222" spans="38:38" x14ac:dyDescent="0.35">
      <c r="AL5222" s="20"/>
    </row>
    <row r="5223" spans="38:38" x14ac:dyDescent="0.35">
      <c r="AL5223" s="20"/>
    </row>
    <row r="5224" spans="38:38" x14ac:dyDescent="0.35">
      <c r="AL5224" s="20"/>
    </row>
    <row r="5225" spans="38:38" x14ac:dyDescent="0.35">
      <c r="AL5225" s="20"/>
    </row>
    <row r="5226" spans="38:38" x14ac:dyDescent="0.35">
      <c r="AL5226" s="20"/>
    </row>
    <row r="5227" spans="38:38" x14ac:dyDescent="0.35">
      <c r="AL5227" s="20"/>
    </row>
    <row r="5228" spans="38:38" x14ac:dyDescent="0.35">
      <c r="AL5228" s="20"/>
    </row>
    <row r="5229" spans="38:38" x14ac:dyDescent="0.35">
      <c r="AL5229" s="20"/>
    </row>
    <row r="5230" spans="38:38" x14ac:dyDescent="0.35">
      <c r="AL5230" s="20"/>
    </row>
    <row r="5231" spans="38:38" x14ac:dyDescent="0.35">
      <c r="AL5231" s="20"/>
    </row>
    <row r="5232" spans="38:38" x14ac:dyDescent="0.35">
      <c r="AL5232" s="20"/>
    </row>
    <row r="5233" spans="38:38" x14ac:dyDescent="0.35">
      <c r="AL5233" s="20"/>
    </row>
    <row r="5234" spans="38:38" x14ac:dyDescent="0.35">
      <c r="AL5234" s="20"/>
    </row>
    <row r="5235" spans="38:38" x14ac:dyDescent="0.35">
      <c r="AL5235" s="20"/>
    </row>
    <row r="5236" spans="38:38" x14ac:dyDescent="0.35">
      <c r="AL5236" s="20"/>
    </row>
    <row r="5237" spans="38:38" x14ac:dyDescent="0.35">
      <c r="AL5237" s="20"/>
    </row>
    <row r="5238" spans="38:38" x14ac:dyDescent="0.35">
      <c r="AL5238" s="20"/>
    </row>
    <row r="5239" spans="38:38" x14ac:dyDescent="0.35">
      <c r="AL5239" s="20"/>
    </row>
    <row r="5240" spans="38:38" x14ac:dyDescent="0.35">
      <c r="AL5240" s="20"/>
    </row>
    <row r="5241" spans="38:38" x14ac:dyDescent="0.35">
      <c r="AL5241" s="20"/>
    </row>
    <row r="5242" spans="38:38" x14ac:dyDescent="0.35">
      <c r="AL5242" s="20"/>
    </row>
    <row r="5243" spans="38:38" x14ac:dyDescent="0.35">
      <c r="AL5243" s="20"/>
    </row>
    <row r="5244" spans="38:38" x14ac:dyDescent="0.35">
      <c r="AL5244" s="20"/>
    </row>
    <row r="5245" spans="38:38" x14ac:dyDescent="0.35">
      <c r="AL5245" s="20"/>
    </row>
    <row r="5246" spans="38:38" x14ac:dyDescent="0.35">
      <c r="AL5246" s="20"/>
    </row>
    <row r="5247" spans="38:38" x14ac:dyDescent="0.35">
      <c r="AL5247" s="20"/>
    </row>
    <row r="5248" spans="38:38" x14ac:dyDescent="0.35">
      <c r="AL5248" s="20"/>
    </row>
    <row r="5249" spans="38:38" x14ac:dyDescent="0.35">
      <c r="AL5249" s="20"/>
    </row>
    <row r="5250" spans="38:38" x14ac:dyDescent="0.35">
      <c r="AL5250" s="20"/>
    </row>
    <row r="5251" spans="38:38" x14ac:dyDescent="0.35">
      <c r="AL5251" s="20"/>
    </row>
    <row r="5252" spans="38:38" x14ac:dyDescent="0.35">
      <c r="AL5252" s="20"/>
    </row>
    <row r="5253" spans="38:38" x14ac:dyDescent="0.35">
      <c r="AL5253" s="20"/>
    </row>
    <row r="5254" spans="38:38" x14ac:dyDescent="0.35">
      <c r="AL5254" s="20"/>
    </row>
    <row r="5255" spans="38:38" x14ac:dyDescent="0.35">
      <c r="AL5255" s="20"/>
    </row>
    <row r="5256" spans="38:38" x14ac:dyDescent="0.35">
      <c r="AL5256" s="20"/>
    </row>
    <row r="5257" spans="38:38" x14ac:dyDescent="0.35">
      <c r="AL5257" s="20"/>
    </row>
    <row r="5258" spans="38:38" x14ac:dyDescent="0.35">
      <c r="AL5258" s="20"/>
    </row>
    <row r="5259" spans="38:38" x14ac:dyDescent="0.35">
      <c r="AL5259" s="20"/>
    </row>
    <row r="5260" spans="38:38" x14ac:dyDescent="0.35">
      <c r="AL5260" s="20"/>
    </row>
    <row r="5261" spans="38:38" x14ac:dyDescent="0.35">
      <c r="AL5261" s="20"/>
    </row>
    <row r="5262" spans="38:38" x14ac:dyDescent="0.35">
      <c r="AL5262" s="20"/>
    </row>
    <row r="5263" spans="38:38" x14ac:dyDescent="0.35">
      <c r="AL5263" s="20"/>
    </row>
    <row r="5264" spans="38:38" x14ac:dyDescent="0.35">
      <c r="AL5264" s="20"/>
    </row>
    <row r="5265" spans="38:38" x14ac:dyDescent="0.35">
      <c r="AL5265" s="20"/>
    </row>
    <row r="5266" spans="38:38" x14ac:dyDescent="0.35">
      <c r="AL5266" s="20"/>
    </row>
    <row r="5267" spans="38:38" x14ac:dyDescent="0.35">
      <c r="AL5267" s="20"/>
    </row>
    <row r="5268" spans="38:38" x14ac:dyDescent="0.35">
      <c r="AL5268" s="20"/>
    </row>
    <row r="5269" spans="38:38" x14ac:dyDescent="0.35">
      <c r="AL5269" s="20"/>
    </row>
    <row r="5270" spans="38:38" x14ac:dyDescent="0.35">
      <c r="AL5270" s="20"/>
    </row>
    <row r="5271" spans="38:38" x14ac:dyDescent="0.35">
      <c r="AL5271" s="20"/>
    </row>
    <row r="5272" spans="38:38" x14ac:dyDescent="0.35">
      <c r="AL5272" s="20"/>
    </row>
    <row r="5273" spans="38:38" x14ac:dyDescent="0.35">
      <c r="AL5273" s="20"/>
    </row>
    <row r="5274" spans="38:38" x14ac:dyDescent="0.35">
      <c r="AL5274" s="20"/>
    </row>
    <row r="5275" spans="38:38" x14ac:dyDescent="0.35">
      <c r="AL5275" s="20"/>
    </row>
    <row r="5276" spans="38:38" x14ac:dyDescent="0.35">
      <c r="AL5276" s="20"/>
    </row>
    <row r="5277" spans="38:38" x14ac:dyDescent="0.35">
      <c r="AL5277" s="20"/>
    </row>
    <row r="5278" spans="38:38" x14ac:dyDescent="0.35">
      <c r="AL5278" s="20"/>
    </row>
    <row r="5279" spans="38:38" x14ac:dyDescent="0.35">
      <c r="AL5279" s="20"/>
    </row>
    <row r="5280" spans="38:38" x14ac:dyDescent="0.35">
      <c r="AL5280" s="20"/>
    </row>
    <row r="5281" spans="38:38" x14ac:dyDescent="0.35">
      <c r="AL5281" s="20"/>
    </row>
    <row r="5282" spans="38:38" x14ac:dyDescent="0.35">
      <c r="AL5282" s="20"/>
    </row>
    <row r="5283" spans="38:38" x14ac:dyDescent="0.35">
      <c r="AL5283" s="20"/>
    </row>
    <row r="5284" spans="38:38" x14ac:dyDescent="0.35">
      <c r="AL5284" s="20"/>
    </row>
    <row r="5285" spans="38:38" x14ac:dyDescent="0.35">
      <c r="AL5285" s="20"/>
    </row>
    <row r="5286" spans="38:38" x14ac:dyDescent="0.35">
      <c r="AL5286" s="20"/>
    </row>
    <row r="5287" spans="38:38" x14ac:dyDescent="0.35">
      <c r="AL5287" s="20"/>
    </row>
    <row r="5288" spans="38:38" x14ac:dyDescent="0.35">
      <c r="AL5288" s="20"/>
    </row>
    <row r="5289" spans="38:38" x14ac:dyDescent="0.35">
      <c r="AL5289" s="20"/>
    </row>
    <row r="5290" spans="38:38" x14ac:dyDescent="0.35">
      <c r="AL5290" s="20"/>
    </row>
    <row r="5291" spans="38:38" x14ac:dyDescent="0.35">
      <c r="AL5291" s="20"/>
    </row>
    <row r="5292" spans="38:38" x14ac:dyDescent="0.35">
      <c r="AL5292" s="20"/>
    </row>
    <row r="5293" spans="38:38" x14ac:dyDescent="0.35">
      <c r="AL5293" s="20"/>
    </row>
    <row r="5294" spans="38:38" x14ac:dyDescent="0.35">
      <c r="AL5294" s="20"/>
    </row>
    <row r="5295" spans="38:38" x14ac:dyDescent="0.35">
      <c r="AL5295" s="20"/>
    </row>
    <row r="5296" spans="38:38" x14ac:dyDescent="0.35">
      <c r="AL5296" s="20"/>
    </row>
    <row r="5297" spans="38:38" x14ac:dyDescent="0.35">
      <c r="AL5297" s="20"/>
    </row>
    <row r="5298" spans="38:38" x14ac:dyDescent="0.35">
      <c r="AL5298" s="20"/>
    </row>
    <row r="5299" spans="38:38" x14ac:dyDescent="0.35">
      <c r="AL5299" s="20"/>
    </row>
    <row r="5300" spans="38:38" x14ac:dyDescent="0.35">
      <c r="AL5300" s="20"/>
    </row>
    <row r="5301" spans="38:38" x14ac:dyDescent="0.35">
      <c r="AL5301" s="20"/>
    </row>
    <row r="5302" spans="38:38" x14ac:dyDescent="0.35">
      <c r="AL5302" s="20"/>
    </row>
    <row r="5303" spans="38:38" x14ac:dyDescent="0.35">
      <c r="AL5303" s="20"/>
    </row>
    <row r="5304" spans="38:38" x14ac:dyDescent="0.35">
      <c r="AL5304" s="20"/>
    </row>
    <row r="5305" spans="38:38" x14ac:dyDescent="0.35">
      <c r="AL5305" s="20"/>
    </row>
    <row r="5306" spans="38:38" x14ac:dyDescent="0.35">
      <c r="AL5306" s="20"/>
    </row>
    <row r="5307" spans="38:38" x14ac:dyDescent="0.35">
      <c r="AL5307" s="20"/>
    </row>
    <row r="5308" spans="38:38" x14ac:dyDescent="0.35">
      <c r="AL5308" s="20"/>
    </row>
    <row r="5309" spans="38:38" x14ac:dyDescent="0.35">
      <c r="AL5309" s="20"/>
    </row>
    <row r="5310" spans="38:38" x14ac:dyDescent="0.35">
      <c r="AL5310" s="20"/>
    </row>
    <row r="5311" spans="38:38" x14ac:dyDescent="0.35">
      <c r="AL5311" s="20"/>
    </row>
    <row r="5312" spans="38:38" x14ac:dyDescent="0.35">
      <c r="AL5312" s="20"/>
    </row>
    <row r="5313" spans="38:38" x14ac:dyDescent="0.35">
      <c r="AL5313" s="20"/>
    </row>
    <row r="5314" spans="38:38" x14ac:dyDescent="0.35">
      <c r="AL5314" s="20"/>
    </row>
    <row r="5315" spans="38:38" x14ac:dyDescent="0.35">
      <c r="AL5315" s="20"/>
    </row>
    <row r="5316" spans="38:38" x14ac:dyDescent="0.35">
      <c r="AL5316" s="20"/>
    </row>
    <row r="5317" spans="38:38" x14ac:dyDescent="0.35">
      <c r="AL5317" s="20"/>
    </row>
    <row r="5318" spans="38:38" x14ac:dyDescent="0.35">
      <c r="AL5318" s="20"/>
    </row>
    <row r="5319" spans="38:38" x14ac:dyDescent="0.35">
      <c r="AL5319" s="20"/>
    </row>
    <row r="5320" spans="38:38" x14ac:dyDescent="0.35">
      <c r="AL5320" s="20"/>
    </row>
    <row r="5321" spans="38:38" x14ac:dyDescent="0.35">
      <c r="AL5321" s="20"/>
    </row>
    <row r="5322" spans="38:38" x14ac:dyDescent="0.35">
      <c r="AL5322" s="20"/>
    </row>
    <row r="5323" spans="38:38" x14ac:dyDescent="0.35">
      <c r="AL5323" s="20"/>
    </row>
    <row r="5324" spans="38:38" x14ac:dyDescent="0.35">
      <c r="AL5324" s="20"/>
    </row>
    <row r="5325" spans="38:38" x14ac:dyDescent="0.35">
      <c r="AL5325" s="20"/>
    </row>
    <row r="5326" spans="38:38" x14ac:dyDescent="0.35">
      <c r="AL5326" s="20"/>
    </row>
    <row r="5327" spans="38:38" x14ac:dyDescent="0.35">
      <c r="AL5327" s="20"/>
    </row>
    <row r="5328" spans="38:38" x14ac:dyDescent="0.35">
      <c r="AL5328" s="20"/>
    </row>
    <row r="5329" spans="38:38" x14ac:dyDescent="0.35">
      <c r="AL5329" s="20"/>
    </row>
    <row r="5330" spans="38:38" x14ac:dyDescent="0.35">
      <c r="AL5330" s="20"/>
    </row>
    <row r="5331" spans="38:38" x14ac:dyDescent="0.35">
      <c r="AL5331" s="20"/>
    </row>
    <row r="5332" spans="38:38" x14ac:dyDescent="0.35">
      <c r="AL5332" s="20"/>
    </row>
    <row r="5333" spans="38:38" x14ac:dyDescent="0.35">
      <c r="AL5333" s="20"/>
    </row>
    <row r="5334" spans="38:38" x14ac:dyDescent="0.35">
      <c r="AL5334" s="20"/>
    </row>
    <row r="5335" spans="38:38" x14ac:dyDescent="0.35">
      <c r="AL5335" s="20"/>
    </row>
    <row r="5336" spans="38:38" x14ac:dyDescent="0.35">
      <c r="AL5336" s="20"/>
    </row>
    <row r="5337" spans="38:38" x14ac:dyDescent="0.35">
      <c r="AL5337" s="20"/>
    </row>
    <row r="5338" spans="38:38" x14ac:dyDescent="0.35">
      <c r="AL5338" s="20"/>
    </row>
    <row r="5339" spans="38:38" x14ac:dyDescent="0.35">
      <c r="AL5339" s="20"/>
    </row>
    <row r="5340" spans="38:38" x14ac:dyDescent="0.35">
      <c r="AL5340" s="20"/>
    </row>
    <row r="5341" spans="38:38" x14ac:dyDescent="0.35">
      <c r="AL5341" s="20"/>
    </row>
    <row r="5342" spans="38:38" x14ac:dyDescent="0.35">
      <c r="AL5342" s="20"/>
    </row>
    <row r="5343" spans="38:38" x14ac:dyDescent="0.35">
      <c r="AL5343" s="20"/>
    </row>
    <row r="5344" spans="38:38" x14ac:dyDescent="0.35">
      <c r="AL5344" s="20"/>
    </row>
    <row r="5345" spans="38:38" x14ac:dyDescent="0.35">
      <c r="AL5345" s="20"/>
    </row>
    <row r="5346" spans="38:38" x14ac:dyDescent="0.35">
      <c r="AL5346" s="20"/>
    </row>
    <row r="5347" spans="38:38" x14ac:dyDescent="0.35">
      <c r="AL5347" s="20"/>
    </row>
    <row r="5348" spans="38:38" x14ac:dyDescent="0.35">
      <c r="AL5348" s="20"/>
    </row>
    <row r="5349" spans="38:38" x14ac:dyDescent="0.35">
      <c r="AL5349" s="20"/>
    </row>
    <row r="5350" spans="38:38" x14ac:dyDescent="0.35">
      <c r="AL5350" s="20"/>
    </row>
    <row r="5351" spans="38:38" x14ac:dyDescent="0.35">
      <c r="AL5351" s="20"/>
    </row>
    <row r="5352" spans="38:38" x14ac:dyDescent="0.35">
      <c r="AL5352" s="20"/>
    </row>
    <row r="5353" spans="38:38" x14ac:dyDescent="0.35">
      <c r="AL5353" s="20"/>
    </row>
    <row r="5354" spans="38:38" x14ac:dyDescent="0.35">
      <c r="AL5354" s="20"/>
    </row>
    <row r="5355" spans="38:38" x14ac:dyDescent="0.35">
      <c r="AL5355" s="20"/>
    </row>
    <row r="5356" spans="38:38" x14ac:dyDescent="0.35">
      <c r="AL5356" s="20"/>
    </row>
    <row r="5357" spans="38:38" x14ac:dyDescent="0.35">
      <c r="AL5357" s="20"/>
    </row>
    <row r="5358" spans="38:38" x14ac:dyDescent="0.35">
      <c r="AL5358" s="20"/>
    </row>
    <row r="5359" spans="38:38" x14ac:dyDescent="0.35">
      <c r="AL5359" s="20"/>
    </row>
    <row r="5360" spans="38:38" x14ac:dyDescent="0.35">
      <c r="AL5360" s="20"/>
    </row>
    <row r="5361" spans="38:38" x14ac:dyDescent="0.35">
      <c r="AL5361" s="20"/>
    </row>
    <row r="5362" spans="38:38" x14ac:dyDescent="0.35">
      <c r="AL5362" s="20"/>
    </row>
    <row r="5363" spans="38:38" x14ac:dyDescent="0.35">
      <c r="AL5363" s="20"/>
    </row>
    <row r="5364" spans="38:38" x14ac:dyDescent="0.35">
      <c r="AL5364" s="20"/>
    </row>
    <row r="5365" spans="38:38" x14ac:dyDescent="0.35">
      <c r="AL5365" s="20"/>
    </row>
    <row r="5366" spans="38:38" x14ac:dyDescent="0.35">
      <c r="AL5366" s="20"/>
    </row>
    <row r="5367" spans="38:38" x14ac:dyDescent="0.35">
      <c r="AL5367" s="20"/>
    </row>
    <row r="5368" spans="38:38" x14ac:dyDescent="0.35">
      <c r="AL5368" s="20"/>
    </row>
    <row r="5369" spans="38:38" x14ac:dyDescent="0.35">
      <c r="AL5369" s="20"/>
    </row>
    <row r="5370" spans="38:38" x14ac:dyDescent="0.35">
      <c r="AL5370" s="20"/>
    </row>
    <row r="5371" spans="38:38" x14ac:dyDescent="0.35">
      <c r="AL5371" s="20"/>
    </row>
    <row r="5372" spans="38:38" x14ac:dyDescent="0.35">
      <c r="AL5372" s="20"/>
    </row>
    <row r="5373" spans="38:38" x14ac:dyDescent="0.35">
      <c r="AL5373" s="20"/>
    </row>
    <row r="5374" spans="38:38" x14ac:dyDescent="0.35">
      <c r="AL5374" s="20"/>
    </row>
    <row r="5375" spans="38:38" x14ac:dyDescent="0.35">
      <c r="AL5375" s="20"/>
    </row>
    <row r="5376" spans="38:38" x14ac:dyDescent="0.35">
      <c r="AL5376" s="20"/>
    </row>
    <row r="5377" spans="38:38" x14ac:dyDescent="0.35">
      <c r="AL5377" s="20"/>
    </row>
    <row r="5378" spans="38:38" x14ac:dyDescent="0.35">
      <c r="AL5378" s="20"/>
    </row>
    <row r="5379" spans="38:38" x14ac:dyDescent="0.35">
      <c r="AL5379" s="20"/>
    </row>
    <row r="5380" spans="38:38" x14ac:dyDescent="0.35">
      <c r="AL5380" s="20"/>
    </row>
    <row r="5381" spans="38:38" x14ac:dyDescent="0.35">
      <c r="AL5381" s="20"/>
    </row>
    <row r="5382" spans="38:38" x14ac:dyDescent="0.35">
      <c r="AL5382" s="20"/>
    </row>
    <row r="5383" spans="38:38" x14ac:dyDescent="0.35">
      <c r="AL5383" s="20"/>
    </row>
    <row r="5384" spans="38:38" x14ac:dyDescent="0.35">
      <c r="AL5384" s="20"/>
    </row>
    <row r="5385" spans="38:38" x14ac:dyDescent="0.35">
      <c r="AL5385" s="20"/>
    </row>
    <row r="5386" spans="38:38" x14ac:dyDescent="0.35">
      <c r="AL5386" s="20"/>
    </row>
    <row r="5387" spans="38:38" x14ac:dyDescent="0.35">
      <c r="AL5387" s="20"/>
    </row>
    <row r="5388" spans="38:38" x14ac:dyDescent="0.35">
      <c r="AL5388" s="20"/>
    </row>
    <row r="5389" spans="38:38" x14ac:dyDescent="0.35">
      <c r="AL5389" s="20"/>
    </row>
    <row r="5390" spans="38:38" x14ac:dyDescent="0.35">
      <c r="AL5390" s="20"/>
    </row>
    <row r="5391" spans="38:38" x14ac:dyDescent="0.35">
      <c r="AL5391" s="20"/>
    </row>
    <row r="5392" spans="38:38" x14ac:dyDescent="0.35">
      <c r="AL5392" s="20"/>
    </row>
    <row r="5393" spans="38:38" x14ac:dyDescent="0.35">
      <c r="AL5393" s="20"/>
    </row>
    <row r="5394" spans="38:38" x14ac:dyDescent="0.35">
      <c r="AL5394" s="20"/>
    </row>
    <row r="5395" spans="38:38" x14ac:dyDescent="0.35">
      <c r="AL5395" s="20"/>
    </row>
    <row r="5396" spans="38:38" x14ac:dyDescent="0.35">
      <c r="AL5396" s="20"/>
    </row>
    <row r="5397" spans="38:38" x14ac:dyDescent="0.35">
      <c r="AL5397" s="20"/>
    </row>
    <row r="5398" spans="38:38" x14ac:dyDescent="0.35">
      <c r="AL5398" s="20"/>
    </row>
    <row r="5399" spans="38:38" x14ac:dyDescent="0.35">
      <c r="AL5399" s="20"/>
    </row>
    <row r="5400" spans="38:38" x14ac:dyDescent="0.35">
      <c r="AL5400" s="20"/>
    </row>
    <row r="5401" spans="38:38" x14ac:dyDescent="0.35">
      <c r="AL5401" s="20"/>
    </row>
    <row r="5402" spans="38:38" x14ac:dyDescent="0.35">
      <c r="AL5402" s="20"/>
    </row>
    <row r="5403" spans="38:38" x14ac:dyDescent="0.35">
      <c r="AL5403" s="20"/>
    </row>
    <row r="5404" spans="38:38" x14ac:dyDescent="0.35">
      <c r="AL5404" s="20"/>
    </row>
    <row r="5405" spans="38:38" x14ac:dyDescent="0.35">
      <c r="AL5405" s="20"/>
    </row>
    <row r="5406" spans="38:38" x14ac:dyDescent="0.35">
      <c r="AL5406" s="20"/>
    </row>
    <row r="5407" spans="38:38" x14ac:dyDescent="0.35">
      <c r="AL5407" s="20"/>
    </row>
    <row r="5408" spans="38:38" x14ac:dyDescent="0.35">
      <c r="AL5408" s="20"/>
    </row>
    <row r="5409" spans="38:38" x14ac:dyDescent="0.35">
      <c r="AL5409" s="20"/>
    </row>
    <row r="5410" spans="38:38" x14ac:dyDescent="0.35">
      <c r="AL5410" s="20"/>
    </row>
    <row r="5411" spans="38:38" x14ac:dyDescent="0.35">
      <c r="AL5411" s="20"/>
    </row>
    <row r="5412" spans="38:38" x14ac:dyDescent="0.35">
      <c r="AL5412" s="20"/>
    </row>
    <row r="5413" spans="38:38" x14ac:dyDescent="0.35">
      <c r="AL5413" s="20"/>
    </row>
    <row r="5414" spans="38:38" x14ac:dyDescent="0.35">
      <c r="AL5414" s="20"/>
    </row>
    <row r="5415" spans="38:38" x14ac:dyDescent="0.35">
      <c r="AL5415" s="20"/>
    </row>
    <row r="5416" spans="38:38" x14ac:dyDescent="0.35">
      <c r="AL5416" s="20"/>
    </row>
    <row r="5417" spans="38:38" x14ac:dyDescent="0.35">
      <c r="AL5417" s="20"/>
    </row>
    <row r="5418" spans="38:38" x14ac:dyDescent="0.35">
      <c r="AL5418" s="20"/>
    </row>
    <row r="5419" spans="38:38" x14ac:dyDescent="0.35">
      <c r="AL5419" s="20"/>
    </row>
    <row r="5420" spans="38:38" x14ac:dyDescent="0.35">
      <c r="AL5420" s="20"/>
    </row>
    <row r="5421" spans="38:38" x14ac:dyDescent="0.35">
      <c r="AL5421" s="20"/>
    </row>
    <row r="5422" spans="38:38" x14ac:dyDescent="0.35">
      <c r="AL5422" s="20"/>
    </row>
    <row r="5423" spans="38:38" x14ac:dyDescent="0.35">
      <c r="AL5423" s="20"/>
    </row>
    <row r="5424" spans="38:38" x14ac:dyDescent="0.35">
      <c r="AL5424" s="20"/>
    </row>
    <row r="5425" spans="38:38" x14ac:dyDescent="0.35">
      <c r="AL5425" s="20"/>
    </row>
    <row r="5426" spans="38:38" x14ac:dyDescent="0.35">
      <c r="AL5426" s="20"/>
    </row>
    <row r="5427" spans="38:38" x14ac:dyDescent="0.35">
      <c r="AL5427" s="20"/>
    </row>
    <row r="5428" spans="38:38" x14ac:dyDescent="0.35">
      <c r="AL5428" s="20"/>
    </row>
    <row r="5429" spans="38:38" x14ac:dyDescent="0.35">
      <c r="AL5429" s="20"/>
    </row>
    <row r="5430" spans="38:38" x14ac:dyDescent="0.35">
      <c r="AL5430" s="20"/>
    </row>
    <row r="5431" spans="38:38" x14ac:dyDescent="0.35">
      <c r="AL5431" s="20"/>
    </row>
    <row r="5432" spans="38:38" x14ac:dyDescent="0.35">
      <c r="AL5432" s="20"/>
    </row>
    <row r="5433" spans="38:38" x14ac:dyDescent="0.35">
      <c r="AL5433" s="20"/>
    </row>
    <row r="5434" spans="38:38" x14ac:dyDescent="0.35">
      <c r="AL5434" s="20"/>
    </row>
    <row r="5435" spans="38:38" x14ac:dyDescent="0.35">
      <c r="AL5435" s="20"/>
    </row>
    <row r="5436" spans="38:38" x14ac:dyDescent="0.35">
      <c r="AL5436" s="20"/>
    </row>
    <row r="5437" spans="38:38" x14ac:dyDescent="0.35">
      <c r="AL5437" s="20"/>
    </row>
    <row r="5438" spans="38:38" x14ac:dyDescent="0.35">
      <c r="AL5438" s="20"/>
    </row>
    <row r="5439" spans="38:38" x14ac:dyDescent="0.35">
      <c r="AL5439" s="20"/>
    </row>
    <row r="5440" spans="38:38" x14ac:dyDescent="0.35">
      <c r="AL5440" s="20"/>
    </row>
    <row r="5441" spans="38:38" x14ac:dyDescent="0.35">
      <c r="AL5441" s="20"/>
    </row>
    <row r="5442" spans="38:38" x14ac:dyDescent="0.35">
      <c r="AL5442" s="20"/>
    </row>
    <row r="5443" spans="38:38" x14ac:dyDescent="0.35">
      <c r="AL5443" s="20"/>
    </row>
    <row r="5444" spans="38:38" x14ac:dyDescent="0.35">
      <c r="AL5444" s="20"/>
    </row>
    <row r="5445" spans="38:38" x14ac:dyDescent="0.35">
      <c r="AL5445" s="20"/>
    </row>
    <row r="5446" spans="38:38" x14ac:dyDescent="0.35">
      <c r="AL5446" s="20"/>
    </row>
    <row r="5447" spans="38:38" x14ac:dyDescent="0.35">
      <c r="AL5447" s="20"/>
    </row>
    <row r="5448" spans="38:38" x14ac:dyDescent="0.35">
      <c r="AL5448" s="20"/>
    </row>
    <row r="5449" spans="38:38" x14ac:dyDescent="0.35">
      <c r="AL5449" s="20"/>
    </row>
    <row r="5450" spans="38:38" x14ac:dyDescent="0.35">
      <c r="AL5450" s="20"/>
    </row>
    <row r="5451" spans="38:38" x14ac:dyDescent="0.35">
      <c r="AL5451" s="20"/>
    </row>
    <row r="5452" spans="38:38" x14ac:dyDescent="0.35">
      <c r="AL5452" s="20"/>
    </row>
    <row r="5453" spans="38:38" x14ac:dyDescent="0.35">
      <c r="AL5453" s="20"/>
    </row>
    <row r="5454" spans="38:38" x14ac:dyDescent="0.35">
      <c r="AL5454" s="20"/>
    </row>
    <row r="5455" spans="38:38" x14ac:dyDescent="0.35">
      <c r="AL5455" s="20"/>
    </row>
    <row r="5456" spans="38:38" x14ac:dyDescent="0.35">
      <c r="AL5456" s="20"/>
    </row>
    <row r="5457" spans="38:38" x14ac:dyDescent="0.35">
      <c r="AL5457" s="20"/>
    </row>
    <row r="5458" spans="38:38" x14ac:dyDescent="0.35">
      <c r="AL5458" s="20"/>
    </row>
    <row r="5459" spans="38:38" x14ac:dyDescent="0.35">
      <c r="AL5459" s="20"/>
    </row>
    <row r="5460" spans="38:38" x14ac:dyDescent="0.35">
      <c r="AL5460" s="20"/>
    </row>
    <row r="5461" spans="38:38" x14ac:dyDescent="0.35">
      <c r="AL5461" s="20"/>
    </row>
    <row r="5462" spans="38:38" x14ac:dyDescent="0.35">
      <c r="AL5462" s="20"/>
    </row>
    <row r="5463" spans="38:38" x14ac:dyDescent="0.35">
      <c r="AL5463" s="20"/>
    </row>
    <row r="5464" spans="38:38" x14ac:dyDescent="0.35">
      <c r="AL5464" s="20"/>
    </row>
    <row r="5465" spans="38:38" x14ac:dyDescent="0.35">
      <c r="AL5465" s="20"/>
    </row>
    <row r="5466" spans="38:38" x14ac:dyDescent="0.35">
      <c r="AL5466" s="20"/>
    </row>
    <row r="5467" spans="38:38" x14ac:dyDescent="0.35">
      <c r="AL5467" s="20"/>
    </row>
    <row r="5468" spans="38:38" x14ac:dyDescent="0.35">
      <c r="AL5468" s="20"/>
    </row>
    <row r="5469" spans="38:38" x14ac:dyDescent="0.35">
      <c r="AL5469" s="20"/>
    </row>
    <row r="5470" spans="38:38" x14ac:dyDescent="0.35">
      <c r="AL5470" s="20"/>
    </row>
    <row r="5471" spans="38:38" x14ac:dyDescent="0.35">
      <c r="AL5471" s="20"/>
    </row>
    <row r="5472" spans="38:38" x14ac:dyDescent="0.35">
      <c r="AL5472" s="20"/>
    </row>
    <row r="5473" spans="38:38" x14ac:dyDescent="0.35">
      <c r="AL5473" s="20"/>
    </row>
    <row r="5474" spans="38:38" x14ac:dyDescent="0.35">
      <c r="AL5474" s="20"/>
    </row>
    <row r="5475" spans="38:38" x14ac:dyDescent="0.35">
      <c r="AL5475" s="20"/>
    </row>
    <row r="5476" spans="38:38" x14ac:dyDescent="0.35">
      <c r="AL5476" s="20"/>
    </row>
    <row r="5477" spans="38:38" x14ac:dyDescent="0.35">
      <c r="AL5477" s="20"/>
    </row>
    <row r="5478" spans="38:38" x14ac:dyDescent="0.35">
      <c r="AL5478" s="20"/>
    </row>
    <row r="5479" spans="38:38" x14ac:dyDescent="0.35">
      <c r="AL5479" s="20"/>
    </row>
    <row r="5480" spans="38:38" x14ac:dyDescent="0.35">
      <c r="AL5480" s="20"/>
    </row>
    <row r="5481" spans="38:38" x14ac:dyDescent="0.35">
      <c r="AL5481" s="20"/>
    </row>
    <row r="5482" spans="38:38" x14ac:dyDescent="0.35">
      <c r="AL5482" s="20"/>
    </row>
    <row r="5483" spans="38:38" x14ac:dyDescent="0.35">
      <c r="AL5483" s="20"/>
    </row>
    <row r="5484" spans="38:38" x14ac:dyDescent="0.35">
      <c r="AL5484" s="20"/>
    </row>
    <row r="5485" spans="38:38" x14ac:dyDescent="0.35">
      <c r="AL5485" s="20"/>
    </row>
    <row r="5486" spans="38:38" x14ac:dyDescent="0.35">
      <c r="AL5486" s="20"/>
    </row>
    <row r="5487" spans="38:38" x14ac:dyDescent="0.35">
      <c r="AL5487" s="20"/>
    </row>
    <row r="5488" spans="38:38" x14ac:dyDescent="0.35">
      <c r="AL5488" s="20"/>
    </row>
    <row r="5489" spans="38:38" x14ac:dyDescent="0.35">
      <c r="AL5489" s="20"/>
    </row>
    <row r="5490" spans="38:38" x14ac:dyDescent="0.35">
      <c r="AL5490" s="20"/>
    </row>
    <row r="5491" spans="38:38" x14ac:dyDescent="0.35">
      <c r="AL5491" s="20"/>
    </row>
    <row r="5492" spans="38:38" x14ac:dyDescent="0.35">
      <c r="AL5492" s="20"/>
    </row>
    <row r="5493" spans="38:38" x14ac:dyDescent="0.35">
      <c r="AL5493" s="20"/>
    </row>
    <row r="5494" spans="38:38" x14ac:dyDescent="0.35">
      <c r="AL5494" s="20"/>
    </row>
    <row r="5495" spans="38:38" x14ac:dyDescent="0.35">
      <c r="AL5495" s="20"/>
    </row>
    <row r="5496" spans="38:38" x14ac:dyDescent="0.35">
      <c r="AL5496" s="20"/>
    </row>
    <row r="5497" spans="38:38" x14ac:dyDescent="0.35">
      <c r="AL5497" s="20"/>
    </row>
    <row r="5498" spans="38:38" x14ac:dyDescent="0.35">
      <c r="AL5498" s="20"/>
    </row>
    <row r="5499" spans="38:38" x14ac:dyDescent="0.35">
      <c r="AL5499" s="20"/>
    </row>
    <row r="5500" spans="38:38" x14ac:dyDescent="0.35">
      <c r="AL5500" s="20"/>
    </row>
    <row r="5501" spans="38:38" x14ac:dyDescent="0.35">
      <c r="AL5501" s="20"/>
    </row>
    <row r="5502" spans="38:38" x14ac:dyDescent="0.35">
      <c r="AL5502" s="20"/>
    </row>
    <row r="5503" spans="38:38" x14ac:dyDescent="0.35">
      <c r="AL5503" s="20"/>
    </row>
    <row r="5504" spans="38:38" x14ac:dyDescent="0.35">
      <c r="AL5504" s="20"/>
    </row>
    <row r="5505" spans="38:38" x14ac:dyDescent="0.35">
      <c r="AL5505" s="20"/>
    </row>
    <row r="5506" spans="38:38" x14ac:dyDescent="0.35">
      <c r="AL5506" s="20"/>
    </row>
    <row r="5507" spans="38:38" x14ac:dyDescent="0.35">
      <c r="AL5507" s="20"/>
    </row>
    <row r="5508" spans="38:38" x14ac:dyDescent="0.35">
      <c r="AL5508" s="20"/>
    </row>
    <row r="5509" spans="38:38" x14ac:dyDescent="0.35">
      <c r="AL5509" s="20"/>
    </row>
    <row r="5510" spans="38:38" x14ac:dyDescent="0.35">
      <c r="AL5510" s="20"/>
    </row>
    <row r="5511" spans="38:38" x14ac:dyDescent="0.35">
      <c r="AL5511" s="20"/>
    </row>
    <row r="5512" spans="38:38" x14ac:dyDescent="0.35">
      <c r="AL5512" s="20"/>
    </row>
    <row r="5513" spans="38:38" x14ac:dyDescent="0.35">
      <c r="AL5513" s="20"/>
    </row>
    <row r="5514" spans="38:38" x14ac:dyDescent="0.35">
      <c r="AL5514" s="20"/>
    </row>
    <row r="5515" spans="38:38" x14ac:dyDescent="0.35">
      <c r="AL5515" s="20"/>
    </row>
    <row r="5516" spans="38:38" x14ac:dyDescent="0.35">
      <c r="AL5516" s="20"/>
    </row>
    <row r="5517" spans="38:38" x14ac:dyDescent="0.35">
      <c r="AL5517" s="20"/>
    </row>
    <row r="5518" spans="38:38" x14ac:dyDescent="0.35">
      <c r="AL5518" s="20"/>
    </row>
    <row r="5519" spans="38:38" x14ac:dyDescent="0.35">
      <c r="AL5519" s="20"/>
    </row>
    <row r="5520" spans="38:38" x14ac:dyDescent="0.35">
      <c r="AL5520" s="20"/>
    </row>
    <row r="5521" spans="38:38" x14ac:dyDescent="0.35">
      <c r="AL5521" s="20"/>
    </row>
    <row r="5522" spans="38:38" x14ac:dyDescent="0.35">
      <c r="AL5522" s="20"/>
    </row>
    <row r="5523" spans="38:38" x14ac:dyDescent="0.35">
      <c r="AL5523" s="20"/>
    </row>
    <row r="5524" spans="38:38" x14ac:dyDescent="0.35">
      <c r="AL5524" s="20"/>
    </row>
    <row r="5525" spans="38:38" x14ac:dyDescent="0.35">
      <c r="AL5525" s="20"/>
    </row>
    <row r="5526" spans="38:38" x14ac:dyDescent="0.35">
      <c r="AL5526" s="20"/>
    </row>
    <row r="5527" spans="38:38" x14ac:dyDescent="0.35">
      <c r="AL5527" s="20"/>
    </row>
    <row r="5528" spans="38:38" x14ac:dyDescent="0.35">
      <c r="AL5528" s="20"/>
    </row>
    <row r="5529" spans="38:38" x14ac:dyDescent="0.35">
      <c r="AL5529" s="20"/>
    </row>
    <row r="5530" spans="38:38" x14ac:dyDescent="0.35">
      <c r="AL5530" s="20"/>
    </row>
    <row r="5531" spans="38:38" x14ac:dyDescent="0.35">
      <c r="AL5531" s="20"/>
    </row>
    <row r="5532" spans="38:38" x14ac:dyDescent="0.35">
      <c r="AL5532" s="20"/>
    </row>
    <row r="5533" spans="38:38" x14ac:dyDescent="0.35">
      <c r="AL5533" s="20"/>
    </row>
    <row r="5534" spans="38:38" x14ac:dyDescent="0.35">
      <c r="AL5534" s="20"/>
    </row>
    <row r="5535" spans="38:38" x14ac:dyDescent="0.35">
      <c r="AL5535" s="20"/>
    </row>
    <row r="5536" spans="38:38" x14ac:dyDescent="0.35">
      <c r="AL5536" s="20"/>
    </row>
    <row r="5537" spans="38:38" x14ac:dyDescent="0.35">
      <c r="AL5537" s="20"/>
    </row>
    <row r="5538" spans="38:38" x14ac:dyDescent="0.35">
      <c r="AL5538" s="20"/>
    </row>
    <row r="5539" spans="38:38" x14ac:dyDescent="0.35">
      <c r="AL5539" s="20"/>
    </row>
    <row r="5540" spans="38:38" x14ac:dyDescent="0.35">
      <c r="AL5540" s="20"/>
    </row>
    <row r="5541" spans="38:38" x14ac:dyDescent="0.35">
      <c r="AL5541" s="20"/>
    </row>
    <row r="5542" spans="38:38" x14ac:dyDescent="0.35">
      <c r="AL5542" s="20"/>
    </row>
    <row r="5543" spans="38:38" x14ac:dyDescent="0.35">
      <c r="AL5543" s="20"/>
    </row>
    <row r="5544" spans="38:38" x14ac:dyDescent="0.35">
      <c r="AL5544" s="20"/>
    </row>
    <row r="5545" spans="38:38" x14ac:dyDescent="0.35">
      <c r="AL5545" s="20"/>
    </row>
    <row r="5546" spans="38:38" x14ac:dyDescent="0.35">
      <c r="AL5546" s="20"/>
    </row>
    <row r="5547" spans="38:38" x14ac:dyDescent="0.35">
      <c r="AL5547" s="20"/>
    </row>
    <row r="5548" spans="38:38" x14ac:dyDescent="0.35">
      <c r="AL5548" s="20"/>
    </row>
    <row r="5549" spans="38:38" x14ac:dyDescent="0.35">
      <c r="AL5549" s="20"/>
    </row>
    <row r="5550" spans="38:38" x14ac:dyDescent="0.35">
      <c r="AL5550" s="20"/>
    </row>
    <row r="5551" spans="38:38" x14ac:dyDescent="0.35">
      <c r="AL5551" s="20"/>
    </row>
    <row r="5552" spans="38:38" x14ac:dyDescent="0.35">
      <c r="AL5552" s="20"/>
    </row>
    <row r="5553" spans="38:38" x14ac:dyDescent="0.35">
      <c r="AL5553" s="20"/>
    </row>
    <row r="5554" spans="38:38" x14ac:dyDescent="0.35">
      <c r="AL5554" s="20"/>
    </row>
    <row r="5555" spans="38:38" x14ac:dyDescent="0.35">
      <c r="AL5555" s="20"/>
    </row>
    <row r="5556" spans="38:38" x14ac:dyDescent="0.35">
      <c r="AL5556" s="20"/>
    </row>
    <row r="5557" spans="38:38" x14ac:dyDescent="0.35">
      <c r="AL5557" s="20"/>
    </row>
    <row r="5558" spans="38:38" x14ac:dyDescent="0.35">
      <c r="AL5558" s="20"/>
    </row>
    <row r="5559" spans="38:38" x14ac:dyDescent="0.35">
      <c r="AL5559" s="20"/>
    </row>
    <row r="5560" spans="38:38" x14ac:dyDescent="0.35">
      <c r="AL5560" s="20"/>
    </row>
    <row r="5561" spans="38:38" x14ac:dyDescent="0.35">
      <c r="AL5561" s="20"/>
    </row>
    <row r="5562" spans="38:38" x14ac:dyDescent="0.35">
      <c r="AL5562" s="20"/>
    </row>
    <row r="5563" spans="38:38" x14ac:dyDescent="0.35">
      <c r="AL5563" s="20"/>
    </row>
    <row r="5564" spans="38:38" x14ac:dyDescent="0.35">
      <c r="AL5564" s="20"/>
    </row>
    <row r="5565" spans="38:38" x14ac:dyDescent="0.35">
      <c r="AL5565" s="20"/>
    </row>
    <row r="5566" spans="38:38" x14ac:dyDescent="0.35">
      <c r="AL5566" s="20"/>
    </row>
    <row r="5567" spans="38:38" x14ac:dyDescent="0.35">
      <c r="AL5567" s="20"/>
    </row>
    <row r="5568" spans="38:38" x14ac:dyDescent="0.35">
      <c r="AL5568" s="20"/>
    </row>
    <row r="5569" spans="38:38" x14ac:dyDescent="0.35">
      <c r="AL5569" s="20"/>
    </row>
    <row r="5570" spans="38:38" x14ac:dyDescent="0.35">
      <c r="AL5570" s="20"/>
    </row>
    <row r="5571" spans="38:38" x14ac:dyDescent="0.35">
      <c r="AL5571" s="20"/>
    </row>
    <row r="5572" spans="38:38" x14ac:dyDescent="0.35">
      <c r="AL5572" s="20"/>
    </row>
    <row r="5573" spans="38:38" x14ac:dyDescent="0.35">
      <c r="AL5573" s="20"/>
    </row>
    <row r="5574" spans="38:38" x14ac:dyDescent="0.35">
      <c r="AL5574" s="20"/>
    </row>
    <row r="5575" spans="38:38" x14ac:dyDescent="0.35">
      <c r="AL5575" s="20"/>
    </row>
    <row r="5576" spans="38:38" x14ac:dyDescent="0.35">
      <c r="AL5576" s="20"/>
    </row>
    <row r="5577" spans="38:38" x14ac:dyDescent="0.35">
      <c r="AL5577" s="20"/>
    </row>
    <row r="5578" spans="38:38" x14ac:dyDescent="0.35">
      <c r="AL5578" s="20"/>
    </row>
    <row r="5579" spans="38:38" x14ac:dyDescent="0.35">
      <c r="AL5579" s="20"/>
    </row>
    <row r="5580" spans="38:38" x14ac:dyDescent="0.35">
      <c r="AL5580" s="20"/>
    </row>
    <row r="5581" spans="38:38" x14ac:dyDescent="0.35">
      <c r="AL5581" s="20"/>
    </row>
    <row r="5582" spans="38:38" x14ac:dyDescent="0.35">
      <c r="AL5582" s="20"/>
    </row>
    <row r="5583" spans="38:38" x14ac:dyDescent="0.35">
      <c r="AL5583" s="20"/>
    </row>
    <row r="5584" spans="38:38" x14ac:dyDescent="0.35">
      <c r="AL5584" s="20"/>
    </row>
    <row r="5585" spans="38:38" x14ac:dyDescent="0.35">
      <c r="AL5585" s="20"/>
    </row>
    <row r="5586" spans="38:38" x14ac:dyDescent="0.35">
      <c r="AL5586" s="20"/>
    </row>
    <row r="5587" spans="38:38" x14ac:dyDescent="0.35">
      <c r="AL5587" s="20"/>
    </row>
    <row r="5588" spans="38:38" x14ac:dyDescent="0.35">
      <c r="AL5588" s="20"/>
    </row>
    <row r="5589" spans="38:38" x14ac:dyDescent="0.35">
      <c r="AL5589" s="20"/>
    </row>
    <row r="5590" spans="38:38" x14ac:dyDescent="0.35">
      <c r="AL5590" s="20"/>
    </row>
    <row r="5591" spans="38:38" x14ac:dyDescent="0.35">
      <c r="AL5591" s="20"/>
    </row>
    <row r="5592" spans="38:38" x14ac:dyDescent="0.35">
      <c r="AL5592" s="20"/>
    </row>
    <row r="5593" spans="38:38" x14ac:dyDescent="0.35">
      <c r="AL5593" s="20"/>
    </row>
    <row r="5594" spans="38:38" x14ac:dyDescent="0.35">
      <c r="AL5594" s="20"/>
    </row>
    <row r="5595" spans="38:38" x14ac:dyDescent="0.35">
      <c r="AL5595" s="20"/>
    </row>
    <row r="5596" spans="38:38" x14ac:dyDescent="0.35">
      <c r="AL5596" s="20"/>
    </row>
    <row r="5597" spans="38:38" x14ac:dyDescent="0.35">
      <c r="AL5597" s="20"/>
    </row>
    <row r="5598" spans="38:38" x14ac:dyDescent="0.35">
      <c r="AL5598" s="20"/>
    </row>
    <row r="5599" spans="38:38" x14ac:dyDescent="0.35">
      <c r="AL5599" s="20"/>
    </row>
    <row r="5600" spans="38:38" x14ac:dyDescent="0.35">
      <c r="AL5600" s="20"/>
    </row>
    <row r="5601" spans="38:38" x14ac:dyDescent="0.35">
      <c r="AL5601" s="20"/>
    </row>
    <row r="5602" spans="38:38" x14ac:dyDescent="0.35">
      <c r="AL5602" s="20"/>
    </row>
    <row r="5603" spans="38:38" x14ac:dyDescent="0.35">
      <c r="AL5603" s="20"/>
    </row>
    <row r="5604" spans="38:38" x14ac:dyDescent="0.35">
      <c r="AL5604" s="20"/>
    </row>
    <row r="5605" spans="38:38" x14ac:dyDescent="0.35">
      <c r="AL5605" s="20"/>
    </row>
    <row r="5606" spans="38:38" x14ac:dyDescent="0.35">
      <c r="AL5606" s="20"/>
    </row>
    <row r="5607" spans="38:38" x14ac:dyDescent="0.35">
      <c r="AL5607" s="20"/>
    </row>
    <row r="5608" spans="38:38" x14ac:dyDescent="0.35">
      <c r="AL5608" s="20"/>
    </row>
    <row r="5609" spans="38:38" x14ac:dyDescent="0.35">
      <c r="AL5609" s="20"/>
    </row>
    <row r="5610" spans="38:38" x14ac:dyDescent="0.35">
      <c r="AL5610" s="20"/>
    </row>
    <row r="5611" spans="38:38" x14ac:dyDescent="0.35">
      <c r="AL5611" s="20"/>
    </row>
    <row r="5612" spans="38:38" x14ac:dyDescent="0.35">
      <c r="AL5612" s="20"/>
    </row>
    <row r="5613" spans="38:38" x14ac:dyDescent="0.35">
      <c r="AL5613" s="20"/>
    </row>
    <row r="5614" spans="38:38" x14ac:dyDescent="0.35">
      <c r="AL5614" s="20"/>
    </row>
    <row r="5615" spans="38:38" x14ac:dyDescent="0.35">
      <c r="AL5615" s="20"/>
    </row>
    <row r="5616" spans="38:38" x14ac:dyDescent="0.35">
      <c r="AL5616" s="20"/>
    </row>
    <row r="5617" spans="38:38" x14ac:dyDescent="0.35">
      <c r="AL5617" s="20"/>
    </row>
    <row r="5618" spans="38:38" x14ac:dyDescent="0.35">
      <c r="AL5618" s="20"/>
    </row>
    <row r="5619" spans="38:38" x14ac:dyDescent="0.35">
      <c r="AL5619" s="20"/>
    </row>
    <row r="5620" spans="38:38" x14ac:dyDescent="0.35">
      <c r="AL5620" s="20"/>
    </row>
    <row r="5621" spans="38:38" x14ac:dyDescent="0.35">
      <c r="AL5621" s="20"/>
    </row>
    <row r="5622" spans="38:38" x14ac:dyDescent="0.35">
      <c r="AL5622" s="20"/>
    </row>
    <row r="5623" spans="38:38" x14ac:dyDescent="0.35">
      <c r="AL5623" s="20"/>
    </row>
    <row r="5624" spans="38:38" x14ac:dyDescent="0.35">
      <c r="AL5624" s="20"/>
    </row>
    <row r="5625" spans="38:38" x14ac:dyDescent="0.35">
      <c r="AL5625" s="20"/>
    </row>
    <row r="5626" spans="38:38" x14ac:dyDescent="0.35">
      <c r="AL5626" s="20"/>
    </row>
    <row r="5627" spans="38:38" x14ac:dyDescent="0.35">
      <c r="AL5627" s="20"/>
    </row>
    <row r="5628" spans="38:38" x14ac:dyDescent="0.35">
      <c r="AL5628" s="20"/>
    </row>
    <row r="5629" spans="38:38" x14ac:dyDescent="0.35">
      <c r="AL5629" s="20"/>
    </row>
    <row r="5630" spans="38:38" x14ac:dyDescent="0.35">
      <c r="AL5630" s="20"/>
    </row>
    <row r="5631" spans="38:38" x14ac:dyDescent="0.35">
      <c r="AL5631" s="20"/>
    </row>
    <row r="5632" spans="38:38" x14ac:dyDescent="0.35">
      <c r="AL5632" s="20"/>
    </row>
    <row r="5633" spans="38:38" x14ac:dyDescent="0.35">
      <c r="AL5633" s="20"/>
    </row>
    <row r="5634" spans="38:38" x14ac:dyDescent="0.35">
      <c r="AL5634" s="20"/>
    </row>
    <row r="5635" spans="38:38" x14ac:dyDescent="0.35">
      <c r="AL5635" s="20"/>
    </row>
    <row r="5636" spans="38:38" x14ac:dyDescent="0.35">
      <c r="AL5636" s="20"/>
    </row>
    <row r="5637" spans="38:38" x14ac:dyDescent="0.35">
      <c r="AL5637" s="20"/>
    </row>
    <row r="5638" spans="38:38" x14ac:dyDescent="0.35">
      <c r="AL5638" s="20"/>
    </row>
    <row r="5639" spans="38:38" x14ac:dyDescent="0.35">
      <c r="AL5639" s="20"/>
    </row>
    <row r="5640" spans="38:38" x14ac:dyDescent="0.35">
      <c r="AL5640" s="20"/>
    </row>
    <row r="5641" spans="38:38" x14ac:dyDescent="0.35">
      <c r="AL5641" s="20"/>
    </row>
    <row r="5642" spans="38:38" x14ac:dyDescent="0.35">
      <c r="AL5642" s="20"/>
    </row>
    <row r="5643" spans="38:38" x14ac:dyDescent="0.35">
      <c r="AL5643" s="20"/>
    </row>
    <row r="5644" spans="38:38" x14ac:dyDescent="0.35">
      <c r="AL5644" s="20"/>
    </row>
    <row r="5645" spans="38:38" x14ac:dyDescent="0.35">
      <c r="AL5645" s="20"/>
    </row>
    <row r="5646" spans="38:38" x14ac:dyDescent="0.35">
      <c r="AL5646" s="20"/>
    </row>
    <row r="5647" spans="38:38" x14ac:dyDescent="0.35">
      <c r="AL5647" s="20"/>
    </row>
    <row r="5648" spans="38:38" x14ac:dyDescent="0.35">
      <c r="AL5648" s="20"/>
    </row>
    <row r="5649" spans="38:38" x14ac:dyDescent="0.35">
      <c r="AL5649" s="20"/>
    </row>
    <row r="5650" spans="38:38" x14ac:dyDescent="0.35">
      <c r="AL5650" s="20"/>
    </row>
    <row r="5651" spans="38:38" x14ac:dyDescent="0.35">
      <c r="AL5651" s="20"/>
    </row>
    <row r="5652" spans="38:38" x14ac:dyDescent="0.35">
      <c r="AL5652" s="20"/>
    </row>
    <row r="5653" spans="38:38" x14ac:dyDescent="0.35">
      <c r="AL5653" s="20"/>
    </row>
    <row r="5654" spans="38:38" x14ac:dyDescent="0.35">
      <c r="AL5654" s="20"/>
    </row>
    <row r="5655" spans="38:38" x14ac:dyDescent="0.35">
      <c r="AL5655" s="20"/>
    </row>
    <row r="5656" spans="38:38" x14ac:dyDescent="0.35">
      <c r="AL5656" s="20"/>
    </row>
    <row r="5657" spans="38:38" x14ac:dyDescent="0.35">
      <c r="AL5657" s="20"/>
    </row>
    <row r="5658" spans="38:38" x14ac:dyDescent="0.35">
      <c r="AL5658" s="20"/>
    </row>
    <row r="5659" spans="38:38" x14ac:dyDescent="0.35">
      <c r="AL5659" s="20"/>
    </row>
    <row r="5660" spans="38:38" x14ac:dyDescent="0.35">
      <c r="AL5660" s="20"/>
    </row>
    <row r="5661" spans="38:38" x14ac:dyDescent="0.35">
      <c r="AL5661" s="20"/>
    </row>
    <row r="5662" spans="38:38" x14ac:dyDescent="0.35">
      <c r="AL5662" s="20"/>
    </row>
    <row r="5663" spans="38:38" x14ac:dyDescent="0.35">
      <c r="AL5663" s="20"/>
    </row>
    <row r="5664" spans="38:38" x14ac:dyDescent="0.35">
      <c r="AL5664" s="20"/>
    </row>
    <row r="5665" spans="38:38" x14ac:dyDescent="0.35">
      <c r="AL5665" s="20"/>
    </row>
    <row r="5666" spans="38:38" x14ac:dyDescent="0.35">
      <c r="AL5666" s="20"/>
    </row>
    <row r="5667" spans="38:38" x14ac:dyDescent="0.35">
      <c r="AL5667" s="20"/>
    </row>
    <row r="5668" spans="38:38" x14ac:dyDescent="0.35">
      <c r="AL5668" s="20"/>
    </row>
    <row r="5669" spans="38:38" x14ac:dyDescent="0.35">
      <c r="AL5669" s="20"/>
    </row>
    <row r="5670" spans="38:38" x14ac:dyDescent="0.35">
      <c r="AL5670" s="20"/>
    </row>
    <row r="5671" spans="38:38" x14ac:dyDescent="0.35">
      <c r="AL5671" s="20"/>
    </row>
    <row r="5672" spans="38:38" x14ac:dyDescent="0.35">
      <c r="AL5672" s="20"/>
    </row>
    <row r="5673" spans="38:38" x14ac:dyDescent="0.35">
      <c r="AL5673" s="20"/>
    </row>
    <row r="5674" spans="38:38" x14ac:dyDescent="0.35">
      <c r="AL5674" s="20"/>
    </row>
    <row r="5675" spans="38:38" x14ac:dyDescent="0.35">
      <c r="AL5675" s="20"/>
    </row>
    <row r="5676" spans="38:38" x14ac:dyDescent="0.35">
      <c r="AL5676" s="20"/>
    </row>
    <row r="5677" spans="38:38" x14ac:dyDescent="0.35">
      <c r="AL5677" s="20"/>
    </row>
    <row r="5678" spans="38:38" x14ac:dyDescent="0.35">
      <c r="AL5678" s="20"/>
    </row>
    <row r="5679" spans="38:38" x14ac:dyDescent="0.35">
      <c r="AL5679" s="20"/>
    </row>
    <row r="5680" spans="38:38" x14ac:dyDescent="0.35">
      <c r="AL5680" s="20"/>
    </row>
    <row r="5681" spans="38:38" x14ac:dyDescent="0.35">
      <c r="AL5681" s="20"/>
    </row>
    <row r="5682" spans="38:38" x14ac:dyDescent="0.35">
      <c r="AL5682" s="20"/>
    </row>
    <row r="5683" spans="38:38" x14ac:dyDescent="0.35">
      <c r="AL5683" s="20"/>
    </row>
    <row r="5684" spans="38:38" x14ac:dyDescent="0.35">
      <c r="AL5684" s="20"/>
    </row>
    <row r="5685" spans="38:38" x14ac:dyDescent="0.35">
      <c r="AL5685" s="20"/>
    </row>
    <row r="5686" spans="38:38" x14ac:dyDescent="0.35">
      <c r="AL5686" s="20"/>
    </row>
    <row r="5687" spans="38:38" x14ac:dyDescent="0.35">
      <c r="AL5687" s="20"/>
    </row>
    <row r="5688" spans="38:38" x14ac:dyDescent="0.35">
      <c r="AL5688" s="20"/>
    </row>
    <row r="5689" spans="38:38" x14ac:dyDescent="0.35">
      <c r="AL5689" s="20"/>
    </row>
    <row r="5690" spans="38:38" x14ac:dyDescent="0.35">
      <c r="AL5690" s="20"/>
    </row>
    <row r="5691" spans="38:38" x14ac:dyDescent="0.35">
      <c r="AL5691" s="20"/>
    </row>
    <row r="5692" spans="38:38" x14ac:dyDescent="0.35">
      <c r="AL5692" s="20"/>
    </row>
    <row r="5693" spans="38:38" x14ac:dyDescent="0.35">
      <c r="AL5693" s="20"/>
    </row>
    <row r="5694" spans="38:38" x14ac:dyDescent="0.35">
      <c r="AL5694" s="20"/>
    </row>
    <row r="5695" spans="38:38" x14ac:dyDescent="0.35">
      <c r="AL5695" s="20"/>
    </row>
    <row r="5696" spans="38:38" x14ac:dyDescent="0.35">
      <c r="AL5696" s="20"/>
    </row>
    <row r="5697" spans="38:38" x14ac:dyDescent="0.35">
      <c r="AL5697" s="20"/>
    </row>
    <row r="5698" spans="38:38" x14ac:dyDescent="0.35">
      <c r="AL5698" s="20"/>
    </row>
    <row r="5699" spans="38:38" x14ac:dyDescent="0.35">
      <c r="AL5699" s="20"/>
    </row>
    <row r="5700" spans="38:38" x14ac:dyDescent="0.35">
      <c r="AL5700" s="20"/>
    </row>
    <row r="5701" spans="38:38" x14ac:dyDescent="0.35">
      <c r="AL5701" s="20"/>
    </row>
    <row r="5702" spans="38:38" x14ac:dyDescent="0.35">
      <c r="AL5702" s="20"/>
    </row>
    <row r="5703" spans="38:38" x14ac:dyDescent="0.35">
      <c r="AL5703" s="20"/>
    </row>
    <row r="5704" spans="38:38" x14ac:dyDescent="0.35">
      <c r="AL5704" s="20"/>
    </row>
    <row r="5705" spans="38:38" x14ac:dyDescent="0.35">
      <c r="AL5705" s="20"/>
    </row>
    <row r="5706" spans="38:38" x14ac:dyDescent="0.35">
      <c r="AL5706" s="20"/>
    </row>
    <row r="5707" spans="38:38" x14ac:dyDescent="0.35">
      <c r="AL5707" s="20"/>
    </row>
    <row r="5708" spans="38:38" x14ac:dyDescent="0.35">
      <c r="AL5708" s="20"/>
    </row>
    <row r="5709" spans="38:38" x14ac:dyDescent="0.35">
      <c r="AL5709" s="20"/>
    </row>
    <row r="5710" spans="38:38" x14ac:dyDescent="0.35">
      <c r="AL5710" s="20"/>
    </row>
    <row r="5711" spans="38:38" x14ac:dyDescent="0.35">
      <c r="AL5711" s="20"/>
    </row>
    <row r="5712" spans="38:38" x14ac:dyDescent="0.35">
      <c r="AL5712" s="20"/>
    </row>
    <row r="5713" spans="38:38" x14ac:dyDescent="0.35">
      <c r="AL5713" s="20"/>
    </row>
    <row r="5714" spans="38:38" x14ac:dyDescent="0.35">
      <c r="AL5714" s="20"/>
    </row>
    <row r="5715" spans="38:38" x14ac:dyDescent="0.35">
      <c r="AL5715" s="20"/>
    </row>
    <row r="5716" spans="38:38" x14ac:dyDescent="0.35">
      <c r="AL5716" s="20"/>
    </row>
    <row r="5717" spans="38:38" x14ac:dyDescent="0.35">
      <c r="AL5717" s="20"/>
    </row>
    <row r="5718" spans="38:38" x14ac:dyDescent="0.35">
      <c r="AL5718" s="20"/>
    </row>
    <row r="5719" spans="38:38" x14ac:dyDescent="0.35">
      <c r="AL5719" s="20"/>
    </row>
    <row r="5720" spans="38:38" x14ac:dyDescent="0.35">
      <c r="AL5720" s="20"/>
    </row>
    <row r="5721" spans="38:38" x14ac:dyDescent="0.35">
      <c r="AL5721" s="20"/>
    </row>
    <row r="5722" spans="38:38" x14ac:dyDescent="0.35">
      <c r="AL5722" s="20"/>
    </row>
    <row r="5723" spans="38:38" x14ac:dyDescent="0.35">
      <c r="AL5723" s="20"/>
    </row>
    <row r="5724" spans="38:38" x14ac:dyDescent="0.35">
      <c r="AL5724" s="20"/>
    </row>
    <row r="5725" spans="38:38" x14ac:dyDescent="0.35">
      <c r="AL5725" s="20"/>
    </row>
    <row r="5726" spans="38:38" x14ac:dyDescent="0.35">
      <c r="AL5726" s="20"/>
    </row>
    <row r="5727" spans="38:38" x14ac:dyDescent="0.35">
      <c r="AL5727" s="20"/>
    </row>
    <row r="5728" spans="38:38" x14ac:dyDescent="0.35">
      <c r="AL5728" s="20"/>
    </row>
    <row r="5729" spans="38:38" x14ac:dyDescent="0.35">
      <c r="AL5729" s="20"/>
    </row>
    <row r="5730" spans="38:38" x14ac:dyDescent="0.35">
      <c r="AL5730" s="20"/>
    </row>
    <row r="5731" spans="38:38" x14ac:dyDescent="0.35">
      <c r="AL5731" s="20"/>
    </row>
    <row r="5732" spans="38:38" x14ac:dyDescent="0.35">
      <c r="AL5732" s="20"/>
    </row>
    <row r="5733" spans="38:38" x14ac:dyDescent="0.35">
      <c r="AL5733" s="20"/>
    </row>
    <row r="5734" spans="38:38" x14ac:dyDescent="0.35">
      <c r="AL5734" s="20"/>
    </row>
    <row r="5735" spans="38:38" x14ac:dyDescent="0.35">
      <c r="AL5735" s="20"/>
    </row>
    <row r="5736" spans="38:38" x14ac:dyDescent="0.35">
      <c r="AL5736" s="20"/>
    </row>
    <row r="5737" spans="38:38" x14ac:dyDescent="0.35">
      <c r="AL5737" s="20"/>
    </row>
    <row r="5738" spans="38:38" x14ac:dyDescent="0.35">
      <c r="AL5738" s="20"/>
    </row>
    <row r="5739" spans="38:38" x14ac:dyDescent="0.35">
      <c r="AL5739" s="20"/>
    </row>
    <row r="5740" spans="38:38" x14ac:dyDescent="0.35">
      <c r="AL5740" s="20"/>
    </row>
    <row r="5741" spans="38:38" x14ac:dyDescent="0.35">
      <c r="AL5741" s="20"/>
    </row>
    <row r="5742" spans="38:38" x14ac:dyDescent="0.35">
      <c r="AL5742" s="20"/>
    </row>
    <row r="5743" spans="38:38" x14ac:dyDescent="0.35">
      <c r="AL5743" s="20"/>
    </row>
    <row r="5744" spans="38:38" x14ac:dyDescent="0.35">
      <c r="AL5744" s="20"/>
    </row>
    <row r="5745" spans="38:38" x14ac:dyDescent="0.35">
      <c r="AL5745" s="20"/>
    </row>
    <row r="5746" spans="38:38" x14ac:dyDescent="0.35">
      <c r="AL5746" s="20"/>
    </row>
    <row r="5747" spans="38:38" x14ac:dyDescent="0.35">
      <c r="AL5747" s="20"/>
    </row>
    <row r="5748" spans="38:38" x14ac:dyDescent="0.35">
      <c r="AL5748" s="20"/>
    </row>
    <row r="5749" spans="38:38" x14ac:dyDescent="0.35">
      <c r="AL5749" s="20"/>
    </row>
    <row r="5750" spans="38:38" x14ac:dyDescent="0.35">
      <c r="AL5750" s="20"/>
    </row>
    <row r="5751" spans="38:38" x14ac:dyDescent="0.35">
      <c r="AL5751" s="20"/>
    </row>
    <row r="5752" spans="38:38" x14ac:dyDescent="0.35">
      <c r="AL5752" s="20"/>
    </row>
    <row r="5753" spans="38:38" x14ac:dyDescent="0.35">
      <c r="AL5753" s="20"/>
    </row>
    <row r="5754" spans="38:38" x14ac:dyDescent="0.35">
      <c r="AL5754" s="20"/>
    </row>
    <row r="5755" spans="38:38" x14ac:dyDescent="0.35">
      <c r="AL5755" s="20"/>
    </row>
    <row r="5756" spans="38:38" x14ac:dyDescent="0.35">
      <c r="AL5756" s="20"/>
    </row>
    <row r="5757" spans="38:38" x14ac:dyDescent="0.35">
      <c r="AL5757" s="20"/>
    </row>
    <row r="5758" spans="38:38" x14ac:dyDescent="0.35">
      <c r="AL5758" s="20"/>
    </row>
    <row r="5759" spans="38:38" x14ac:dyDescent="0.35">
      <c r="AL5759" s="20"/>
    </row>
    <row r="5760" spans="38:38" x14ac:dyDescent="0.35">
      <c r="AL5760" s="20"/>
    </row>
    <row r="5761" spans="38:38" x14ac:dyDescent="0.35">
      <c r="AL5761" s="20"/>
    </row>
    <row r="5762" spans="38:38" x14ac:dyDescent="0.35">
      <c r="AL5762" s="20"/>
    </row>
    <row r="5763" spans="38:38" x14ac:dyDescent="0.35">
      <c r="AL5763" s="20"/>
    </row>
    <row r="5764" spans="38:38" x14ac:dyDescent="0.35">
      <c r="AL5764" s="20"/>
    </row>
    <row r="5765" spans="38:38" x14ac:dyDescent="0.35">
      <c r="AL5765" s="20"/>
    </row>
    <row r="5766" spans="38:38" x14ac:dyDescent="0.35">
      <c r="AL5766" s="20"/>
    </row>
    <row r="5767" spans="38:38" x14ac:dyDescent="0.35">
      <c r="AL5767" s="20"/>
    </row>
    <row r="5768" spans="38:38" x14ac:dyDescent="0.35">
      <c r="AL5768" s="20"/>
    </row>
    <row r="5769" spans="38:38" x14ac:dyDescent="0.35">
      <c r="AL5769" s="20"/>
    </row>
    <row r="5770" spans="38:38" x14ac:dyDescent="0.35">
      <c r="AL5770" s="20"/>
    </row>
    <row r="5771" spans="38:38" x14ac:dyDescent="0.35">
      <c r="AL5771" s="20"/>
    </row>
    <row r="5772" spans="38:38" x14ac:dyDescent="0.35">
      <c r="AL5772" s="20"/>
    </row>
    <row r="5773" spans="38:38" x14ac:dyDescent="0.35">
      <c r="AL5773" s="20"/>
    </row>
    <row r="5774" spans="38:38" x14ac:dyDescent="0.35">
      <c r="AL5774" s="20"/>
    </row>
    <row r="5775" spans="38:38" x14ac:dyDescent="0.35">
      <c r="AL5775" s="20"/>
    </row>
    <row r="5776" spans="38:38" x14ac:dyDescent="0.35">
      <c r="AL5776" s="20"/>
    </row>
    <row r="5777" spans="38:38" x14ac:dyDescent="0.35">
      <c r="AL5777" s="20"/>
    </row>
    <row r="5778" spans="38:38" x14ac:dyDescent="0.35">
      <c r="AL5778" s="20"/>
    </row>
    <row r="5779" spans="38:38" x14ac:dyDescent="0.35">
      <c r="AL5779" s="20"/>
    </row>
    <row r="5780" spans="38:38" x14ac:dyDescent="0.35">
      <c r="AL5780" s="20"/>
    </row>
    <row r="5781" spans="38:38" x14ac:dyDescent="0.35">
      <c r="AL5781" s="20"/>
    </row>
    <row r="5782" spans="38:38" x14ac:dyDescent="0.35">
      <c r="AL5782" s="20"/>
    </row>
    <row r="5783" spans="38:38" x14ac:dyDescent="0.35">
      <c r="AL5783" s="20"/>
    </row>
    <row r="5784" spans="38:38" x14ac:dyDescent="0.35">
      <c r="AL5784" s="20"/>
    </row>
    <row r="5785" spans="38:38" x14ac:dyDescent="0.35">
      <c r="AL5785" s="20"/>
    </row>
    <row r="5786" spans="38:38" x14ac:dyDescent="0.35">
      <c r="AL5786" s="20"/>
    </row>
    <row r="5787" spans="38:38" x14ac:dyDescent="0.35">
      <c r="AL5787" s="20"/>
    </row>
    <row r="5788" spans="38:38" x14ac:dyDescent="0.35">
      <c r="AL5788" s="20"/>
    </row>
    <row r="5789" spans="38:38" x14ac:dyDescent="0.35">
      <c r="AL5789" s="20"/>
    </row>
    <row r="5790" spans="38:38" x14ac:dyDescent="0.35">
      <c r="AL5790" s="20"/>
    </row>
    <row r="5791" spans="38:38" x14ac:dyDescent="0.35">
      <c r="AL5791" s="20"/>
    </row>
    <row r="5792" spans="38:38" x14ac:dyDescent="0.35">
      <c r="AL5792" s="20"/>
    </row>
    <row r="5793" spans="38:38" x14ac:dyDescent="0.35">
      <c r="AL5793" s="20"/>
    </row>
    <row r="5794" spans="38:38" x14ac:dyDescent="0.35">
      <c r="AL5794" s="20"/>
    </row>
    <row r="5795" spans="38:38" x14ac:dyDescent="0.35">
      <c r="AL5795" s="20"/>
    </row>
    <row r="5796" spans="38:38" x14ac:dyDescent="0.35">
      <c r="AL5796" s="20"/>
    </row>
    <row r="5797" spans="38:38" x14ac:dyDescent="0.35">
      <c r="AL5797" s="20"/>
    </row>
    <row r="5798" spans="38:38" x14ac:dyDescent="0.35">
      <c r="AL5798" s="20"/>
    </row>
    <row r="5799" spans="38:38" x14ac:dyDescent="0.35">
      <c r="AL5799" s="20"/>
    </row>
    <row r="5800" spans="38:38" x14ac:dyDescent="0.35">
      <c r="AL5800" s="20"/>
    </row>
    <row r="5801" spans="38:38" x14ac:dyDescent="0.35">
      <c r="AL5801" s="20"/>
    </row>
    <row r="5802" spans="38:38" x14ac:dyDescent="0.35">
      <c r="AL5802" s="20"/>
    </row>
    <row r="5803" spans="38:38" x14ac:dyDescent="0.35">
      <c r="AL5803" s="20"/>
    </row>
    <row r="5804" spans="38:38" x14ac:dyDescent="0.35">
      <c r="AL5804" s="20"/>
    </row>
    <row r="5805" spans="38:38" x14ac:dyDescent="0.35">
      <c r="AL5805" s="20"/>
    </row>
    <row r="5806" spans="38:38" x14ac:dyDescent="0.35">
      <c r="AL5806" s="20"/>
    </row>
    <row r="5807" spans="38:38" x14ac:dyDescent="0.35">
      <c r="AL5807" s="20"/>
    </row>
    <row r="5808" spans="38:38" x14ac:dyDescent="0.35">
      <c r="AL5808" s="20"/>
    </row>
    <row r="5809" spans="38:38" x14ac:dyDescent="0.35">
      <c r="AL5809" s="20"/>
    </row>
    <row r="5810" spans="38:38" x14ac:dyDescent="0.35">
      <c r="AL5810" s="20"/>
    </row>
    <row r="5811" spans="38:38" x14ac:dyDescent="0.35">
      <c r="AL5811" s="20"/>
    </row>
    <row r="5812" spans="38:38" x14ac:dyDescent="0.35">
      <c r="AL5812" s="20"/>
    </row>
    <row r="5813" spans="38:38" x14ac:dyDescent="0.35">
      <c r="AL5813" s="20"/>
    </row>
    <row r="5814" spans="38:38" x14ac:dyDescent="0.35">
      <c r="AL5814" s="20"/>
    </row>
    <row r="5815" spans="38:38" x14ac:dyDescent="0.35">
      <c r="AL5815" s="20"/>
    </row>
    <row r="5816" spans="38:38" x14ac:dyDescent="0.35">
      <c r="AL5816" s="20"/>
    </row>
    <row r="5817" spans="38:38" x14ac:dyDescent="0.35">
      <c r="AL5817" s="20"/>
    </row>
    <row r="5818" spans="38:38" x14ac:dyDescent="0.35">
      <c r="AL5818" s="20"/>
    </row>
    <row r="5819" spans="38:38" x14ac:dyDescent="0.35">
      <c r="AL5819" s="20"/>
    </row>
    <row r="5820" spans="38:38" x14ac:dyDescent="0.35">
      <c r="AL5820" s="20"/>
    </row>
    <row r="5821" spans="38:38" x14ac:dyDescent="0.35">
      <c r="AL5821" s="20"/>
    </row>
    <row r="5822" spans="38:38" x14ac:dyDescent="0.35">
      <c r="AL5822" s="20"/>
    </row>
    <row r="5823" spans="38:38" x14ac:dyDescent="0.35">
      <c r="AL5823" s="20"/>
    </row>
    <row r="5824" spans="38:38" x14ac:dyDescent="0.35">
      <c r="AL5824" s="20"/>
    </row>
    <row r="5825" spans="38:38" x14ac:dyDescent="0.35">
      <c r="AL5825" s="20"/>
    </row>
    <row r="5826" spans="38:38" x14ac:dyDescent="0.35">
      <c r="AL5826" s="20"/>
    </row>
    <row r="5827" spans="38:38" x14ac:dyDescent="0.35">
      <c r="AL5827" s="20"/>
    </row>
    <row r="5828" spans="38:38" x14ac:dyDescent="0.35">
      <c r="AL5828" s="20"/>
    </row>
    <row r="5829" spans="38:38" x14ac:dyDescent="0.35">
      <c r="AL5829" s="20"/>
    </row>
    <row r="5830" spans="38:38" x14ac:dyDescent="0.35">
      <c r="AL5830" s="20"/>
    </row>
    <row r="5831" spans="38:38" x14ac:dyDescent="0.35">
      <c r="AL5831" s="20"/>
    </row>
    <row r="5832" spans="38:38" x14ac:dyDescent="0.35">
      <c r="AL5832" s="20"/>
    </row>
    <row r="5833" spans="38:38" x14ac:dyDescent="0.35">
      <c r="AL5833" s="20"/>
    </row>
    <row r="5834" spans="38:38" x14ac:dyDescent="0.35">
      <c r="AL5834" s="20"/>
    </row>
    <row r="5835" spans="38:38" x14ac:dyDescent="0.35">
      <c r="AL5835" s="20"/>
    </row>
    <row r="5836" spans="38:38" x14ac:dyDescent="0.35">
      <c r="AL5836" s="20"/>
    </row>
    <row r="5837" spans="38:38" x14ac:dyDescent="0.35">
      <c r="AL5837" s="20"/>
    </row>
    <row r="5838" spans="38:38" x14ac:dyDescent="0.35">
      <c r="AL5838" s="20"/>
    </row>
    <row r="5839" spans="38:38" x14ac:dyDescent="0.35">
      <c r="AL5839" s="20"/>
    </row>
    <row r="5840" spans="38:38" x14ac:dyDescent="0.35">
      <c r="AL5840" s="20"/>
    </row>
    <row r="5841" spans="38:38" x14ac:dyDescent="0.35">
      <c r="AL5841" s="20"/>
    </row>
    <row r="5842" spans="38:38" x14ac:dyDescent="0.35">
      <c r="AL5842" s="20"/>
    </row>
    <row r="5843" spans="38:38" x14ac:dyDescent="0.35">
      <c r="AL5843" s="20"/>
    </row>
    <row r="5844" spans="38:38" x14ac:dyDescent="0.35">
      <c r="AL5844" s="20"/>
    </row>
    <row r="5845" spans="38:38" x14ac:dyDescent="0.35">
      <c r="AL5845" s="20"/>
    </row>
    <row r="5846" spans="38:38" x14ac:dyDescent="0.35">
      <c r="AL5846" s="20"/>
    </row>
    <row r="5847" spans="38:38" x14ac:dyDescent="0.35">
      <c r="AL5847" s="20"/>
    </row>
    <row r="5848" spans="38:38" x14ac:dyDescent="0.35">
      <c r="AL5848" s="20"/>
    </row>
    <row r="5849" spans="38:38" x14ac:dyDescent="0.35">
      <c r="AL5849" s="20"/>
    </row>
    <row r="5850" spans="38:38" x14ac:dyDescent="0.35">
      <c r="AL5850" s="20"/>
    </row>
    <row r="5851" spans="38:38" x14ac:dyDescent="0.35">
      <c r="AL5851" s="20"/>
    </row>
    <row r="5852" spans="38:38" x14ac:dyDescent="0.35">
      <c r="AL5852" s="20"/>
    </row>
    <row r="5853" spans="38:38" x14ac:dyDescent="0.35">
      <c r="AL5853" s="20"/>
    </row>
    <row r="5854" spans="38:38" x14ac:dyDescent="0.35">
      <c r="AL5854" s="20"/>
    </row>
    <row r="5855" spans="38:38" x14ac:dyDescent="0.35">
      <c r="AL5855" s="20"/>
    </row>
    <row r="5856" spans="38:38" x14ac:dyDescent="0.35">
      <c r="AL5856" s="20"/>
    </row>
    <row r="5857" spans="38:38" x14ac:dyDescent="0.35">
      <c r="AL5857" s="20"/>
    </row>
    <row r="5858" spans="38:38" x14ac:dyDescent="0.35">
      <c r="AL5858" s="20"/>
    </row>
    <row r="5859" spans="38:38" x14ac:dyDescent="0.35">
      <c r="AL5859" s="20"/>
    </row>
    <row r="5860" spans="38:38" x14ac:dyDescent="0.35">
      <c r="AL5860" s="20"/>
    </row>
    <row r="5861" spans="38:38" x14ac:dyDescent="0.35">
      <c r="AL5861" s="20"/>
    </row>
    <row r="5862" spans="38:38" x14ac:dyDescent="0.35">
      <c r="AL5862" s="20"/>
    </row>
    <row r="5863" spans="38:38" x14ac:dyDescent="0.35">
      <c r="AL5863" s="20"/>
    </row>
    <row r="5864" spans="38:38" x14ac:dyDescent="0.35">
      <c r="AL5864" s="20"/>
    </row>
    <row r="5865" spans="38:38" x14ac:dyDescent="0.35">
      <c r="AL5865" s="20"/>
    </row>
    <row r="5866" spans="38:38" x14ac:dyDescent="0.35">
      <c r="AL5866" s="20"/>
    </row>
    <row r="5867" spans="38:38" x14ac:dyDescent="0.35">
      <c r="AL5867" s="20"/>
    </row>
    <row r="5868" spans="38:38" x14ac:dyDescent="0.35">
      <c r="AL5868" s="20"/>
    </row>
    <row r="5869" spans="38:38" x14ac:dyDescent="0.35">
      <c r="AL5869" s="20"/>
    </row>
    <row r="5870" spans="38:38" x14ac:dyDescent="0.35">
      <c r="AL5870" s="20"/>
    </row>
    <row r="5871" spans="38:38" x14ac:dyDescent="0.35">
      <c r="AL5871" s="20"/>
    </row>
    <row r="5872" spans="38:38" x14ac:dyDescent="0.35">
      <c r="AL5872" s="20"/>
    </row>
    <row r="5873" spans="38:38" x14ac:dyDescent="0.35">
      <c r="AL5873" s="20"/>
    </row>
    <row r="5874" spans="38:38" x14ac:dyDescent="0.35">
      <c r="AL5874" s="20"/>
    </row>
    <row r="5875" spans="38:38" x14ac:dyDescent="0.35">
      <c r="AL5875" s="20"/>
    </row>
    <row r="5876" spans="38:38" x14ac:dyDescent="0.35">
      <c r="AL5876" s="20"/>
    </row>
    <row r="5877" spans="38:38" x14ac:dyDescent="0.35">
      <c r="AL5877" s="20"/>
    </row>
    <row r="5878" spans="38:38" x14ac:dyDescent="0.35">
      <c r="AL5878" s="20"/>
    </row>
    <row r="5879" spans="38:38" x14ac:dyDescent="0.35">
      <c r="AL5879" s="20"/>
    </row>
    <row r="5880" spans="38:38" x14ac:dyDescent="0.35">
      <c r="AL5880" s="20"/>
    </row>
    <row r="5881" spans="38:38" x14ac:dyDescent="0.35">
      <c r="AL5881" s="20"/>
    </row>
    <row r="5882" spans="38:38" x14ac:dyDescent="0.35">
      <c r="AL5882" s="20"/>
    </row>
    <row r="5883" spans="38:38" x14ac:dyDescent="0.35">
      <c r="AL5883" s="20"/>
    </row>
    <row r="5884" spans="38:38" x14ac:dyDescent="0.35">
      <c r="AL5884" s="20"/>
    </row>
    <row r="5885" spans="38:38" x14ac:dyDescent="0.35">
      <c r="AL5885" s="20"/>
    </row>
    <row r="5886" spans="38:38" x14ac:dyDescent="0.35">
      <c r="AL5886" s="20"/>
    </row>
    <row r="5887" spans="38:38" x14ac:dyDescent="0.35">
      <c r="AL5887" s="20"/>
    </row>
    <row r="5888" spans="38:38" x14ac:dyDescent="0.35">
      <c r="AL5888" s="20"/>
    </row>
    <row r="5889" spans="38:38" x14ac:dyDescent="0.35">
      <c r="AL5889" s="20"/>
    </row>
    <row r="5890" spans="38:38" x14ac:dyDescent="0.35">
      <c r="AL5890" s="20"/>
    </row>
    <row r="5891" spans="38:38" x14ac:dyDescent="0.35">
      <c r="AL5891" s="20"/>
    </row>
    <row r="5892" spans="38:38" x14ac:dyDescent="0.35">
      <c r="AL5892" s="20"/>
    </row>
    <row r="5893" spans="38:38" x14ac:dyDescent="0.35">
      <c r="AL5893" s="20"/>
    </row>
    <row r="5894" spans="38:38" x14ac:dyDescent="0.35">
      <c r="AL5894" s="20"/>
    </row>
    <row r="5895" spans="38:38" x14ac:dyDescent="0.35">
      <c r="AL5895" s="20"/>
    </row>
    <row r="5896" spans="38:38" x14ac:dyDescent="0.35">
      <c r="AL5896" s="20"/>
    </row>
    <row r="5897" spans="38:38" x14ac:dyDescent="0.35">
      <c r="AL5897" s="20"/>
    </row>
    <row r="5898" spans="38:38" x14ac:dyDescent="0.35">
      <c r="AL5898" s="20"/>
    </row>
    <row r="5899" spans="38:38" x14ac:dyDescent="0.35">
      <c r="AL5899" s="20"/>
    </row>
    <row r="5900" spans="38:38" x14ac:dyDescent="0.35">
      <c r="AL5900" s="20"/>
    </row>
    <row r="5901" spans="38:38" x14ac:dyDescent="0.35">
      <c r="AL5901" s="20"/>
    </row>
    <row r="5902" spans="38:38" x14ac:dyDescent="0.35">
      <c r="AL5902" s="20"/>
    </row>
    <row r="5903" spans="38:38" x14ac:dyDescent="0.35">
      <c r="AL5903" s="20"/>
    </row>
    <row r="5904" spans="38:38" x14ac:dyDescent="0.35">
      <c r="AL5904" s="20"/>
    </row>
    <row r="5905" spans="38:38" x14ac:dyDescent="0.35">
      <c r="AL5905" s="20"/>
    </row>
    <row r="5906" spans="38:38" x14ac:dyDescent="0.35">
      <c r="AL5906" s="20"/>
    </row>
    <row r="5907" spans="38:38" x14ac:dyDescent="0.35">
      <c r="AL5907" s="20"/>
    </row>
    <row r="5908" spans="38:38" x14ac:dyDescent="0.35">
      <c r="AL5908" s="20"/>
    </row>
    <row r="5909" spans="38:38" x14ac:dyDescent="0.35">
      <c r="AL5909" s="20"/>
    </row>
    <row r="5910" spans="38:38" x14ac:dyDescent="0.35">
      <c r="AL5910" s="20"/>
    </row>
    <row r="5911" spans="38:38" x14ac:dyDescent="0.35">
      <c r="AL5911" s="20"/>
    </row>
    <row r="5912" spans="38:38" x14ac:dyDescent="0.35">
      <c r="AL5912" s="20"/>
    </row>
    <row r="5913" spans="38:38" x14ac:dyDescent="0.35">
      <c r="AL5913" s="20"/>
    </row>
    <row r="5914" spans="38:38" x14ac:dyDescent="0.35">
      <c r="AL5914" s="20"/>
    </row>
    <row r="5915" spans="38:38" x14ac:dyDescent="0.35">
      <c r="AL5915" s="20"/>
    </row>
    <row r="5916" spans="38:38" x14ac:dyDescent="0.35">
      <c r="AL5916" s="20"/>
    </row>
    <row r="5917" spans="38:38" x14ac:dyDescent="0.35">
      <c r="AL5917" s="20"/>
    </row>
    <row r="5918" spans="38:38" x14ac:dyDescent="0.35">
      <c r="AL5918" s="20"/>
    </row>
    <row r="5919" spans="38:38" x14ac:dyDescent="0.35">
      <c r="AL5919" s="20"/>
    </row>
    <row r="5920" spans="38:38" x14ac:dyDescent="0.35">
      <c r="AL5920" s="20"/>
    </row>
    <row r="5921" spans="38:38" x14ac:dyDescent="0.35">
      <c r="AL5921" s="20"/>
    </row>
    <row r="5922" spans="38:38" x14ac:dyDescent="0.35">
      <c r="AL5922" s="20"/>
    </row>
    <row r="5923" spans="38:38" x14ac:dyDescent="0.35">
      <c r="AL5923" s="20"/>
    </row>
    <row r="5924" spans="38:38" x14ac:dyDescent="0.35">
      <c r="AL5924" s="20"/>
    </row>
    <row r="5925" spans="38:38" x14ac:dyDescent="0.35">
      <c r="AL5925" s="20"/>
    </row>
    <row r="5926" spans="38:38" x14ac:dyDescent="0.35">
      <c r="AL5926" s="20"/>
    </row>
    <row r="5927" spans="38:38" x14ac:dyDescent="0.35">
      <c r="AL5927" s="20"/>
    </row>
    <row r="5928" spans="38:38" x14ac:dyDescent="0.35">
      <c r="AL5928" s="20"/>
    </row>
    <row r="5929" spans="38:38" x14ac:dyDescent="0.35">
      <c r="AL5929" s="20"/>
    </row>
    <row r="5930" spans="38:38" x14ac:dyDescent="0.35">
      <c r="AL5930" s="20"/>
    </row>
    <row r="5931" spans="38:38" x14ac:dyDescent="0.35">
      <c r="AL5931" s="20"/>
    </row>
    <row r="5932" spans="38:38" x14ac:dyDescent="0.35">
      <c r="AL5932" s="20"/>
    </row>
    <row r="5933" spans="38:38" x14ac:dyDescent="0.35">
      <c r="AL5933" s="20"/>
    </row>
    <row r="5934" spans="38:38" x14ac:dyDescent="0.35">
      <c r="AL5934" s="20"/>
    </row>
    <row r="5935" spans="38:38" x14ac:dyDescent="0.35">
      <c r="AL5935" s="20"/>
    </row>
    <row r="5936" spans="38:38" x14ac:dyDescent="0.35">
      <c r="AL5936" s="20"/>
    </row>
    <row r="5937" spans="38:38" x14ac:dyDescent="0.35">
      <c r="AL5937" s="20"/>
    </row>
    <row r="5938" spans="38:38" x14ac:dyDescent="0.35">
      <c r="AL5938" s="20"/>
    </row>
    <row r="5939" spans="38:38" x14ac:dyDescent="0.35">
      <c r="AL5939" s="20"/>
    </row>
    <row r="5940" spans="38:38" x14ac:dyDescent="0.35">
      <c r="AL5940" s="20"/>
    </row>
    <row r="5941" spans="38:38" x14ac:dyDescent="0.35">
      <c r="AL5941" s="20"/>
    </row>
    <row r="5942" spans="38:38" x14ac:dyDescent="0.35">
      <c r="AL5942" s="20"/>
    </row>
    <row r="5943" spans="38:38" x14ac:dyDescent="0.35">
      <c r="AL5943" s="20"/>
    </row>
    <row r="5944" spans="38:38" x14ac:dyDescent="0.35">
      <c r="AL5944" s="20"/>
    </row>
    <row r="5945" spans="38:38" x14ac:dyDescent="0.35">
      <c r="AL5945" s="20"/>
    </row>
    <row r="5946" spans="38:38" x14ac:dyDescent="0.35">
      <c r="AL5946" s="20"/>
    </row>
    <row r="5947" spans="38:38" x14ac:dyDescent="0.35">
      <c r="AL5947" s="20"/>
    </row>
    <row r="5948" spans="38:38" x14ac:dyDescent="0.35">
      <c r="AL5948" s="20"/>
    </row>
    <row r="5949" spans="38:38" x14ac:dyDescent="0.35">
      <c r="AL5949" s="20"/>
    </row>
    <row r="5950" spans="38:38" x14ac:dyDescent="0.35">
      <c r="AL5950" s="20"/>
    </row>
    <row r="5951" spans="38:38" x14ac:dyDescent="0.35">
      <c r="AL5951" s="20"/>
    </row>
    <row r="5952" spans="38:38" x14ac:dyDescent="0.35">
      <c r="AL5952" s="20"/>
    </row>
    <row r="5953" spans="38:38" x14ac:dyDescent="0.35">
      <c r="AL5953" s="20"/>
    </row>
    <row r="5954" spans="38:38" x14ac:dyDescent="0.35">
      <c r="AL5954" s="20"/>
    </row>
    <row r="5955" spans="38:38" x14ac:dyDescent="0.35">
      <c r="AL5955" s="20"/>
    </row>
    <row r="5956" spans="38:38" x14ac:dyDescent="0.35">
      <c r="AL5956" s="20"/>
    </row>
    <row r="5957" spans="38:38" x14ac:dyDescent="0.35">
      <c r="AL5957" s="20"/>
    </row>
    <row r="5958" spans="38:38" x14ac:dyDescent="0.35">
      <c r="AL5958" s="20"/>
    </row>
    <row r="5959" spans="38:38" x14ac:dyDescent="0.35">
      <c r="AL5959" s="20"/>
    </row>
    <row r="5960" spans="38:38" x14ac:dyDescent="0.35">
      <c r="AL5960" s="20"/>
    </row>
    <row r="5961" spans="38:38" x14ac:dyDescent="0.35">
      <c r="AL5961" s="20"/>
    </row>
    <row r="5962" spans="38:38" x14ac:dyDescent="0.35">
      <c r="AL5962" s="20"/>
    </row>
    <row r="5963" spans="38:38" x14ac:dyDescent="0.35">
      <c r="AL5963" s="20"/>
    </row>
    <row r="5964" spans="38:38" x14ac:dyDescent="0.35">
      <c r="AL5964" s="20"/>
    </row>
    <row r="5965" spans="38:38" x14ac:dyDescent="0.35">
      <c r="AL5965" s="20"/>
    </row>
    <row r="5966" spans="38:38" x14ac:dyDescent="0.35">
      <c r="AL5966" s="20"/>
    </row>
    <row r="5967" spans="38:38" x14ac:dyDescent="0.35">
      <c r="AL5967" s="20"/>
    </row>
    <row r="5968" spans="38:38" x14ac:dyDescent="0.35">
      <c r="AL5968" s="20"/>
    </row>
    <row r="5969" spans="38:38" x14ac:dyDescent="0.35">
      <c r="AL5969" s="20"/>
    </row>
    <row r="5970" spans="38:38" x14ac:dyDescent="0.35">
      <c r="AL5970" s="20"/>
    </row>
    <row r="5971" spans="38:38" x14ac:dyDescent="0.35">
      <c r="AL5971" s="20"/>
    </row>
    <row r="5972" spans="38:38" x14ac:dyDescent="0.35">
      <c r="AL5972" s="20"/>
    </row>
    <row r="5973" spans="38:38" x14ac:dyDescent="0.35">
      <c r="AL5973" s="20"/>
    </row>
    <row r="5974" spans="38:38" x14ac:dyDescent="0.35">
      <c r="AL5974" s="20"/>
    </row>
    <row r="5975" spans="38:38" x14ac:dyDescent="0.35">
      <c r="AL5975" s="20"/>
    </row>
    <row r="5976" spans="38:38" x14ac:dyDescent="0.35">
      <c r="AL5976" s="20"/>
    </row>
    <row r="5977" spans="38:38" x14ac:dyDescent="0.35">
      <c r="AL5977" s="20"/>
    </row>
    <row r="5978" spans="38:38" x14ac:dyDescent="0.35">
      <c r="AL5978" s="20"/>
    </row>
    <row r="5979" spans="38:38" x14ac:dyDescent="0.35">
      <c r="AL5979" s="20"/>
    </row>
    <row r="5980" spans="38:38" x14ac:dyDescent="0.35">
      <c r="AL5980" s="20"/>
    </row>
    <row r="5981" spans="38:38" x14ac:dyDescent="0.35">
      <c r="AL5981" s="20"/>
    </row>
    <row r="5982" spans="38:38" x14ac:dyDescent="0.35">
      <c r="AL5982" s="20"/>
    </row>
    <row r="5983" spans="38:38" x14ac:dyDescent="0.35">
      <c r="AL5983" s="20"/>
    </row>
    <row r="5984" spans="38:38" x14ac:dyDescent="0.35">
      <c r="AL5984" s="20"/>
    </row>
    <row r="5985" spans="38:38" x14ac:dyDescent="0.35">
      <c r="AL5985" s="20"/>
    </row>
    <row r="5986" spans="38:38" x14ac:dyDescent="0.35">
      <c r="AL5986" s="20"/>
    </row>
    <row r="5987" spans="38:38" x14ac:dyDescent="0.35">
      <c r="AL5987" s="20"/>
    </row>
    <row r="5988" spans="38:38" x14ac:dyDescent="0.35">
      <c r="AL5988" s="20"/>
    </row>
    <row r="5989" spans="38:38" x14ac:dyDescent="0.35">
      <c r="AL5989" s="20"/>
    </row>
    <row r="5990" spans="38:38" x14ac:dyDescent="0.35">
      <c r="AL5990" s="20"/>
    </row>
    <row r="5991" spans="38:38" x14ac:dyDescent="0.35">
      <c r="AL5991" s="20"/>
    </row>
    <row r="5992" spans="38:38" x14ac:dyDescent="0.35">
      <c r="AL5992" s="20"/>
    </row>
    <row r="5993" spans="38:38" x14ac:dyDescent="0.35">
      <c r="AL5993" s="20"/>
    </row>
    <row r="5994" spans="38:38" x14ac:dyDescent="0.35">
      <c r="AL5994" s="20"/>
    </row>
    <row r="5995" spans="38:38" x14ac:dyDescent="0.35">
      <c r="AL5995" s="20"/>
    </row>
    <row r="5996" spans="38:38" x14ac:dyDescent="0.35">
      <c r="AL5996" s="20"/>
    </row>
    <row r="5997" spans="38:38" x14ac:dyDescent="0.35">
      <c r="AL5997" s="20"/>
    </row>
    <row r="5998" spans="38:38" x14ac:dyDescent="0.35">
      <c r="AL5998" s="20"/>
    </row>
    <row r="5999" spans="38:38" x14ac:dyDescent="0.35">
      <c r="AL5999" s="20"/>
    </row>
    <row r="6000" spans="38:38" x14ac:dyDescent="0.35">
      <c r="AL6000" s="20"/>
    </row>
    <row r="6001" spans="38:38" x14ac:dyDescent="0.35">
      <c r="AL6001" s="20"/>
    </row>
    <row r="6002" spans="38:38" x14ac:dyDescent="0.35">
      <c r="AL6002" s="20"/>
    </row>
    <row r="6003" spans="38:38" x14ac:dyDescent="0.35">
      <c r="AL6003" s="20"/>
    </row>
    <row r="6004" spans="38:38" x14ac:dyDescent="0.35">
      <c r="AL6004" s="20"/>
    </row>
    <row r="6005" spans="38:38" x14ac:dyDescent="0.35">
      <c r="AL6005" s="20"/>
    </row>
    <row r="6006" spans="38:38" x14ac:dyDescent="0.35">
      <c r="AL6006" s="20"/>
    </row>
    <row r="6007" spans="38:38" x14ac:dyDescent="0.35">
      <c r="AL6007" s="20"/>
    </row>
    <row r="6008" spans="38:38" x14ac:dyDescent="0.35">
      <c r="AL6008" s="20"/>
    </row>
    <row r="6009" spans="38:38" x14ac:dyDescent="0.35">
      <c r="AL6009" s="20"/>
    </row>
    <row r="6010" spans="38:38" x14ac:dyDescent="0.35">
      <c r="AL6010" s="20"/>
    </row>
    <row r="6011" spans="38:38" x14ac:dyDescent="0.35">
      <c r="AL6011" s="20"/>
    </row>
    <row r="6012" spans="38:38" x14ac:dyDescent="0.35">
      <c r="AL6012" s="20"/>
    </row>
    <row r="6013" spans="38:38" x14ac:dyDescent="0.35">
      <c r="AL6013" s="20"/>
    </row>
    <row r="6014" spans="38:38" x14ac:dyDescent="0.35">
      <c r="AL6014" s="20"/>
    </row>
    <row r="6015" spans="38:38" x14ac:dyDescent="0.35">
      <c r="AL6015" s="20"/>
    </row>
    <row r="6016" spans="38:38" x14ac:dyDescent="0.35">
      <c r="AL6016" s="20"/>
    </row>
    <row r="6017" spans="38:38" x14ac:dyDescent="0.35">
      <c r="AL6017" s="20"/>
    </row>
    <row r="6018" spans="38:38" x14ac:dyDescent="0.35">
      <c r="AL6018" s="20"/>
    </row>
    <row r="6019" spans="38:38" x14ac:dyDescent="0.35">
      <c r="AL6019" s="20"/>
    </row>
    <row r="6020" spans="38:38" x14ac:dyDescent="0.35">
      <c r="AL6020" s="20"/>
    </row>
    <row r="6021" spans="38:38" x14ac:dyDescent="0.35">
      <c r="AL6021" s="20"/>
    </row>
    <row r="6022" spans="38:38" x14ac:dyDescent="0.35">
      <c r="AL6022" s="20"/>
    </row>
    <row r="6023" spans="38:38" x14ac:dyDescent="0.35">
      <c r="AL6023" s="20"/>
    </row>
    <row r="6024" spans="38:38" x14ac:dyDescent="0.35">
      <c r="AL6024" s="20"/>
    </row>
    <row r="6025" spans="38:38" x14ac:dyDescent="0.35">
      <c r="AL6025" s="20"/>
    </row>
    <row r="6026" spans="38:38" x14ac:dyDescent="0.35">
      <c r="AL6026" s="20"/>
    </row>
    <row r="6027" spans="38:38" x14ac:dyDescent="0.35">
      <c r="AL6027" s="20"/>
    </row>
    <row r="6028" spans="38:38" x14ac:dyDescent="0.35">
      <c r="AL6028" s="20"/>
    </row>
    <row r="6029" spans="38:38" x14ac:dyDescent="0.35">
      <c r="AL6029" s="20"/>
    </row>
    <row r="6030" spans="38:38" x14ac:dyDescent="0.35">
      <c r="AL6030" s="20"/>
    </row>
    <row r="6031" spans="38:38" x14ac:dyDescent="0.35">
      <c r="AL6031" s="20"/>
    </row>
    <row r="6032" spans="38:38" x14ac:dyDescent="0.35">
      <c r="AL6032" s="20"/>
    </row>
    <row r="6033" spans="38:38" x14ac:dyDescent="0.35">
      <c r="AL6033" s="20"/>
    </row>
    <row r="6034" spans="38:38" x14ac:dyDescent="0.35">
      <c r="AL6034" s="20"/>
    </row>
    <row r="6035" spans="38:38" x14ac:dyDescent="0.35">
      <c r="AL6035" s="20"/>
    </row>
    <row r="6036" spans="38:38" x14ac:dyDescent="0.35">
      <c r="AL6036" s="20"/>
    </row>
    <row r="6037" spans="38:38" x14ac:dyDescent="0.35">
      <c r="AL6037" s="20"/>
    </row>
    <row r="6038" spans="38:38" x14ac:dyDescent="0.35">
      <c r="AL6038" s="20"/>
    </row>
    <row r="6039" spans="38:38" x14ac:dyDescent="0.35">
      <c r="AL6039" s="20"/>
    </row>
    <row r="6040" spans="38:38" x14ac:dyDescent="0.35">
      <c r="AL6040" s="20"/>
    </row>
    <row r="6041" spans="38:38" x14ac:dyDescent="0.35">
      <c r="AL6041" s="20"/>
    </row>
    <row r="6042" spans="38:38" x14ac:dyDescent="0.35">
      <c r="AL6042" s="20"/>
    </row>
    <row r="6043" spans="38:38" x14ac:dyDescent="0.35">
      <c r="AL6043" s="20"/>
    </row>
    <row r="6044" spans="38:38" x14ac:dyDescent="0.35">
      <c r="AL6044" s="20"/>
    </row>
    <row r="6045" spans="38:38" x14ac:dyDescent="0.35">
      <c r="AL6045" s="20"/>
    </row>
    <row r="6046" spans="38:38" x14ac:dyDescent="0.35">
      <c r="AL6046" s="20"/>
    </row>
    <row r="6047" spans="38:38" x14ac:dyDescent="0.35">
      <c r="AL6047" s="20"/>
    </row>
    <row r="6048" spans="38:38" x14ac:dyDescent="0.35">
      <c r="AL6048" s="20"/>
    </row>
    <row r="6049" spans="38:38" x14ac:dyDescent="0.35">
      <c r="AL6049" s="20"/>
    </row>
    <row r="6050" spans="38:38" x14ac:dyDescent="0.35">
      <c r="AL6050" s="20"/>
    </row>
    <row r="6051" spans="38:38" x14ac:dyDescent="0.35">
      <c r="AL6051" s="20"/>
    </row>
    <row r="6052" spans="38:38" x14ac:dyDescent="0.35">
      <c r="AL6052" s="20"/>
    </row>
    <row r="6053" spans="38:38" x14ac:dyDescent="0.35">
      <c r="AL6053" s="20"/>
    </row>
    <row r="6054" spans="38:38" x14ac:dyDescent="0.35">
      <c r="AL6054" s="20"/>
    </row>
    <row r="6055" spans="38:38" x14ac:dyDescent="0.35">
      <c r="AL6055" s="20"/>
    </row>
    <row r="6056" spans="38:38" x14ac:dyDescent="0.35">
      <c r="AL6056" s="20"/>
    </row>
    <row r="6057" spans="38:38" x14ac:dyDescent="0.35">
      <c r="AL6057" s="20"/>
    </row>
    <row r="6058" spans="38:38" x14ac:dyDescent="0.35">
      <c r="AL6058" s="20"/>
    </row>
    <row r="6059" spans="38:38" x14ac:dyDescent="0.35">
      <c r="AL6059" s="20"/>
    </row>
    <row r="6060" spans="38:38" x14ac:dyDescent="0.35">
      <c r="AL6060" s="20"/>
    </row>
    <row r="6061" spans="38:38" x14ac:dyDescent="0.35">
      <c r="AL6061" s="20"/>
    </row>
    <row r="6062" spans="38:38" x14ac:dyDescent="0.35">
      <c r="AL6062" s="20"/>
    </row>
    <row r="6063" spans="38:38" x14ac:dyDescent="0.35">
      <c r="AL6063" s="20"/>
    </row>
    <row r="6064" spans="38:38" x14ac:dyDescent="0.35">
      <c r="AL6064" s="20"/>
    </row>
    <row r="6065" spans="38:38" x14ac:dyDescent="0.35">
      <c r="AL6065" s="20"/>
    </row>
    <row r="6066" spans="38:38" x14ac:dyDescent="0.35">
      <c r="AL6066" s="20"/>
    </row>
    <row r="6067" spans="38:38" x14ac:dyDescent="0.35">
      <c r="AL6067" s="20"/>
    </row>
    <row r="6068" spans="38:38" x14ac:dyDescent="0.35">
      <c r="AL6068" s="20"/>
    </row>
    <row r="6069" spans="38:38" x14ac:dyDescent="0.35">
      <c r="AL6069" s="20"/>
    </row>
    <row r="6070" spans="38:38" x14ac:dyDescent="0.35">
      <c r="AL6070" s="20"/>
    </row>
    <row r="6071" spans="38:38" x14ac:dyDescent="0.35">
      <c r="AL6071" s="20"/>
    </row>
    <row r="6072" spans="38:38" x14ac:dyDescent="0.35">
      <c r="AL6072" s="20"/>
    </row>
    <row r="6073" spans="38:38" x14ac:dyDescent="0.35">
      <c r="AL6073" s="20"/>
    </row>
    <row r="6074" spans="38:38" x14ac:dyDescent="0.35">
      <c r="AL6074" s="20"/>
    </row>
    <row r="6075" spans="38:38" x14ac:dyDescent="0.35">
      <c r="AL6075" s="20"/>
    </row>
    <row r="6076" spans="38:38" x14ac:dyDescent="0.35">
      <c r="AL6076" s="20"/>
    </row>
    <row r="6077" spans="38:38" x14ac:dyDescent="0.35">
      <c r="AL6077" s="20"/>
    </row>
    <row r="6078" spans="38:38" x14ac:dyDescent="0.35">
      <c r="AL6078" s="20"/>
    </row>
    <row r="6079" spans="38:38" x14ac:dyDescent="0.35">
      <c r="AL6079" s="20"/>
    </row>
    <row r="6080" spans="38:38" x14ac:dyDescent="0.35">
      <c r="AL6080" s="20"/>
    </row>
    <row r="6081" spans="38:38" x14ac:dyDescent="0.35">
      <c r="AL6081" s="20"/>
    </row>
    <row r="6082" spans="38:38" x14ac:dyDescent="0.35">
      <c r="AL6082" s="20"/>
    </row>
    <row r="6083" spans="38:38" x14ac:dyDescent="0.35">
      <c r="AL6083" s="20"/>
    </row>
    <row r="6084" spans="38:38" x14ac:dyDescent="0.35">
      <c r="AL6084" s="20"/>
    </row>
    <row r="6085" spans="38:38" x14ac:dyDescent="0.35">
      <c r="AL6085" s="20"/>
    </row>
    <row r="6086" spans="38:38" x14ac:dyDescent="0.35">
      <c r="AL6086" s="20"/>
    </row>
    <row r="6087" spans="38:38" x14ac:dyDescent="0.35">
      <c r="AL6087" s="20"/>
    </row>
    <row r="6088" spans="38:38" x14ac:dyDescent="0.35">
      <c r="AL6088" s="20"/>
    </row>
    <row r="6089" spans="38:38" x14ac:dyDescent="0.35">
      <c r="AL6089" s="20"/>
    </row>
    <row r="6090" spans="38:38" x14ac:dyDescent="0.35">
      <c r="AL6090" s="20"/>
    </row>
    <row r="6091" spans="38:38" x14ac:dyDescent="0.35">
      <c r="AL6091" s="20"/>
    </row>
    <row r="6092" spans="38:38" x14ac:dyDescent="0.35">
      <c r="AL6092" s="20"/>
    </row>
    <row r="6093" spans="38:38" x14ac:dyDescent="0.35">
      <c r="AL6093" s="20"/>
    </row>
    <row r="6094" spans="38:38" x14ac:dyDescent="0.35">
      <c r="AL6094" s="20"/>
    </row>
    <row r="6095" spans="38:38" x14ac:dyDescent="0.35">
      <c r="AL6095" s="20"/>
    </row>
    <row r="6096" spans="38:38" x14ac:dyDescent="0.35">
      <c r="AL6096" s="20"/>
    </row>
    <row r="6097" spans="38:38" x14ac:dyDescent="0.35">
      <c r="AL6097" s="20"/>
    </row>
    <row r="6098" spans="38:38" x14ac:dyDescent="0.35">
      <c r="AL6098" s="20"/>
    </row>
    <row r="6099" spans="38:38" x14ac:dyDescent="0.35">
      <c r="AL6099" s="20"/>
    </row>
    <row r="6100" spans="38:38" x14ac:dyDescent="0.35">
      <c r="AL6100" s="20"/>
    </row>
    <row r="6101" spans="38:38" x14ac:dyDescent="0.35">
      <c r="AL6101" s="20"/>
    </row>
    <row r="6102" spans="38:38" x14ac:dyDescent="0.35">
      <c r="AL6102" s="20"/>
    </row>
    <row r="6103" spans="38:38" x14ac:dyDescent="0.35">
      <c r="AL6103" s="20"/>
    </row>
    <row r="6104" spans="38:38" x14ac:dyDescent="0.35">
      <c r="AL6104" s="20"/>
    </row>
    <row r="6105" spans="38:38" x14ac:dyDescent="0.35">
      <c r="AL6105" s="20"/>
    </row>
    <row r="6106" spans="38:38" x14ac:dyDescent="0.35">
      <c r="AL6106" s="20"/>
    </row>
    <row r="6107" spans="38:38" x14ac:dyDescent="0.35">
      <c r="AL6107" s="20"/>
    </row>
    <row r="6108" spans="38:38" x14ac:dyDescent="0.35">
      <c r="AL6108" s="20"/>
    </row>
    <row r="6109" spans="38:38" x14ac:dyDescent="0.35">
      <c r="AL6109" s="20"/>
    </row>
    <row r="6110" spans="38:38" x14ac:dyDescent="0.35">
      <c r="AL6110" s="20"/>
    </row>
    <row r="6111" spans="38:38" x14ac:dyDescent="0.35">
      <c r="AL6111" s="20"/>
    </row>
    <row r="6112" spans="38:38" x14ac:dyDescent="0.35">
      <c r="AL6112" s="20"/>
    </row>
    <row r="6113" spans="38:38" x14ac:dyDescent="0.35">
      <c r="AL6113" s="20"/>
    </row>
    <row r="6114" spans="38:38" x14ac:dyDescent="0.35">
      <c r="AL6114" s="20"/>
    </row>
    <row r="6115" spans="38:38" x14ac:dyDescent="0.35">
      <c r="AL6115" s="20"/>
    </row>
    <row r="6116" spans="38:38" x14ac:dyDescent="0.35">
      <c r="AL6116" s="20"/>
    </row>
    <row r="6117" spans="38:38" x14ac:dyDescent="0.35">
      <c r="AL6117" s="20"/>
    </row>
    <row r="6118" spans="38:38" x14ac:dyDescent="0.35">
      <c r="AL6118" s="20"/>
    </row>
    <row r="6119" spans="38:38" x14ac:dyDescent="0.35">
      <c r="AL6119" s="20"/>
    </row>
    <row r="6120" spans="38:38" x14ac:dyDescent="0.35">
      <c r="AL6120" s="20"/>
    </row>
    <row r="6121" spans="38:38" x14ac:dyDescent="0.35">
      <c r="AL6121" s="20"/>
    </row>
    <row r="6122" spans="38:38" x14ac:dyDescent="0.35">
      <c r="AL6122" s="20"/>
    </row>
    <row r="6123" spans="38:38" x14ac:dyDescent="0.35">
      <c r="AL6123" s="20"/>
    </row>
    <row r="6124" spans="38:38" x14ac:dyDescent="0.35">
      <c r="AL6124" s="20"/>
    </row>
    <row r="6125" spans="38:38" x14ac:dyDescent="0.35">
      <c r="AL6125" s="20"/>
    </row>
    <row r="6126" spans="38:38" x14ac:dyDescent="0.35">
      <c r="AL6126" s="20"/>
    </row>
    <row r="6127" spans="38:38" x14ac:dyDescent="0.35">
      <c r="AL6127" s="20"/>
    </row>
    <row r="6128" spans="38:38" x14ac:dyDescent="0.35">
      <c r="AL6128" s="20"/>
    </row>
    <row r="6129" spans="38:38" x14ac:dyDescent="0.35">
      <c r="AL6129" s="20"/>
    </row>
    <row r="6130" spans="38:38" x14ac:dyDescent="0.35">
      <c r="AL6130" s="20"/>
    </row>
    <row r="6131" spans="38:38" x14ac:dyDescent="0.35">
      <c r="AL6131" s="20"/>
    </row>
    <row r="6132" spans="38:38" x14ac:dyDescent="0.35">
      <c r="AL6132" s="20"/>
    </row>
    <row r="6133" spans="38:38" x14ac:dyDescent="0.35">
      <c r="AL6133" s="20"/>
    </row>
    <row r="6134" spans="38:38" x14ac:dyDescent="0.35">
      <c r="AL6134" s="20"/>
    </row>
    <row r="6135" spans="38:38" x14ac:dyDescent="0.35">
      <c r="AL6135" s="20"/>
    </row>
    <row r="6136" spans="38:38" x14ac:dyDescent="0.35">
      <c r="AL6136" s="20"/>
    </row>
    <row r="6137" spans="38:38" x14ac:dyDescent="0.35">
      <c r="AL6137" s="20"/>
    </row>
    <row r="6138" spans="38:38" x14ac:dyDescent="0.35">
      <c r="AL6138" s="20"/>
    </row>
    <row r="6139" spans="38:38" x14ac:dyDescent="0.35">
      <c r="AL6139" s="20"/>
    </row>
    <row r="6140" spans="38:38" x14ac:dyDescent="0.35">
      <c r="AL6140" s="20"/>
    </row>
    <row r="6141" spans="38:38" x14ac:dyDescent="0.35">
      <c r="AL6141" s="20"/>
    </row>
    <row r="6142" spans="38:38" x14ac:dyDescent="0.35">
      <c r="AL6142" s="20"/>
    </row>
    <row r="6143" spans="38:38" x14ac:dyDescent="0.35">
      <c r="AL6143" s="20"/>
    </row>
    <row r="6144" spans="38:38" x14ac:dyDescent="0.35">
      <c r="AL6144" s="20"/>
    </row>
    <row r="6145" spans="38:38" x14ac:dyDescent="0.35">
      <c r="AL6145" s="20"/>
    </row>
    <row r="6146" spans="38:38" x14ac:dyDescent="0.35">
      <c r="AL6146" s="20"/>
    </row>
    <row r="6147" spans="38:38" x14ac:dyDescent="0.35">
      <c r="AL6147" s="20"/>
    </row>
    <row r="6148" spans="38:38" x14ac:dyDescent="0.35">
      <c r="AL6148" s="20"/>
    </row>
    <row r="6149" spans="38:38" x14ac:dyDescent="0.35">
      <c r="AL6149" s="20"/>
    </row>
    <row r="6150" spans="38:38" x14ac:dyDescent="0.35">
      <c r="AL6150" s="20"/>
    </row>
    <row r="6151" spans="38:38" x14ac:dyDescent="0.35">
      <c r="AL6151" s="20"/>
    </row>
    <row r="6152" spans="38:38" x14ac:dyDescent="0.35">
      <c r="AL6152" s="20"/>
    </row>
    <row r="6153" spans="38:38" x14ac:dyDescent="0.35">
      <c r="AL6153" s="20"/>
    </row>
    <row r="6154" spans="38:38" x14ac:dyDescent="0.35">
      <c r="AL6154" s="20"/>
    </row>
    <row r="6155" spans="38:38" x14ac:dyDescent="0.35">
      <c r="AL6155" s="20"/>
    </row>
    <row r="6156" spans="38:38" x14ac:dyDescent="0.35">
      <c r="AL6156" s="20"/>
    </row>
    <row r="6157" spans="38:38" x14ac:dyDescent="0.35">
      <c r="AL6157" s="20"/>
    </row>
    <row r="6158" spans="38:38" x14ac:dyDescent="0.35">
      <c r="AL6158" s="20"/>
    </row>
    <row r="6159" spans="38:38" x14ac:dyDescent="0.35">
      <c r="AL6159" s="20"/>
    </row>
    <row r="6160" spans="38:38" x14ac:dyDescent="0.35">
      <c r="AL6160" s="20"/>
    </row>
    <row r="6161" spans="38:38" x14ac:dyDescent="0.35">
      <c r="AL6161" s="20"/>
    </row>
    <row r="6162" spans="38:38" x14ac:dyDescent="0.35">
      <c r="AL6162" s="20"/>
    </row>
    <row r="6163" spans="38:38" x14ac:dyDescent="0.35">
      <c r="AL6163" s="20"/>
    </row>
    <row r="6164" spans="38:38" x14ac:dyDescent="0.35">
      <c r="AL6164" s="20"/>
    </row>
    <row r="6165" spans="38:38" x14ac:dyDescent="0.35">
      <c r="AL6165" s="20"/>
    </row>
    <row r="6166" spans="38:38" x14ac:dyDescent="0.35">
      <c r="AL6166" s="20"/>
    </row>
    <row r="6167" spans="38:38" x14ac:dyDescent="0.35">
      <c r="AL6167" s="20"/>
    </row>
    <row r="6168" spans="38:38" x14ac:dyDescent="0.35">
      <c r="AL6168" s="20"/>
    </row>
    <row r="6169" spans="38:38" x14ac:dyDescent="0.35">
      <c r="AL6169" s="20"/>
    </row>
    <row r="6170" spans="38:38" x14ac:dyDescent="0.35">
      <c r="AL6170" s="20"/>
    </row>
    <row r="6171" spans="38:38" x14ac:dyDescent="0.35">
      <c r="AL6171" s="20"/>
    </row>
    <row r="6172" spans="38:38" x14ac:dyDescent="0.35">
      <c r="AL6172" s="20"/>
    </row>
    <row r="6173" spans="38:38" x14ac:dyDescent="0.35">
      <c r="AL6173" s="20"/>
    </row>
    <row r="6174" spans="38:38" x14ac:dyDescent="0.35">
      <c r="AL6174" s="20"/>
    </row>
    <row r="6175" spans="38:38" x14ac:dyDescent="0.35">
      <c r="AL6175" s="20"/>
    </row>
    <row r="6176" spans="38:38" x14ac:dyDescent="0.35">
      <c r="AL6176" s="20"/>
    </row>
    <row r="6177" spans="38:38" x14ac:dyDescent="0.35">
      <c r="AL6177" s="20"/>
    </row>
    <row r="6178" spans="38:38" x14ac:dyDescent="0.35">
      <c r="AL6178" s="20"/>
    </row>
    <row r="6179" spans="38:38" x14ac:dyDescent="0.35">
      <c r="AL6179" s="20"/>
    </row>
    <row r="6180" spans="38:38" x14ac:dyDescent="0.35">
      <c r="AL6180" s="20"/>
    </row>
    <row r="6181" spans="38:38" x14ac:dyDescent="0.35">
      <c r="AL6181" s="20"/>
    </row>
    <row r="6182" spans="38:38" x14ac:dyDescent="0.35">
      <c r="AL6182" s="20"/>
    </row>
    <row r="6183" spans="38:38" x14ac:dyDescent="0.35">
      <c r="AL6183" s="20"/>
    </row>
    <row r="6184" spans="38:38" x14ac:dyDescent="0.35">
      <c r="AL6184" s="20"/>
    </row>
    <row r="6185" spans="38:38" x14ac:dyDescent="0.35">
      <c r="AL6185" s="20"/>
    </row>
    <row r="6186" spans="38:38" x14ac:dyDescent="0.35">
      <c r="AL6186" s="20"/>
    </row>
    <row r="6187" spans="38:38" x14ac:dyDescent="0.35">
      <c r="AL6187" s="20"/>
    </row>
    <row r="6188" spans="38:38" x14ac:dyDescent="0.35">
      <c r="AL6188" s="20"/>
    </row>
    <row r="6189" spans="38:38" x14ac:dyDescent="0.35">
      <c r="AL6189" s="20"/>
    </row>
    <row r="6190" spans="38:38" x14ac:dyDescent="0.35">
      <c r="AL6190" s="20"/>
    </row>
    <row r="6191" spans="38:38" x14ac:dyDescent="0.35">
      <c r="AL6191" s="20"/>
    </row>
    <row r="6192" spans="38:38" x14ac:dyDescent="0.35">
      <c r="AL6192" s="20"/>
    </row>
    <row r="6193" spans="38:38" x14ac:dyDescent="0.35">
      <c r="AL6193" s="20"/>
    </row>
    <row r="6194" spans="38:38" x14ac:dyDescent="0.35">
      <c r="AL6194" s="20"/>
    </row>
    <row r="6195" spans="38:38" x14ac:dyDescent="0.35">
      <c r="AL6195" s="20"/>
    </row>
    <row r="6196" spans="38:38" x14ac:dyDescent="0.35">
      <c r="AL6196" s="20"/>
    </row>
    <row r="6197" spans="38:38" x14ac:dyDescent="0.35">
      <c r="AL6197" s="20"/>
    </row>
    <row r="6198" spans="38:38" x14ac:dyDescent="0.35">
      <c r="AL6198" s="20"/>
    </row>
    <row r="6199" spans="38:38" x14ac:dyDescent="0.35">
      <c r="AL6199" s="20"/>
    </row>
    <row r="6200" spans="38:38" x14ac:dyDescent="0.35">
      <c r="AL6200" s="20"/>
    </row>
    <row r="6201" spans="38:38" x14ac:dyDescent="0.35">
      <c r="AL6201" s="20"/>
    </row>
    <row r="6202" spans="38:38" x14ac:dyDescent="0.35">
      <c r="AL6202" s="20"/>
    </row>
    <row r="6203" spans="38:38" x14ac:dyDescent="0.35">
      <c r="AL6203" s="20"/>
    </row>
    <row r="6204" spans="38:38" x14ac:dyDescent="0.35">
      <c r="AL6204" s="20"/>
    </row>
    <row r="6205" spans="38:38" x14ac:dyDescent="0.35">
      <c r="AL6205" s="20"/>
    </row>
    <row r="6206" spans="38:38" x14ac:dyDescent="0.35">
      <c r="AL6206" s="20"/>
    </row>
    <row r="6207" spans="38:38" x14ac:dyDescent="0.35">
      <c r="AL6207" s="20"/>
    </row>
    <row r="6208" spans="38:38" x14ac:dyDescent="0.35">
      <c r="AL6208" s="20"/>
    </row>
    <row r="6209" spans="38:38" x14ac:dyDescent="0.35">
      <c r="AL6209" s="20"/>
    </row>
    <row r="6210" spans="38:38" x14ac:dyDescent="0.35">
      <c r="AL6210" s="20"/>
    </row>
    <row r="6211" spans="38:38" x14ac:dyDescent="0.35">
      <c r="AL6211" s="20"/>
    </row>
    <row r="6212" spans="38:38" x14ac:dyDescent="0.35">
      <c r="AL6212" s="20"/>
    </row>
    <row r="6213" spans="38:38" x14ac:dyDescent="0.35">
      <c r="AL6213" s="20"/>
    </row>
    <row r="6214" spans="38:38" x14ac:dyDescent="0.35">
      <c r="AL6214" s="20"/>
    </row>
    <row r="6215" spans="38:38" x14ac:dyDescent="0.35">
      <c r="AL6215" s="20"/>
    </row>
    <row r="6216" spans="38:38" x14ac:dyDescent="0.35">
      <c r="AL6216" s="20"/>
    </row>
    <row r="6217" spans="38:38" x14ac:dyDescent="0.35">
      <c r="AL6217" s="20"/>
    </row>
    <row r="6218" spans="38:38" x14ac:dyDescent="0.35">
      <c r="AL6218" s="20"/>
    </row>
    <row r="6219" spans="38:38" x14ac:dyDescent="0.35">
      <c r="AL6219" s="20"/>
    </row>
    <row r="6220" spans="38:38" x14ac:dyDescent="0.35">
      <c r="AL6220" s="20"/>
    </row>
    <row r="6221" spans="38:38" x14ac:dyDescent="0.35">
      <c r="AL6221" s="20"/>
    </row>
    <row r="6222" spans="38:38" x14ac:dyDescent="0.35">
      <c r="AL6222" s="20"/>
    </row>
    <row r="6223" spans="38:38" x14ac:dyDescent="0.35">
      <c r="AL6223" s="20"/>
    </row>
    <row r="6224" spans="38:38" x14ac:dyDescent="0.35">
      <c r="AL6224" s="20"/>
    </row>
    <row r="6225" spans="38:38" x14ac:dyDescent="0.35">
      <c r="AL6225" s="20"/>
    </row>
    <row r="6226" spans="38:38" x14ac:dyDescent="0.35">
      <c r="AL6226" s="20"/>
    </row>
    <row r="6227" spans="38:38" x14ac:dyDescent="0.35">
      <c r="AL6227" s="20"/>
    </row>
    <row r="6228" spans="38:38" x14ac:dyDescent="0.35">
      <c r="AL6228" s="20"/>
    </row>
    <row r="6229" spans="38:38" x14ac:dyDescent="0.35">
      <c r="AL6229" s="20"/>
    </row>
    <row r="6230" spans="38:38" x14ac:dyDescent="0.35">
      <c r="AL6230" s="20"/>
    </row>
    <row r="6231" spans="38:38" x14ac:dyDescent="0.35">
      <c r="AL6231" s="20"/>
    </row>
    <row r="6232" spans="38:38" x14ac:dyDescent="0.35">
      <c r="AL6232" s="20"/>
    </row>
    <row r="6233" spans="38:38" x14ac:dyDescent="0.35">
      <c r="AL6233" s="20"/>
    </row>
    <row r="6234" spans="38:38" x14ac:dyDescent="0.35">
      <c r="AL6234" s="20"/>
    </row>
    <row r="6235" spans="38:38" x14ac:dyDescent="0.35">
      <c r="AL6235" s="20"/>
    </row>
    <row r="6236" spans="38:38" x14ac:dyDescent="0.35">
      <c r="AL6236" s="20"/>
    </row>
    <row r="6237" spans="38:38" x14ac:dyDescent="0.35">
      <c r="AL6237" s="20"/>
    </row>
    <row r="6238" spans="38:38" x14ac:dyDescent="0.35">
      <c r="AL6238" s="20"/>
    </row>
    <row r="6239" spans="38:38" x14ac:dyDescent="0.35">
      <c r="AL6239" s="20"/>
    </row>
    <row r="6240" spans="38:38" x14ac:dyDescent="0.35">
      <c r="AL6240" s="20"/>
    </row>
    <row r="6241" spans="38:38" x14ac:dyDescent="0.35">
      <c r="AL6241" s="20"/>
    </row>
    <row r="6242" spans="38:38" x14ac:dyDescent="0.35">
      <c r="AL6242" s="20"/>
    </row>
    <row r="6243" spans="38:38" x14ac:dyDescent="0.35">
      <c r="AL6243" s="20"/>
    </row>
    <row r="6244" spans="38:38" x14ac:dyDescent="0.35">
      <c r="AL6244" s="20"/>
    </row>
    <row r="6245" spans="38:38" x14ac:dyDescent="0.35">
      <c r="AL6245" s="20"/>
    </row>
    <row r="6246" spans="38:38" x14ac:dyDescent="0.35">
      <c r="AL6246" s="20"/>
    </row>
    <row r="6247" spans="38:38" x14ac:dyDescent="0.35">
      <c r="AL6247" s="20"/>
    </row>
    <row r="6248" spans="38:38" x14ac:dyDescent="0.35">
      <c r="AL6248" s="20"/>
    </row>
    <row r="6249" spans="38:38" x14ac:dyDescent="0.35">
      <c r="AL6249" s="20"/>
    </row>
    <row r="6250" spans="38:38" x14ac:dyDescent="0.35">
      <c r="AL6250" s="20"/>
    </row>
    <row r="6251" spans="38:38" x14ac:dyDescent="0.35">
      <c r="AL6251" s="20"/>
    </row>
    <row r="6252" spans="38:38" x14ac:dyDescent="0.35">
      <c r="AL6252" s="20"/>
    </row>
    <row r="6253" spans="38:38" x14ac:dyDescent="0.35">
      <c r="AL6253" s="20"/>
    </row>
    <row r="6254" spans="38:38" x14ac:dyDescent="0.35">
      <c r="AL6254" s="20"/>
    </row>
    <row r="6255" spans="38:38" x14ac:dyDescent="0.35">
      <c r="AL6255" s="20"/>
    </row>
    <row r="6256" spans="38:38" x14ac:dyDescent="0.35">
      <c r="AL6256" s="20"/>
    </row>
    <row r="6257" spans="38:38" x14ac:dyDescent="0.35">
      <c r="AL6257" s="20"/>
    </row>
    <row r="6258" spans="38:38" x14ac:dyDescent="0.35">
      <c r="AL6258" s="20"/>
    </row>
    <row r="6259" spans="38:38" x14ac:dyDescent="0.35">
      <c r="AL6259" s="20"/>
    </row>
    <row r="6260" spans="38:38" x14ac:dyDescent="0.35">
      <c r="AL6260" s="20"/>
    </row>
    <row r="6261" spans="38:38" x14ac:dyDescent="0.35">
      <c r="AL6261" s="20"/>
    </row>
    <row r="6262" spans="38:38" x14ac:dyDescent="0.35">
      <c r="AL6262" s="20"/>
    </row>
    <row r="6263" spans="38:38" x14ac:dyDescent="0.35">
      <c r="AL6263" s="20"/>
    </row>
    <row r="6264" spans="38:38" x14ac:dyDescent="0.35">
      <c r="AL6264" s="20"/>
    </row>
    <row r="6265" spans="38:38" x14ac:dyDescent="0.35">
      <c r="AL6265" s="20"/>
    </row>
    <row r="6266" spans="38:38" x14ac:dyDescent="0.35">
      <c r="AL6266" s="20"/>
    </row>
    <row r="6267" spans="38:38" x14ac:dyDescent="0.35">
      <c r="AL6267" s="20"/>
    </row>
    <row r="6268" spans="38:38" x14ac:dyDescent="0.35">
      <c r="AL6268" s="20"/>
    </row>
    <row r="6269" spans="38:38" x14ac:dyDescent="0.35">
      <c r="AL6269" s="20"/>
    </row>
    <row r="6270" spans="38:38" x14ac:dyDescent="0.35">
      <c r="AL6270" s="20"/>
    </row>
    <row r="6271" spans="38:38" x14ac:dyDescent="0.35">
      <c r="AL6271" s="20"/>
    </row>
    <row r="6272" spans="38:38" x14ac:dyDescent="0.35">
      <c r="AL6272" s="20"/>
    </row>
    <row r="6273" spans="38:38" x14ac:dyDescent="0.35">
      <c r="AL6273" s="20"/>
    </row>
    <row r="6274" spans="38:38" x14ac:dyDescent="0.35">
      <c r="AL6274" s="20"/>
    </row>
    <row r="6275" spans="38:38" x14ac:dyDescent="0.35">
      <c r="AL6275" s="20"/>
    </row>
    <row r="6276" spans="38:38" x14ac:dyDescent="0.35">
      <c r="AL6276" s="20"/>
    </row>
    <row r="6277" spans="38:38" x14ac:dyDescent="0.35">
      <c r="AL6277" s="20"/>
    </row>
    <row r="6278" spans="38:38" x14ac:dyDescent="0.35">
      <c r="AL6278" s="20"/>
    </row>
    <row r="6279" spans="38:38" x14ac:dyDescent="0.35">
      <c r="AL6279" s="20"/>
    </row>
    <row r="6280" spans="38:38" x14ac:dyDescent="0.35">
      <c r="AL6280" s="20"/>
    </row>
    <row r="6281" spans="38:38" x14ac:dyDescent="0.35">
      <c r="AL6281" s="20"/>
    </row>
    <row r="6282" spans="38:38" x14ac:dyDescent="0.35">
      <c r="AL6282" s="20"/>
    </row>
    <row r="6283" spans="38:38" x14ac:dyDescent="0.35">
      <c r="AL6283" s="20"/>
    </row>
    <row r="6284" spans="38:38" x14ac:dyDescent="0.35">
      <c r="AL6284" s="20"/>
    </row>
    <row r="6285" spans="38:38" x14ac:dyDescent="0.35">
      <c r="AL6285" s="20"/>
    </row>
    <row r="6286" spans="38:38" x14ac:dyDescent="0.35">
      <c r="AL6286" s="20"/>
    </row>
    <row r="6287" spans="38:38" x14ac:dyDescent="0.35">
      <c r="AL6287" s="20"/>
    </row>
    <row r="6288" spans="38:38" x14ac:dyDescent="0.35">
      <c r="AL6288" s="20"/>
    </row>
    <row r="6289" spans="38:38" x14ac:dyDescent="0.35">
      <c r="AL6289" s="20"/>
    </row>
    <row r="6290" spans="38:38" x14ac:dyDescent="0.35">
      <c r="AL6290" s="20"/>
    </row>
    <row r="6291" spans="38:38" x14ac:dyDescent="0.35">
      <c r="AL6291" s="20"/>
    </row>
    <row r="6292" spans="38:38" x14ac:dyDescent="0.35">
      <c r="AL6292" s="20"/>
    </row>
    <row r="6293" spans="38:38" x14ac:dyDescent="0.35">
      <c r="AL6293" s="20"/>
    </row>
    <row r="6294" spans="38:38" x14ac:dyDescent="0.35">
      <c r="AL6294" s="20"/>
    </row>
    <row r="6295" spans="38:38" x14ac:dyDescent="0.35">
      <c r="AL6295" s="20"/>
    </row>
    <row r="6296" spans="38:38" x14ac:dyDescent="0.35">
      <c r="AL6296" s="20"/>
    </row>
    <row r="6297" spans="38:38" x14ac:dyDescent="0.35">
      <c r="AL6297" s="20"/>
    </row>
    <row r="6298" spans="38:38" x14ac:dyDescent="0.35">
      <c r="AL6298" s="20"/>
    </row>
    <row r="6299" spans="38:38" x14ac:dyDescent="0.35">
      <c r="AL6299" s="20"/>
    </row>
    <row r="6300" spans="38:38" x14ac:dyDescent="0.35">
      <c r="AL6300" s="20"/>
    </row>
    <row r="6301" spans="38:38" x14ac:dyDescent="0.35">
      <c r="AL6301" s="20"/>
    </row>
    <row r="6302" spans="38:38" x14ac:dyDescent="0.35">
      <c r="AL6302" s="20"/>
    </row>
    <row r="6303" spans="38:38" x14ac:dyDescent="0.35">
      <c r="AL6303" s="20"/>
    </row>
    <row r="6304" spans="38:38" x14ac:dyDescent="0.35">
      <c r="AL6304" s="20"/>
    </row>
    <row r="6305" spans="38:38" x14ac:dyDescent="0.35">
      <c r="AL6305" s="20"/>
    </row>
    <row r="6306" spans="38:38" x14ac:dyDescent="0.35">
      <c r="AL6306" s="20"/>
    </row>
    <row r="6307" spans="38:38" x14ac:dyDescent="0.35">
      <c r="AL6307" s="20"/>
    </row>
    <row r="6308" spans="38:38" x14ac:dyDescent="0.35">
      <c r="AL6308" s="20"/>
    </row>
    <row r="6309" spans="38:38" x14ac:dyDescent="0.35">
      <c r="AL6309" s="20"/>
    </row>
    <row r="6310" spans="38:38" x14ac:dyDescent="0.35">
      <c r="AL6310" s="20"/>
    </row>
    <row r="6311" spans="38:38" x14ac:dyDescent="0.35">
      <c r="AL6311" s="20"/>
    </row>
    <row r="6312" spans="38:38" x14ac:dyDescent="0.35">
      <c r="AL6312" s="20"/>
    </row>
    <row r="6313" spans="38:38" x14ac:dyDescent="0.35">
      <c r="AL6313" s="20"/>
    </row>
    <row r="6314" spans="38:38" x14ac:dyDescent="0.35">
      <c r="AL6314" s="20"/>
    </row>
    <row r="6315" spans="38:38" x14ac:dyDescent="0.35">
      <c r="AL6315" s="20"/>
    </row>
    <row r="6316" spans="38:38" x14ac:dyDescent="0.35">
      <c r="AL6316" s="20"/>
    </row>
    <row r="6317" spans="38:38" x14ac:dyDescent="0.35">
      <c r="AL6317" s="20"/>
    </row>
    <row r="6318" spans="38:38" x14ac:dyDescent="0.35">
      <c r="AL6318" s="20"/>
    </row>
    <row r="6319" spans="38:38" x14ac:dyDescent="0.35">
      <c r="AL6319" s="20"/>
    </row>
    <row r="6320" spans="38:38" x14ac:dyDescent="0.35">
      <c r="AL6320" s="20"/>
    </row>
    <row r="6321" spans="38:38" x14ac:dyDescent="0.35">
      <c r="AL6321" s="20"/>
    </row>
    <row r="6322" spans="38:38" x14ac:dyDescent="0.35">
      <c r="AL6322" s="20"/>
    </row>
    <row r="6323" spans="38:38" x14ac:dyDescent="0.35">
      <c r="AL6323" s="20"/>
    </row>
    <row r="6324" spans="38:38" x14ac:dyDescent="0.35">
      <c r="AL6324" s="20"/>
    </row>
    <row r="6325" spans="38:38" x14ac:dyDescent="0.35">
      <c r="AL6325" s="20"/>
    </row>
    <row r="6326" spans="38:38" x14ac:dyDescent="0.35">
      <c r="AL6326" s="20"/>
    </row>
    <row r="6327" spans="38:38" x14ac:dyDescent="0.35">
      <c r="AL6327" s="20"/>
    </row>
    <row r="6328" spans="38:38" x14ac:dyDescent="0.35">
      <c r="AL6328" s="20"/>
    </row>
    <row r="6329" spans="38:38" x14ac:dyDescent="0.35">
      <c r="AL6329" s="20"/>
    </row>
    <row r="6330" spans="38:38" x14ac:dyDescent="0.35">
      <c r="AL6330" s="20"/>
    </row>
    <row r="6331" spans="38:38" x14ac:dyDescent="0.35">
      <c r="AL6331" s="20"/>
    </row>
    <row r="6332" spans="38:38" x14ac:dyDescent="0.35">
      <c r="AL6332" s="20"/>
    </row>
    <row r="6333" spans="38:38" x14ac:dyDescent="0.35">
      <c r="AL6333" s="20"/>
    </row>
    <row r="6334" spans="38:38" x14ac:dyDescent="0.35">
      <c r="AL6334" s="20"/>
    </row>
    <row r="6335" spans="38:38" x14ac:dyDescent="0.35">
      <c r="AL6335" s="20"/>
    </row>
    <row r="6336" spans="38:38" x14ac:dyDescent="0.35">
      <c r="AL6336" s="20"/>
    </row>
    <row r="6337" spans="38:38" x14ac:dyDescent="0.35">
      <c r="AL6337" s="20"/>
    </row>
    <row r="6338" spans="38:38" x14ac:dyDescent="0.35">
      <c r="AL6338" s="20"/>
    </row>
    <row r="6339" spans="38:38" x14ac:dyDescent="0.35">
      <c r="AL6339" s="20"/>
    </row>
    <row r="6340" spans="38:38" x14ac:dyDescent="0.35">
      <c r="AL6340" s="20"/>
    </row>
    <row r="6341" spans="38:38" x14ac:dyDescent="0.35">
      <c r="AL6341" s="20"/>
    </row>
    <row r="6342" spans="38:38" x14ac:dyDescent="0.35">
      <c r="AL6342" s="20"/>
    </row>
    <row r="6343" spans="38:38" x14ac:dyDescent="0.35">
      <c r="AL6343" s="20"/>
    </row>
    <row r="6344" spans="38:38" x14ac:dyDescent="0.35">
      <c r="AL6344" s="20"/>
    </row>
    <row r="6345" spans="38:38" x14ac:dyDescent="0.35">
      <c r="AL6345" s="20"/>
    </row>
    <row r="6346" spans="38:38" x14ac:dyDescent="0.35">
      <c r="AL6346" s="20"/>
    </row>
    <row r="6347" spans="38:38" x14ac:dyDescent="0.35">
      <c r="AL6347" s="20"/>
    </row>
    <row r="6348" spans="38:38" x14ac:dyDescent="0.35">
      <c r="AL6348" s="20"/>
    </row>
    <row r="6349" spans="38:38" x14ac:dyDescent="0.35">
      <c r="AL6349" s="20"/>
    </row>
    <row r="6350" spans="38:38" x14ac:dyDescent="0.35">
      <c r="AL6350" s="20"/>
    </row>
    <row r="6351" spans="38:38" x14ac:dyDescent="0.35">
      <c r="AL6351" s="20"/>
    </row>
    <row r="6352" spans="38:38" x14ac:dyDescent="0.35">
      <c r="AL6352" s="20"/>
    </row>
    <row r="6353" spans="38:38" x14ac:dyDescent="0.35">
      <c r="AL6353" s="20"/>
    </row>
    <row r="6354" spans="38:38" x14ac:dyDescent="0.35">
      <c r="AL6354" s="20"/>
    </row>
    <row r="6355" spans="38:38" x14ac:dyDescent="0.35">
      <c r="AL6355" s="20"/>
    </row>
    <row r="6356" spans="38:38" x14ac:dyDescent="0.35">
      <c r="AL6356" s="20"/>
    </row>
    <row r="6357" spans="38:38" x14ac:dyDescent="0.35">
      <c r="AL6357" s="20"/>
    </row>
    <row r="6358" spans="38:38" x14ac:dyDescent="0.35">
      <c r="AL6358" s="20"/>
    </row>
    <row r="6359" spans="38:38" x14ac:dyDescent="0.35">
      <c r="AL6359" s="20"/>
    </row>
    <row r="6360" spans="38:38" x14ac:dyDescent="0.35">
      <c r="AL6360" s="20"/>
    </row>
    <row r="6361" spans="38:38" x14ac:dyDescent="0.35">
      <c r="AL6361" s="20"/>
    </row>
    <row r="6362" spans="38:38" x14ac:dyDescent="0.35">
      <c r="AL6362" s="20"/>
    </row>
    <row r="6363" spans="38:38" x14ac:dyDescent="0.35">
      <c r="AL6363" s="20"/>
    </row>
    <row r="6364" spans="38:38" x14ac:dyDescent="0.35">
      <c r="AL6364" s="20"/>
    </row>
    <row r="6365" spans="38:38" x14ac:dyDescent="0.35">
      <c r="AL6365" s="20"/>
    </row>
    <row r="6366" spans="38:38" x14ac:dyDescent="0.35">
      <c r="AL6366" s="20"/>
    </row>
    <row r="6367" spans="38:38" x14ac:dyDescent="0.35">
      <c r="AL6367" s="20"/>
    </row>
    <row r="6368" spans="38:38" x14ac:dyDescent="0.35">
      <c r="AL6368" s="20"/>
    </row>
    <row r="6369" spans="38:38" x14ac:dyDescent="0.35">
      <c r="AL6369" s="20"/>
    </row>
    <row r="6370" spans="38:38" x14ac:dyDescent="0.35">
      <c r="AL6370" s="20"/>
    </row>
    <row r="6371" spans="38:38" x14ac:dyDescent="0.35">
      <c r="AL6371" s="20"/>
    </row>
    <row r="6372" spans="38:38" x14ac:dyDescent="0.35">
      <c r="AL6372" s="20"/>
    </row>
    <row r="6373" spans="38:38" x14ac:dyDescent="0.35">
      <c r="AL6373" s="20"/>
    </row>
    <row r="6374" spans="38:38" x14ac:dyDescent="0.35">
      <c r="AL6374" s="20"/>
    </row>
    <row r="6375" spans="38:38" x14ac:dyDescent="0.35">
      <c r="AL6375" s="20"/>
    </row>
    <row r="6376" spans="38:38" x14ac:dyDescent="0.35">
      <c r="AL6376" s="20"/>
    </row>
    <row r="6377" spans="38:38" x14ac:dyDescent="0.35">
      <c r="AL6377" s="20"/>
    </row>
    <row r="6378" spans="38:38" x14ac:dyDescent="0.35">
      <c r="AL6378" s="20"/>
    </row>
    <row r="6379" spans="38:38" x14ac:dyDescent="0.35">
      <c r="AL6379" s="20"/>
    </row>
    <row r="6380" spans="38:38" x14ac:dyDescent="0.35">
      <c r="AL6380" s="20"/>
    </row>
    <row r="6381" spans="38:38" x14ac:dyDescent="0.35">
      <c r="AL6381" s="20"/>
    </row>
    <row r="6382" spans="38:38" x14ac:dyDescent="0.35">
      <c r="AL6382" s="20"/>
    </row>
    <row r="6383" spans="38:38" x14ac:dyDescent="0.35">
      <c r="AL6383" s="20"/>
    </row>
    <row r="6384" spans="38:38" x14ac:dyDescent="0.35">
      <c r="AL6384" s="20"/>
    </row>
    <row r="6385" spans="38:38" x14ac:dyDescent="0.35">
      <c r="AL6385" s="20"/>
    </row>
    <row r="6386" spans="38:38" x14ac:dyDescent="0.35">
      <c r="AL6386" s="20"/>
    </row>
    <row r="6387" spans="38:38" x14ac:dyDescent="0.35">
      <c r="AL6387" s="20"/>
    </row>
    <row r="6388" spans="38:38" x14ac:dyDescent="0.35">
      <c r="AL6388" s="20"/>
    </row>
    <row r="6389" spans="38:38" x14ac:dyDescent="0.35">
      <c r="AL6389" s="20"/>
    </row>
    <row r="6390" spans="38:38" x14ac:dyDescent="0.35">
      <c r="AL6390" s="20"/>
    </row>
    <row r="6391" spans="38:38" x14ac:dyDescent="0.35">
      <c r="AL6391" s="20"/>
    </row>
    <row r="6392" spans="38:38" x14ac:dyDescent="0.35">
      <c r="AL6392" s="20"/>
    </row>
    <row r="6393" spans="38:38" x14ac:dyDescent="0.35">
      <c r="AL6393" s="20"/>
    </row>
    <row r="6394" spans="38:38" x14ac:dyDescent="0.35">
      <c r="AL6394" s="20"/>
    </row>
    <row r="6395" spans="38:38" x14ac:dyDescent="0.35">
      <c r="AL6395" s="20"/>
    </row>
    <row r="6396" spans="38:38" x14ac:dyDescent="0.35">
      <c r="AL6396" s="20"/>
    </row>
    <row r="6397" spans="38:38" x14ac:dyDescent="0.35">
      <c r="AL6397" s="20"/>
    </row>
    <row r="6398" spans="38:38" x14ac:dyDescent="0.35">
      <c r="AL6398" s="20"/>
    </row>
    <row r="6399" spans="38:38" x14ac:dyDescent="0.35">
      <c r="AL6399" s="20"/>
    </row>
    <row r="6400" spans="38:38" x14ac:dyDescent="0.35">
      <c r="AL6400" s="20"/>
    </row>
    <row r="6401" spans="38:38" x14ac:dyDescent="0.35">
      <c r="AL6401" s="20"/>
    </row>
    <row r="6402" spans="38:38" x14ac:dyDescent="0.35">
      <c r="AL6402" s="20"/>
    </row>
    <row r="6403" spans="38:38" x14ac:dyDescent="0.35">
      <c r="AL6403" s="20"/>
    </row>
    <row r="6404" spans="38:38" x14ac:dyDescent="0.35">
      <c r="AL6404" s="20"/>
    </row>
    <row r="6405" spans="38:38" x14ac:dyDescent="0.35">
      <c r="AL6405" s="20"/>
    </row>
    <row r="6406" spans="38:38" x14ac:dyDescent="0.35">
      <c r="AL6406" s="20"/>
    </row>
    <row r="6407" spans="38:38" x14ac:dyDescent="0.35">
      <c r="AL6407" s="20"/>
    </row>
    <row r="6408" spans="38:38" x14ac:dyDescent="0.35">
      <c r="AL6408" s="20"/>
    </row>
    <row r="6409" spans="38:38" x14ac:dyDescent="0.35">
      <c r="AL6409" s="20"/>
    </row>
    <row r="6410" spans="38:38" x14ac:dyDescent="0.35">
      <c r="AL6410" s="20"/>
    </row>
    <row r="6411" spans="38:38" x14ac:dyDescent="0.35">
      <c r="AL6411" s="20"/>
    </row>
    <row r="6412" spans="38:38" x14ac:dyDescent="0.35">
      <c r="AL6412" s="20"/>
    </row>
    <row r="6413" spans="38:38" x14ac:dyDescent="0.35">
      <c r="AL6413" s="20"/>
    </row>
    <row r="6414" spans="38:38" x14ac:dyDescent="0.35">
      <c r="AL6414" s="20"/>
    </row>
    <row r="6415" spans="38:38" x14ac:dyDescent="0.35">
      <c r="AL6415" s="20"/>
    </row>
    <row r="6416" spans="38:38" x14ac:dyDescent="0.35">
      <c r="AL6416" s="20"/>
    </row>
    <row r="6417" spans="38:38" x14ac:dyDescent="0.35">
      <c r="AL6417" s="20"/>
    </row>
    <row r="6418" spans="38:38" x14ac:dyDescent="0.35">
      <c r="AL6418" s="20"/>
    </row>
    <row r="6419" spans="38:38" x14ac:dyDescent="0.35">
      <c r="AL6419" s="20"/>
    </row>
    <row r="6420" spans="38:38" x14ac:dyDescent="0.35">
      <c r="AL6420" s="20"/>
    </row>
    <row r="6421" spans="38:38" x14ac:dyDescent="0.35">
      <c r="AL6421" s="20"/>
    </row>
    <row r="6422" spans="38:38" x14ac:dyDescent="0.35">
      <c r="AL6422" s="20"/>
    </row>
    <row r="6423" spans="38:38" x14ac:dyDescent="0.35">
      <c r="AL6423" s="20"/>
    </row>
    <row r="6424" spans="38:38" x14ac:dyDescent="0.35">
      <c r="AL6424" s="20"/>
    </row>
    <row r="6425" spans="38:38" x14ac:dyDescent="0.35">
      <c r="AL6425" s="20"/>
    </row>
    <row r="6426" spans="38:38" x14ac:dyDescent="0.35">
      <c r="AL6426" s="20"/>
    </row>
    <row r="6427" spans="38:38" x14ac:dyDescent="0.35">
      <c r="AL6427" s="20"/>
    </row>
    <row r="6428" spans="38:38" x14ac:dyDescent="0.35">
      <c r="AL6428" s="20"/>
    </row>
    <row r="6429" spans="38:38" x14ac:dyDescent="0.35">
      <c r="AL6429" s="20"/>
    </row>
    <row r="6430" spans="38:38" x14ac:dyDescent="0.35">
      <c r="AL6430" s="20"/>
    </row>
    <row r="6431" spans="38:38" x14ac:dyDescent="0.35">
      <c r="AL6431" s="20"/>
    </row>
    <row r="6432" spans="38:38" x14ac:dyDescent="0.35">
      <c r="AL6432" s="20"/>
    </row>
    <row r="6433" spans="38:38" x14ac:dyDescent="0.35">
      <c r="AL6433" s="20"/>
    </row>
    <row r="6434" spans="38:38" x14ac:dyDescent="0.35">
      <c r="AL6434" s="20"/>
    </row>
    <row r="6435" spans="38:38" x14ac:dyDescent="0.35">
      <c r="AL6435" s="20"/>
    </row>
    <row r="6436" spans="38:38" x14ac:dyDescent="0.35">
      <c r="AL6436" s="20"/>
    </row>
    <row r="6437" spans="38:38" x14ac:dyDescent="0.35">
      <c r="AL6437" s="20"/>
    </row>
    <row r="6438" spans="38:38" x14ac:dyDescent="0.35">
      <c r="AL6438" s="20"/>
    </row>
    <row r="6439" spans="38:38" x14ac:dyDescent="0.35">
      <c r="AL6439" s="20"/>
    </row>
    <row r="6440" spans="38:38" x14ac:dyDescent="0.35">
      <c r="AL6440" s="20"/>
    </row>
    <row r="6441" spans="38:38" x14ac:dyDescent="0.35">
      <c r="AL6441" s="20"/>
    </row>
    <row r="6442" spans="38:38" x14ac:dyDescent="0.35">
      <c r="AL6442" s="20"/>
    </row>
    <row r="6443" spans="38:38" x14ac:dyDescent="0.35">
      <c r="AL6443" s="20"/>
    </row>
    <row r="6444" spans="38:38" x14ac:dyDescent="0.35">
      <c r="AL6444" s="20"/>
    </row>
    <row r="6445" spans="38:38" x14ac:dyDescent="0.35">
      <c r="AL6445" s="20"/>
    </row>
    <row r="6446" spans="38:38" x14ac:dyDescent="0.35">
      <c r="AL6446" s="20"/>
    </row>
    <row r="6447" spans="38:38" x14ac:dyDescent="0.35">
      <c r="AL6447" s="20"/>
    </row>
    <row r="6448" spans="38:38" x14ac:dyDescent="0.35">
      <c r="AL6448" s="20"/>
    </row>
    <row r="6449" spans="38:38" x14ac:dyDescent="0.35">
      <c r="AL6449" s="20"/>
    </row>
    <row r="6450" spans="38:38" x14ac:dyDescent="0.35">
      <c r="AL6450" s="20"/>
    </row>
    <row r="6451" spans="38:38" x14ac:dyDescent="0.35">
      <c r="AL6451" s="20"/>
    </row>
    <row r="6452" spans="38:38" x14ac:dyDescent="0.35">
      <c r="AL6452" s="20"/>
    </row>
    <row r="6453" spans="38:38" x14ac:dyDescent="0.35">
      <c r="AL6453" s="20"/>
    </row>
    <row r="6454" spans="38:38" x14ac:dyDescent="0.35">
      <c r="AL6454" s="20"/>
    </row>
    <row r="6455" spans="38:38" x14ac:dyDescent="0.35">
      <c r="AL6455" s="20"/>
    </row>
    <row r="6456" spans="38:38" x14ac:dyDescent="0.35">
      <c r="AL6456" s="20"/>
    </row>
    <row r="6457" spans="38:38" x14ac:dyDescent="0.35">
      <c r="AL6457" s="20"/>
    </row>
    <row r="6458" spans="38:38" x14ac:dyDescent="0.35">
      <c r="AL6458" s="20"/>
    </row>
    <row r="6459" spans="38:38" x14ac:dyDescent="0.35">
      <c r="AL6459" s="20"/>
    </row>
    <row r="6460" spans="38:38" x14ac:dyDescent="0.35">
      <c r="AL6460" s="20"/>
    </row>
    <row r="6461" spans="38:38" x14ac:dyDescent="0.35">
      <c r="AL6461" s="20"/>
    </row>
    <row r="6462" spans="38:38" x14ac:dyDescent="0.35">
      <c r="AL6462" s="20"/>
    </row>
    <row r="6463" spans="38:38" x14ac:dyDescent="0.35">
      <c r="AL6463" s="20"/>
    </row>
    <row r="6464" spans="38:38" x14ac:dyDescent="0.35">
      <c r="AL6464" s="20"/>
    </row>
    <row r="6465" spans="38:38" x14ac:dyDescent="0.35">
      <c r="AL6465" s="20"/>
    </row>
    <row r="6466" spans="38:38" x14ac:dyDescent="0.35">
      <c r="AL6466" s="20"/>
    </row>
    <row r="6467" spans="38:38" x14ac:dyDescent="0.35">
      <c r="AL6467" s="20"/>
    </row>
    <row r="6468" spans="38:38" x14ac:dyDescent="0.35">
      <c r="AL6468" s="20"/>
    </row>
    <row r="6469" spans="38:38" x14ac:dyDescent="0.35">
      <c r="AL6469" s="20"/>
    </row>
    <row r="6470" spans="38:38" x14ac:dyDescent="0.35">
      <c r="AL6470" s="20"/>
    </row>
    <row r="6471" spans="38:38" x14ac:dyDescent="0.35">
      <c r="AL6471" s="20"/>
    </row>
    <row r="6472" spans="38:38" x14ac:dyDescent="0.35">
      <c r="AL6472" s="20"/>
    </row>
    <row r="6473" spans="38:38" x14ac:dyDescent="0.35">
      <c r="AL6473" s="20"/>
    </row>
    <row r="6474" spans="38:38" x14ac:dyDescent="0.35">
      <c r="AL6474" s="20"/>
    </row>
    <row r="6475" spans="38:38" x14ac:dyDescent="0.35">
      <c r="AL6475" s="20"/>
    </row>
    <row r="6476" spans="38:38" x14ac:dyDescent="0.35">
      <c r="AL6476" s="20"/>
    </row>
    <row r="6477" spans="38:38" x14ac:dyDescent="0.35">
      <c r="AL6477" s="20"/>
    </row>
    <row r="6478" spans="38:38" x14ac:dyDescent="0.35">
      <c r="AL6478" s="20"/>
    </row>
    <row r="6479" spans="38:38" x14ac:dyDescent="0.35">
      <c r="AL6479" s="20"/>
    </row>
    <row r="6480" spans="38:38" x14ac:dyDescent="0.35">
      <c r="AL6480" s="20"/>
    </row>
    <row r="6481" spans="38:38" x14ac:dyDescent="0.35">
      <c r="AL6481" s="20"/>
    </row>
    <row r="6482" spans="38:38" x14ac:dyDescent="0.35">
      <c r="AL6482" s="20"/>
    </row>
    <row r="6483" spans="38:38" x14ac:dyDescent="0.35">
      <c r="AL6483" s="20"/>
    </row>
    <row r="6484" spans="38:38" x14ac:dyDescent="0.35">
      <c r="AL6484" s="20"/>
    </row>
    <row r="6485" spans="38:38" x14ac:dyDescent="0.35">
      <c r="AL6485" s="20"/>
    </row>
    <row r="6486" spans="38:38" x14ac:dyDescent="0.35">
      <c r="AL6486" s="20"/>
    </row>
    <row r="6487" spans="38:38" x14ac:dyDescent="0.35">
      <c r="AL6487" s="20"/>
    </row>
    <row r="6488" spans="38:38" x14ac:dyDescent="0.35">
      <c r="AL6488" s="20"/>
    </row>
    <row r="6489" spans="38:38" x14ac:dyDescent="0.35">
      <c r="AL6489" s="20"/>
    </row>
    <row r="6490" spans="38:38" x14ac:dyDescent="0.35">
      <c r="AL6490" s="20"/>
    </row>
    <row r="6491" spans="38:38" x14ac:dyDescent="0.35">
      <c r="AL6491" s="20"/>
    </row>
    <row r="6492" spans="38:38" x14ac:dyDescent="0.35">
      <c r="AL6492" s="20"/>
    </row>
    <row r="6493" spans="38:38" x14ac:dyDescent="0.35">
      <c r="AL6493" s="20"/>
    </row>
    <row r="6494" spans="38:38" x14ac:dyDescent="0.35">
      <c r="AL6494" s="20"/>
    </row>
    <row r="6495" spans="38:38" x14ac:dyDescent="0.35">
      <c r="AL6495" s="20"/>
    </row>
    <row r="6496" spans="38:38" x14ac:dyDescent="0.35">
      <c r="AL6496" s="20"/>
    </row>
    <row r="6497" spans="38:38" x14ac:dyDescent="0.35">
      <c r="AL6497" s="20"/>
    </row>
    <row r="6498" spans="38:38" x14ac:dyDescent="0.35">
      <c r="AL6498" s="20"/>
    </row>
    <row r="6499" spans="38:38" x14ac:dyDescent="0.35">
      <c r="AL6499" s="20"/>
    </row>
    <row r="6500" spans="38:38" x14ac:dyDescent="0.35">
      <c r="AL6500" s="20"/>
    </row>
    <row r="6501" spans="38:38" x14ac:dyDescent="0.35">
      <c r="AL6501" s="20"/>
    </row>
    <row r="6502" spans="38:38" x14ac:dyDescent="0.35">
      <c r="AL6502" s="20"/>
    </row>
    <row r="6503" spans="38:38" x14ac:dyDescent="0.35">
      <c r="AL6503" s="20"/>
    </row>
    <row r="6504" spans="38:38" x14ac:dyDescent="0.35">
      <c r="AL6504" s="20"/>
    </row>
    <row r="6505" spans="38:38" x14ac:dyDescent="0.35">
      <c r="AL6505" s="20"/>
    </row>
    <row r="6506" spans="38:38" x14ac:dyDescent="0.35">
      <c r="AL6506" s="20"/>
    </row>
    <row r="6507" spans="38:38" x14ac:dyDescent="0.35">
      <c r="AL6507" s="20"/>
    </row>
    <row r="6508" spans="38:38" x14ac:dyDescent="0.35">
      <c r="AL6508" s="20"/>
    </row>
    <row r="6509" spans="38:38" x14ac:dyDescent="0.35">
      <c r="AL6509" s="20"/>
    </row>
    <row r="6510" spans="38:38" x14ac:dyDescent="0.35">
      <c r="AL6510" s="20"/>
    </row>
    <row r="6511" spans="38:38" x14ac:dyDescent="0.35">
      <c r="AL6511" s="20"/>
    </row>
    <row r="6512" spans="38:38" x14ac:dyDescent="0.35">
      <c r="AL6512" s="20"/>
    </row>
    <row r="6513" spans="38:38" x14ac:dyDescent="0.35">
      <c r="AL6513" s="20"/>
    </row>
    <row r="6514" spans="38:38" x14ac:dyDescent="0.35">
      <c r="AL6514" s="20"/>
    </row>
    <row r="6515" spans="38:38" x14ac:dyDescent="0.35">
      <c r="AL6515" s="20"/>
    </row>
    <row r="6516" spans="38:38" x14ac:dyDescent="0.35">
      <c r="AL6516" s="20"/>
    </row>
    <row r="6517" spans="38:38" x14ac:dyDescent="0.35">
      <c r="AL6517" s="20"/>
    </row>
    <row r="6518" spans="38:38" x14ac:dyDescent="0.35">
      <c r="AL6518" s="20"/>
    </row>
    <row r="6519" spans="38:38" x14ac:dyDescent="0.35">
      <c r="AL6519" s="20"/>
    </row>
    <row r="6520" spans="38:38" x14ac:dyDescent="0.35">
      <c r="AL6520" s="20"/>
    </row>
    <row r="6521" spans="38:38" x14ac:dyDescent="0.35">
      <c r="AL6521" s="20"/>
    </row>
    <row r="6522" spans="38:38" x14ac:dyDescent="0.35">
      <c r="AL6522" s="20"/>
    </row>
    <row r="6523" spans="38:38" x14ac:dyDescent="0.35">
      <c r="AL6523" s="20"/>
    </row>
    <row r="6524" spans="38:38" x14ac:dyDescent="0.35">
      <c r="AL6524" s="20"/>
    </row>
    <row r="6525" spans="38:38" x14ac:dyDescent="0.35">
      <c r="AL6525" s="20"/>
    </row>
    <row r="6526" spans="38:38" x14ac:dyDescent="0.35">
      <c r="AL6526" s="20"/>
    </row>
    <row r="6527" spans="38:38" x14ac:dyDescent="0.35">
      <c r="AL6527" s="20"/>
    </row>
    <row r="6528" spans="38:38" x14ac:dyDescent="0.35">
      <c r="AL6528" s="20"/>
    </row>
    <row r="6529" spans="38:38" x14ac:dyDescent="0.35">
      <c r="AL6529" s="20"/>
    </row>
    <row r="6530" spans="38:38" x14ac:dyDescent="0.35">
      <c r="AL6530" s="20"/>
    </row>
    <row r="6531" spans="38:38" x14ac:dyDescent="0.35">
      <c r="AL6531" s="20"/>
    </row>
    <row r="6532" spans="38:38" x14ac:dyDescent="0.35">
      <c r="AL6532" s="20"/>
    </row>
    <row r="6533" spans="38:38" x14ac:dyDescent="0.35">
      <c r="AL6533" s="20"/>
    </row>
    <row r="6534" spans="38:38" x14ac:dyDescent="0.35">
      <c r="AL6534" s="20"/>
    </row>
    <row r="6535" spans="38:38" x14ac:dyDescent="0.35">
      <c r="AL6535" s="20"/>
    </row>
    <row r="6536" spans="38:38" x14ac:dyDescent="0.35">
      <c r="AL6536" s="20"/>
    </row>
    <row r="6537" spans="38:38" x14ac:dyDescent="0.35">
      <c r="AL6537" s="20"/>
    </row>
    <row r="6538" spans="38:38" x14ac:dyDescent="0.35">
      <c r="AL6538" s="20"/>
    </row>
    <row r="6539" spans="38:38" x14ac:dyDescent="0.35">
      <c r="AL6539" s="20"/>
    </row>
    <row r="6540" spans="38:38" x14ac:dyDescent="0.35">
      <c r="AL6540" s="20"/>
    </row>
    <row r="6541" spans="38:38" x14ac:dyDescent="0.35">
      <c r="AL6541" s="20"/>
    </row>
    <row r="6542" spans="38:38" x14ac:dyDescent="0.35">
      <c r="AL6542" s="20"/>
    </row>
    <row r="6543" spans="38:38" x14ac:dyDescent="0.35">
      <c r="AL6543" s="20"/>
    </row>
    <row r="6544" spans="38:38" x14ac:dyDescent="0.35">
      <c r="AL6544" s="20"/>
    </row>
    <row r="6545" spans="38:38" x14ac:dyDescent="0.35">
      <c r="AL6545" s="20"/>
    </row>
    <row r="6546" spans="38:38" x14ac:dyDescent="0.35">
      <c r="AL6546" s="20"/>
    </row>
    <row r="6547" spans="38:38" x14ac:dyDescent="0.35">
      <c r="AL6547" s="20"/>
    </row>
    <row r="6548" spans="38:38" x14ac:dyDescent="0.35">
      <c r="AL6548" s="20"/>
    </row>
    <row r="6549" spans="38:38" x14ac:dyDescent="0.35">
      <c r="AL6549" s="20"/>
    </row>
    <row r="6550" spans="38:38" x14ac:dyDescent="0.35">
      <c r="AL6550" s="20"/>
    </row>
    <row r="6551" spans="38:38" x14ac:dyDescent="0.35">
      <c r="AL6551" s="20"/>
    </row>
    <row r="6552" spans="38:38" x14ac:dyDescent="0.35">
      <c r="AL6552" s="20"/>
    </row>
    <row r="6553" spans="38:38" x14ac:dyDescent="0.35">
      <c r="AL6553" s="20"/>
    </row>
    <row r="6554" spans="38:38" x14ac:dyDescent="0.35">
      <c r="AL6554" s="20"/>
    </row>
    <row r="6555" spans="38:38" x14ac:dyDescent="0.35">
      <c r="AL6555" s="20"/>
    </row>
    <row r="6556" spans="38:38" x14ac:dyDescent="0.35">
      <c r="AL6556" s="20"/>
    </row>
    <row r="6557" spans="38:38" x14ac:dyDescent="0.35">
      <c r="AL6557" s="20"/>
    </row>
    <row r="6558" spans="38:38" x14ac:dyDescent="0.35">
      <c r="AL6558" s="20"/>
    </row>
    <row r="6559" spans="38:38" x14ac:dyDescent="0.35">
      <c r="AL6559" s="20"/>
    </row>
    <row r="6560" spans="38:38" x14ac:dyDescent="0.35">
      <c r="AL6560" s="20"/>
    </row>
    <row r="6561" spans="38:38" x14ac:dyDescent="0.35">
      <c r="AL6561" s="20"/>
    </row>
    <row r="6562" spans="38:38" x14ac:dyDescent="0.35">
      <c r="AL6562" s="20"/>
    </row>
    <row r="6563" spans="38:38" x14ac:dyDescent="0.35">
      <c r="AL6563" s="20"/>
    </row>
    <row r="6564" spans="38:38" x14ac:dyDescent="0.35">
      <c r="AL6564" s="20"/>
    </row>
    <row r="6565" spans="38:38" x14ac:dyDescent="0.35">
      <c r="AL6565" s="20"/>
    </row>
    <row r="6566" spans="38:38" x14ac:dyDescent="0.35">
      <c r="AL6566" s="20"/>
    </row>
    <row r="6567" spans="38:38" x14ac:dyDescent="0.35">
      <c r="AL6567" s="20"/>
    </row>
    <row r="6568" spans="38:38" x14ac:dyDescent="0.35">
      <c r="AL6568" s="20"/>
    </row>
    <row r="6569" spans="38:38" x14ac:dyDescent="0.35">
      <c r="AL6569" s="20"/>
    </row>
    <row r="6570" spans="38:38" x14ac:dyDescent="0.35">
      <c r="AL6570" s="20"/>
    </row>
    <row r="6571" spans="38:38" x14ac:dyDescent="0.35">
      <c r="AL6571" s="20"/>
    </row>
    <row r="6572" spans="38:38" x14ac:dyDescent="0.35">
      <c r="AL6572" s="20"/>
    </row>
    <row r="6573" spans="38:38" x14ac:dyDescent="0.35">
      <c r="AL6573" s="20"/>
    </row>
    <row r="6574" spans="38:38" x14ac:dyDescent="0.35">
      <c r="AL6574" s="20"/>
    </row>
    <row r="6575" spans="38:38" x14ac:dyDescent="0.35">
      <c r="AL6575" s="20"/>
    </row>
    <row r="6576" spans="38:38" x14ac:dyDescent="0.35">
      <c r="AL6576" s="20"/>
    </row>
    <row r="6577" spans="38:38" x14ac:dyDescent="0.35">
      <c r="AL6577" s="20"/>
    </row>
    <row r="6578" spans="38:38" x14ac:dyDescent="0.35">
      <c r="AL6578" s="20"/>
    </row>
    <row r="6579" spans="38:38" x14ac:dyDescent="0.35">
      <c r="AL6579" s="20"/>
    </row>
    <row r="6580" spans="38:38" x14ac:dyDescent="0.35">
      <c r="AL6580" s="20"/>
    </row>
    <row r="6581" spans="38:38" x14ac:dyDescent="0.35">
      <c r="AL6581" s="20"/>
    </row>
    <row r="6582" spans="38:38" x14ac:dyDescent="0.35">
      <c r="AL6582" s="20"/>
    </row>
    <row r="6583" spans="38:38" x14ac:dyDescent="0.35">
      <c r="AL6583" s="20"/>
    </row>
    <row r="6584" spans="38:38" x14ac:dyDescent="0.35">
      <c r="AL6584" s="20"/>
    </row>
    <row r="6585" spans="38:38" x14ac:dyDescent="0.35">
      <c r="AL6585" s="20"/>
    </row>
    <row r="6586" spans="38:38" x14ac:dyDescent="0.35">
      <c r="AL6586" s="20"/>
    </row>
    <row r="6587" spans="38:38" x14ac:dyDescent="0.35">
      <c r="AL6587" s="20"/>
    </row>
    <row r="6588" spans="38:38" x14ac:dyDescent="0.35">
      <c r="AL6588" s="20"/>
    </row>
    <row r="6589" spans="38:38" x14ac:dyDescent="0.35">
      <c r="AL6589" s="20"/>
    </row>
    <row r="6590" spans="38:38" x14ac:dyDescent="0.35">
      <c r="AL6590" s="20"/>
    </row>
    <row r="6591" spans="38:38" x14ac:dyDescent="0.35">
      <c r="AL6591" s="20"/>
    </row>
    <row r="6592" spans="38:38" x14ac:dyDescent="0.35">
      <c r="AL6592" s="20"/>
    </row>
    <row r="6593" spans="38:38" x14ac:dyDescent="0.35">
      <c r="AL6593" s="20"/>
    </row>
    <row r="6594" spans="38:38" x14ac:dyDescent="0.35">
      <c r="AL6594" s="20"/>
    </row>
    <row r="6595" spans="38:38" x14ac:dyDescent="0.35">
      <c r="AL6595" s="20"/>
    </row>
    <row r="6596" spans="38:38" x14ac:dyDescent="0.35">
      <c r="AL6596" s="20"/>
    </row>
    <row r="6597" spans="38:38" x14ac:dyDescent="0.35">
      <c r="AL6597" s="20"/>
    </row>
    <row r="6598" spans="38:38" x14ac:dyDescent="0.35">
      <c r="AL6598" s="20"/>
    </row>
    <row r="6599" spans="38:38" x14ac:dyDescent="0.35">
      <c r="AL6599" s="20"/>
    </row>
    <row r="6600" spans="38:38" x14ac:dyDescent="0.35">
      <c r="AL6600" s="20"/>
    </row>
    <row r="6601" spans="38:38" x14ac:dyDescent="0.35">
      <c r="AL6601" s="20"/>
    </row>
    <row r="6602" spans="38:38" x14ac:dyDescent="0.35">
      <c r="AL6602" s="20"/>
    </row>
    <row r="6603" spans="38:38" x14ac:dyDescent="0.35">
      <c r="AL6603" s="20"/>
    </row>
    <row r="6604" spans="38:38" x14ac:dyDescent="0.35">
      <c r="AL6604" s="20"/>
    </row>
    <row r="6605" spans="38:38" x14ac:dyDescent="0.35">
      <c r="AL6605" s="20"/>
    </row>
    <row r="6606" spans="38:38" x14ac:dyDescent="0.35">
      <c r="AL6606" s="20"/>
    </row>
    <row r="6607" spans="38:38" x14ac:dyDescent="0.35">
      <c r="AL6607" s="20"/>
    </row>
    <row r="6608" spans="38:38" x14ac:dyDescent="0.35">
      <c r="AL6608" s="20"/>
    </row>
    <row r="6609" spans="38:38" x14ac:dyDescent="0.35">
      <c r="AL6609" s="20"/>
    </row>
    <row r="6610" spans="38:38" x14ac:dyDescent="0.35">
      <c r="AL6610" s="20"/>
    </row>
    <row r="6611" spans="38:38" x14ac:dyDescent="0.35">
      <c r="AL6611" s="20"/>
    </row>
    <row r="6612" spans="38:38" x14ac:dyDescent="0.35">
      <c r="AL6612" s="20"/>
    </row>
    <row r="6613" spans="38:38" x14ac:dyDescent="0.35">
      <c r="AL6613" s="20"/>
    </row>
    <row r="6614" spans="38:38" x14ac:dyDescent="0.35">
      <c r="AL6614" s="20"/>
    </row>
    <row r="6615" spans="38:38" x14ac:dyDescent="0.35">
      <c r="AL6615" s="20"/>
    </row>
    <row r="6616" spans="38:38" x14ac:dyDescent="0.35">
      <c r="AL6616" s="20"/>
    </row>
    <row r="6617" spans="38:38" x14ac:dyDescent="0.35">
      <c r="AL6617" s="20"/>
    </row>
    <row r="6618" spans="38:38" x14ac:dyDescent="0.35">
      <c r="AL6618" s="20"/>
    </row>
    <row r="6619" spans="38:38" x14ac:dyDescent="0.35">
      <c r="AL6619" s="20"/>
    </row>
    <row r="6620" spans="38:38" x14ac:dyDescent="0.35">
      <c r="AL6620" s="20"/>
    </row>
    <row r="6621" spans="38:38" x14ac:dyDescent="0.35">
      <c r="AL6621" s="20"/>
    </row>
    <row r="6622" spans="38:38" x14ac:dyDescent="0.35">
      <c r="AL6622" s="20"/>
    </row>
    <row r="6623" spans="38:38" x14ac:dyDescent="0.35">
      <c r="AL6623" s="20"/>
    </row>
    <row r="6624" spans="38:38" x14ac:dyDescent="0.35">
      <c r="AL6624" s="20"/>
    </row>
    <row r="6625" spans="38:38" x14ac:dyDescent="0.35">
      <c r="AL6625" s="20"/>
    </row>
    <row r="6626" spans="38:38" x14ac:dyDescent="0.35">
      <c r="AL6626" s="20"/>
    </row>
    <row r="6627" spans="38:38" x14ac:dyDescent="0.35">
      <c r="AL6627" s="20"/>
    </row>
    <row r="6628" spans="38:38" x14ac:dyDescent="0.35">
      <c r="AL6628" s="20"/>
    </row>
    <row r="6629" spans="38:38" x14ac:dyDescent="0.35">
      <c r="AL6629" s="20"/>
    </row>
    <row r="6630" spans="38:38" x14ac:dyDescent="0.35">
      <c r="AL6630" s="20"/>
    </row>
    <row r="6631" spans="38:38" x14ac:dyDescent="0.35">
      <c r="AL6631" s="20"/>
    </row>
    <row r="6632" spans="38:38" x14ac:dyDescent="0.35">
      <c r="AL6632" s="20"/>
    </row>
    <row r="6633" spans="38:38" x14ac:dyDescent="0.35">
      <c r="AL6633" s="20"/>
    </row>
    <row r="6634" spans="38:38" x14ac:dyDescent="0.35">
      <c r="AL6634" s="20"/>
    </row>
    <row r="6635" spans="38:38" x14ac:dyDescent="0.35">
      <c r="AL6635" s="20"/>
    </row>
    <row r="6636" spans="38:38" x14ac:dyDescent="0.35">
      <c r="AL6636" s="20"/>
    </row>
    <row r="6637" spans="38:38" x14ac:dyDescent="0.35">
      <c r="AL6637" s="20"/>
    </row>
    <row r="6638" spans="38:38" x14ac:dyDescent="0.35">
      <c r="AL6638" s="20"/>
    </row>
    <row r="6639" spans="38:38" x14ac:dyDescent="0.35">
      <c r="AL6639" s="20"/>
    </row>
    <row r="6640" spans="38:38" x14ac:dyDescent="0.35">
      <c r="AL6640" s="20"/>
    </row>
    <row r="6641" spans="38:38" x14ac:dyDescent="0.35">
      <c r="AL6641" s="20"/>
    </row>
    <row r="6642" spans="38:38" x14ac:dyDescent="0.35">
      <c r="AL6642" s="20"/>
    </row>
    <row r="6643" spans="38:38" x14ac:dyDescent="0.35">
      <c r="AL6643" s="20"/>
    </row>
    <row r="6644" spans="38:38" x14ac:dyDescent="0.35">
      <c r="AL6644" s="20"/>
    </row>
    <row r="6645" spans="38:38" x14ac:dyDescent="0.35">
      <c r="AL6645" s="20"/>
    </row>
    <row r="6646" spans="38:38" x14ac:dyDescent="0.35">
      <c r="AL6646" s="20"/>
    </row>
    <row r="6647" spans="38:38" x14ac:dyDescent="0.35">
      <c r="AL6647" s="20"/>
    </row>
    <row r="6648" spans="38:38" x14ac:dyDescent="0.35">
      <c r="AL6648" s="20"/>
    </row>
    <row r="6649" spans="38:38" x14ac:dyDescent="0.35">
      <c r="AL6649" s="20"/>
    </row>
    <row r="6650" spans="38:38" x14ac:dyDescent="0.35">
      <c r="AL6650" s="20"/>
    </row>
    <row r="6651" spans="38:38" x14ac:dyDescent="0.35">
      <c r="AL6651" s="20"/>
    </row>
    <row r="6652" spans="38:38" x14ac:dyDescent="0.35">
      <c r="AL6652" s="20"/>
    </row>
    <row r="6653" spans="38:38" x14ac:dyDescent="0.35">
      <c r="AL6653" s="20"/>
    </row>
    <row r="6654" spans="38:38" x14ac:dyDescent="0.35">
      <c r="AL6654" s="20"/>
    </row>
    <row r="6655" spans="38:38" x14ac:dyDescent="0.35">
      <c r="AL6655" s="20"/>
    </row>
    <row r="6656" spans="38:38" x14ac:dyDescent="0.35">
      <c r="AL6656" s="20"/>
    </row>
    <row r="6657" spans="38:38" x14ac:dyDescent="0.35">
      <c r="AL6657" s="20"/>
    </row>
    <row r="6658" spans="38:38" x14ac:dyDescent="0.35">
      <c r="AL6658" s="20"/>
    </row>
    <row r="6659" spans="38:38" x14ac:dyDescent="0.35">
      <c r="AL6659" s="20"/>
    </row>
    <row r="6660" spans="38:38" x14ac:dyDescent="0.35">
      <c r="AL6660" s="20"/>
    </row>
    <row r="6661" spans="38:38" x14ac:dyDescent="0.35">
      <c r="AL6661" s="20"/>
    </row>
    <row r="6662" spans="38:38" x14ac:dyDescent="0.35">
      <c r="AL6662" s="20"/>
    </row>
    <row r="6663" spans="38:38" x14ac:dyDescent="0.35">
      <c r="AL6663" s="20"/>
    </row>
    <row r="6664" spans="38:38" x14ac:dyDescent="0.35">
      <c r="AL6664" s="20"/>
    </row>
    <row r="6665" spans="38:38" x14ac:dyDescent="0.35">
      <c r="AL6665" s="20"/>
    </row>
    <row r="6666" spans="38:38" x14ac:dyDescent="0.35">
      <c r="AL6666" s="20"/>
    </row>
    <row r="6667" spans="38:38" x14ac:dyDescent="0.35">
      <c r="AL6667" s="20"/>
    </row>
    <row r="6668" spans="38:38" x14ac:dyDescent="0.35">
      <c r="AL6668" s="20"/>
    </row>
    <row r="6669" spans="38:38" x14ac:dyDescent="0.35">
      <c r="AL6669" s="20"/>
    </row>
    <row r="6670" spans="38:38" x14ac:dyDescent="0.35">
      <c r="AL6670" s="20"/>
    </row>
    <row r="6671" spans="38:38" x14ac:dyDescent="0.35">
      <c r="AL6671" s="20"/>
    </row>
    <row r="6672" spans="38:38" x14ac:dyDescent="0.35">
      <c r="AL6672" s="20"/>
    </row>
    <row r="6673" spans="38:38" x14ac:dyDescent="0.35">
      <c r="AL6673" s="20"/>
    </row>
    <row r="6674" spans="38:38" x14ac:dyDescent="0.35">
      <c r="AL6674" s="20"/>
    </row>
    <row r="6675" spans="38:38" x14ac:dyDescent="0.35">
      <c r="AL6675" s="20"/>
    </row>
    <row r="6676" spans="38:38" x14ac:dyDescent="0.35">
      <c r="AL6676" s="20"/>
    </row>
    <row r="6677" spans="38:38" x14ac:dyDescent="0.35">
      <c r="AL6677" s="20"/>
    </row>
    <row r="6678" spans="38:38" x14ac:dyDescent="0.35">
      <c r="AL6678" s="20"/>
    </row>
    <row r="6679" spans="38:38" x14ac:dyDescent="0.35">
      <c r="AL6679" s="20"/>
    </row>
    <row r="6680" spans="38:38" x14ac:dyDescent="0.35">
      <c r="AL6680" s="20"/>
    </row>
    <row r="6681" spans="38:38" x14ac:dyDescent="0.35">
      <c r="AL6681" s="20"/>
    </row>
    <row r="6682" spans="38:38" x14ac:dyDescent="0.35">
      <c r="AL6682" s="20"/>
    </row>
    <row r="6683" spans="38:38" x14ac:dyDescent="0.35">
      <c r="AL6683" s="20"/>
    </row>
    <row r="6684" spans="38:38" x14ac:dyDescent="0.35">
      <c r="AL6684" s="20"/>
    </row>
    <row r="6685" spans="38:38" x14ac:dyDescent="0.35">
      <c r="AL6685" s="20"/>
    </row>
    <row r="6686" spans="38:38" x14ac:dyDescent="0.35">
      <c r="AL6686" s="20"/>
    </row>
    <row r="6687" spans="38:38" x14ac:dyDescent="0.35">
      <c r="AL6687" s="20"/>
    </row>
    <row r="6688" spans="38:38" x14ac:dyDescent="0.35">
      <c r="AL6688" s="20"/>
    </row>
    <row r="6689" spans="38:38" x14ac:dyDescent="0.35">
      <c r="AL6689" s="20"/>
    </row>
    <row r="6690" spans="38:38" x14ac:dyDescent="0.35">
      <c r="AL6690" s="20"/>
    </row>
    <row r="6691" spans="38:38" x14ac:dyDescent="0.35">
      <c r="AL6691" s="20"/>
    </row>
    <row r="6692" spans="38:38" x14ac:dyDescent="0.35">
      <c r="AL6692" s="20"/>
    </row>
    <row r="6693" spans="38:38" x14ac:dyDescent="0.35">
      <c r="AL6693" s="20"/>
    </row>
    <row r="6694" spans="38:38" x14ac:dyDescent="0.35">
      <c r="AL6694" s="20"/>
    </row>
    <row r="6695" spans="38:38" x14ac:dyDescent="0.35">
      <c r="AL6695" s="20"/>
    </row>
    <row r="6696" spans="38:38" x14ac:dyDescent="0.35">
      <c r="AL6696" s="20"/>
    </row>
    <row r="6697" spans="38:38" x14ac:dyDescent="0.35">
      <c r="AL6697" s="20"/>
    </row>
    <row r="6698" spans="38:38" x14ac:dyDescent="0.35">
      <c r="AL6698" s="20"/>
    </row>
    <row r="6699" spans="38:38" x14ac:dyDescent="0.35">
      <c r="AL6699" s="20"/>
    </row>
    <row r="6700" spans="38:38" x14ac:dyDescent="0.35">
      <c r="AL6700" s="20"/>
    </row>
    <row r="6701" spans="38:38" x14ac:dyDescent="0.35">
      <c r="AL6701" s="20"/>
    </row>
    <row r="6702" spans="38:38" x14ac:dyDescent="0.35">
      <c r="AL6702" s="20"/>
    </row>
    <row r="6703" spans="38:38" x14ac:dyDescent="0.35">
      <c r="AL6703" s="20"/>
    </row>
    <row r="6704" spans="38:38" x14ac:dyDescent="0.35">
      <c r="AL6704" s="20"/>
    </row>
    <row r="6705" spans="38:38" x14ac:dyDescent="0.35">
      <c r="AL6705" s="20"/>
    </row>
    <row r="6706" spans="38:38" x14ac:dyDescent="0.35">
      <c r="AL6706" s="20"/>
    </row>
    <row r="6707" spans="38:38" x14ac:dyDescent="0.35">
      <c r="AL6707" s="20"/>
    </row>
    <row r="6708" spans="38:38" x14ac:dyDescent="0.35">
      <c r="AL6708" s="20"/>
    </row>
    <row r="6709" spans="38:38" x14ac:dyDescent="0.35">
      <c r="AL6709" s="20"/>
    </row>
    <row r="6710" spans="38:38" x14ac:dyDescent="0.35">
      <c r="AL6710" s="20"/>
    </row>
    <row r="6711" spans="38:38" x14ac:dyDescent="0.35">
      <c r="AL6711" s="20"/>
    </row>
    <row r="6712" spans="38:38" x14ac:dyDescent="0.35">
      <c r="AL6712" s="20"/>
    </row>
    <row r="6713" spans="38:38" x14ac:dyDescent="0.35">
      <c r="AL6713" s="20"/>
    </row>
    <row r="6714" spans="38:38" x14ac:dyDescent="0.35">
      <c r="AL6714" s="20"/>
    </row>
    <row r="6715" spans="38:38" x14ac:dyDescent="0.35">
      <c r="AL6715" s="20"/>
    </row>
    <row r="6716" spans="38:38" x14ac:dyDescent="0.35">
      <c r="AL6716" s="20"/>
    </row>
    <row r="6717" spans="38:38" x14ac:dyDescent="0.35">
      <c r="AL6717" s="20"/>
    </row>
    <row r="6718" spans="38:38" x14ac:dyDescent="0.35">
      <c r="AL6718" s="20"/>
    </row>
    <row r="6719" spans="38:38" x14ac:dyDescent="0.35">
      <c r="AL6719" s="20"/>
    </row>
    <row r="6720" spans="38:38" x14ac:dyDescent="0.35">
      <c r="AL6720" s="20"/>
    </row>
    <row r="6721" spans="38:38" x14ac:dyDescent="0.35">
      <c r="AL6721" s="20"/>
    </row>
    <row r="6722" spans="38:38" x14ac:dyDescent="0.35">
      <c r="AL6722" s="20"/>
    </row>
    <row r="6723" spans="38:38" x14ac:dyDescent="0.35">
      <c r="AL6723" s="20"/>
    </row>
    <row r="6724" spans="38:38" x14ac:dyDescent="0.35">
      <c r="AL6724" s="20"/>
    </row>
    <row r="6725" spans="38:38" x14ac:dyDescent="0.35">
      <c r="AL6725" s="20"/>
    </row>
    <row r="6726" spans="38:38" x14ac:dyDescent="0.35">
      <c r="AL6726" s="20"/>
    </row>
    <row r="6727" spans="38:38" x14ac:dyDescent="0.35">
      <c r="AL6727" s="20"/>
    </row>
    <row r="6728" spans="38:38" x14ac:dyDescent="0.35">
      <c r="AL6728" s="20"/>
    </row>
    <row r="6729" spans="38:38" x14ac:dyDescent="0.35">
      <c r="AL6729" s="20"/>
    </row>
    <row r="6730" spans="38:38" x14ac:dyDescent="0.35">
      <c r="AL6730" s="20"/>
    </row>
    <row r="6731" spans="38:38" x14ac:dyDescent="0.35">
      <c r="AL6731" s="20"/>
    </row>
    <row r="6732" spans="38:38" x14ac:dyDescent="0.35">
      <c r="AL6732" s="20"/>
    </row>
    <row r="6733" spans="38:38" x14ac:dyDescent="0.35">
      <c r="AL6733" s="20"/>
    </row>
    <row r="6734" spans="38:38" x14ac:dyDescent="0.35">
      <c r="AL6734" s="20"/>
    </row>
    <row r="6735" spans="38:38" x14ac:dyDescent="0.35">
      <c r="AL6735" s="20"/>
    </row>
    <row r="6736" spans="38:38" x14ac:dyDescent="0.35">
      <c r="AL6736" s="20"/>
    </row>
    <row r="6737" spans="38:38" x14ac:dyDescent="0.35">
      <c r="AL6737" s="20"/>
    </row>
    <row r="6738" spans="38:38" x14ac:dyDescent="0.35">
      <c r="AL6738" s="20"/>
    </row>
    <row r="6739" spans="38:38" x14ac:dyDescent="0.35">
      <c r="AL6739" s="20"/>
    </row>
    <row r="6740" spans="38:38" x14ac:dyDescent="0.35">
      <c r="AL6740" s="20"/>
    </row>
    <row r="6741" spans="38:38" x14ac:dyDescent="0.35">
      <c r="AL6741" s="20"/>
    </row>
    <row r="6742" spans="38:38" x14ac:dyDescent="0.35">
      <c r="AL6742" s="20"/>
    </row>
    <row r="6743" spans="38:38" x14ac:dyDescent="0.35">
      <c r="AL6743" s="20"/>
    </row>
    <row r="6744" spans="38:38" x14ac:dyDescent="0.35">
      <c r="AL6744" s="20"/>
    </row>
    <row r="6745" spans="38:38" x14ac:dyDescent="0.35">
      <c r="AL6745" s="20"/>
    </row>
    <row r="6746" spans="38:38" x14ac:dyDescent="0.35">
      <c r="AL6746" s="20"/>
    </row>
    <row r="6747" spans="38:38" x14ac:dyDescent="0.35">
      <c r="AL6747" s="20"/>
    </row>
    <row r="6748" spans="38:38" x14ac:dyDescent="0.35">
      <c r="AL6748" s="20"/>
    </row>
    <row r="6749" spans="38:38" x14ac:dyDescent="0.35">
      <c r="AL6749" s="20"/>
    </row>
    <row r="6750" spans="38:38" x14ac:dyDescent="0.35">
      <c r="AL6750" s="20"/>
    </row>
    <row r="6751" spans="38:38" x14ac:dyDescent="0.35">
      <c r="AL6751" s="20"/>
    </row>
    <row r="6752" spans="38:38" x14ac:dyDescent="0.35">
      <c r="AL6752" s="20"/>
    </row>
    <row r="6753" spans="38:38" x14ac:dyDescent="0.35">
      <c r="AL6753" s="20"/>
    </row>
    <row r="6754" spans="38:38" x14ac:dyDescent="0.35">
      <c r="AL6754" s="20"/>
    </row>
    <row r="6755" spans="38:38" x14ac:dyDescent="0.35">
      <c r="AL6755" s="20"/>
    </row>
    <row r="6756" spans="38:38" x14ac:dyDescent="0.35">
      <c r="AL6756" s="20"/>
    </row>
    <row r="6757" spans="38:38" x14ac:dyDescent="0.35">
      <c r="AL6757" s="20"/>
    </row>
    <row r="6758" spans="38:38" x14ac:dyDescent="0.35">
      <c r="AL6758" s="20"/>
    </row>
    <row r="6759" spans="38:38" x14ac:dyDescent="0.35">
      <c r="AL6759" s="20"/>
    </row>
    <row r="6760" spans="38:38" x14ac:dyDescent="0.35">
      <c r="AL6760" s="20"/>
    </row>
    <row r="6761" spans="38:38" x14ac:dyDescent="0.35">
      <c r="AL6761" s="20"/>
    </row>
    <row r="6762" spans="38:38" x14ac:dyDescent="0.35">
      <c r="AL6762" s="20"/>
    </row>
    <row r="6763" spans="38:38" x14ac:dyDescent="0.35">
      <c r="AL6763" s="20"/>
    </row>
    <row r="6764" spans="38:38" x14ac:dyDescent="0.35">
      <c r="AL6764" s="20"/>
    </row>
    <row r="6765" spans="38:38" x14ac:dyDescent="0.35">
      <c r="AL6765" s="20"/>
    </row>
    <row r="6766" spans="38:38" x14ac:dyDescent="0.35">
      <c r="AL6766" s="20"/>
    </row>
    <row r="6767" spans="38:38" x14ac:dyDescent="0.35">
      <c r="AL6767" s="20"/>
    </row>
    <row r="6768" spans="38:38" x14ac:dyDescent="0.35">
      <c r="AL6768" s="20"/>
    </row>
    <row r="6769" spans="38:38" x14ac:dyDescent="0.35">
      <c r="AL6769" s="20"/>
    </row>
    <row r="6770" spans="38:38" x14ac:dyDescent="0.35">
      <c r="AL6770" s="20"/>
    </row>
    <row r="6771" spans="38:38" x14ac:dyDescent="0.35">
      <c r="AL6771" s="20"/>
    </row>
    <row r="6772" spans="38:38" x14ac:dyDescent="0.35">
      <c r="AL6772" s="20"/>
    </row>
    <row r="6773" spans="38:38" x14ac:dyDescent="0.35">
      <c r="AL6773" s="20"/>
    </row>
    <row r="6774" spans="38:38" x14ac:dyDescent="0.35">
      <c r="AL6774" s="20"/>
    </row>
    <row r="6775" spans="38:38" x14ac:dyDescent="0.35">
      <c r="AL6775" s="20"/>
    </row>
    <row r="6776" spans="38:38" x14ac:dyDescent="0.35">
      <c r="AL6776" s="20"/>
    </row>
    <row r="6777" spans="38:38" x14ac:dyDescent="0.35">
      <c r="AL6777" s="20"/>
    </row>
    <row r="6778" spans="38:38" x14ac:dyDescent="0.35">
      <c r="AL6778" s="20"/>
    </row>
    <row r="6779" spans="38:38" x14ac:dyDescent="0.35">
      <c r="AL6779" s="20"/>
    </row>
    <row r="6780" spans="38:38" x14ac:dyDescent="0.35">
      <c r="AL6780" s="20"/>
    </row>
    <row r="6781" spans="38:38" x14ac:dyDescent="0.35">
      <c r="AL6781" s="20"/>
    </row>
    <row r="6782" spans="38:38" x14ac:dyDescent="0.35">
      <c r="AL6782" s="20"/>
    </row>
    <row r="6783" spans="38:38" x14ac:dyDescent="0.35">
      <c r="AL6783" s="20"/>
    </row>
    <row r="6784" spans="38:38" x14ac:dyDescent="0.35">
      <c r="AL6784" s="20"/>
    </row>
    <row r="6785" spans="38:38" x14ac:dyDescent="0.35">
      <c r="AL6785" s="20"/>
    </row>
    <row r="6786" spans="38:38" x14ac:dyDescent="0.35">
      <c r="AL6786" s="20"/>
    </row>
    <row r="6787" spans="38:38" x14ac:dyDescent="0.35">
      <c r="AL6787" s="20"/>
    </row>
    <row r="6788" spans="38:38" x14ac:dyDescent="0.35">
      <c r="AL6788" s="20"/>
    </row>
    <row r="6789" spans="38:38" x14ac:dyDescent="0.35">
      <c r="AL6789" s="20"/>
    </row>
    <row r="6790" spans="38:38" x14ac:dyDescent="0.35">
      <c r="AL6790" s="20"/>
    </row>
    <row r="6791" spans="38:38" x14ac:dyDescent="0.35">
      <c r="AL6791" s="20"/>
    </row>
    <row r="6792" spans="38:38" x14ac:dyDescent="0.35">
      <c r="AL6792" s="20"/>
    </row>
    <row r="6793" spans="38:38" x14ac:dyDescent="0.35">
      <c r="AL6793" s="20"/>
    </row>
    <row r="6794" spans="38:38" x14ac:dyDescent="0.35">
      <c r="AL6794" s="20"/>
    </row>
    <row r="6795" spans="38:38" x14ac:dyDescent="0.35">
      <c r="AL6795" s="20"/>
    </row>
    <row r="6796" spans="38:38" x14ac:dyDescent="0.35">
      <c r="AL6796" s="20"/>
    </row>
    <row r="6797" spans="38:38" x14ac:dyDescent="0.35">
      <c r="AL6797" s="20"/>
    </row>
    <row r="6798" spans="38:38" x14ac:dyDescent="0.35">
      <c r="AL6798" s="20"/>
    </row>
    <row r="6799" spans="38:38" x14ac:dyDescent="0.35">
      <c r="AL6799" s="20"/>
    </row>
    <row r="6800" spans="38:38" x14ac:dyDescent="0.35">
      <c r="AL6800" s="20"/>
    </row>
    <row r="6801" spans="38:38" x14ac:dyDescent="0.35">
      <c r="AL6801" s="20"/>
    </row>
    <row r="6802" spans="38:38" x14ac:dyDescent="0.35">
      <c r="AL6802" s="20"/>
    </row>
    <row r="6803" spans="38:38" x14ac:dyDescent="0.35">
      <c r="AL6803" s="20"/>
    </row>
    <row r="6804" spans="38:38" x14ac:dyDescent="0.35">
      <c r="AL6804" s="20"/>
    </row>
    <row r="6805" spans="38:38" x14ac:dyDescent="0.35">
      <c r="AL6805" s="20"/>
    </row>
    <row r="6806" spans="38:38" x14ac:dyDescent="0.35">
      <c r="AL6806" s="20"/>
    </row>
    <row r="6807" spans="38:38" x14ac:dyDescent="0.35">
      <c r="AL6807" s="20"/>
    </row>
    <row r="6808" spans="38:38" x14ac:dyDescent="0.35">
      <c r="AL6808" s="20"/>
    </row>
    <row r="6809" spans="38:38" x14ac:dyDescent="0.35">
      <c r="AL6809" s="20"/>
    </row>
    <row r="6810" spans="38:38" x14ac:dyDescent="0.35">
      <c r="AL6810" s="20"/>
    </row>
    <row r="6811" spans="38:38" x14ac:dyDescent="0.35">
      <c r="AL6811" s="20"/>
    </row>
    <row r="6812" spans="38:38" x14ac:dyDescent="0.35">
      <c r="AL6812" s="20"/>
    </row>
    <row r="6813" spans="38:38" x14ac:dyDescent="0.35">
      <c r="AL6813" s="20"/>
    </row>
    <row r="6814" spans="38:38" x14ac:dyDescent="0.35">
      <c r="AL6814" s="20"/>
    </row>
    <row r="6815" spans="38:38" x14ac:dyDescent="0.35">
      <c r="AL6815" s="20"/>
    </row>
    <row r="6816" spans="38:38" x14ac:dyDescent="0.35">
      <c r="AL6816" s="20"/>
    </row>
    <row r="6817" spans="38:38" x14ac:dyDescent="0.35">
      <c r="AL6817" s="20"/>
    </row>
    <row r="6818" spans="38:38" x14ac:dyDescent="0.35">
      <c r="AL6818" s="20"/>
    </row>
    <row r="6819" spans="38:38" x14ac:dyDescent="0.35">
      <c r="AL6819" s="20"/>
    </row>
    <row r="6820" spans="38:38" x14ac:dyDescent="0.35">
      <c r="AL6820" s="20"/>
    </row>
    <row r="6821" spans="38:38" x14ac:dyDescent="0.35">
      <c r="AL6821" s="20"/>
    </row>
    <row r="6822" spans="38:38" x14ac:dyDescent="0.35">
      <c r="AL6822" s="20"/>
    </row>
    <row r="6823" spans="38:38" x14ac:dyDescent="0.35">
      <c r="AL6823" s="20"/>
    </row>
    <row r="6824" spans="38:38" x14ac:dyDescent="0.35">
      <c r="AL6824" s="20"/>
    </row>
    <row r="6825" spans="38:38" x14ac:dyDescent="0.35">
      <c r="AL6825" s="20"/>
    </row>
    <row r="6826" spans="38:38" x14ac:dyDescent="0.35">
      <c r="AL6826" s="20"/>
    </row>
    <row r="6827" spans="38:38" x14ac:dyDescent="0.35">
      <c r="AL6827" s="20"/>
    </row>
    <row r="6828" spans="38:38" x14ac:dyDescent="0.35">
      <c r="AL6828" s="20"/>
    </row>
    <row r="6829" spans="38:38" x14ac:dyDescent="0.35">
      <c r="AL6829" s="20"/>
    </row>
    <row r="6830" spans="38:38" x14ac:dyDescent="0.35">
      <c r="AL6830" s="20"/>
    </row>
    <row r="6831" spans="38:38" x14ac:dyDescent="0.35">
      <c r="AL6831" s="20"/>
    </row>
    <row r="6832" spans="38:38" x14ac:dyDescent="0.35">
      <c r="AL6832" s="20"/>
    </row>
    <row r="6833" spans="38:38" x14ac:dyDescent="0.35">
      <c r="AL6833" s="20"/>
    </row>
    <row r="6834" spans="38:38" x14ac:dyDescent="0.35">
      <c r="AL6834" s="20"/>
    </row>
    <row r="6835" spans="38:38" x14ac:dyDescent="0.35">
      <c r="AL6835" s="20"/>
    </row>
    <row r="6836" spans="38:38" x14ac:dyDescent="0.35">
      <c r="AL6836" s="20"/>
    </row>
    <row r="6837" spans="38:38" x14ac:dyDescent="0.35">
      <c r="AL6837" s="20"/>
    </row>
    <row r="6838" spans="38:38" x14ac:dyDescent="0.35">
      <c r="AL6838" s="20"/>
    </row>
    <row r="6839" spans="38:38" x14ac:dyDescent="0.35">
      <c r="AL6839" s="20"/>
    </row>
    <row r="6840" spans="38:38" x14ac:dyDescent="0.35">
      <c r="AL6840" s="20"/>
    </row>
    <row r="6841" spans="38:38" x14ac:dyDescent="0.35">
      <c r="AL6841" s="20"/>
    </row>
    <row r="6842" spans="38:38" x14ac:dyDescent="0.35">
      <c r="AL6842" s="20"/>
    </row>
    <row r="6843" spans="38:38" x14ac:dyDescent="0.35">
      <c r="AL6843" s="20"/>
    </row>
    <row r="6844" spans="38:38" x14ac:dyDescent="0.35">
      <c r="AL6844" s="20"/>
    </row>
    <row r="6845" spans="38:38" x14ac:dyDescent="0.35">
      <c r="AL6845" s="20"/>
    </row>
    <row r="6846" spans="38:38" x14ac:dyDescent="0.35">
      <c r="AL6846" s="20"/>
    </row>
    <row r="6847" spans="38:38" x14ac:dyDescent="0.35">
      <c r="AL6847" s="20"/>
    </row>
    <row r="6848" spans="38:38" x14ac:dyDescent="0.35">
      <c r="AL6848" s="20"/>
    </row>
    <row r="6849" spans="38:38" x14ac:dyDescent="0.35">
      <c r="AL6849" s="20"/>
    </row>
    <row r="6850" spans="38:38" x14ac:dyDescent="0.35">
      <c r="AL6850" s="20"/>
    </row>
    <row r="6851" spans="38:38" x14ac:dyDescent="0.35">
      <c r="AL6851" s="20"/>
    </row>
    <row r="6852" spans="38:38" x14ac:dyDescent="0.35">
      <c r="AL6852" s="20"/>
    </row>
    <row r="6853" spans="38:38" x14ac:dyDescent="0.35">
      <c r="AL6853" s="20"/>
    </row>
    <row r="6854" spans="38:38" x14ac:dyDescent="0.35">
      <c r="AL6854" s="20"/>
    </row>
    <row r="6855" spans="38:38" x14ac:dyDescent="0.35">
      <c r="AL6855" s="20"/>
    </row>
    <row r="6856" spans="38:38" x14ac:dyDescent="0.35">
      <c r="AL6856" s="20"/>
    </row>
    <row r="6857" spans="38:38" x14ac:dyDescent="0.35">
      <c r="AL6857" s="20"/>
    </row>
    <row r="6858" spans="38:38" x14ac:dyDescent="0.35">
      <c r="AL6858" s="20"/>
    </row>
    <row r="6859" spans="38:38" x14ac:dyDescent="0.35">
      <c r="AL6859" s="20"/>
    </row>
    <row r="6860" spans="38:38" x14ac:dyDescent="0.35">
      <c r="AL6860" s="20"/>
    </row>
    <row r="6861" spans="38:38" x14ac:dyDescent="0.35">
      <c r="AL6861" s="20"/>
    </row>
    <row r="6862" spans="38:38" x14ac:dyDescent="0.35">
      <c r="AL6862" s="20"/>
    </row>
    <row r="6863" spans="38:38" x14ac:dyDescent="0.35">
      <c r="AL6863" s="20"/>
    </row>
    <row r="6864" spans="38:38" x14ac:dyDescent="0.35">
      <c r="AL6864" s="20"/>
    </row>
    <row r="6865" spans="38:38" x14ac:dyDescent="0.35">
      <c r="AL6865" s="20"/>
    </row>
    <row r="6866" spans="38:38" x14ac:dyDescent="0.35">
      <c r="AL6866" s="20"/>
    </row>
    <row r="6867" spans="38:38" x14ac:dyDescent="0.35">
      <c r="AL6867" s="20"/>
    </row>
    <row r="6868" spans="38:38" x14ac:dyDescent="0.35">
      <c r="AL6868" s="20"/>
    </row>
    <row r="6869" spans="38:38" x14ac:dyDescent="0.35">
      <c r="AL6869" s="20"/>
    </row>
    <row r="6870" spans="38:38" x14ac:dyDescent="0.35">
      <c r="AL6870" s="20"/>
    </row>
    <row r="6871" spans="38:38" x14ac:dyDescent="0.35">
      <c r="AL6871" s="20"/>
    </row>
    <row r="6872" spans="38:38" x14ac:dyDescent="0.35">
      <c r="AL6872" s="20"/>
    </row>
    <row r="6873" spans="38:38" x14ac:dyDescent="0.35">
      <c r="AL6873" s="20"/>
    </row>
    <row r="6874" spans="38:38" x14ac:dyDescent="0.35">
      <c r="AL6874" s="20"/>
    </row>
    <row r="6875" spans="38:38" x14ac:dyDescent="0.35">
      <c r="AL6875" s="20"/>
    </row>
    <row r="6876" spans="38:38" x14ac:dyDescent="0.35">
      <c r="AL6876" s="20"/>
    </row>
    <row r="6877" spans="38:38" x14ac:dyDescent="0.35">
      <c r="AL6877" s="20"/>
    </row>
    <row r="6878" spans="38:38" x14ac:dyDescent="0.35">
      <c r="AL6878" s="20"/>
    </row>
    <row r="6879" spans="38:38" x14ac:dyDescent="0.35">
      <c r="AL6879" s="20"/>
    </row>
    <row r="6880" spans="38:38" x14ac:dyDescent="0.35">
      <c r="AL6880" s="20"/>
    </row>
    <row r="6881" spans="38:38" x14ac:dyDescent="0.35">
      <c r="AL6881" s="20"/>
    </row>
    <row r="6882" spans="38:38" x14ac:dyDescent="0.35">
      <c r="AL6882" s="20"/>
    </row>
    <row r="6883" spans="38:38" x14ac:dyDescent="0.35">
      <c r="AL6883" s="20"/>
    </row>
    <row r="6884" spans="38:38" x14ac:dyDescent="0.35">
      <c r="AL6884" s="20"/>
    </row>
    <row r="6885" spans="38:38" x14ac:dyDescent="0.35">
      <c r="AL6885" s="20"/>
    </row>
    <row r="6886" spans="38:38" x14ac:dyDescent="0.35">
      <c r="AL6886" s="20"/>
    </row>
    <row r="6887" spans="38:38" x14ac:dyDescent="0.35">
      <c r="AL6887" s="20"/>
    </row>
    <row r="6888" spans="38:38" x14ac:dyDescent="0.35">
      <c r="AL6888" s="20"/>
    </row>
    <row r="6889" spans="38:38" x14ac:dyDescent="0.35">
      <c r="AL6889" s="20"/>
    </row>
    <row r="6890" spans="38:38" x14ac:dyDescent="0.35">
      <c r="AL6890" s="20"/>
    </row>
    <row r="6891" spans="38:38" x14ac:dyDescent="0.35">
      <c r="AL6891" s="20"/>
    </row>
    <row r="6892" spans="38:38" x14ac:dyDescent="0.35">
      <c r="AL6892" s="20"/>
    </row>
    <row r="6893" spans="38:38" x14ac:dyDescent="0.35">
      <c r="AL6893" s="20"/>
    </row>
    <row r="6894" spans="38:38" x14ac:dyDescent="0.35">
      <c r="AL6894" s="20"/>
    </row>
    <row r="6895" spans="38:38" x14ac:dyDescent="0.35">
      <c r="AL6895" s="20"/>
    </row>
    <row r="6896" spans="38:38" x14ac:dyDescent="0.35">
      <c r="AL6896" s="20"/>
    </row>
    <row r="6897" spans="38:38" x14ac:dyDescent="0.35">
      <c r="AL6897" s="20"/>
    </row>
    <row r="6898" spans="38:38" x14ac:dyDescent="0.35">
      <c r="AL6898" s="20"/>
    </row>
    <row r="6899" spans="38:38" x14ac:dyDescent="0.35">
      <c r="AL6899" s="20"/>
    </row>
    <row r="6900" spans="38:38" x14ac:dyDescent="0.35">
      <c r="AL6900" s="20"/>
    </row>
    <row r="6901" spans="38:38" x14ac:dyDescent="0.35">
      <c r="AL6901" s="20"/>
    </row>
    <row r="6902" spans="38:38" x14ac:dyDescent="0.35">
      <c r="AL6902" s="20"/>
    </row>
    <row r="6903" spans="38:38" x14ac:dyDescent="0.35">
      <c r="AL6903" s="20"/>
    </row>
    <row r="6904" spans="38:38" x14ac:dyDescent="0.35">
      <c r="AL6904" s="20"/>
    </row>
    <row r="6905" spans="38:38" x14ac:dyDescent="0.35">
      <c r="AL6905" s="20"/>
    </row>
    <row r="6906" spans="38:38" x14ac:dyDescent="0.35">
      <c r="AL6906" s="20"/>
    </row>
    <row r="6907" spans="38:38" x14ac:dyDescent="0.35">
      <c r="AL6907" s="20"/>
    </row>
    <row r="6908" spans="38:38" x14ac:dyDescent="0.35">
      <c r="AL6908" s="20"/>
    </row>
    <row r="6909" spans="38:38" x14ac:dyDescent="0.35">
      <c r="AL6909" s="20"/>
    </row>
    <row r="6910" spans="38:38" x14ac:dyDescent="0.35">
      <c r="AL6910" s="20"/>
    </row>
    <row r="6911" spans="38:38" x14ac:dyDescent="0.35">
      <c r="AL6911" s="20"/>
    </row>
    <row r="6912" spans="38:38" x14ac:dyDescent="0.35">
      <c r="AL6912" s="20"/>
    </row>
    <row r="6913" spans="38:38" x14ac:dyDescent="0.35">
      <c r="AL6913" s="20"/>
    </row>
    <row r="6914" spans="38:38" x14ac:dyDescent="0.35">
      <c r="AL6914" s="20"/>
    </row>
    <row r="6915" spans="38:38" x14ac:dyDescent="0.35">
      <c r="AL6915" s="20"/>
    </row>
    <row r="6916" spans="38:38" x14ac:dyDescent="0.35">
      <c r="AL6916" s="20"/>
    </row>
    <row r="6917" spans="38:38" x14ac:dyDescent="0.35">
      <c r="AL6917" s="20"/>
    </row>
    <row r="6918" spans="38:38" x14ac:dyDescent="0.35">
      <c r="AL6918" s="20"/>
    </row>
    <row r="6919" spans="38:38" x14ac:dyDescent="0.35">
      <c r="AL6919" s="20"/>
    </row>
    <row r="6920" spans="38:38" x14ac:dyDescent="0.35">
      <c r="AL6920" s="20"/>
    </row>
    <row r="6921" spans="38:38" x14ac:dyDescent="0.35">
      <c r="AL6921" s="20"/>
    </row>
    <row r="6922" spans="38:38" x14ac:dyDescent="0.35">
      <c r="AL6922" s="20"/>
    </row>
    <row r="6923" spans="38:38" x14ac:dyDescent="0.35">
      <c r="AL6923" s="20"/>
    </row>
    <row r="6924" spans="38:38" x14ac:dyDescent="0.35">
      <c r="AL6924" s="20"/>
    </row>
    <row r="6925" spans="38:38" x14ac:dyDescent="0.35">
      <c r="AL6925" s="20"/>
    </row>
    <row r="6926" spans="38:38" x14ac:dyDescent="0.35">
      <c r="AL6926" s="20"/>
    </row>
    <row r="6927" spans="38:38" x14ac:dyDescent="0.35">
      <c r="AL6927" s="20"/>
    </row>
    <row r="6928" spans="38:38" x14ac:dyDescent="0.35">
      <c r="AL6928" s="20"/>
    </row>
    <row r="6929" spans="38:38" x14ac:dyDescent="0.35">
      <c r="AL6929" s="20"/>
    </row>
    <row r="6930" spans="38:38" x14ac:dyDescent="0.35">
      <c r="AL6930" s="20"/>
    </row>
    <row r="6931" spans="38:38" x14ac:dyDescent="0.35">
      <c r="AL6931" s="20"/>
    </row>
    <row r="6932" spans="38:38" x14ac:dyDescent="0.35">
      <c r="AL6932" s="20"/>
    </row>
    <row r="6933" spans="38:38" x14ac:dyDescent="0.35">
      <c r="AL6933" s="20"/>
    </row>
    <row r="6934" spans="38:38" x14ac:dyDescent="0.35">
      <c r="AL6934" s="20"/>
    </row>
    <row r="6935" spans="38:38" x14ac:dyDescent="0.35">
      <c r="AL6935" s="20"/>
    </row>
    <row r="6936" spans="38:38" x14ac:dyDescent="0.35">
      <c r="AL6936" s="20"/>
    </row>
    <row r="6937" spans="38:38" x14ac:dyDescent="0.35">
      <c r="AL6937" s="20"/>
    </row>
    <row r="6938" spans="38:38" x14ac:dyDescent="0.35">
      <c r="AL6938" s="20"/>
    </row>
    <row r="6939" spans="38:38" x14ac:dyDescent="0.35">
      <c r="AL6939" s="20"/>
    </row>
    <row r="6940" spans="38:38" x14ac:dyDescent="0.35">
      <c r="AL6940" s="20"/>
    </row>
    <row r="6941" spans="38:38" x14ac:dyDescent="0.35">
      <c r="AL6941" s="20"/>
    </row>
    <row r="6942" spans="38:38" x14ac:dyDescent="0.35">
      <c r="AL6942" s="20"/>
    </row>
    <row r="6943" spans="38:38" x14ac:dyDescent="0.35">
      <c r="AL6943" s="20"/>
    </row>
    <row r="6944" spans="38:38" x14ac:dyDescent="0.35">
      <c r="AL6944" s="20"/>
    </row>
    <row r="6945" spans="38:38" x14ac:dyDescent="0.35">
      <c r="AL6945" s="20"/>
    </row>
    <row r="6946" spans="38:38" x14ac:dyDescent="0.35">
      <c r="AL6946" s="20"/>
    </row>
    <row r="6947" spans="38:38" x14ac:dyDescent="0.35">
      <c r="AL6947" s="20"/>
    </row>
    <row r="6948" spans="38:38" x14ac:dyDescent="0.35">
      <c r="AL6948" s="20"/>
    </row>
    <row r="6949" spans="38:38" x14ac:dyDescent="0.35">
      <c r="AL6949" s="20"/>
    </row>
    <row r="6950" spans="38:38" x14ac:dyDescent="0.35">
      <c r="AL6950" s="20"/>
    </row>
    <row r="6951" spans="38:38" x14ac:dyDescent="0.35">
      <c r="AL6951" s="20"/>
    </row>
    <row r="6952" spans="38:38" x14ac:dyDescent="0.35">
      <c r="AL6952" s="20"/>
    </row>
    <row r="6953" spans="38:38" x14ac:dyDescent="0.35">
      <c r="AL6953" s="20"/>
    </row>
    <row r="6954" spans="38:38" x14ac:dyDescent="0.35">
      <c r="AL6954" s="20"/>
    </row>
    <row r="6955" spans="38:38" x14ac:dyDescent="0.35">
      <c r="AL6955" s="20"/>
    </row>
    <row r="6956" spans="38:38" x14ac:dyDescent="0.35">
      <c r="AL6956" s="20"/>
    </row>
    <row r="6957" spans="38:38" x14ac:dyDescent="0.35">
      <c r="AL6957" s="20"/>
    </row>
    <row r="6958" spans="38:38" x14ac:dyDescent="0.35">
      <c r="AL6958" s="20"/>
    </row>
    <row r="6959" spans="38:38" x14ac:dyDescent="0.35">
      <c r="AL6959" s="20"/>
    </row>
    <row r="6960" spans="38:38" x14ac:dyDescent="0.35">
      <c r="AL6960" s="20"/>
    </row>
    <row r="6961" spans="38:38" x14ac:dyDescent="0.35">
      <c r="AL6961" s="20"/>
    </row>
    <row r="6962" spans="38:38" x14ac:dyDescent="0.35">
      <c r="AL6962" s="20"/>
    </row>
    <row r="6963" spans="38:38" x14ac:dyDescent="0.35">
      <c r="AL6963" s="20"/>
    </row>
    <row r="6964" spans="38:38" x14ac:dyDescent="0.35">
      <c r="AL6964" s="20"/>
    </row>
    <row r="6965" spans="38:38" x14ac:dyDescent="0.35">
      <c r="AL6965" s="20"/>
    </row>
    <row r="6966" spans="38:38" x14ac:dyDescent="0.35">
      <c r="AL6966" s="20"/>
    </row>
    <row r="6967" spans="38:38" x14ac:dyDescent="0.35">
      <c r="AL6967" s="20"/>
    </row>
    <row r="6968" spans="38:38" x14ac:dyDescent="0.35">
      <c r="AL6968" s="20"/>
    </row>
    <row r="6969" spans="38:38" x14ac:dyDescent="0.35">
      <c r="AL6969" s="20"/>
    </row>
    <row r="6970" spans="38:38" x14ac:dyDescent="0.35">
      <c r="AL6970" s="20"/>
    </row>
    <row r="6971" spans="38:38" x14ac:dyDescent="0.35">
      <c r="AL6971" s="20"/>
    </row>
    <row r="6972" spans="38:38" x14ac:dyDescent="0.35">
      <c r="AL6972" s="20"/>
    </row>
    <row r="6973" spans="38:38" x14ac:dyDescent="0.35">
      <c r="AL6973" s="20"/>
    </row>
    <row r="6974" spans="38:38" x14ac:dyDescent="0.35">
      <c r="AL6974" s="20"/>
    </row>
    <row r="6975" spans="38:38" x14ac:dyDescent="0.35">
      <c r="AL6975" s="20"/>
    </row>
    <row r="6976" spans="38:38" x14ac:dyDescent="0.35">
      <c r="AL6976" s="20"/>
    </row>
    <row r="6977" spans="38:38" x14ac:dyDescent="0.35">
      <c r="AL6977" s="20"/>
    </row>
    <row r="6978" spans="38:38" x14ac:dyDescent="0.35">
      <c r="AL6978" s="20"/>
    </row>
    <row r="6979" spans="38:38" x14ac:dyDescent="0.35">
      <c r="AL6979" s="20"/>
    </row>
    <row r="6980" spans="38:38" x14ac:dyDescent="0.35">
      <c r="AL6980" s="20"/>
    </row>
    <row r="6981" spans="38:38" x14ac:dyDescent="0.35">
      <c r="AL6981" s="20"/>
    </row>
    <row r="6982" spans="38:38" x14ac:dyDescent="0.35">
      <c r="AL6982" s="20"/>
    </row>
    <row r="6983" spans="38:38" x14ac:dyDescent="0.35">
      <c r="AL6983" s="20"/>
    </row>
    <row r="6984" spans="38:38" x14ac:dyDescent="0.35">
      <c r="AL6984" s="20"/>
    </row>
    <row r="6985" spans="38:38" x14ac:dyDescent="0.35">
      <c r="AL6985" s="20"/>
    </row>
    <row r="6986" spans="38:38" x14ac:dyDescent="0.35">
      <c r="AL6986" s="20"/>
    </row>
    <row r="6987" spans="38:38" x14ac:dyDescent="0.35">
      <c r="AL6987" s="20"/>
    </row>
    <row r="6988" spans="38:38" x14ac:dyDescent="0.35">
      <c r="AL6988" s="20"/>
    </row>
    <row r="6989" spans="38:38" x14ac:dyDescent="0.35">
      <c r="AL6989" s="20"/>
    </row>
    <row r="6990" spans="38:38" x14ac:dyDescent="0.35">
      <c r="AL6990" s="20"/>
    </row>
    <row r="6991" spans="38:38" x14ac:dyDescent="0.35">
      <c r="AL6991" s="20"/>
    </row>
    <row r="6992" spans="38:38" x14ac:dyDescent="0.35">
      <c r="AL6992" s="20"/>
    </row>
    <row r="6993" spans="38:38" x14ac:dyDescent="0.35">
      <c r="AL6993" s="20"/>
    </row>
    <row r="6994" spans="38:38" x14ac:dyDescent="0.35">
      <c r="AL6994" s="20"/>
    </row>
    <row r="6995" spans="38:38" x14ac:dyDescent="0.35">
      <c r="AL6995" s="20"/>
    </row>
    <row r="6996" spans="38:38" x14ac:dyDescent="0.35">
      <c r="AL6996" s="20"/>
    </row>
    <row r="6997" spans="38:38" x14ac:dyDescent="0.35">
      <c r="AL6997" s="20"/>
    </row>
    <row r="6998" spans="38:38" x14ac:dyDescent="0.35">
      <c r="AL6998" s="20"/>
    </row>
    <row r="6999" spans="38:38" x14ac:dyDescent="0.35">
      <c r="AL6999" s="20"/>
    </row>
    <row r="7000" spans="38:38" x14ac:dyDescent="0.35">
      <c r="AL7000" s="20"/>
    </row>
    <row r="7001" spans="38:38" x14ac:dyDescent="0.35">
      <c r="AL7001" s="20"/>
    </row>
    <row r="7002" spans="38:38" x14ac:dyDescent="0.35">
      <c r="AL7002" s="20"/>
    </row>
    <row r="7003" spans="38:38" x14ac:dyDescent="0.35">
      <c r="AL7003" s="20"/>
    </row>
    <row r="7004" spans="38:38" x14ac:dyDescent="0.35">
      <c r="AL7004" s="20"/>
    </row>
    <row r="7005" spans="38:38" x14ac:dyDescent="0.35">
      <c r="AL7005" s="20"/>
    </row>
    <row r="7006" spans="38:38" x14ac:dyDescent="0.35">
      <c r="AL7006" s="20"/>
    </row>
    <row r="7007" spans="38:38" x14ac:dyDescent="0.35">
      <c r="AL7007" s="20"/>
    </row>
    <row r="7008" spans="38:38" x14ac:dyDescent="0.35">
      <c r="AL7008" s="20"/>
    </row>
    <row r="7009" spans="38:38" x14ac:dyDescent="0.35">
      <c r="AL7009" s="20"/>
    </row>
    <row r="7010" spans="38:38" x14ac:dyDescent="0.35">
      <c r="AL7010" s="20"/>
    </row>
    <row r="7011" spans="38:38" x14ac:dyDescent="0.35">
      <c r="AL7011" s="20"/>
    </row>
    <row r="7012" spans="38:38" x14ac:dyDescent="0.35">
      <c r="AL7012" s="20"/>
    </row>
    <row r="7013" spans="38:38" x14ac:dyDescent="0.35">
      <c r="AL7013" s="20"/>
    </row>
    <row r="7014" spans="38:38" x14ac:dyDescent="0.35">
      <c r="AL7014" s="20"/>
    </row>
    <row r="7015" spans="38:38" x14ac:dyDescent="0.35">
      <c r="AL7015" s="20"/>
    </row>
    <row r="7016" spans="38:38" x14ac:dyDescent="0.35">
      <c r="AL7016" s="20"/>
    </row>
    <row r="7017" spans="38:38" x14ac:dyDescent="0.35">
      <c r="AL7017" s="20"/>
    </row>
    <row r="7018" spans="38:38" x14ac:dyDescent="0.35">
      <c r="AL7018" s="20"/>
    </row>
    <row r="7019" spans="38:38" x14ac:dyDescent="0.35">
      <c r="AL7019" s="20"/>
    </row>
    <row r="7020" spans="38:38" x14ac:dyDescent="0.35">
      <c r="AL7020" s="20"/>
    </row>
    <row r="7021" spans="38:38" x14ac:dyDescent="0.35">
      <c r="AL7021" s="20"/>
    </row>
    <row r="7022" spans="38:38" x14ac:dyDescent="0.35">
      <c r="AL7022" s="20"/>
    </row>
    <row r="7023" spans="38:38" x14ac:dyDescent="0.35">
      <c r="AL7023" s="20"/>
    </row>
    <row r="7024" spans="38:38" x14ac:dyDescent="0.35">
      <c r="AL7024" s="20"/>
    </row>
    <row r="7025" spans="38:38" x14ac:dyDescent="0.35">
      <c r="AL7025" s="20"/>
    </row>
    <row r="7026" spans="38:38" x14ac:dyDescent="0.35">
      <c r="AL7026" s="20"/>
    </row>
    <row r="7027" spans="38:38" x14ac:dyDescent="0.35">
      <c r="AL7027" s="20"/>
    </row>
    <row r="7028" spans="38:38" x14ac:dyDescent="0.35">
      <c r="AL7028" s="20"/>
    </row>
    <row r="7029" spans="38:38" x14ac:dyDescent="0.35">
      <c r="AL7029" s="20"/>
    </row>
    <row r="7030" spans="38:38" x14ac:dyDescent="0.35">
      <c r="AL7030" s="20"/>
    </row>
    <row r="7031" spans="38:38" x14ac:dyDescent="0.35">
      <c r="AL7031" s="20"/>
    </row>
    <row r="7032" spans="38:38" x14ac:dyDescent="0.35">
      <c r="AL7032" s="20"/>
    </row>
    <row r="7033" spans="38:38" x14ac:dyDescent="0.35">
      <c r="AL7033" s="20"/>
    </row>
    <row r="7034" spans="38:38" x14ac:dyDescent="0.35">
      <c r="AL7034" s="20"/>
    </row>
    <row r="7035" spans="38:38" x14ac:dyDescent="0.35">
      <c r="AL7035" s="20"/>
    </row>
    <row r="7036" spans="38:38" x14ac:dyDescent="0.35">
      <c r="AL7036" s="20"/>
    </row>
    <row r="7037" spans="38:38" x14ac:dyDescent="0.35">
      <c r="AL7037" s="20"/>
    </row>
    <row r="7038" spans="38:38" x14ac:dyDescent="0.35">
      <c r="AL7038" s="20"/>
    </row>
    <row r="7039" spans="38:38" x14ac:dyDescent="0.35">
      <c r="AL7039" s="20"/>
    </row>
    <row r="7040" spans="38:38" x14ac:dyDescent="0.35">
      <c r="AL7040" s="20"/>
    </row>
    <row r="7041" spans="38:38" x14ac:dyDescent="0.35">
      <c r="AL7041" s="20"/>
    </row>
    <row r="7042" spans="38:38" x14ac:dyDescent="0.35">
      <c r="AL7042" s="20"/>
    </row>
    <row r="7043" spans="38:38" x14ac:dyDescent="0.35">
      <c r="AL7043" s="20"/>
    </row>
    <row r="7044" spans="38:38" x14ac:dyDescent="0.35">
      <c r="AL7044" s="20"/>
    </row>
    <row r="7045" spans="38:38" x14ac:dyDescent="0.35">
      <c r="AL7045" s="20"/>
    </row>
    <row r="7046" spans="38:38" x14ac:dyDescent="0.35">
      <c r="AL7046" s="20"/>
    </row>
    <row r="7047" spans="38:38" x14ac:dyDescent="0.35">
      <c r="AL7047" s="20"/>
    </row>
    <row r="7048" spans="38:38" x14ac:dyDescent="0.35">
      <c r="AL7048" s="20"/>
    </row>
    <row r="7049" spans="38:38" x14ac:dyDescent="0.35">
      <c r="AL7049" s="20"/>
    </row>
    <row r="7050" spans="38:38" x14ac:dyDescent="0.35">
      <c r="AL7050" s="20"/>
    </row>
    <row r="7051" spans="38:38" x14ac:dyDescent="0.35">
      <c r="AL7051" s="20"/>
    </row>
    <row r="7052" spans="38:38" x14ac:dyDescent="0.35">
      <c r="AL7052" s="20"/>
    </row>
    <row r="7053" spans="38:38" x14ac:dyDescent="0.35">
      <c r="AL7053" s="20"/>
    </row>
    <row r="7054" spans="38:38" x14ac:dyDescent="0.35">
      <c r="AL7054" s="20"/>
    </row>
    <row r="7055" spans="38:38" x14ac:dyDescent="0.35">
      <c r="AL7055" s="20"/>
    </row>
    <row r="7056" spans="38:38" x14ac:dyDescent="0.35">
      <c r="AL7056" s="20"/>
    </row>
    <row r="7057" spans="38:38" x14ac:dyDescent="0.35">
      <c r="AL7057" s="20"/>
    </row>
    <row r="7058" spans="38:38" x14ac:dyDescent="0.35">
      <c r="AL7058" s="20"/>
    </row>
    <row r="7059" spans="38:38" x14ac:dyDescent="0.35">
      <c r="AL7059" s="20"/>
    </row>
    <row r="7060" spans="38:38" x14ac:dyDescent="0.35">
      <c r="AL7060" s="20"/>
    </row>
    <row r="7061" spans="38:38" x14ac:dyDescent="0.35">
      <c r="AL7061" s="20"/>
    </row>
    <row r="7062" spans="38:38" x14ac:dyDescent="0.35">
      <c r="AL7062" s="20"/>
    </row>
    <row r="7063" spans="38:38" x14ac:dyDescent="0.35">
      <c r="AL7063" s="20"/>
    </row>
    <row r="7064" spans="38:38" x14ac:dyDescent="0.35">
      <c r="AL7064" s="20"/>
    </row>
    <row r="7065" spans="38:38" x14ac:dyDescent="0.35">
      <c r="AL7065" s="20"/>
    </row>
    <row r="7066" spans="38:38" x14ac:dyDescent="0.35">
      <c r="AL7066" s="20"/>
    </row>
    <row r="7067" spans="38:38" x14ac:dyDescent="0.35">
      <c r="AL7067" s="20"/>
    </row>
    <row r="7068" spans="38:38" x14ac:dyDescent="0.35">
      <c r="AL7068" s="20"/>
    </row>
    <row r="7069" spans="38:38" x14ac:dyDescent="0.35">
      <c r="AL7069" s="20"/>
    </row>
    <row r="7070" spans="38:38" x14ac:dyDescent="0.35">
      <c r="AL7070" s="20"/>
    </row>
    <row r="7071" spans="38:38" x14ac:dyDescent="0.35">
      <c r="AL7071" s="20"/>
    </row>
    <row r="7072" spans="38:38" x14ac:dyDescent="0.35">
      <c r="AL7072" s="20"/>
    </row>
    <row r="7073" spans="38:38" x14ac:dyDescent="0.35">
      <c r="AL7073" s="20"/>
    </row>
    <row r="7074" spans="38:38" x14ac:dyDescent="0.35">
      <c r="AL7074" s="20"/>
    </row>
    <row r="7075" spans="38:38" x14ac:dyDescent="0.35">
      <c r="AL7075" s="20"/>
    </row>
    <row r="7076" spans="38:38" x14ac:dyDescent="0.35">
      <c r="AL7076" s="20"/>
    </row>
    <row r="7077" spans="38:38" x14ac:dyDescent="0.35">
      <c r="AL7077" s="20"/>
    </row>
    <row r="7078" spans="38:38" x14ac:dyDescent="0.35">
      <c r="AL7078" s="20"/>
    </row>
    <row r="7079" spans="38:38" x14ac:dyDescent="0.35">
      <c r="AL7079" s="20"/>
    </row>
    <row r="7080" spans="38:38" x14ac:dyDescent="0.35">
      <c r="AL7080" s="20"/>
    </row>
    <row r="7081" spans="38:38" x14ac:dyDescent="0.35">
      <c r="AL7081" s="20"/>
    </row>
    <row r="7082" spans="38:38" x14ac:dyDescent="0.35">
      <c r="AL7082" s="20"/>
    </row>
    <row r="7083" spans="38:38" x14ac:dyDescent="0.35">
      <c r="AL7083" s="20"/>
    </row>
    <row r="7084" spans="38:38" x14ac:dyDescent="0.35">
      <c r="AL7084" s="20"/>
    </row>
    <row r="7085" spans="38:38" x14ac:dyDescent="0.35">
      <c r="AL7085" s="20"/>
    </row>
    <row r="7086" spans="38:38" x14ac:dyDescent="0.35">
      <c r="AL7086" s="20"/>
    </row>
    <row r="7087" spans="38:38" x14ac:dyDescent="0.35">
      <c r="AL7087" s="20"/>
    </row>
    <row r="7088" spans="38:38" x14ac:dyDescent="0.35">
      <c r="AL7088" s="20"/>
    </row>
    <row r="7089" spans="38:38" x14ac:dyDescent="0.35">
      <c r="AL7089" s="20"/>
    </row>
    <row r="7090" spans="38:38" x14ac:dyDescent="0.35">
      <c r="AL7090" s="20"/>
    </row>
    <row r="7091" spans="38:38" x14ac:dyDescent="0.35">
      <c r="AL7091" s="20"/>
    </row>
    <row r="7092" spans="38:38" x14ac:dyDescent="0.35">
      <c r="AL7092" s="20"/>
    </row>
    <row r="7093" spans="38:38" x14ac:dyDescent="0.35">
      <c r="AL7093" s="20"/>
    </row>
    <row r="7094" spans="38:38" x14ac:dyDescent="0.35">
      <c r="AL7094" s="20"/>
    </row>
    <row r="7095" spans="38:38" x14ac:dyDescent="0.35">
      <c r="AL7095" s="20"/>
    </row>
    <row r="7096" spans="38:38" x14ac:dyDescent="0.35">
      <c r="AL7096" s="20"/>
    </row>
    <row r="7097" spans="38:38" x14ac:dyDescent="0.35">
      <c r="AL7097" s="20"/>
    </row>
    <row r="7098" spans="38:38" x14ac:dyDescent="0.35">
      <c r="AL7098" s="20"/>
    </row>
    <row r="7099" spans="38:38" x14ac:dyDescent="0.35">
      <c r="AL7099" s="20"/>
    </row>
    <row r="7100" spans="38:38" x14ac:dyDescent="0.35">
      <c r="AL7100" s="20"/>
    </row>
    <row r="7101" spans="38:38" x14ac:dyDescent="0.35">
      <c r="AL7101" s="20"/>
    </row>
    <row r="7102" spans="38:38" x14ac:dyDescent="0.35">
      <c r="AL7102" s="20"/>
    </row>
    <row r="7103" spans="38:38" x14ac:dyDescent="0.35">
      <c r="AL7103" s="20"/>
    </row>
    <row r="7104" spans="38:38" x14ac:dyDescent="0.35">
      <c r="AL7104" s="20"/>
    </row>
    <row r="7105" spans="38:38" x14ac:dyDescent="0.35">
      <c r="AL7105" s="20"/>
    </row>
    <row r="7106" spans="38:38" x14ac:dyDescent="0.35">
      <c r="AL7106" s="20"/>
    </row>
    <row r="7107" spans="38:38" x14ac:dyDescent="0.35">
      <c r="AL7107" s="20"/>
    </row>
    <row r="7108" spans="38:38" x14ac:dyDescent="0.35">
      <c r="AL7108" s="20"/>
    </row>
    <row r="7109" spans="38:38" x14ac:dyDescent="0.35">
      <c r="AL7109" s="20"/>
    </row>
    <row r="7110" spans="38:38" x14ac:dyDescent="0.35">
      <c r="AL7110" s="20"/>
    </row>
    <row r="7111" spans="38:38" x14ac:dyDescent="0.35">
      <c r="AL7111" s="20"/>
    </row>
    <row r="7112" spans="38:38" x14ac:dyDescent="0.35">
      <c r="AL7112" s="20"/>
    </row>
    <row r="7113" spans="38:38" x14ac:dyDescent="0.35">
      <c r="AL7113" s="20"/>
    </row>
    <row r="7114" spans="38:38" x14ac:dyDescent="0.35">
      <c r="AL7114" s="20"/>
    </row>
    <row r="7115" spans="38:38" x14ac:dyDescent="0.35">
      <c r="AL7115" s="20"/>
    </row>
    <row r="7116" spans="38:38" x14ac:dyDescent="0.35">
      <c r="AL7116" s="20"/>
    </row>
    <row r="7117" spans="38:38" x14ac:dyDescent="0.35">
      <c r="AL7117" s="20"/>
    </row>
    <row r="7118" spans="38:38" x14ac:dyDescent="0.35">
      <c r="AL7118" s="20"/>
    </row>
    <row r="7119" spans="38:38" x14ac:dyDescent="0.35">
      <c r="AL7119" s="20"/>
    </row>
    <row r="7120" spans="38:38" x14ac:dyDescent="0.35">
      <c r="AL7120" s="20"/>
    </row>
    <row r="7121" spans="38:38" x14ac:dyDescent="0.35">
      <c r="AL7121" s="20"/>
    </row>
    <row r="7122" spans="38:38" x14ac:dyDescent="0.35">
      <c r="AL7122" s="20"/>
    </row>
    <row r="7123" spans="38:38" x14ac:dyDescent="0.35">
      <c r="AL7123" s="20"/>
    </row>
    <row r="7124" spans="38:38" x14ac:dyDescent="0.35">
      <c r="AL7124" s="20"/>
    </row>
    <row r="7125" spans="38:38" x14ac:dyDescent="0.35">
      <c r="AL7125" s="20"/>
    </row>
    <row r="7126" spans="38:38" x14ac:dyDescent="0.35">
      <c r="AL7126" s="20"/>
    </row>
    <row r="7127" spans="38:38" x14ac:dyDescent="0.35">
      <c r="AL7127" s="20"/>
    </row>
    <row r="7128" spans="38:38" x14ac:dyDescent="0.35">
      <c r="AL7128" s="20"/>
    </row>
    <row r="7129" spans="38:38" x14ac:dyDescent="0.35">
      <c r="AL7129" s="20"/>
    </row>
    <row r="7130" spans="38:38" x14ac:dyDescent="0.35">
      <c r="AL7130" s="20"/>
    </row>
    <row r="7131" spans="38:38" x14ac:dyDescent="0.35">
      <c r="AL7131" s="20"/>
    </row>
    <row r="7132" spans="38:38" x14ac:dyDescent="0.35">
      <c r="AL7132" s="20"/>
    </row>
    <row r="7133" spans="38:38" x14ac:dyDescent="0.35">
      <c r="AL7133" s="20"/>
    </row>
    <row r="7134" spans="38:38" x14ac:dyDescent="0.35">
      <c r="AL7134" s="20"/>
    </row>
    <row r="7135" spans="38:38" x14ac:dyDescent="0.35">
      <c r="AL7135" s="20"/>
    </row>
    <row r="7136" spans="38:38" x14ac:dyDescent="0.35">
      <c r="AL7136" s="20"/>
    </row>
    <row r="7137" spans="38:38" x14ac:dyDescent="0.35">
      <c r="AL7137" s="20"/>
    </row>
    <row r="7138" spans="38:38" x14ac:dyDescent="0.35">
      <c r="AL7138" s="20"/>
    </row>
    <row r="7139" spans="38:38" x14ac:dyDescent="0.35">
      <c r="AL7139" s="20"/>
    </row>
    <row r="7140" spans="38:38" x14ac:dyDescent="0.35">
      <c r="AL7140" s="20"/>
    </row>
    <row r="7141" spans="38:38" x14ac:dyDescent="0.35">
      <c r="AL7141" s="20"/>
    </row>
    <row r="7142" spans="38:38" x14ac:dyDescent="0.35">
      <c r="AL7142" s="20"/>
    </row>
    <row r="7143" spans="38:38" x14ac:dyDescent="0.35">
      <c r="AL7143" s="20"/>
    </row>
    <row r="7144" spans="38:38" x14ac:dyDescent="0.35">
      <c r="AL7144" s="20"/>
    </row>
    <row r="7145" spans="38:38" x14ac:dyDescent="0.35">
      <c r="AL7145" s="20"/>
    </row>
    <row r="7146" spans="38:38" x14ac:dyDescent="0.35">
      <c r="AL7146" s="20"/>
    </row>
    <row r="7147" spans="38:38" x14ac:dyDescent="0.35">
      <c r="AL7147" s="20"/>
    </row>
    <row r="7148" spans="38:38" x14ac:dyDescent="0.35">
      <c r="AL7148" s="20"/>
    </row>
    <row r="7149" spans="38:38" x14ac:dyDescent="0.35">
      <c r="AL7149" s="20"/>
    </row>
    <row r="7150" spans="38:38" x14ac:dyDescent="0.35">
      <c r="AL7150" s="20"/>
    </row>
    <row r="7151" spans="38:38" x14ac:dyDescent="0.35">
      <c r="AL7151" s="20"/>
    </row>
    <row r="7152" spans="38:38" x14ac:dyDescent="0.35">
      <c r="AL7152" s="20"/>
    </row>
    <row r="7153" spans="38:38" x14ac:dyDescent="0.35">
      <c r="AL7153" s="20"/>
    </row>
    <row r="7154" spans="38:38" x14ac:dyDescent="0.35">
      <c r="AL7154" s="20"/>
    </row>
    <row r="7155" spans="38:38" x14ac:dyDescent="0.35">
      <c r="AL7155" s="20"/>
    </row>
    <row r="7156" spans="38:38" x14ac:dyDescent="0.35">
      <c r="AL7156" s="20"/>
    </row>
    <row r="7157" spans="38:38" x14ac:dyDescent="0.35">
      <c r="AL7157" s="20"/>
    </row>
    <row r="7158" spans="38:38" x14ac:dyDescent="0.35">
      <c r="AL7158" s="20"/>
    </row>
    <row r="7159" spans="38:38" x14ac:dyDescent="0.35">
      <c r="AL7159" s="20"/>
    </row>
    <row r="7160" spans="38:38" x14ac:dyDescent="0.35">
      <c r="AL7160" s="20"/>
    </row>
    <row r="7161" spans="38:38" x14ac:dyDescent="0.35">
      <c r="AL7161" s="20"/>
    </row>
    <row r="7162" spans="38:38" x14ac:dyDescent="0.35">
      <c r="AL7162" s="20"/>
    </row>
    <row r="7163" spans="38:38" x14ac:dyDescent="0.35">
      <c r="AL7163" s="20"/>
    </row>
    <row r="7164" spans="38:38" x14ac:dyDescent="0.35">
      <c r="AL7164" s="20"/>
    </row>
    <row r="7165" spans="38:38" x14ac:dyDescent="0.35">
      <c r="AL7165" s="20"/>
    </row>
    <row r="7166" spans="38:38" x14ac:dyDescent="0.35">
      <c r="AL7166" s="20"/>
    </row>
    <row r="7167" spans="38:38" x14ac:dyDescent="0.35">
      <c r="AL7167" s="20"/>
    </row>
    <row r="7168" spans="38:38" x14ac:dyDescent="0.35">
      <c r="AL7168" s="20"/>
    </row>
    <row r="7169" spans="38:38" x14ac:dyDescent="0.35">
      <c r="AL7169" s="20"/>
    </row>
    <row r="7170" spans="38:38" x14ac:dyDescent="0.35">
      <c r="AL7170" s="20"/>
    </row>
    <row r="7171" spans="38:38" x14ac:dyDescent="0.35">
      <c r="AL7171" s="20"/>
    </row>
    <row r="7172" spans="38:38" x14ac:dyDescent="0.35">
      <c r="AL7172" s="20"/>
    </row>
    <row r="7173" spans="38:38" x14ac:dyDescent="0.35">
      <c r="AL7173" s="20"/>
    </row>
    <row r="7174" spans="38:38" x14ac:dyDescent="0.35">
      <c r="AL7174" s="20"/>
    </row>
    <row r="7175" spans="38:38" x14ac:dyDescent="0.35">
      <c r="AL7175" s="20"/>
    </row>
    <row r="7176" spans="38:38" x14ac:dyDescent="0.35">
      <c r="AL7176" s="20"/>
    </row>
    <row r="7177" spans="38:38" x14ac:dyDescent="0.35">
      <c r="AL7177" s="20"/>
    </row>
    <row r="7178" spans="38:38" x14ac:dyDescent="0.35">
      <c r="AL7178" s="20"/>
    </row>
    <row r="7179" spans="38:38" x14ac:dyDescent="0.35">
      <c r="AL7179" s="20"/>
    </row>
    <row r="7180" spans="38:38" x14ac:dyDescent="0.35">
      <c r="AL7180" s="20"/>
    </row>
    <row r="7181" spans="38:38" x14ac:dyDescent="0.35">
      <c r="AL7181" s="20"/>
    </row>
    <row r="7182" spans="38:38" x14ac:dyDescent="0.35">
      <c r="AL7182" s="20"/>
    </row>
    <row r="7183" spans="38:38" x14ac:dyDescent="0.35">
      <c r="AL7183" s="20"/>
    </row>
    <row r="7184" spans="38:38" x14ac:dyDescent="0.35">
      <c r="AL7184" s="20"/>
    </row>
    <row r="7185" spans="38:38" x14ac:dyDescent="0.35">
      <c r="AL7185" s="20"/>
    </row>
    <row r="7186" spans="38:38" x14ac:dyDescent="0.35">
      <c r="AL7186" s="20"/>
    </row>
    <row r="7187" spans="38:38" x14ac:dyDescent="0.35">
      <c r="AL7187" s="20"/>
    </row>
    <row r="7188" spans="38:38" x14ac:dyDescent="0.35">
      <c r="AL7188" s="20"/>
    </row>
    <row r="7189" spans="38:38" x14ac:dyDescent="0.35">
      <c r="AL7189" s="20"/>
    </row>
    <row r="7190" spans="38:38" x14ac:dyDescent="0.35">
      <c r="AL7190" s="20"/>
    </row>
    <row r="7191" spans="38:38" x14ac:dyDescent="0.35">
      <c r="AL7191" s="20"/>
    </row>
    <row r="7192" spans="38:38" x14ac:dyDescent="0.35">
      <c r="AL7192" s="20"/>
    </row>
    <row r="7193" spans="38:38" x14ac:dyDescent="0.35">
      <c r="AL7193" s="20"/>
    </row>
    <row r="7194" spans="38:38" x14ac:dyDescent="0.35">
      <c r="AL7194" s="20"/>
    </row>
    <row r="7195" spans="38:38" x14ac:dyDescent="0.35">
      <c r="AL7195" s="20"/>
    </row>
    <row r="7196" spans="38:38" x14ac:dyDescent="0.35">
      <c r="AL7196" s="20"/>
    </row>
    <row r="7197" spans="38:38" x14ac:dyDescent="0.35">
      <c r="AL7197" s="20"/>
    </row>
    <row r="7198" spans="38:38" x14ac:dyDescent="0.35">
      <c r="AL7198" s="20"/>
    </row>
    <row r="7199" spans="38:38" x14ac:dyDescent="0.35">
      <c r="AL7199" s="20"/>
    </row>
    <row r="7200" spans="38:38" x14ac:dyDescent="0.35">
      <c r="AL7200" s="20"/>
    </row>
    <row r="7201" spans="38:38" x14ac:dyDescent="0.35">
      <c r="AL7201" s="20"/>
    </row>
    <row r="7202" spans="38:38" x14ac:dyDescent="0.35">
      <c r="AL7202" s="20"/>
    </row>
    <row r="7203" spans="38:38" x14ac:dyDescent="0.35">
      <c r="AL7203" s="20"/>
    </row>
    <row r="7204" spans="38:38" x14ac:dyDescent="0.35">
      <c r="AL7204" s="20"/>
    </row>
    <row r="7205" spans="38:38" x14ac:dyDescent="0.35">
      <c r="AL7205" s="20"/>
    </row>
    <row r="7206" spans="38:38" x14ac:dyDescent="0.35">
      <c r="AL7206" s="20"/>
    </row>
    <row r="7207" spans="38:38" x14ac:dyDescent="0.35">
      <c r="AL7207" s="20"/>
    </row>
    <row r="7208" spans="38:38" x14ac:dyDescent="0.35">
      <c r="AL7208" s="20"/>
    </row>
    <row r="7209" spans="38:38" x14ac:dyDescent="0.35">
      <c r="AL7209" s="20"/>
    </row>
    <row r="7210" spans="38:38" x14ac:dyDescent="0.35">
      <c r="AL7210" s="20"/>
    </row>
    <row r="7211" spans="38:38" x14ac:dyDescent="0.35">
      <c r="AL7211" s="20"/>
    </row>
    <row r="7212" spans="38:38" x14ac:dyDescent="0.35">
      <c r="AL7212" s="20"/>
    </row>
    <row r="7213" spans="38:38" x14ac:dyDescent="0.35">
      <c r="AL7213" s="20"/>
    </row>
    <row r="7214" spans="38:38" x14ac:dyDescent="0.35">
      <c r="AL7214" s="20"/>
    </row>
    <row r="7215" spans="38:38" x14ac:dyDescent="0.35">
      <c r="AL7215" s="20"/>
    </row>
    <row r="7216" spans="38:38" x14ac:dyDescent="0.35">
      <c r="AL7216" s="20"/>
    </row>
    <row r="7217" spans="38:38" x14ac:dyDescent="0.35">
      <c r="AL7217" s="20"/>
    </row>
    <row r="7218" spans="38:38" x14ac:dyDescent="0.35">
      <c r="AL7218" s="20"/>
    </row>
    <row r="7219" spans="38:38" x14ac:dyDescent="0.35">
      <c r="AL7219" s="20"/>
    </row>
    <row r="7220" spans="38:38" x14ac:dyDescent="0.35">
      <c r="AL7220" s="20"/>
    </row>
    <row r="7221" spans="38:38" x14ac:dyDescent="0.35">
      <c r="AL7221" s="20"/>
    </row>
    <row r="7222" spans="38:38" x14ac:dyDescent="0.35">
      <c r="AL7222" s="20"/>
    </row>
    <row r="7223" spans="38:38" x14ac:dyDescent="0.35">
      <c r="AL7223" s="20"/>
    </row>
    <row r="7224" spans="38:38" x14ac:dyDescent="0.35">
      <c r="AL7224" s="20"/>
    </row>
    <row r="7225" spans="38:38" x14ac:dyDescent="0.35">
      <c r="AL7225" s="20"/>
    </row>
    <row r="7226" spans="38:38" x14ac:dyDescent="0.35">
      <c r="AL7226" s="20"/>
    </row>
    <row r="7227" spans="38:38" x14ac:dyDescent="0.35">
      <c r="AL7227" s="20"/>
    </row>
    <row r="7228" spans="38:38" x14ac:dyDescent="0.35">
      <c r="AL7228" s="20"/>
    </row>
    <row r="7229" spans="38:38" x14ac:dyDescent="0.35">
      <c r="AL7229" s="20"/>
    </row>
    <row r="7230" spans="38:38" x14ac:dyDescent="0.35">
      <c r="AL7230" s="20"/>
    </row>
    <row r="7231" spans="38:38" x14ac:dyDescent="0.35">
      <c r="AL7231" s="20"/>
    </row>
    <row r="7232" spans="38:38" x14ac:dyDescent="0.35">
      <c r="AL7232" s="20"/>
    </row>
    <row r="7233" spans="38:38" x14ac:dyDescent="0.35">
      <c r="AL7233" s="20"/>
    </row>
    <row r="7234" spans="38:38" x14ac:dyDescent="0.35">
      <c r="AL7234" s="20"/>
    </row>
    <row r="7235" spans="38:38" x14ac:dyDescent="0.35">
      <c r="AL7235" s="20"/>
    </row>
    <row r="7236" spans="38:38" x14ac:dyDescent="0.35">
      <c r="AL7236" s="20"/>
    </row>
    <row r="7237" spans="38:38" x14ac:dyDescent="0.35">
      <c r="AL7237" s="20"/>
    </row>
    <row r="7238" spans="38:38" x14ac:dyDescent="0.35">
      <c r="AL7238" s="20"/>
    </row>
    <row r="7239" spans="38:38" x14ac:dyDescent="0.35">
      <c r="AL7239" s="20"/>
    </row>
    <row r="7240" spans="38:38" x14ac:dyDescent="0.35">
      <c r="AL7240" s="20"/>
    </row>
    <row r="7241" spans="38:38" x14ac:dyDescent="0.35">
      <c r="AL7241" s="20"/>
    </row>
    <row r="7242" spans="38:38" x14ac:dyDescent="0.35">
      <c r="AL7242" s="20"/>
    </row>
    <row r="7243" spans="38:38" x14ac:dyDescent="0.35">
      <c r="AL7243" s="20"/>
    </row>
    <row r="7244" spans="38:38" x14ac:dyDescent="0.35">
      <c r="AL7244" s="20"/>
    </row>
    <row r="7245" spans="38:38" x14ac:dyDescent="0.35">
      <c r="AL7245" s="20"/>
    </row>
    <row r="7246" spans="38:38" x14ac:dyDescent="0.35">
      <c r="AL7246" s="20"/>
    </row>
    <row r="7247" spans="38:38" x14ac:dyDescent="0.35">
      <c r="AL7247" s="20"/>
    </row>
    <row r="7248" spans="38:38" x14ac:dyDescent="0.35">
      <c r="AL7248" s="20"/>
    </row>
    <row r="7249" spans="38:38" x14ac:dyDescent="0.35">
      <c r="AL7249" s="20"/>
    </row>
    <row r="7250" spans="38:38" x14ac:dyDescent="0.35">
      <c r="AL7250" s="20"/>
    </row>
    <row r="7251" spans="38:38" x14ac:dyDescent="0.35">
      <c r="AL7251" s="20"/>
    </row>
    <row r="7252" spans="38:38" x14ac:dyDescent="0.35">
      <c r="AL7252" s="20"/>
    </row>
    <row r="7253" spans="38:38" x14ac:dyDescent="0.35">
      <c r="AL7253" s="20"/>
    </row>
    <row r="7254" spans="38:38" x14ac:dyDescent="0.35">
      <c r="AL7254" s="20"/>
    </row>
    <row r="7255" spans="38:38" x14ac:dyDescent="0.35">
      <c r="AL7255" s="20"/>
    </row>
    <row r="7256" spans="38:38" x14ac:dyDescent="0.35">
      <c r="AL7256" s="20"/>
    </row>
    <row r="7257" spans="38:38" x14ac:dyDescent="0.35">
      <c r="AL7257" s="20"/>
    </row>
    <row r="7258" spans="38:38" x14ac:dyDescent="0.35">
      <c r="AL7258" s="20"/>
    </row>
    <row r="7259" spans="38:38" x14ac:dyDescent="0.35">
      <c r="AL7259" s="20"/>
    </row>
    <row r="7260" spans="38:38" x14ac:dyDescent="0.35">
      <c r="AL7260" s="20"/>
    </row>
    <row r="7261" spans="38:38" x14ac:dyDescent="0.35">
      <c r="AL7261" s="20"/>
    </row>
    <row r="7262" spans="38:38" x14ac:dyDescent="0.35">
      <c r="AL7262" s="20"/>
    </row>
    <row r="7263" spans="38:38" x14ac:dyDescent="0.35">
      <c r="AL7263" s="20"/>
    </row>
    <row r="7264" spans="38:38" x14ac:dyDescent="0.35">
      <c r="AL7264" s="20"/>
    </row>
    <row r="7265" spans="38:38" x14ac:dyDescent="0.35">
      <c r="AL7265" s="20"/>
    </row>
    <row r="7266" spans="38:38" x14ac:dyDescent="0.35">
      <c r="AL7266" s="20"/>
    </row>
    <row r="7267" spans="38:38" x14ac:dyDescent="0.35">
      <c r="AL7267" s="20"/>
    </row>
    <row r="7268" spans="38:38" x14ac:dyDescent="0.35">
      <c r="AL7268" s="20"/>
    </row>
    <row r="7269" spans="38:38" x14ac:dyDescent="0.35">
      <c r="AL7269" s="20"/>
    </row>
    <row r="7270" spans="38:38" x14ac:dyDescent="0.35">
      <c r="AL7270" s="20"/>
    </row>
    <row r="7271" spans="38:38" x14ac:dyDescent="0.35">
      <c r="AL7271" s="20"/>
    </row>
    <row r="7272" spans="38:38" x14ac:dyDescent="0.35">
      <c r="AL7272" s="20"/>
    </row>
    <row r="7273" spans="38:38" x14ac:dyDescent="0.35">
      <c r="AL7273" s="20"/>
    </row>
    <row r="7274" spans="38:38" x14ac:dyDescent="0.35">
      <c r="AL7274" s="20"/>
    </row>
    <row r="7275" spans="38:38" x14ac:dyDescent="0.35">
      <c r="AL7275" s="20"/>
    </row>
    <row r="7276" spans="38:38" x14ac:dyDescent="0.35">
      <c r="AL7276" s="20"/>
    </row>
    <row r="7277" spans="38:38" x14ac:dyDescent="0.35">
      <c r="AL7277" s="20"/>
    </row>
    <row r="7278" spans="38:38" x14ac:dyDescent="0.35">
      <c r="AL7278" s="20"/>
    </row>
    <row r="7279" spans="38:38" x14ac:dyDescent="0.35">
      <c r="AL7279" s="20"/>
    </row>
    <row r="7280" spans="38:38" x14ac:dyDescent="0.35">
      <c r="AL7280" s="20"/>
    </row>
    <row r="7281" spans="38:38" x14ac:dyDescent="0.35">
      <c r="AL7281" s="20"/>
    </row>
    <row r="7282" spans="38:38" x14ac:dyDescent="0.35">
      <c r="AL7282" s="20"/>
    </row>
    <row r="7283" spans="38:38" x14ac:dyDescent="0.35">
      <c r="AL7283" s="20"/>
    </row>
    <row r="7284" spans="38:38" x14ac:dyDescent="0.35">
      <c r="AL7284" s="20"/>
    </row>
    <row r="7285" spans="38:38" x14ac:dyDescent="0.35">
      <c r="AL7285" s="20"/>
    </row>
    <row r="7286" spans="38:38" x14ac:dyDescent="0.35">
      <c r="AL7286" s="20"/>
    </row>
    <row r="7287" spans="38:38" x14ac:dyDescent="0.35">
      <c r="AL7287" s="20"/>
    </row>
    <row r="7288" spans="38:38" x14ac:dyDescent="0.35">
      <c r="AL7288" s="20"/>
    </row>
    <row r="7289" spans="38:38" x14ac:dyDescent="0.35">
      <c r="AL7289" s="20"/>
    </row>
    <row r="7290" spans="38:38" x14ac:dyDescent="0.35">
      <c r="AL7290" s="20"/>
    </row>
    <row r="7291" spans="38:38" x14ac:dyDescent="0.35">
      <c r="AL7291" s="20"/>
    </row>
    <row r="7292" spans="38:38" x14ac:dyDescent="0.35">
      <c r="AL7292" s="20"/>
    </row>
    <row r="7293" spans="38:38" x14ac:dyDescent="0.35">
      <c r="AL7293" s="20"/>
    </row>
    <row r="7294" spans="38:38" x14ac:dyDescent="0.35">
      <c r="AL7294" s="20"/>
    </row>
    <row r="7295" spans="38:38" x14ac:dyDescent="0.35">
      <c r="AL7295" s="20"/>
    </row>
    <row r="7296" spans="38:38" x14ac:dyDescent="0.35">
      <c r="AL7296" s="20"/>
    </row>
    <row r="7297" spans="38:38" x14ac:dyDescent="0.35">
      <c r="AL7297" s="20"/>
    </row>
    <row r="7298" spans="38:38" x14ac:dyDescent="0.35">
      <c r="AL7298" s="20"/>
    </row>
    <row r="7299" spans="38:38" x14ac:dyDescent="0.35">
      <c r="AL7299" s="20"/>
    </row>
    <row r="7300" spans="38:38" x14ac:dyDescent="0.35">
      <c r="AL7300" s="20"/>
    </row>
    <row r="7301" spans="38:38" x14ac:dyDescent="0.35">
      <c r="AL7301" s="20"/>
    </row>
    <row r="7302" spans="38:38" x14ac:dyDescent="0.35">
      <c r="AL7302" s="20"/>
    </row>
    <row r="7303" spans="38:38" x14ac:dyDescent="0.35">
      <c r="AL7303" s="20"/>
    </row>
    <row r="7304" spans="38:38" x14ac:dyDescent="0.35">
      <c r="AL7304" s="20"/>
    </row>
    <row r="7305" spans="38:38" x14ac:dyDescent="0.35">
      <c r="AL7305" s="20"/>
    </row>
    <row r="7306" spans="38:38" x14ac:dyDescent="0.35">
      <c r="AL7306" s="20"/>
    </row>
    <row r="7307" spans="38:38" x14ac:dyDescent="0.35">
      <c r="AL7307" s="20"/>
    </row>
    <row r="7308" spans="38:38" x14ac:dyDescent="0.35">
      <c r="AL7308" s="20"/>
    </row>
    <row r="7309" spans="38:38" x14ac:dyDescent="0.35">
      <c r="AL7309" s="20"/>
    </row>
    <row r="7310" spans="38:38" x14ac:dyDescent="0.35">
      <c r="AL7310" s="20"/>
    </row>
    <row r="7311" spans="38:38" x14ac:dyDescent="0.35">
      <c r="AL7311" s="20"/>
    </row>
    <row r="7312" spans="38:38" x14ac:dyDescent="0.35">
      <c r="AL7312" s="20"/>
    </row>
    <row r="7313" spans="38:38" x14ac:dyDescent="0.35">
      <c r="AL7313" s="20"/>
    </row>
    <row r="7314" spans="38:38" x14ac:dyDescent="0.35">
      <c r="AL7314" s="20"/>
    </row>
    <row r="7315" spans="38:38" x14ac:dyDescent="0.35">
      <c r="AL7315" s="20"/>
    </row>
    <row r="7316" spans="38:38" x14ac:dyDescent="0.35">
      <c r="AL7316" s="20"/>
    </row>
    <row r="7317" spans="38:38" x14ac:dyDescent="0.35">
      <c r="AL7317" s="20"/>
    </row>
    <row r="7318" spans="38:38" x14ac:dyDescent="0.35">
      <c r="AL7318" s="20"/>
    </row>
    <row r="7319" spans="38:38" x14ac:dyDescent="0.35">
      <c r="AL7319" s="20"/>
    </row>
    <row r="7320" spans="38:38" x14ac:dyDescent="0.35">
      <c r="AL7320" s="20"/>
    </row>
    <row r="7321" spans="38:38" x14ac:dyDescent="0.35">
      <c r="AL7321" s="20"/>
    </row>
    <row r="7322" spans="38:38" x14ac:dyDescent="0.35">
      <c r="AL7322" s="20"/>
    </row>
    <row r="7323" spans="38:38" x14ac:dyDescent="0.35">
      <c r="AL7323" s="20"/>
    </row>
    <row r="7324" spans="38:38" x14ac:dyDescent="0.35">
      <c r="AL7324" s="20"/>
    </row>
    <row r="7325" spans="38:38" x14ac:dyDescent="0.35">
      <c r="AL7325" s="20"/>
    </row>
    <row r="7326" spans="38:38" x14ac:dyDescent="0.35">
      <c r="AL7326" s="20"/>
    </row>
    <row r="7327" spans="38:38" x14ac:dyDescent="0.35">
      <c r="AL7327" s="20"/>
    </row>
    <row r="7328" spans="38:38" x14ac:dyDescent="0.35">
      <c r="AL7328" s="20"/>
    </row>
    <row r="7329" spans="38:38" x14ac:dyDescent="0.35">
      <c r="AL7329" s="20"/>
    </row>
    <row r="7330" spans="38:38" x14ac:dyDescent="0.35">
      <c r="AL7330" s="20"/>
    </row>
    <row r="7331" spans="38:38" x14ac:dyDescent="0.35">
      <c r="AL7331" s="20"/>
    </row>
    <row r="7332" spans="38:38" x14ac:dyDescent="0.35">
      <c r="AL7332" s="20"/>
    </row>
    <row r="7333" spans="38:38" x14ac:dyDescent="0.35">
      <c r="AL7333" s="20"/>
    </row>
    <row r="7334" spans="38:38" x14ac:dyDescent="0.35">
      <c r="AL7334" s="20"/>
    </row>
    <row r="7335" spans="38:38" x14ac:dyDescent="0.35">
      <c r="AL7335" s="20"/>
    </row>
    <row r="7336" spans="38:38" x14ac:dyDescent="0.35">
      <c r="AL7336" s="20"/>
    </row>
    <row r="7337" spans="38:38" x14ac:dyDescent="0.35">
      <c r="AL7337" s="20"/>
    </row>
    <row r="7338" spans="38:38" x14ac:dyDescent="0.35">
      <c r="AL7338" s="20"/>
    </row>
    <row r="7339" spans="38:38" x14ac:dyDescent="0.35">
      <c r="AL7339" s="20"/>
    </row>
    <row r="7340" spans="38:38" x14ac:dyDescent="0.35">
      <c r="AL7340" s="20"/>
    </row>
    <row r="7341" spans="38:38" x14ac:dyDescent="0.35">
      <c r="AL7341" s="20"/>
    </row>
    <row r="7342" spans="38:38" x14ac:dyDescent="0.35">
      <c r="AL7342" s="20"/>
    </row>
    <row r="7343" spans="38:38" x14ac:dyDescent="0.35">
      <c r="AL7343" s="20"/>
    </row>
    <row r="7344" spans="38:38" x14ac:dyDescent="0.35">
      <c r="AL7344" s="20"/>
    </row>
    <row r="7345" spans="38:38" x14ac:dyDescent="0.35">
      <c r="AL7345" s="20"/>
    </row>
    <row r="7346" spans="38:38" x14ac:dyDescent="0.35">
      <c r="AL7346" s="20"/>
    </row>
    <row r="7347" spans="38:38" x14ac:dyDescent="0.35">
      <c r="AL7347" s="20"/>
    </row>
    <row r="7348" spans="38:38" x14ac:dyDescent="0.35">
      <c r="AL7348" s="20"/>
    </row>
    <row r="7349" spans="38:38" x14ac:dyDescent="0.35">
      <c r="AL7349" s="20"/>
    </row>
    <row r="7350" spans="38:38" x14ac:dyDescent="0.35">
      <c r="AL7350" s="20"/>
    </row>
    <row r="7351" spans="38:38" x14ac:dyDescent="0.35">
      <c r="AL7351" s="20"/>
    </row>
    <row r="7352" spans="38:38" x14ac:dyDescent="0.35">
      <c r="AL7352" s="20"/>
    </row>
    <row r="7353" spans="38:38" x14ac:dyDescent="0.35">
      <c r="AL7353" s="20"/>
    </row>
    <row r="7354" spans="38:38" x14ac:dyDescent="0.35">
      <c r="AL7354" s="20"/>
    </row>
    <row r="7355" spans="38:38" x14ac:dyDescent="0.35">
      <c r="AL7355" s="20"/>
    </row>
    <row r="7356" spans="38:38" x14ac:dyDescent="0.35">
      <c r="AL7356" s="20"/>
    </row>
    <row r="7357" spans="38:38" x14ac:dyDescent="0.35">
      <c r="AL7357" s="20"/>
    </row>
    <row r="7358" spans="38:38" x14ac:dyDescent="0.35">
      <c r="AL7358" s="20"/>
    </row>
    <row r="7359" spans="38:38" x14ac:dyDescent="0.35">
      <c r="AL7359" s="20"/>
    </row>
    <row r="7360" spans="38:38" x14ac:dyDescent="0.35">
      <c r="AL7360" s="20"/>
    </row>
    <row r="7361" spans="38:38" x14ac:dyDescent="0.35">
      <c r="AL7361" s="20"/>
    </row>
    <row r="7362" spans="38:38" x14ac:dyDescent="0.35">
      <c r="AL7362" s="20"/>
    </row>
    <row r="7363" spans="38:38" x14ac:dyDescent="0.35">
      <c r="AL7363" s="20"/>
    </row>
    <row r="7364" spans="38:38" x14ac:dyDescent="0.35">
      <c r="AL7364" s="20"/>
    </row>
    <row r="7365" spans="38:38" x14ac:dyDescent="0.35">
      <c r="AL7365" s="20"/>
    </row>
    <row r="7366" spans="38:38" x14ac:dyDescent="0.35">
      <c r="AL7366" s="20"/>
    </row>
    <row r="7367" spans="38:38" x14ac:dyDescent="0.35">
      <c r="AL7367" s="20"/>
    </row>
    <row r="7368" spans="38:38" x14ac:dyDescent="0.35">
      <c r="AL7368" s="20"/>
    </row>
    <row r="7369" spans="38:38" x14ac:dyDescent="0.35">
      <c r="AL7369" s="20"/>
    </row>
    <row r="7370" spans="38:38" x14ac:dyDescent="0.35">
      <c r="AL7370" s="20"/>
    </row>
    <row r="7371" spans="38:38" x14ac:dyDescent="0.35">
      <c r="AL7371" s="20"/>
    </row>
    <row r="7372" spans="38:38" x14ac:dyDescent="0.35">
      <c r="AL7372" s="20"/>
    </row>
    <row r="7373" spans="38:38" x14ac:dyDescent="0.35">
      <c r="AL7373" s="20"/>
    </row>
    <row r="7374" spans="38:38" x14ac:dyDescent="0.35">
      <c r="AL7374" s="20"/>
    </row>
    <row r="7375" spans="38:38" x14ac:dyDescent="0.35">
      <c r="AL7375" s="20"/>
    </row>
    <row r="7376" spans="38:38" x14ac:dyDescent="0.35">
      <c r="AL7376" s="20"/>
    </row>
    <row r="7377" spans="38:38" x14ac:dyDescent="0.35">
      <c r="AL7377" s="20"/>
    </row>
    <row r="7378" spans="38:38" x14ac:dyDescent="0.35">
      <c r="AL7378" s="20"/>
    </row>
    <row r="7379" spans="38:38" x14ac:dyDescent="0.35">
      <c r="AL7379" s="20"/>
    </row>
    <row r="7380" spans="38:38" x14ac:dyDescent="0.35">
      <c r="AL7380" s="20"/>
    </row>
    <row r="7381" spans="38:38" x14ac:dyDescent="0.35">
      <c r="AL7381" s="20"/>
    </row>
    <row r="7382" spans="38:38" x14ac:dyDescent="0.35">
      <c r="AL7382" s="20"/>
    </row>
    <row r="7383" spans="38:38" x14ac:dyDescent="0.35">
      <c r="AL7383" s="20"/>
    </row>
    <row r="7384" spans="38:38" x14ac:dyDescent="0.35">
      <c r="AL7384" s="20"/>
    </row>
    <row r="7385" spans="38:38" x14ac:dyDescent="0.35">
      <c r="AL7385" s="20"/>
    </row>
    <row r="7386" spans="38:38" x14ac:dyDescent="0.35">
      <c r="AL7386" s="20"/>
    </row>
    <row r="7387" spans="38:38" x14ac:dyDescent="0.35">
      <c r="AL7387" s="20"/>
    </row>
    <row r="7388" spans="38:38" x14ac:dyDescent="0.35">
      <c r="AL7388" s="20"/>
    </row>
    <row r="7389" spans="38:38" x14ac:dyDescent="0.35">
      <c r="AL7389" s="20"/>
    </row>
    <row r="7390" spans="38:38" x14ac:dyDescent="0.35">
      <c r="AL7390" s="20"/>
    </row>
    <row r="7391" spans="38:38" x14ac:dyDescent="0.35">
      <c r="AL7391" s="20"/>
    </row>
    <row r="7392" spans="38:38" x14ac:dyDescent="0.35">
      <c r="AL7392" s="20"/>
    </row>
    <row r="7393" spans="38:38" x14ac:dyDescent="0.35">
      <c r="AL7393" s="20"/>
    </row>
    <row r="7394" spans="38:38" x14ac:dyDescent="0.35">
      <c r="AL7394" s="20"/>
    </row>
    <row r="7395" spans="38:38" x14ac:dyDescent="0.35">
      <c r="AL7395" s="20"/>
    </row>
    <row r="7396" spans="38:38" x14ac:dyDescent="0.35">
      <c r="AL7396" s="20"/>
    </row>
    <row r="7397" spans="38:38" x14ac:dyDescent="0.35">
      <c r="AL7397" s="20"/>
    </row>
    <row r="7398" spans="38:38" x14ac:dyDescent="0.35">
      <c r="AL7398" s="20"/>
    </row>
    <row r="7399" spans="38:38" x14ac:dyDescent="0.35">
      <c r="AL7399" s="20"/>
    </row>
    <row r="7400" spans="38:38" x14ac:dyDescent="0.35">
      <c r="AL7400" s="20"/>
    </row>
    <row r="7401" spans="38:38" x14ac:dyDescent="0.35">
      <c r="AL7401" s="20"/>
    </row>
    <row r="7402" spans="38:38" x14ac:dyDescent="0.35">
      <c r="AL7402" s="20"/>
    </row>
    <row r="7403" spans="38:38" x14ac:dyDescent="0.35">
      <c r="AL7403" s="20"/>
    </row>
    <row r="7404" spans="38:38" x14ac:dyDescent="0.35">
      <c r="AL7404" s="20"/>
    </row>
    <row r="7405" spans="38:38" x14ac:dyDescent="0.35">
      <c r="AL7405" s="20"/>
    </row>
    <row r="7406" spans="38:38" x14ac:dyDescent="0.35">
      <c r="AL7406" s="20"/>
    </row>
    <row r="7407" spans="38:38" x14ac:dyDescent="0.35">
      <c r="AL7407" s="20"/>
    </row>
    <row r="7408" spans="38:38" x14ac:dyDescent="0.35">
      <c r="AL7408" s="20"/>
    </row>
    <row r="7409" spans="38:38" x14ac:dyDescent="0.35">
      <c r="AL7409" s="20"/>
    </row>
    <row r="7410" spans="38:38" x14ac:dyDescent="0.35">
      <c r="AL7410" s="20"/>
    </row>
    <row r="7411" spans="38:38" x14ac:dyDescent="0.35">
      <c r="AL7411" s="20"/>
    </row>
    <row r="7412" spans="38:38" x14ac:dyDescent="0.35">
      <c r="AL7412" s="20"/>
    </row>
    <row r="7413" spans="38:38" x14ac:dyDescent="0.35">
      <c r="AL7413" s="20"/>
    </row>
    <row r="7414" spans="38:38" x14ac:dyDescent="0.35">
      <c r="AL7414" s="20"/>
    </row>
    <row r="7415" spans="38:38" x14ac:dyDescent="0.35">
      <c r="AL7415" s="20"/>
    </row>
    <row r="7416" spans="38:38" x14ac:dyDescent="0.35">
      <c r="AL7416" s="20"/>
    </row>
    <row r="7417" spans="38:38" x14ac:dyDescent="0.35">
      <c r="AL7417" s="20"/>
    </row>
    <row r="7418" spans="38:38" x14ac:dyDescent="0.35">
      <c r="AL7418" s="20"/>
    </row>
    <row r="7419" spans="38:38" x14ac:dyDescent="0.35">
      <c r="AL7419" s="20"/>
    </row>
    <row r="7420" spans="38:38" x14ac:dyDescent="0.35">
      <c r="AL7420" s="20"/>
    </row>
    <row r="7421" spans="38:38" x14ac:dyDescent="0.35">
      <c r="AL7421" s="20"/>
    </row>
    <row r="7422" spans="38:38" x14ac:dyDescent="0.35">
      <c r="AL7422" s="20"/>
    </row>
    <row r="7423" spans="38:38" x14ac:dyDescent="0.35">
      <c r="AL7423" s="20"/>
    </row>
    <row r="7424" spans="38:38" x14ac:dyDescent="0.35">
      <c r="AL7424" s="20"/>
    </row>
    <row r="7425" spans="38:38" x14ac:dyDescent="0.35">
      <c r="AL7425" s="20"/>
    </row>
    <row r="7426" spans="38:38" x14ac:dyDescent="0.35">
      <c r="AL7426" s="20"/>
    </row>
    <row r="7427" spans="38:38" x14ac:dyDescent="0.35">
      <c r="AL7427" s="20"/>
    </row>
    <row r="7428" spans="38:38" x14ac:dyDescent="0.35">
      <c r="AL7428" s="20"/>
    </row>
    <row r="7429" spans="38:38" x14ac:dyDescent="0.35">
      <c r="AL7429" s="20"/>
    </row>
    <row r="7430" spans="38:38" x14ac:dyDescent="0.35">
      <c r="AL7430" s="20"/>
    </row>
    <row r="7431" spans="38:38" x14ac:dyDescent="0.35">
      <c r="AL7431" s="20"/>
    </row>
    <row r="7432" spans="38:38" x14ac:dyDescent="0.35">
      <c r="AL7432" s="20"/>
    </row>
    <row r="7433" spans="38:38" x14ac:dyDescent="0.35">
      <c r="AL7433" s="20"/>
    </row>
    <row r="7434" spans="38:38" x14ac:dyDescent="0.35">
      <c r="AL7434" s="20"/>
    </row>
    <row r="7435" spans="38:38" x14ac:dyDescent="0.35">
      <c r="AL7435" s="20"/>
    </row>
    <row r="7436" spans="38:38" x14ac:dyDescent="0.35">
      <c r="AL7436" s="20"/>
    </row>
    <row r="7437" spans="38:38" x14ac:dyDescent="0.35">
      <c r="AL7437" s="20"/>
    </row>
    <row r="7438" spans="38:38" x14ac:dyDescent="0.35">
      <c r="AL7438" s="20"/>
    </row>
    <row r="7439" spans="38:38" x14ac:dyDescent="0.35">
      <c r="AL7439" s="20"/>
    </row>
    <row r="7440" spans="38:38" x14ac:dyDescent="0.35">
      <c r="AL7440" s="20"/>
    </row>
    <row r="7441" spans="38:38" x14ac:dyDescent="0.35">
      <c r="AL7441" s="20"/>
    </row>
    <row r="7442" spans="38:38" x14ac:dyDescent="0.35">
      <c r="AL7442" s="20"/>
    </row>
    <row r="7443" spans="38:38" x14ac:dyDescent="0.35">
      <c r="AL7443" s="20"/>
    </row>
    <row r="7444" spans="38:38" x14ac:dyDescent="0.35">
      <c r="AL7444" s="20"/>
    </row>
    <row r="7445" spans="38:38" x14ac:dyDescent="0.35">
      <c r="AL7445" s="20"/>
    </row>
    <row r="7446" spans="38:38" x14ac:dyDescent="0.35">
      <c r="AL7446" s="20"/>
    </row>
    <row r="7447" spans="38:38" x14ac:dyDescent="0.35">
      <c r="AL7447" s="20"/>
    </row>
    <row r="7448" spans="38:38" x14ac:dyDescent="0.35">
      <c r="AL7448" s="20"/>
    </row>
    <row r="7449" spans="38:38" x14ac:dyDescent="0.35">
      <c r="AL7449" s="20"/>
    </row>
    <row r="7450" spans="38:38" x14ac:dyDescent="0.35">
      <c r="AL7450" s="20"/>
    </row>
    <row r="7451" spans="38:38" x14ac:dyDescent="0.35">
      <c r="AL7451" s="20"/>
    </row>
    <row r="7452" spans="38:38" x14ac:dyDescent="0.35">
      <c r="AL7452" s="20"/>
    </row>
    <row r="7453" spans="38:38" x14ac:dyDescent="0.35">
      <c r="AL7453" s="20"/>
    </row>
    <row r="7454" spans="38:38" x14ac:dyDescent="0.35">
      <c r="AL7454" s="20"/>
    </row>
    <row r="7455" spans="38:38" x14ac:dyDescent="0.35">
      <c r="AL7455" s="20"/>
    </row>
    <row r="7456" spans="38:38" x14ac:dyDescent="0.35">
      <c r="AL7456" s="20"/>
    </row>
    <row r="7457" spans="38:38" x14ac:dyDescent="0.35">
      <c r="AL7457" s="20"/>
    </row>
    <row r="7458" spans="38:38" x14ac:dyDescent="0.35">
      <c r="AL7458" s="20"/>
    </row>
    <row r="7459" spans="38:38" x14ac:dyDescent="0.35">
      <c r="AL7459" s="20"/>
    </row>
    <row r="7460" spans="38:38" x14ac:dyDescent="0.35">
      <c r="AL7460" s="20"/>
    </row>
    <row r="7461" spans="38:38" x14ac:dyDescent="0.35">
      <c r="AL7461" s="20"/>
    </row>
    <row r="7462" spans="38:38" x14ac:dyDescent="0.35">
      <c r="AL7462" s="20"/>
    </row>
    <row r="7463" spans="38:38" x14ac:dyDescent="0.35">
      <c r="AL7463" s="20"/>
    </row>
    <row r="7464" spans="38:38" x14ac:dyDescent="0.35">
      <c r="AL7464" s="20"/>
    </row>
    <row r="7465" spans="38:38" x14ac:dyDescent="0.35">
      <c r="AL7465" s="20"/>
    </row>
    <row r="7466" spans="38:38" x14ac:dyDescent="0.35">
      <c r="AL7466" s="20"/>
    </row>
    <row r="7467" spans="38:38" x14ac:dyDescent="0.35">
      <c r="AL7467" s="20"/>
    </row>
    <row r="7468" spans="38:38" x14ac:dyDescent="0.35">
      <c r="AL7468" s="20"/>
    </row>
    <row r="7469" spans="38:38" x14ac:dyDescent="0.35">
      <c r="AL7469" s="20"/>
    </row>
    <row r="7470" spans="38:38" x14ac:dyDescent="0.35">
      <c r="AL7470" s="20"/>
    </row>
    <row r="7471" spans="38:38" x14ac:dyDescent="0.35">
      <c r="AL7471" s="20"/>
    </row>
    <row r="7472" spans="38:38" x14ac:dyDescent="0.35">
      <c r="AL7472" s="20"/>
    </row>
    <row r="7473" spans="38:38" x14ac:dyDescent="0.35">
      <c r="AL7473" s="20"/>
    </row>
    <row r="7474" spans="38:38" x14ac:dyDescent="0.35">
      <c r="AL7474" s="20"/>
    </row>
    <row r="7475" spans="38:38" x14ac:dyDescent="0.35">
      <c r="AL7475" s="20"/>
    </row>
    <row r="7476" spans="38:38" x14ac:dyDescent="0.35">
      <c r="AL7476" s="20"/>
    </row>
    <row r="7477" spans="38:38" x14ac:dyDescent="0.35">
      <c r="AL7477" s="20"/>
    </row>
    <row r="7478" spans="38:38" x14ac:dyDescent="0.35">
      <c r="AL7478" s="20"/>
    </row>
    <row r="7479" spans="38:38" x14ac:dyDescent="0.35">
      <c r="AL7479" s="20"/>
    </row>
    <row r="7480" spans="38:38" x14ac:dyDescent="0.35">
      <c r="AL7480" s="20"/>
    </row>
    <row r="7481" spans="38:38" x14ac:dyDescent="0.35">
      <c r="AL7481" s="20"/>
    </row>
    <row r="7482" spans="38:38" x14ac:dyDescent="0.35">
      <c r="AL7482" s="20"/>
    </row>
    <row r="7483" spans="38:38" x14ac:dyDescent="0.35">
      <c r="AL7483" s="20"/>
    </row>
    <row r="7484" spans="38:38" x14ac:dyDescent="0.35">
      <c r="AL7484" s="20"/>
    </row>
    <row r="7485" spans="38:38" x14ac:dyDescent="0.35">
      <c r="AL7485" s="20"/>
    </row>
    <row r="7486" spans="38:38" x14ac:dyDescent="0.35">
      <c r="AL7486" s="20"/>
    </row>
    <row r="7487" spans="38:38" x14ac:dyDescent="0.35">
      <c r="AL7487" s="20"/>
    </row>
    <row r="7488" spans="38:38" x14ac:dyDescent="0.35">
      <c r="AL7488" s="20"/>
    </row>
    <row r="7489" spans="38:38" x14ac:dyDescent="0.35">
      <c r="AL7489" s="20"/>
    </row>
    <row r="7490" spans="38:38" x14ac:dyDescent="0.35">
      <c r="AL7490" s="20"/>
    </row>
    <row r="7491" spans="38:38" x14ac:dyDescent="0.35">
      <c r="AL7491" s="20"/>
    </row>
    <row r="7492" spans="38:38" x14ac:dyDescent="0.35">
      <c r="AL7492" s="20"/>
    </row>
    <row r="7493" spans="38:38" x14ac:dyDescent="0.35">
      <c r="AL7493" s="20"/>
    </row>
    <row r="7494" spans="38:38" x14ac:dyDescent="0.35">
      <c r="AL7494" s="20"/>
    </row>
    <row r="7495" spans="38:38" x14ac:dyDescent="0.35">
      <c r="AL7495" s="20"/>
    </row>
    <row r="7496" spans="38:38" x14ac:dyDescent="0.35">
      <c r="AL7496" s="20"/>
    </row>
    <row r="7497" spans="38:38" x14ac:dyDescent="0.35">
      <c r="AL7497" s="20"/>
    </row>
    <row r="7498" spans="38:38" x14ac:dyDescent="0.35">
      <c r="AL7498" s="20"/>
    </row>
    <row r="7499" spans="38:38" x14ac:dyDescent="0.35">
      <c r="AL7499" s="20"/>
    </row>
    <row r="7500" spans="38:38" x14ac:dyDescent="0.35">
      <c r="AL7500" s="20"/>
    </row>
    <row r="7501" spans="38:38" x14ac:dyDescent="0.35">
      <c r="AL7501" s="20"/>
    </row>
    <row r="7502" spans="38:38" x14ac:dyDescent="0.35">
      <c r="AL7502" s="20"/>
    </row>
    <row r="7503" spans="38:38" x14ac:dyDescent="0.35">
      <c r="AL7503" s="20"/>
    </row>
    <row r="7504" spans="38:38" x14ac:dyDescent="0.35">
      <c r="AL7504" s="20"/>
    </row>
    <row r="7505" spans="38:38" x14ac:dyDescent="0.35">
      <c r="AL7505" s="20"/>
    </row>
    <row r="7506" spans="38:38" x14ac:dyDescent="0.35">
      <c r="AL7506" s="20"/>
    </row>
    <row r="7507" spans="38:38" x14ac:dyDescent="0.35">
      <c r="AL7507" s="20"/>
    </row>
    <row r="7508" spans="38:38" x14ac:dyDescent="0.35">
      <c r="AL7508" s="20"/>
    </row>
    <row r="7509" spans="38:38" x14ac:dyDescent="0.35">
      <c r="AL7509" s="20"/>
    </row>
    <row r="7510" spans="38:38" x14ac:dyDescent="0.35">
      <c r="AL7510" s="20"/>
    </row>
    <row r="7511" spans="38:38" x14ac:dyDescent="0.35">
      <c r="AL7511" s="20"/>
    </row>
    <row r="7512" spans="38:38" x14ac:dyDescent="0.35">
      <c r="AL7512" s="20"/>
    </row>
    <row r="7513" spans="38:38" x14ac:dyDescent="0.35">
      <c r="AL7513" s="20"/>
    </row>
    <row r="7514" spans="38:38" x14ac:dyDescent="0.35">
      <c r="AL7514" s="20"/>
    </row>
    <row r="7515" spans="38:38" x14ac:dyDescent="0.35">
      <c r="AL7515" s="20"/>
    </row>
    <row r="7516" spans="38:38" x14ac:dyDescent="0.35">
      <c r="AL7516" s="20"/>
    </row>
    <row r="7517" spans="38:38" x14ac:dyDescent="0.35">
      <c r="AL7517" s="20"/>
    </row>
    <row r="7518" spans="38:38" x14ac:dyDescent="0.35">
      <c r="AL7518" s="20"/>
    </row>
    <row r="7519" spans="38:38" x14ac:dyDescent="0.35">
      <c r="AL7519" s="20"/>
    </row>
    <row r="7520" spans="38:38" x14ac:dyDescent="0.35">
      <c r="AL7520" s="20"/>
    </row>
    <row r="7521" spans="38:38" x14ac:dyDescent="0.35">
      <c r="AL7521" s="20"/>
    </row>
    <row r="7522" spans="38:38" x14ac:dyDescent="0.35">
      <c r="AL7522" s="20"/>
    </row>
    <row r="7523" spans="38:38" x14ac:dyDescent="0.35">
      <c r="AL7523" s="20"/>
    </row>
    <row r="7524" spans="38:38" x14ac:dyDescent="0.35">
      <c r="AL7524" s="20"/>
    </row>
    <row r="7525" spans="38:38" x14ac:dyDescent="0.35">
      <c r="AL7525" s="20"/>
    </row>
    <row r="7526" spans="38:38" x14ac:dyDescent="0.35">
      <c r="AL7526" s="20"/>
    </row>
    <row r="7527" spans="38:38" x14ac:dyDescent="0.35">
      <c r="AL7527" s="20"/>
    </row>
    <row r="7528" spans="38:38" x14ac:dyDescent="0.35">
      <c r="AL7528" s="20"/>
    </row>
    <row r="7529" spans="38:38" x14ac:dyDescent="0.35">
      <c r="AL7529" s="20"/>
    </row>
    <row r="7530" spans="38:38" x14ac:dyDescent="0.35">
      <c r="AL7530" s="20"/>
    </row>
    <row r="7531" spans="38:38" x14ac:dyDescent="0.35">
      <c r="AL7531" s="20"/>
    </row>
    <row r="7532" spans="38:38" x14ac:dyDescent="0.35">
      <c r="AL7532" s="20"/>
    </row>
    <row r="7533" spans="38:38" x14ac:dyDescent="0.35">
      <c r="AL7533" s="20"/>
    </row>
    <row r="7534" spans="38:38" x14ac:dyDescent="0.35">
      <c r="AL7534" s="20"/>
    </row>
    <row r="7535" spans="38:38" x14ac:dyDescent="0.35">
      <c r="AL7535" s="20"/>
    </row>
    <row r="7536" spans="38:38" x14ac:dyDescent="0.35">
      <c r="AL7536" s="20"/>
    </row>
    <row r="7537" spans="38:38" x14ac:dyDescent="0.35">
      <c r="AL7537" s="20"/>
    </row>
    <row r="7538" spans="38:38" x14ac:dyDescent="0.35">
      <c r="AL7538" s="20"/>
    </row>
    <row r="7539" spans="38:38" x14ac:dyDescent="0.35">
      <c r="AL7539" s="20"/>
    </row>
    <row r="7540" spans="38:38" x14ac:dyDescent="0.35">
      <c r="AL7540" s="20"/>
    </row>
    <row r="7541" spans="38:38" x14ac:dyDescent="0.35">
      <c r="AL7541" s="20"/>
    </row>
    <row r="7542" spans="38:38" x14ac:dyDescent="0.35">
      <c r="AL7542" s="20"/>
    </row>
    <row r="7543" spans="38:38" x14ac:dyDescent="0.35">
      <c r="AL7543" s="20"/>
    </row>
    <row r="7544" spans="38:38" x14ac:dyDescent="0.35">
      <c r="AL7544" s="20"/>
    </row>
    <row r="7545" spans="38:38" x14ac:dyDescent="0.35">
      <c r="AL7545" s="20"/>
    </row>
    <row r="7546" spans="38:38" x14ac:dyDescent="0.35">
      <c r="AL7546" s="20"/>
    </row>
    <row r="7547" spans="38:38" x14ac:dyDescent="0.35">
      <c r="AL7547" s="20"/>
    </row>
    <row r="7548" spans="38:38" x14ac:dyDescent="0.35">
      <c r="AL7548" s="20"/>
    </row>
    <row r="7549" spans="38:38" x14ac:dyDescent="0.35">
      <c r="AL7549" s="20"/>
    </row>
    <row r="7550" spans="38:38" x14ac:dyDescent="0.35">
      <c r="AL7550" s="20"/>
    </row>
    <row r="7551" spans="38:38" x14ac:dyDescent="0.35">
      <c r="AL7551" s="20"/>
    </row>
    <row r="7552" spans="38:38" x14ac:dyDescent="0.35">
      <c r="AL7552" s="20"/>
    </row>
    <row r="7553" spans="38:38" x14ac:dyDescent="0.35">
      <c r="AL7553" s="20"/>
    </row>
    <row r="7554" spans="38:38" x14ac:dyDescent="0.35">
      <c r="AL7554" s="20"/>
    </row>
    <row r="7555" spans="38:38" x14ac:dyDescent="0.35">
      <c r="AL7555" s="20"/>
    </row>
    <row r="7556" spans="38:38" x14ac:dyDescent="0.35">
      <c r="AL7556" s="20"/>
    </row>
    <row r="7557" spans="38:38" x14ac:dyDescent="0.35">
      <c r="AL7557" s="20"/>
    </row>
    <row r="7558" spans="38:38" x14ac:dyDescent="0.35">
      <c r="AL7558" s="20"/>
    </row>
    <row r="7559" spans="38:38" x14ac:dyDescent="0.35">
      <c r="AL7559" s="20"/>
    </row>
    <row r="7560" spans="38:38" x14ac:dyDescent="0.35">
      <c r="AL7560" s="20"/>
    </row>
    <row r="7561" spans="38:38" x14ac:dyDescent="0.35">
      <c r="AL7561" s="20"/>
    </row>
    <row r="7562" spans="38:38" x14ac:dyDescent="0.35">
      <c r="AL7562" s="20"/>
    </row>
    <row r="7563" spans="38:38" x14ac:dyDescent="0.35">
      <c r="AL7563" s="20"/>
    </row>
    <row r="7564" spans="38:38" x14ac:dyDescent="0.35">
      <c r="AL7564" s="20"/>
    </row>
    <row r="7565" spans="38:38" x14ac:dyDescent="0.35">
      <c r="AL7565" s="20"/>
    </row>
    <row r="7566" spans="38:38" x14ac:dyDescent="0.35">
      <c r="AL7566" s="20"/>
    </row>
    <row r="7567" spans="38:38" x14ac:dyDescent="0.35">
      <c r="AL7567" s="20"/>
    </row>
    <row r="7568" spans="38:38" x14ac:dyDescent="0.35">
      <c r="AL7568" s="20"/>
    </row>
    <row r="7569" spans="38:38" x14ac:dyDescent="0.35">
      <c r="AL7569" s="20"/>
    </row>
    <row r="7570" spans="38:38" x14ac:dyDescent="0.35">
      <c r="AL7570" s="20"/>
    </row>
    <row r="7571" spans="38:38" x14ac:dyDescent="0.35">
      <c r="AL7571" s="20"/>
    </row>
    <row r="7572" spans="38:38" x14ac:dyDescent="0.35">
      <c r="AL7572" s="20"/>
    </row>
    <row r="7573" spans="38:38" x14ac:dyDescent="0.35">
      <c r="AL7573" s="20"/>
    </row>
    <row r="7574" spans="38:38" x14ac:dyDescent="0.35">
      <c r="AL7574" s="20"/>
    </row>
    <row r="7575" spans="38:38" x14ac:dyDescent="0.35">
      <c r="AL7575" s="20"/>
    </row>
    <row r="7576" spans="38:38" x14ac:dyDescent="0.35">
      <c r="AL7576" s="20"/>
    </row>
    <row r="7577" spans="38:38" x14ac:dyDescent="0.35">
      <c r="AL7577" s="20"/>
    </row>
    <row r="7578" spans="38:38" x14ac:dyDescent="0.35">
      <c r="AL7578" s="20"/>
    </row>
    <row r="7579" spans="38:38" x14ac:dyDescent="0.35">
      <c r="AL7579" s="20"/>
    </row>
    <row r="7580" spans="38:38" x14ac:dyDescent="0.35">
      <c r="AL7580" s="20"/>
    </row>
    <row r="7581" spans="38:38" x14ac:dyDescent="0.35">
      <c r="AL7581" s="20"/>
    </row>
    <row r="7582" spans="38:38" x14ac:dyDescent="0.35">
      <c r="AL7582" s="20"/>
    </row>
    <row r="7583" spans="38:38" x14ac:dyDescent="0.35">
      <c r="AL7583" s="20"/>
    </row>
    <row r="7584" spans="38:38" x14ac:dyDescent="0.35">
      <c r="AL7584" s="20"/>
    </row>
    <row r="7585" spans="38:38" x14ac:dyDescent="0.35">
      <c r="AL7585" s="20"/>
    </row>
    <row r="7586" spans="38:38" x14ac:dyDescent="0.35">
      <c r="AL7586" s="20"/>
    </row>
    <row r="7587" spans="38:38" x14ac:dyDescent="0.35">
      <c r="AL7587" s="20"/>
    </row>
    <row r="7588" spans="38:38" x14ac:dyDescent="0.35">
      <c r="AL7588" s="20"/>
    </row>
    <row r="7589" spans="38:38" x14ac:dyDescent="0.35">
      <c r="AL7589" s="20"/>
    </row>
    <row r="7590" spans="38:38" x14ac:dyDescent="0.35">
      <c r="AL7590" s="20"/>
    </row>
    <row r="7591" spans="38:38" x14ac:dyDescent="0.35">
      <c r="AL7591" s="20"/>
    </row>
    <row r="7592" spans="38:38" x14ac:dyDescent="0.35">
      <c r="AL7592" s="20"/>
    </row>
    <row r="7593" spans="38:38" x14ac:dyDescent="0.35">
      <c r="AL7593" s="20"/>
    </row>
    <row r="7594" spans="38:38" x14ac:dyDescent="0.35">
      <c r="AL7594" s="20"/>
    </row>
    <row r="7595" spans="38:38" x14ac:dyDescent="0.35">
      <c r="AL7595" s="20"/>
    </row>
    <row r="7596" spans="38:38" x14ac:dyDescent="0.35">
      <c r="AL7596" s="20"/>
    </row>
    <row r="7597" spans="38:38" x14ac:dyDescent="0.35">
      <c r="AL7597" s="20"/>
    </row>
    <row r="7598" spans="38:38" x14ac:dyDescent="0.35">
      <c r="AL7598" s="20"/>
    </row>
    <row r="7599" spans="38:38" x14ac:dyDescent="0.35">
      <c r="AL7599" s="20"/>
    </row>
    <row r="7600" spans="38:38" x14ac:dyDescent="0.35">
      <c r="AL7600" s="20"/>
    </row>
    <row r="7601" spans="38:38" x14ac:dyDescent="0.35">
      <c r="AL7601" s="20"/>
    </row>
    <row r="7602" spans="38:38" x14ac:dyDescent="0.35">
      <c r="AL7602" s="20"/>
    </row>
    <row r="7603" spans="38:38" x14ac:dyDescent="0.35">
      <c r="AL7603" s="20"/>
    </row>
    <row r="7604" spans="38:38" x14ac:dyDescent="0.35">
      <c r="AL7604" s="20"/>
    </row>
    <row r="7605" spans="38:38" x14ac:dyDescent="0.35">
      <c r="AL7605" s="20"/>
    </row>
    <row r="7606" spans="38:38" x14ac:dyDescent="0.35">
      <c r="AL7606" s="20"/>
    </row>
    <row r="7607" spans="38:38" x14ac:dyDescent="0.35">
      <c r="AL7607" s="20"/>
    </row>
    <row r="7608" spans="38:38" x14ac:dyDescent="0.35">
      <c r="AL7608" s="20"/>
    </row>
    <row r="7609" spans="38:38" x14ac:dyDescent="0.35">
      <c r="AL7609" s="20"/>
    </row>
    <row r="7610" spans="38:38" x14ac:dyDescent="0.35">
      <c r="AL7610" s="20"/>
    </row>
    <row r="7611" spans="38:38" x14ac:dyDescent="0.35">
      <c r="AL7611" s="20"/>
    </row>
    <row r="7612" spans="38:38" x14ac:dyDescent="0.35">
      <c r="AL7612" s="20"/>
    </row>
    <row r="7613" spans="38:38" x14ac:dyDescent="0.35">
      <c r="AL7613" s="20"/>
    </row>
    <row r="7614" spans="38:38" x14ac:dyDescent="0.35">
      <c r="AL7614" s="20"/>
    </row>
    <row r="7615" spans="38:38" x14ac:dyDescent="0.35">
      <c r="AL7615" s="20"/>
    </row>
    <row r="7616" spans="38:38" x14ac:dyDescent="0.35">
      <c r="AL7616" s="20"/>
    </row>
    <row r="7617" spans="38:38" x14ac:dyDescent="0.35">
      <c r="AL7617" s="20"/>
    </row>
    <row r="7618" spans="38:38" x14ac:dyDescent="0.35">
      <c r="AL7618" s="20"/>
    </row>
    <row r="7619" spans="38:38" x14ac:dyDescent="0.35">
      <c r="AL7619" s="20"/>
    </row>
    <row r="7620" spans="38:38" x14ac:dyDescent="0.35">
      <c r="AL7620" s="20"/>
    </row>
    <row r="7621" spans="38:38" x14ac:dyDescent="0.35">
      <c r="AL7621" s="20"/>
    </row>
    <row r="7622" spans="38:38" x14ac:dyDescent="0.35">
      <c r="AL7622" s="20"/>
    </row>
    <row r="7623" spans="38:38" x14ac:dyDescent="0.35">
      <c r="AL7623" s="20"/>
    </row>
    <row r="7624" spans="38:38" x14ac:dyDescent="0.35">
      <c r="AL7624" s="20"/>
    </row>
    <row r="7625" spans="38:38" x14ac:dyDescent="0.35">
      <c r="AL7625" s="20"/>
    </row>
    <row r="7626" spans="38:38" x14ac:dyDescent="0.35">
      <c r="AL7626" s="20"/>
    </row>
    <row r="7627" spans="38:38" x14ac:dyDescent="0.35">
      <c r="AL7627" s="20"/>
    </row>
    <row r="7628" spans="38:38" x14ac:dyDescent="0.35">
      <c r="AL7628" s="20"/>
    </row>
    <row r="7629" spans="38:38" x14ac:dyDescent="0.35">
      <c r="AL7629" s="20"/>
    </row>
    <row r="7630" spans="38:38" x14ac:dyDescent="0.35">
      <c r="AL7630" s="20"/>
    </row>
    <row r="7631" spans="38:38" x14ac:dyDescent="0.35">
      <c r="AL7631" s="20"/>
    </row>
    <row r="7632" spans="38:38" x14ac:dyDescent="0.35">
      <c r="AL7632" s="20"/>
    </row>
    <row r="7633" spans="38:38" x14ac:dyDescent="0.35">
      <c r="AL7633" s="20"/>
    </row>
    <row r="7634" spans="38:38" x14ac:dyDescent="0.35">
      <c r="AL7634" s="20"/>
    </row>
    <row r="7635" spans="38:38" x14ac:dyDescent="0.35">
      <c r="AL7635" s="20"/>
    </row>
    <row r="7636" spans="38:38" x14ac:dyDescent="0.35">
      <c r="AL7636" s="20"/>
    </row>
    <row r="7637" spans="38:38" x14ac:dyDescent="0.35">
      <c r="AL7637" s="20"/>
    </row>
    <row r="7638" spans="38:38" x14ac:dyDescent="0.35">
      <c r="AL7638" s="20"/>
    </row>
    <row r="7639" spans="38:38" x14ac:dyDescent="0.35">
      <c r="AL7639" s="20"/>
    </row>
    <row r="7640" spans="38:38" x14ac:dyDescent="0.35">
      <c r="AL7640" s="20"/>
    </row>
    <row r="7641" spans="38:38" x14ac:dyDescent="0.35">
      <c r="AL7641" s="20"/>
    </row>
    <row r="7642" spans="38:38" x14ac:dyDescent="0.35">
      <c r="AL7642" s="20"/>
    </row>
    <row r="7643" spans="38:38" x14ac:dyDescent="0.35">
      <c r="AL7643" s="20"/>
    </row>
    <row r="7644" spans="38:38" x14ac:dyDescent="0.35">
      <c r="AL7644" s="20"/>
    </row>
    <row r="7645" spans="38:38" x14ac:dyDescent="0.35">
      <c r="AL7645" s="20"/>
    </row>
    <row r="7646" spans="38:38" x14ac:dyDescent="0.35">
      <c r="AL7646" s="20"/>
    </row>
    <row r="7647" spans="38:38" x14ac:dyDescent="0.35">
      <c r="AL7647" s="20"/>
    </row>
    <row r="7648" spans="38:38" x14ac:dyDescent="0.35">
      <c r="AL7648" s="20"/>
    </row>
    <row r="7649" spans="38:38" x14ac:dyDescent="0.35">
      <c r="AL7649" s="20"/>
    </row>
    <row r="7650" spans="38:38" x14ac:dyDescent="0.35">
      <c r="AL7650" s="20"/>
    </row>
    <row r="7651" spans="38:38" x14ac:dyDescent="0.35">
      <c r="AL7651" s="20"/>
    </row>
    <row r="7652" spans="38:38" x14ac:dyDescent="0.35">
      <c r="AL7652" s="20"/>
    </row>
    <row r="7653" spans="38:38" x14ac:dyDescent="0.35">
      <c r="AL7653" s="20"/>
    </row>
    <row r="7654" spans="38:38" x14ac:dyDescent="0.35">
      <c r="AL7654" s="20"/>
    </row>
    <row r="7655" spans="38:38" x14ac:dyDescent="0.35">
      <c r="AL7655" s="20"/>
    </row>
    <row r="7656" spans="38:38" x14ac:dyDescent="0.35">
      <c r="AL7656" s="20"/>
    </row>
    <row r="7657" spans="38:38" x14ac:dyDescent="0.35">
      <c r="AL7657" s="20"/>
    </row>
    <row r="7658" spans="38:38" x14ac:dyDescent="0.35">
      <c r="AL7658" s="20"/>
    </row>
    <row r="7659" spans="38:38" x14ac:dyDescent="0.35">
      <c r="AL7659" s="20"/>
    </row>
    <row r="7660" spans="38:38" x14ac:dyDescent="0.35">
      <c r="AL7660" s="20"/>
    </row>
    <row r="7661" spans="38:38" x14ac:dyDescent="0.35">
      <c r="AL7661" s="20"/>
    </row>
    <row r="7662" spans="38:38" x14ac:dyDescent="0.35">
      <c r="AL7662" s="20"/>
    </row>
    <row r="7663" spans="38:38" x14ac:dyDescent="0.35">
      <c r="AL7663" s="20"/>
    </row>
    <row r="7664" spans="38:38" x14ac:dyDescent="0.35">
      <c r="AL7664" s="20"/>
    </row>
    <row r="7665" spans="38:38" x14ac:dyDescent="0.35">
      <c r="AL7665" s="20"/>
    </row>
    <row r="7666" spans="38:38" x14ac:dyDescent="0.35">
      <c r="AL7666" s="20"/>
    </row>
    <row r="7667" spans="38:38" x14ac:dyDescent="0.35">
      <c r="AL7667" s="20"/>
    </row>
    <row r="7668" spans="38:38" x14ac:dyDescent="0.35">
      <c r="AL7668" s="20"/>
    </row>
    <row r="7669" spans="38:38" x14ac:dyDescent="0.35">
      <c r="AL7669" s="20"/>
    </row>
    <row r="7670" spans="38:38" x14ac:dyDescent="0.35">
      <c r="AL7670" s="20"/>
    </row>
    <row r="7671" spans="38:38" x14ac:dyDescent="0.35">
      <c r="AL7671" s="20"/>
    </row>
    <row r="7672" spans="38:38" x14ac:dyDescent="0.35">
      <c r="AL7672" s="20"/>
    </row>
    <row r="7673" spans="38:38" x14ac:dyDescent="0.35">
      <c r="AL7673" s="20"/>
    </row>
    <row r="7674" spans="38:38" x14ac:dyDescent="0.35">
      <c r="AL7674" s="20"/>
    </row>
    <row r="7675" spans="38:38" x14ac:dyDescent="0.35">
      <c r="AL7675" s="20"/>
    </row>
    <row r="7676" spans="38:38" x14ac:dyDescent="0.35">
      <c r="AL7676" s="20"/>
    </row>
    <row r="7677" spans="38:38" x14ac:dyDescent="0.35">
      <c r="AL7677" s="20"/>
    </row>
    <row r="7678" spans="38:38" x14ac:dyDescent="0.35">
      <c r="AL7678" s="20"/>
    </row>
    <row r="7679" spans="38:38" x14ac:dyDescent="0.35">
      <c r="AL7679" s="20"/>
    </row>
    <row r="7680" spans="38:38" x14ac:dyDescent="0.35">
      <c r="AL7680" s="20"/>
    </row>
    <row r="7681" spans="38:38" x14ac:dyDescent="0.35">
      <c r="AL7681" s="20"/>
    </row>
    <row r="7682" spans="38:38" x14ac:dyDescent="0.35">
      <c r="AL7682" s="20"/>
    </row>
    <row r="7683" spans="38:38" x14ac:dyDescent="0.35">
      <c r="AL7683" s="20"/>
    </row>
    <row r="7684" spans="38:38" x14ac:dyDescent="0.35">
      <c r="AL7684" s="20"/>
    </row>
    <row r="7685" spans="38:38" x14ac:dyDescent="0.35">
      <c r="AL7685" s="20"/>
    </row>
    <row r="7686" spans="38:38" x14ac:dyDescent="0.35">
      <c r="AL7686" s="20"/>
    </row>
    <row r="7687" spans="38:38" x14ac:dyDescent="0.35">
      <c r="AL7687" s="20"/>
    </row>
    <row r="7688" spans="38:38" x14ac:dyDescent="0.35">
      <c r="AL7688" s="20"/>
    </row>
    <row r="7689" spans="38:38" x14ac:dyDescent="0.35">
      <c r="AL7689" s="20"/>
    </row>
    <row r="7690" spans="38:38" x14ac:dyDescent="0.35">
      <c r="AL7690" s="20"/>
    </row>
    <row r="7691" spans="38:38" x14ac:dyDescent="0.35">
      <c r="AL7691" s="20"/>
    </row>
    <row r="7692" spans="38:38" x14ac:dyDescent="0.35">
      <c r="AL7692" s="20"/>
    </row>
    <row r="7693" spans="38:38" x14ac:dyDescent="0.35">
      <c r="AL7693" s="20"/>
    </row>
    <row r="7694" spans="38:38" x14ac:dyDescent="0.35">
      <c r="AL7694" s="20"/>
    </row>
    <row r="7695" spans="38:38" x14ac:dyDescent="0.35">
      <c r="AL7695" s="20"/>
    </row>
    <row r="7696" spans="38:38" x14ac:dyDescent="0.35">
      <c r="AL7696" s="20"/>
    </row>
    <row r="7697" spans="38:38" x14ac:dyDescent="0.35">
      <c r="AL7697" s="20"/>
    </row>
    <row r="7698" spans="38:38" x14ac:dyDescent="0.35">
      <c r="AL7698" s="20"/>
    </row>
    <row r="7699" spans="38:38" x14ac:dyDescent="0.35">
      <c r="AL7699" s="20"/>
    </row>
    <row r="7700" spans="38:38" x14ac:dyDescent="0.35">
      <c r="AL7700" s="20"/>
    </row>
    <row r="7701" spans="38:38" x14ac:dyDescent="0.35">
      <c r="AL7701" s="20"/>
    </row>
    <row r="7702" spans="38:38" x14ac:dyDescent="0.35">
      <c r="AL7702" s="20"/>
    </row>
    <row r="7703" spans="38:38" x14ac:dyDescent="0.35">
      <c r="AL7703" s="20"/>
    </row>
    <row r="7704" spans="38:38" x14ac:dyDescent="0.35">
      <c r="AL7704" s="20"/>
    </row>
    <row r="7705" spans="38:38" x14ac:dyDescent="0.35">
      <c r="AL7705" s="20"/>
    </row>
    <row r="7706" spans="38:38" x14ac:dyDescent="0.35">
      <c r="AL7706" s="20"/>
    </row>
    <row r="7707" spans="38:38" x14ac:dyDescent="0.35">
      <c r="AL7707" s="20"/>
    </row>
    <row r="7708" spans="38:38" x14ac:dyDescent="0.35">
      <c r="AL7708" s="20"/>
    </row>
    <row r="7709" spans="38:38" x14ac:dyDescent="0.35">
      <c r="AL7709" s="20"/>
    </row>
    <row r="7710" spans="38:38" x14ac:dyDescent="0.35">
      <c r="AL7710" s="20"/>
    </row>
    <row r="7711" spans="38:38" x14ac:dyDescent="0.35">
      <c r="AL7711" s="20"/>
    </row>
    <row r="7712" spans="38:38" x14ac:dyDescent="0.35">
      <c r="AL7712" s="20"/>
    </row>
    <row r="7713" spans="38:38" x14ac:dyDescent="0.35">
      <c r="AL7713" s="20"/>
    </row>
    <row r="7714" spans="38:38" x14ac:dyDescent="0.35">
      <c r="AL7714" s="20"/>
    </row>
    <row r="7715" spans="38:38" x14ac:dyDescent="0.35">
      <c r="AL7715" s="20"/>
    </row>
    <row r="7716" spans="38:38" x14ac:dyDescent="0.35">
      <c r="AL7716" s="20"/>
    </row>
    <row r="7717" spans="38:38" x14ac:dyDescent="0.35">
      <c r="AL7717" s="20"/>
    </row>
    <row r="7718" spans="38:38" x14ac:dyDescent="0.35">
      <c r="AL7718" s="20"/>
    </row>
    <row r="7719" spans="38:38" x14ac:dyDescent="0.35">
      <c r="AL7719" s="20"/>
    </row>
    <row r="7720" spans="38:38" x14ac:dyDescent="0.35">
      <c r="AL7720" s="20"/>
    </row>
    <row r="7721" spans="38:38" x14ac:dyDescent="0.35">
      <c r="AL7721" s="20"/>
    </row>
    <row r="7722" spans="38:38" x14ac:dyDescent="0.35">
      <c r="AL7722" s="20"/>
    </row>
    <row r="7723" spans="38:38" x14ac:dyDescent="0.35">
      <c r="AL7723" s="20"/>
    </row>
    <row r="7724" spans="38:38" x14ac:dyDescent="0.35">
      <c r="AL7724" s="20"/>
    </row>
    <row r="7725" spans="38:38" x14ac:dyDescent="0.35">
      <c r="AL7725" s="20"/>
    </row>
    <row r="7726" spans="38:38" x14ac:dyDescent="0.35">
      <c r="AL7726" s="20"/>
    </row>
    <row r="7727" spans="38:38" x14ac:dyDescent="0.35">
      <c r="AL7727" s="20"/>
    </row>
    <row r="7728" spans="38:38" x14ac:dyDescent="0.35">
      <c r="AL7728" s="20"/>
    </row>
    <row r="7729" spans="38:38" x14ac:dyDescent="0.35">
      <c r="AL7729" s="20"/>
    </row>
    <row r="7730" spans="38:38" x14ac:dyDescent="0.35">
      <c r="AL7730" s="20"/>
    </row>
    <row r="7731" spans="38:38" x14ac:dyDescent="0.35">
      <c r="AL7731" s="20"/>
    </row>
    <row r="7732" spans="38:38" x14ac:dyDescent="0.35">
      <c r="AL7732" s="20"/>
    </row>
    <row r="7733" spans="38:38" x14ac:dyDescent="0.35">
      <c r="AL7733" s="20"/>
    </row>
    <row r="7734" spans="38:38" x14ac:dyDescent="0.35">
      <c r="AL7734" s="20"/>
    </row>
    <row r="7735" spans="38:38" x14ac:dyDescent="0.35">
      <c r="AL7735" s="20"/>
    </row>
    <row r="7736" spans="38:38" x14ac:dyDescent="0.35">
      <c r="AL7736" s="20"/>
    </row>
    <row r="7737" spans="38:38" x14ac:dyDescent="0.35">
      <c r="AL7737" s="20"/>
    </row>
    <row r="7738" spans="38:38" x14ac:dyDescent="0.35">
      <c r="AL7738" s="20"/>
    </row>
    <row r="7739" spans="38:38" x14ac:dyDescent="0.35">
      <c r="AL7739" s="20"/>
    </row>
    <row r="7740" spans="38:38" x14ac:dyDescent="0.35">
      <c r="AL7740" s="20"/>
    </row>
    <row r="7741" spans="38:38" x14ac:dyDescent="0.35">
      <c r="AL7741" s="20"/>
    </row>
    <row r="7742" spans="38:38" x14ac:dyDescent="0.35">
      <c r="AL7742" s="20"/>
    </row>
    <row r="7743" spans="38:38" x14ac:dyDescent="0.35">
      <c r="AL7743" s="20"/>
    </row>
    <row r="7744" spans="38:38" x14ac:dyDescent="0.35">
      <c r="AL7744" s="20"/>
    </row>
    <row r="7745" spans="38:38" x14ac:dyDescent="0.35">
      <c r="AL7745" s="20"/>
    </row>
    <row r="7746" spans="38:38" x14ac:dyDescent="0.35">
      <c r="AL7746" s="20"/>
    </row>
    <row r="7747" spans="38:38" x14ac:dyDescent="0.35">
      <c r="AL7747" s="20"/>
    </row>
    <row r="7748" spans="38:38" x14ac:dyDescent="0.35">
      <c r="AL7748" s="20"/>
    </row>
    <row r="7749" spans="38:38" x14ac:dyDescent="0.35">
      <c r="AL7749" s="20"/>
    </row>
    <row r="7750" spans="38:38" x14ac:dyDescent="0.35">
      <c r="AL7750" s="20"/>
    </row>
    <row r="7751" spans="38:38" x14ac:dyDescent="0.35">
      <c r="AL7751" s="20"/>
    </row>
    <row r="7752" spans="38:38" x14ac:dyDescent="0.35">
      <c r="AL7752" s="20"/>
    </row>
    <row r="7753" spans="38:38" x14ac:dyDescent="0.35">
      <c r="AL7753" s="20"/>
    </row>
    <row r="7754" spans="38:38" x14ac:dyDescent="0.35">
      <c r="AL7754" s="20"/>
    </row>
    <row r="7755" spans="38:38" x14ac:dyDescent="0.35">
      <c r="AL7755" s="20"/>
    </row>
    <row r="7756" spans="38:38" x14ac:dyDescent="0.35">
      <c r="AL7756" s="20"/>
    </row>
    <row r="7757" spans="38:38" x14ac:dyDescent="0.35">
      <c r="AL7757" s="20"/>
    </row>
    <row r="7758" spans="38:38" x14ac:dyDescent="0.35">
      <c r="AL7758" s="20"/>
    </row>
    <row r="7759" spans="38:38" x14ac:dyDescent="0.35">
      <c r="AL7759" s="20"/>
    </row>
    <row r="7760" spans="38:38" x14ac:dyDescent="0.35">
      <c r="AL7760" s="20"/>
    </row>
    <row r="7761" spans="38:38" x14ac:dyDescent="0.35">
      <c r="AL7761" s="20"/>
    </row>
    <row r="7762" spans="38:38" x14ac:dyDescent="0.35">
      <c r="AL7762" s="20"/>
    </row>
    <row r="7763" spans="38:38" x14ac:dyDescent="0.35">
      <c r="AL7763" s="20"/>
    </row>
    <row r="7764" spans="38:38" x14ac:dyDescent="0.35">
      <c r="AL7764" s="20"/>
    </row>
    <row r="7765" spans="38:38" x14ac:dyDescent="0.35">
      <c r="AL7765" s="20"/>
    </row>
    <row r="7766" spans="38:38" x14ac:dyDescent="0.35">
      <c r="AL7766" s="20"/>
    </row>
    <row r="7767" spans="38:38" x14ac:dyDescent="0.35">
      <c r="AL7767" s="20"/>
    </row>
    <row r="7768" spans="38:38" x14ac:dyDescent="0.35">
      <c r="AL7768" s="20"/>
    </row>
    <row r="7769" spans="38:38" x14ac:dyDescent="0.35">
      <c r="AL7769" s="20"/>
    </row>
    <row r="7770" spans="38:38" x14ac:dyDescent="0.35">
      <c r="AL7770" s="20"/>
    </row>
    <row r="7771" spans="38:38" x14ac:dyDescent="0.35">
      <c r="AL7771" s="20"/>
    </row>
    <row r="7772" spans="38:38" x14ac:dyDescent="0.35">
      <c r="AL7772" s="20"/>
    </row>
    <row r="7773" spans="38:38" x14ac:dyDescent="0.35">
      <c r="AL7773" s="20"/>
    </row>
    <row r="7774" spans="38:38" x14ac:dyDescent="0.35">
      <c r="AL7774" s="20"/>
    </row>
    <row r="7775" spans="38:38" x14ac:dyDescent="0.35">
      <c r="AL7775" s="20"/>
    </row>
    <row r="7776" spans="38:38" x14ac:dyDescent="0.35">
      <c r="AL7776" s="20"/>
    </row>
    <row r="7777" spans="38:38" x14ac:dyDescent="0.35">
      <c r="AL7777" s="20"/>
    </row>
    <row r="7778" spans="38:38" x14ac:dyDescent="0.35">
      <c r="AL7778" s="20"/>
    </row>
    <row r="7779" spans="38:38" x14ac:dyDescent="0.35">
      <c r="AL7779" s="20"/>
    </row>
    <row r="7780" spans="38:38" x14ac:dyDescent="0.35">
      <c r="AL7780" s="20"/>
    </row>
    <row r="7781" spans="38:38" x14ac:dyDescent="0.35">
      <c r="AL7781" s="20"/>
    </row>
    <row r="7782" spans="38:38" x14ac:dyDescent="0.35">
      <c r="AL7782" s="20"/>
    </row>
    <row r="7783" spans="38:38" x14ac:dyDescent="0.35">
      <c r="AL7783" s="20"/>
    </row>
    <row r="7784" spans="38:38" x14ac:dyDescent="0.35">
      <c r="AL7784" s="20"/>
    </row>
    <row r="7785" spans="38:38" x14ac:dyDescent="0.35">
      <c r="AL7785" s="20"/>
    </row>
    <row r="7786" spans="38:38" x14ac:dyDescent="0.35">
      <c r="AL7786" s="20"/>
    </row>
    <row r="7787" spans="38:38" x14ac:dyDescent="0.35">
      <c r="AL7787" s="20"/>
    </row>
    <row r="7788" spans="38:38" x14ac:dyDescent="0.35">
      <c r="AL7788" s="20"/>
    </row>
    <row r="7789" spans="38:38" x14ac:dyDescent="0.35">
      <c r="AL7789" s="20"/>
    </row>
    <row r="7790" spans="38:38" x14ac:dyDescent="0.35">
      <c r="AL7790" s="20"/>
    </row>
    <row r="7791" spans="38:38" x14ac:dyDescent="0.35">
      <c r="AL7791" s="20"/>
    </row>
    <row r="7792" spans="38:38" x14ac:dyDescent="0.35">
      <c r="AL7792" s="20"/>
    </row>
    <row r="7793" spans="38:38" x14ac:dyDescent="0.35">
      <c r="AL7793" s="20"/>
    </row>
    <row r="7794" spans="38:38" x14ac:dyDescent="0.35">
      <c r="AL7794" s="20"/>
    </row>
    <row r="7795" spans="38:38" x14ac:dyDescent="0.35">
      <c r="AL7795" s="20"/>
    </row>
    <row r="7796" spans="38:38" x14ac:dyDescent="0.35">
      <c r="AL7796" s="20"/>
    </row>
    <row r="7797" spans="38:38" x14ac:dyDescent="0.35">
      <c r="AL7797" s="20"/>
    </row>
    <row r="7798" spans="38:38" x14ac:dyDescent="0.35">
      <c r="AL7798" s="20"/>
    </row>
    <row r="7799" spans="38:38" x14ac:dyDescent="0.35">
      <c r="AL7799" s="20"/>
    </row>
    <row r="7800" spans="38:38" x14ac:dyDescent="0.35">
      <c r="AL7800" s="20"/>
    </row>
    <row r="7801" spans="38:38" x14ac:dyDescent="0.35">
      <c r="AL7801" s="20"/>
    </row>
    <row r="7802" spans="38:38" x14ac:dyDescent="0.35">
      <c r="AL7802" s="20"/>
    </row>
    <row r="7803" spans="38:38" x14ac:dyDescent="0.35">
      <c r="AL7803" s="20"/>
    </row>
    <row r="7804" spans="38:38" x14ac:dyDescent="0.35">
      <c r="AL7804" s="20"/>
    </row>
    <row r="7805" spans="38:38" x14ac:dyDescent="0.35">
      <c r="AL7805" s="20"/>
    </row>
    <row r="7806" spans="38:38" x14ac:dyDescent="0.35">
      <c r="AL7806" s="20"/>
    </row>
    <row r="7807" spans="38:38" x14ac:dyDescent="0.35">
      <c r="AL7807" s="20"/>
    </row>
    <row r="7808" spans="38:38" x14ac:dyDescent="0.35">
      <c r="AL7808" s="20"/>
    </row>
    <row r="7809" spans="38:38" x14ac:dyDescent="0.35">
      <c r="AL7809" s="20"/>
    </row>
    <row r="7810" spans="38:38" x14ac:dyDescent="0.35">
      <c r="AL7810" s="20"/>
    </row>
    <row r="7811" spans="38:38" x14ac:dyDescent="0.35">
      <c r="AL7811" s="20"/>
    </row>
    <row r="7812" spans="38:38" x14ac:dyDescent="0.35">
      <c r="AL7812" s="20"/>
    </row>
    <row r="7813" spans="38:38" x14ac:dyDescent="0.35">
      <c r="AL7813" s="20"/>
    </row>
    <row r="7814" spans="38:38" x14ac:dyDescent="0.35">
      <c r="AL7814" s="20"/>
    </row>
    <row r="7815" spans="38:38" x14ac:dyDescent="0.35">
      <c r="AL7815" s="20"/>
    </row>
    <row r="7816" spans="38:38" x14ac:dyDescent="0.35">
      <c r="AL7816" s="20"/>
    </row>
    <row r="7817" spans="38:38" x14ac:dyDescent="0.35">
      <c r="AL7817" s="20"/>
    </row>
    <row r="7818" spans="38:38" x14ac:dyDescent="0.35">
      <c r="AL7818" s="20"/>
    </row>
    <row r="7819" spans="38:38" x14ac:dyDescent="0.35">
      <c r="AL7819" s="20"/>
    </row>
    <row r="7820" spans="38:38" x14ac:dyDescent="0.35">
      <c r="AL7820" s="20"/>
    </row>
    <row r="7821" spans="38:38" x14ac:dyDescent="0.35">
      <c r="AL7821" s="20"/>
    </row>
    <row r="7822" spans="38:38" x14ac:dyDescent="0.35">
      <c r="AL7822" s="20"/>
    </row>
    <row r="7823" spans="38:38" x14ac:dyDescent="0.35">
      <c r="AL7823" s="20"/>
    </row>
    <row r="7824" spans="38:38" x14ac:dyDescent="0.35">
      <c r="AL7824" s="20"/>
    </row>
    <row r="7825" spans="38:38" x14ac:dyDescent="0.35">
      <c r="AL7825" s="20"/>
    </row>
    <row r="7826" spans="38:38" x14ac:dyDescent="0.35">
      <c r="AL7826" s="20"/>
    </row>
    <row r="7827" spans="38:38" x14ac:dyDescent="0.35">
      <c r="AL7827" s="20"/>
    </row>
    <row r="7828" spans="38:38" x14ac:dyDescent="0.35">
      <c r="AL7828" s="20"/>
    </row>
    <row r="7829" spans="38:38" x14ac:dyDescent="0.35">
      <c r="AL7829" s="20"/>
    </row>
    <row r="7830" spans="38:38" x14ac:dyDescent="0.35">
      <c r="AL7830" s="20"/>
    </row>
    <row r="7831" spans="38:38" x14ac:dyDescent="0.35">
      <c r="AL7831" s="20"/>
    </row>
    <row r="7832" spans="38:38" x14ac:dyDescent="0.35">
      <c r="AL7832" s="20"/>
    </row>
    <row r="7833" spans="38:38" x14ac:dyDescent="0.35">
      <c r="AL7833" s="20"/>
    </row>
    <row r="7834" spans="38:38" x14ac:dyDescent="0.35">
      <c r="AL7834" s="20"/>
    </row>
    <row r="7835" spans="38:38" x14ac:dyDescent="0.35">
      <c r="AL7835" s="20"/>
    </row>
    <row r="7836" spans="38:38" x14ac:dyDescent="0.35">
      <c r="AL7836" s="20"/>
    </row>
    <row r="7837" spans="38:38" x14ac:dyDescent="0.35">
      <c r="AL7837" s="20"/>
    </row>
    <row r="7838" spans="38:38" x14ac:dyDescent="0.35">
      <c r="AL7838" s="20"/>
    </row>
    <row r="7839" spans="38:38" x14ac:dyDescent="0.35">
      <c r="AL7839" s="20"/>
    </row>
    <row r="7840" spans="38:38" x14ac:dyDescent="0.35">
      <c r="AL7840" s="20"/>
    </row>
    <row r="7841" spans="38:38" x14ac:dyDescent="0.35">
      <c r="AL7841" s="20"/>
    </row>
    <row r="7842" spans="38:38" x14ac:dyDescent="0.35">
      <c r="AL7842" s="20"/>
    </row>
    <row r="7843" spans="38:38" x14ac:dyDescent="0.35">
      <c r="AL7843" s="20"/>
    </row>
    <row r="7844" spans="38:38" x14ac:dyDescent="0.35">
      <c r="AL7844" s="20"/>
    </row>
    <row r="7845" spans="38:38" x14ac:dyDescent="0.35">
      <c r="AL7845" s="20"/>
    </row>
    <row r="7846" spans="38:38" x14ac:dyDescent="0.35">
      <c r="AL7846" s="20"/>
    </row>
    <row r="7847" spans="38:38" x14ac:dyDescent="0.35">
      <c r="AL7847" s="20"/>
    </row>
    <row r="7848" spans="38:38" x14ac:dyDescent="0.35">
      <c r="AL7848" s="20"/>
    </row>
    <row r="7849" spans="38:38" x14ac:dyDescent="0.35">
      <c r="AL7849" s="20"/>
    </row>
    <row r="7850" spans="38:38" x14ac:dyDescent="0.35">
      <c r="AL7850" s="20"/>
    </row>
    <row r="7851" spans="38:38" x14ac:dyDescent="0.35">
      <c r="AL7851" s="20"/>
    </row>
    <row r="7852" spans="38:38" x14ac:dyDescent="0.35">
      <c r="AL7852" s="20"/>
    </row>
    <row r="7853" spans="38:38" x14ac:dyDescent="0.35">
      <c r="AL7853" s="20"/>
    </row>
    <row r="7854" spans="38:38" x14ac:dyDescent="0.35">
      <c r="AL7854" s="20"/>
    </row>
    <row r="7855" spans="38:38" x14ac:dyDescent="0.35">
      <c r="AL7855" s="20"/>
    </row>
    <row r="7856" spans="38:38" x14ac:dyDescent="0.35">
      <c r="AL7856" s="20"/>
    </row>
    <row r="7857" spans="38:38" x14ac:dyDescent="0.35">
      <c r="AL7857" s="20"/>
    </row>
    <row r="7858" spans="38:38" x14ac:dyDescent="0.35">
      <c r="AL7858" s="20"/>
    </row>
    <row r="7859" spans="38:38" x14ac:dyDescent="0.35">
      <c r="AL7859" s="20"/>
    </row>
    <row r="7860" spans="38:38" x14ac:dyDescent="0.35">
      <c r="AL7860" s="20"/>
    </row>
    <row r="7861" spans="38:38" x14ac:dyDescent="0.35">
      <c r="AL7861" s="20"/>
    </row>
    <row r="7862" spans="38:38" x14ac:dyDescent="0.35">
      <c r="AL7862" s="20"/>
    </row>
    <row r="7863" spans="38:38" x14ac:dyDescent="0.35">
      <c r="AL7863" s="20"/>
    </row>
    <row r="7864" spans="38:38" x14ac:dyDescent="0.35">
      <c r="AL7864" s="20"/>
    </row>
    <row r="7865" spans="38:38" x14ac:dyDescent="0.35">
      <c r="AL7865" s="20"/>
    </row>
    <row r="7866" spans="38:38" x14ac:dyDescent="0.35">
      <c r="AL7866" s="20"/>
    </row>
    <row r="7867" spans="38:38" x14ac:dyDescent="0.35">
      <c r="AL7867" s="20"/>
    </row>
    <row r="7868" spans="38:38" x14ac:dyDescent="0.35">
      <c r="AL7868" s="20"/>
    </row>
    <row r="7869" spans="38:38" x14ac:dyDescent="0.35">
      <c r="AL7869" s="20"/>
    </row>
    <row r="7870" spans="38:38" x14ac:dyDescent="0.35">
      <c r="AL7870" s="20"/>
    </row>
    <row r="7871" spans="38:38" x14ac:dyDescent="0.35">
      <c r="AL7871" s="20"/>
    </row>
    <row r="7872" spans="38:38" x14ac:dyDescent="0.35">
      <c r="AL7872" s="20"/>
    </row>
    <row r="7873" spans="38:38" x14ac:dyDescent="0.35">
      <c r="AL7873" s="20"/>
    </row>
    <row r="7874" spans="38:38" x14ac:dyDescent="0.35">
      <c r="AL7874" s="20"/>
    </row>
    <row r="7875" spans="38:38" x14ac:dyDescent="0.35">
      <c r="AL7875" s="20"/>
    </row>
    <row r="7876" spans="38:38" x14ac:dyDescent="0.35">
      <c r="AL7876" s="20"/>
    </row>
    <row r="7877" spans="38:38" x14ac:dyDescent="0.35">
      <c r="AL7877" s="20"/>
    </row>
    <row r="7878" spans="38:38" x14ac:dyDescent="0.35">
      <c r="AL7878" s="20"/>
    </row>
    <row r="7879" spans="38:38" x14ac:dyDescent="0.35">
      <c r="AL7879" s="20"/>
    </row>
    <row r="7880" spans="38:38" x14ac:dyDescent="0.35">
      <c r="AL7880" s="20"/>
    </row>
    <row r="7881" spans="38:38" x14ac:dyDescent="0.35">
      <c r="AL7881" s="20"/>
    </row>
    <row r="7882" spans="38:38" x14ac:dyDescent="0.35">
      <c r="AL7882" s="20"/>
    </row>
    <row r="7883" spans="38:38" x14ac:dyDescent="0.35">
      <c r="AL7883" s="20"/>
    </row>
    <row r="7884" spans="38:38" x14ac:dyDescent="0.35">
      <c r="AL7884" s="20"/>
    </row>
    <row r="7885" spans="38:38" x14ac:dyDescent="0.35">
      <c r="AL7885" s="20"/>
    </row>
    <row r="7886" spans="38:38" x14ac:dyDescent="0.35">
      <c r="AL7886" s="20"/>
    </row>
    <row r="7887" spans="38:38" x14ac:dyDescent="0.35">
      <c r="AL7887" s="20"/>
    </row>
    <row r="7888" spans="38:38" x14ac:dyDescent="0.35">
      <c r="AL7888" s="20"/>
    </row>
    <row r="7889" spans="38:38" x14ac:dyDescent="0.35">
      <c r="AL7889" s="20"/>
    </row>
    <row r="7890" spans="38:38" x14ac:dyDescent="0.35">
      <c r="AL7890" s="20"/>
    </row>
    <row r="7891" spans="38:38" x14ac:dyDescent="0.35">
      <c r="AL7891" s="20"/>
    </row>
    <row r="7892" spans="38:38" x14ac:dyDescent="0.35">
      <c r="AL7892" s="20"/>
    </row>
    <row r="7893" spans="38:38" x14ac:dyDescent="0.35">
      <c r="AL7893" s="20"/>
    </row>
    <row r="7894" spans="38:38" x14ac:dyDescent="0.35">
      <c r="AL7894" s="20"/>
    </row>
    <row r="7895" spans="38:38" x14ac:dyDescent="0.35">
      <c r="AL7895" s="20"/>
    </row>
    <row r="7896" spans="38:38" x14ac:dyDescent="0.35">
      <c r="AL7896" s="20"/>
    </row>
    <row r="7897" spans="38:38" x14ac:dyDescent="0.35">
      <c r="AL7897" s="20"/>
    </row>
    <row r="7898" spans="38:38" x14ac:dyDescent="0.35">
      <c r="AL7898" s="20"/>
    </row>
    <row r="7899" spans="38:38" x14ac:dyDescent="0.35">
      <c r="AL7899" s="20"/>
    </row>
    <row r="7900" spans="38:38" x14ac:dyDescent="0.35">
      <c r="AL7900" s="20"/>
    </row>
    <row r="7901" spans="38:38" x14ac:dyDescent="0.35">
      <c r="AL7901" s="20"/>
    </row>
    <row r="7902" spans="38:38" x14ac:dyDescent="0.35">
      <c r="AL7902" s="20"/>
    </row>
    <row r="7903" spans="38:38" x14ac:dyDescent="0.35">
      <c r="AL7903" s="20"/>
    </row>
    <row r="7904" spans="38:38" x14ac:dyDescent="0.35">
      <c r="AL7904" s="20"/>
    </row>
    <row r="7905" spans="38:38" x14ac:dyDescent="0.35">
      <c r="AL7905" s="20"/>
    </row>
    <row r="7906" spans="38:38" x14ac:dyDescent="0.35">
      <c r="AL7906" s="20"/>
    </row>
    <row r="7907" spans="38:38" x14ac:dyDescent="0.35">
      <c r="AL7907" s="20"/>
    </row>
    <row r="7908" spans="38:38" x14ac:dyDescent="0.35">
      <c r="AL7908" s="20"/>
    </row>
    <row r="7909" spans="38:38" x14ac:dyDescent="0.35">
      <c r="AL7909" s="20"/>
    </row>
    <row r="7910" spans="38:38" x14ac:dyDescent="0.35">
      <c r="AL7910" s="20"/>
    </row>
    <row r="7911" spans="38:38" x14ac:dyDescent="0.35">
      <c r="AL7911" s="20"/>
    </row>
    <row r="7912" spans="38:38" x14ac:dyDescent="0.35">
      <c r="AL7912" s="20"/>
    </row>
    <row r="7913" spans="38:38" x14ac:dyDescent="0.35">
      <c r="AL7913" s="20"/>
    </row>
    <row r="7914" spans="38:38" x14ac:dyDescent="0.35">
      <c r="AL7914" s="20"/>
    </row>
    <row r="7915" spans="38:38" x14ac:dyDescent="0.35">
      <c r="AL7915" s="20"/>
    </row>
    <row r="7916" spans="38:38" x14ac:dyDescent="0.35">
      <c r="AL7916" s="20"/>
    </row>
    <row r="7917" spans="38:38" x14ac:dyDescent="0.35">
      <c r="AL7917" s="20"/>
    </row>
    <row r="7918" spans="38:38" x14ac:dyDescent="0.35">
      <c r="AL7918" s="20"/>
    </row>
    <row r="7919" spans="38:38" x14ac:dyDescent="0.35">
      <c r="AL7919" s="20"/>
    </row>
    <row r="7920" spans="38:38" x14ac:dyDescent="0.35">
      <c r="AL7920" s="20"/>
    </row>
    <row r="7921" spans="38:38" x14ac:dyDescent="0.35">
      <c r="AL7921" s="20"/>
    </row>
    <row r="7922" spans="38:38" x14ac:dyDescent="0.35">
      <c r="AL7922" s="20"/>
    </row>
    <row r="7923" spans="38:38" x14ac:dyDescent="0.35">
      <c r="AL7923" s="20"/>
    </row>
    <row r="7924" spans="38:38" x14ac:dyDescent="0.35">
      <c r="AL7924" s="20"/>
    </row>
    <row r="7925" spans="38:38" x14ac:dyDescent="0.35">
      <c r="AL7925" s="20"/>
    </row>
    <row r="7926" spans="38:38" x14ac:dyDescent="0.35">
      <c r="AL7926" s="20"/>
    </row>
    <row r="7927" spans="38:38" x14ac:dyDescent="0.35">
      <c r="AL7927" s="20"/>
    </row>
    <row r="7928" spans="38:38" x14ac:dyDescent="0.35">
      <c r="AL7928" s="20"/>
    </row>
    <row r="7929" spans="38:38" x14ac:dyDescent="0.35">
      <c r="AL7929" s="20"/>
    </row>
    <row r="7930" spans="38:38" x14ac:dyDescent="0.35">
      <c r="AL7930" s="20"/>
    </row>
    <row r="7931" spans="38:38" x14ac:dyDescent="0.35">
      <c r="AL7931" s="20"/>
    </row>
    <row r="7932" spans="38:38" x14ac:dyDescent="0.35">
      <c r="AL7932" s="20"/>
    </row>
    <row r="7933" spans="38:38" x14ac:dyDescent="0.35">
      <c r="AL7933" s="20"/>
    </row>
    <row r="7934" spans="38:38" x14ac:dyDescent="0.35">
      <c r="AL7934" s="20"/>
    </row>
    <row r="7935" spans="38:38" x14ac:dyDescent="0.35">
      <c r="AL7935" s="20"/>
    </row>
    <row r="7936" spans="38:38" x14ac:dyDescent="0.35">
      <c r="AL7936" s="20"/>
    </row>
    <row r="7937" spans="38:38" x14ac:dyDescent="0.35">
      <c r="AL7937" s="20"/>
    </row>
    <row r="7938" spans="38:38" x14ac:dyDescent="0.35">
      <c r="AL7938" s="20"/>
    </row>
    <row r="7939" spans="38:38" x14ac:dyDescent="0.35">
      <c r="AL7939" s="20"/>
    </row>
    <row r="7940" spans="38:38" x14ac:dyDescent="0.35">
      <c r="AL7940" s="20"/>
    </row>
    <row r="7941" spans="38:38" x14ac:dyDescent="0.35">
      <c r="AL7941" s="20"/>
    </row>
    <row r="7942" spans="38:38" x14ac:dyDescent="0.35">
      <c r="AL7942" s="20"/>
    </row>
    <row r="7943" spans="38:38" x14ac:dyDescent="0.35">
      <c r="AL7943" s="20"/>
    </row>
    <row r="7944" spans="38:38" x14ac:dyDescent="0.35">
      <c r="AL7944" s="20"/>
    </row>
    <row r="7945" spans="38:38" x14ac:dyDescent="0.35">
      <c r="AL7945" s="20"/>
    </row>
    <row r="7946" spans="38:38" x14ac:dyDescent="0.35">
      <c r="AL7946" s="20"/>
    </row>
    <row r="7947" spans="38:38" x14ac:dyDescent="0.35">
      <c r="AL7947" s="20"/>
    </row>
    <row r="7948" spans="38:38" x14ac:dyDescent="0.35">
      <c r="AL7948" s="20"/>
    </row>
    <row r="7949" spans="38:38" x14ac:dyDescent="0.35">
      <c r="AL7949" s="20"/>
    </row>
    <row r="7950" spans="38:38" x14ac:dyDescent="0.35">
      <c r="AL7950" s="20"/>
    </row>
    <row r="7951" spans="38:38" x14ac:dyDescent="0.35">
      <c r="AL7951" s="20"/>
    </row>
    <row r="7952" spans="38:38" x14ac:dyDescent="0.35">
      <c r="AL7952" s="20"/>
    </row>
    <row r="7953" spans="38:38" x14ac:dyDescent="0.35">
      <c r="AL7953" s="20"/>
    </row>
    <row r="7954" spans="38:38" x14ac:dyDescent="0.35">
      <c r="AL7954" s="20"/>
    </row>
    <row r="7955" spans="38:38" x14ac:dyDescent="0.35">
      <c r="AL7955" s="20"/>
    </row>
    <row r="7956" spans="38:38" x14ac:dyDescent="0.35">
      <c r="AL7956" s="20"/>
    </row>
    <row r="7957" spans="38:38" x14ac:dyDescent="0.35">
      <c r="AL7957" s="20"/>
    </row>
    <row r="7958" spans="38:38" x14ac:dyDescent="0.35">
      <c r="AL7958" s="20"/>
    </row>
    <row r="7959" spans="38:38" x14ac:dyDescent="0.35">
      <c r="AL7959" s="20"/>
    </row>
    <row r="7960" spans="38:38" x14ac:dyDescent="0.35">
      <c r="AL7960" s="20"/>
    </row>
    <row r="7961" spans="38:38" x14ac:dyDescent="0.35">
      <c r="AL7961" s="20"/>
    </row>
    <row r="7962" spans="38:38" x14ac:dyDescent="0.35">
      <c r="AL7962" s="20"/>
    </row>
    <row r="7963" spans="38:38" x14ac:dyDescent="0.35">
      <c r="AL7963" s="20"/>
    </row>
    <row r="7964" spans="38:38" x14ac:dyDescent="0.35">
      <c r="AL7964" s="20"/>
    </row>
    <row r="7965" spans="38:38" x14ac:dyDescent="0.35">
      <c r="AL7965" s="20"/>
    </row>
    <row r="7966" spans="38:38" x14ac:dyDescent="0.35">
      <c r="AL7966" s="20"/>
    </row>
    <row r="7967" spans="38:38" x14ac:dyDescent="0.35">
      <c r="AL7967" s="20"/>
    </row>
    <row r="7968" spans="38:38" x14ac:dyDescent="0.35">
      <c r="AL7968" s="20"/>
    </row>
    <row r="7969" spans="38:38" x14ac:dyDescent="0.35">
      <c r="AL7969" s="20"/>
    </row>
    <row r="7970" spans="38:38" x14ac:dyDescent="0.35">
      <c r="AL7970" s="20"/>
    </row>
    <row r="7971" spans="38:38" x14ac:dyDescent="0.35">
      <c r="AL7971" s="20"/>
    </row>
    <row r="7972" spans="38:38" x14ac:dyDescent="0.35">
      <c r="AL7972" s="20"/>
    </row>
    <row r="7973" spans="38:38" x14ac:dyDescent="0.35">
      <c r="AL7973" s="20"/>
    </row>
    <row r="7974" spans="38:38" x14ac:dyDescent="0.35">
      <c r="AL7974" s="20"/>
    </row>
    <row r="7975" spans="38:38" x14ac:dyDescent="0.35">
      <c r="AL7975" s="20"/>
    </row>
    <row r="7976" spans="38:38" x14ac:dyDescent="0.35">
      <c r="AL7976" s="20"/>
    </row>
    <row r="7977" spans="38:38" x14ac:dyDescent="0.35">
      <c r="AL7977" s="20"/>
    </row>
    <row r="7978" spans="38:38" x14ac:dyDescent="0.35">
      <c r="AL7978" s="20"/>
    </row>
    <row r="7979" spans="38:38" x14ac:dyDescent="0.35">
      <c r="AL7979" s="20"/>
    </row>
    <row r="7980" spans="38:38" x14ac:dyDescent="0.35">
      <c r="AL7980" s="20"/>
    </row>
    <row r="7981" spans="38:38" x14ac:dyDescent="0.35">
      <c r="AL7981" s="20"/>
    </row>
    <row r="7982" spans="38:38" x14ac:dyDescent="0.35">
      <c r="AL7982" s="20"/>
    </row>
    <row r="7983" spans="38:38" x14ac:dyDescent="0.35">
      <c r="AL7983" s="20"/>
    </row>
    <row r="7984" spans="38:38" x14ac:dyDescent="0.35">
      <c r="AL7984" s="20"/>
    </row>
    <row r="7985" spans="38:38" x14ac:dyDescent="0.35">
      <c r="AL7985" s="20"/>
    </row>
    <row r="7986" spans="38:38" x14ac:dyDescent="0.35">
      <c r="AL7986" s="20"/>
    </row>
    <row r="7987" spans="38:38" x14ac:dyDescent="0.35">
      <c r="AL7987" s="20"/>
    </row>
    <row r="7988" spans="38:38" x14ac:dyDescent="0.35">
      <c r="AL7988" s="20"/>
    </row>
    <row r="7989" spans="38:38" x14ac:dyDescent="0.35">
      <c r="AL7989" s="20"/>
    </row>
    <row r="7990" spans="38:38" x14ac:dyDescent="0.35">
      <c r="AL7990" s="20"/>
    </row>
    <row r="7991" spans="38:38" x14ac:dyDescent="0.35">
      <c r="AL7991" s="20"/>
    </row>
    <row r="7992" spans="38:38" x14ac:dyDescent="0.35">
      <c r="AL7992" s="20"/>
    </row>
    <row r="7993" spans="38:38" x14ac:dyDescent="0.35">
      <c r="AL7993" s="20"/>
    </row>
    <row r="7994" spans="38:38" x14ac:dyDescent="0.35">
      <c r="AL7994" s="20"/>
    </row>
    <row r="7995" spans="38:38" x14ac:dyDescent="0.35">
      <c r="AL7995" s="20"/>
    </row>
    <row r="7996" spans="38:38" x14ac:dyDescent="0.35">
      <c r="AL7996" s="20"/>
    </row>
    <row r="7997" spans="38:38" x14ac:dyDescent="0.35">
      <c r="AL7997" s="20"/>
    </row>
    <row r="7998" spans="38:38" x14ac:dyDescent="0.35">
      <c r="AL7998" s="20"/>
    </row>
    <row r="7999" spans="38:38" x14ac:dyDescent="0.35">
      <c r="AL7999" s="20"/>
    </row>
    <row r="8000" spans="38:38" x14ac:dyDescent="0.35">
      <c r="AL8000" s="20"/>
    </row>
    <row r="8001" spans="38:38" x14ac:dyDescent="0.35">
      <c r="AL8001" s="20"/>
    </row>
    <row r="8002" spans="38:38" x14ac:dyDescent="0.35">
      <c r="AL8002" s="20"/>
    </row>
    <row r="8003" spans="38:38" x14ac:dyDescent="0.35">
      <c r="AL8003" s="20"/>
    </row>
    <row r="8004" spans="38:38" x14ac:dyDescent="0.35">
      <c r="AL8004" s="20"/>
    </row>
    <row r="8005" spans="38:38" x14ac:dyDescent="0.35">
      <c r="AL8005" s="20"/>
    </row>
    <row r="8006" spans="38:38" x14ac:dyDescent="0.35">
      <c r="AL8006" s="20"/>
    </row>
    <row r="8007" spans="38:38" x14ac:dyDescent="0.35">
      <c r="AL8007" s="20"/>
    </row>
    <row r="8008" spans="38:38" x14ac:dyDescent="0.35">
      <c r="AL8008" s="20"/>
    </row>
    <row r="8009" spans="38:38" x14ac:dyDescent="0.35">
      <c r="AL8009" s="20"/>
    </row>
    <row r="8010" spans="38:38" x14ac:dyDescent="0.35">
      <c r="AL8010" s="20"/>
    </row>
    <row r="8011" spans="38:38" x14ac:dyDescent="0.35">
      <c r="AL8011" s="20"/>
    </row>
    <row r="8012" spans="38:38" x14ac:dyDescent="0.35">
      <c r="AL8012" s="20"/>
    </row>
    <row r="8013" spans="38:38" x14ac:dyDescent="0.35">
      <c r="AL8013" s="20"/>
    </row>
    <row r="8014" spans="38:38" x14ac:dyDescent="0.35">
      <c r="AL8014" s="20"/>
    </row>
    <row r="8015" spans="38:38" x14ac:dyDescent="0.35">
      <c r="AL8015" s="20"/>
    </row>
    <row r="8016" spans="38:38" x14ac:dyDescent="0.35">
      <c r="AL8016" s="20"/>
    </row>
    <row r="8017" spans="38:38" x14ac:dyDescent="0.35">
      <c r="AL8017" s="20"/>
    </row>
    <row r="8018" spans="38:38" x14ac:dyDescent="0.35">
      <c r="AL8018" s="20"/>
    </row>
    <row r="8019" spans="38:38" x14ac:dyDescent="0.35">
      <c r="AL8019" s="20"/>
    </row>
    <row r="8020" spans="38:38" x14ac:dyDescent="0.35">
      <c r="AL8020" s="20"/>
    </row>
    <row r="8021" spans="38:38" x14ac:dyDescent="0.35">
      <c r="AL8021" s="20"/>
    </row>
    <row r="8022" spans="38:38" x14ac:dyDescent="0.35">
      <c r="AL8022" s="20"/>
    </row>
    <row r="8023" spans="38:38" x14ac:dyDescent="0.35">
      <c r="AL8023" s="20"/>
    </row>
    <row r="8024" spans="38:38" x14ac:dyDescent="0.35">
      <c r="AL8024" s="20"/>
    </row>
    <row r="8025" spans="38:38" x14ac:dyDescent="0.35">
      <c r="AL8025" s="20"/>
    </row>
    <row r="8026" spans="38:38" x14ac:dyDescent="0.35">
      <c r="AL8026" s="20"/>
    </row>
    <row r="8027" spans="38:38" x14ac:dyDescent="0.35">
      <c r="AL8027" s="20"/>
    </row>
    <row r="8028" spans="38:38" x14ac:dyDescent="0.35">
      <c r="AL8028" s="20"/>
    </row>
    <row r="8029" spans="38:38" x14ac:dyDescent="0.35">
      <c r="AL8029" s="20"/>
    </row>
    <row r="8030" spans="38:38" x14ac:dyDescent="0.35">
      <c r="AL8030" s="20"/>
    </row>
    <row r="8031" spans="38:38" x14ac:dyDescent="0.35">
      <c r="AL8031" s="20"/>
    </row>
    <row r="8032" spans="38:38" x14ac:dyDescent="0.35">
      <c r="AL8032" s="20"/>
    </row>
    <row r="8033" spans="38:38" x14ac:dyDescent="0.35">
      <c r="AL8033" s="20"/>
    </row>
    <row r="8034" spans="38:38" x14ac:dyDescent="0.35">
      <c r="AL8034" s="20"/>
    </row>
    <row r="8035" spans="38:38" x14ac:dyDescent="0.35">
      <c r="AL8035" s="20"/>
    </row>
    <row r="8036" spans="38:38" x14ac:dyDescent="0.35">
      <c r="AL8036" s="20"/>
    </row>
    <row r="8037" spans="38:38" x14ac:dyDescent="0.35">
      <c r="AL8037" s="20"/>
    </row>
    <row r="8038" spans="38:38" x14ac:dyDescent="0.35">
      <c r="AL8038" s="20"/>
    </row>
    <row r="8039" spans="38:38" x14ac:dyDescent="0.35">
      <c r="AL8039" s="20"/>
    </row>
    <row r="8040" spans="38:38" x14ac:dyDescent="0.35">
      <c r="AL8040" s="20"/>
    </row>
    <row r="8041" spans="38:38" x14ac:dyDescent="0.35">
      <c r="AL8041" s="20"/>
    </row>
    <row r="8042" spans="38:38" x14ac:dyDescent="0.35">
      <c r="AL8042" s="20"/>
    </row>
    <row r="8043" spans="38:38" x14ac:dyDescent="0.35">
      <c r="AL8043" s="20"/>
    </row>
    <row r="8044" spans="38:38" x14ac:dyDescent="0.35">
      <c r="AL8044" s="20"/>
    </row>
    <row r="8045" spans="38:38" x14ac:dyDescent="0.35">
      <c r="AL8045" s="20"/>
    </row>
    <row r="8046" spans="38:38" x14ac:dyDescent="0.35">
      <c r="AL8046" s="20"/>
    </row>
    <row r="8047" spans="38:38" x14ac:dyDescent="0.35">
      <c r="AL8047" s="20"/>
    </row>
    <row r="8048" spans="38:38" x14ac:dyDescent="0.35">
      <c r="AL8048" s="20"/>
    </row>
    <row r="8049" spans="38:38" x14ac:dyDescent="0.35">
      <c r="AL8049" s="20"/>
    </row>
    <row r="8050" spans="38:38" x14ac:dyDescent="0.35">
      <c r="AL8050" s="20"/>
    </row>
    <row r="8051" spans="38:38" x14ac:dyDescent="0.35">
      <c r="AL8051" s="20"/>
    </row>
    <row r="8052" spans="38:38" x14ac:dyDescent="0.35">
      <c r="AL8052" s="20"/>
    </row>
    <row r="8053" spans="38:38" x14ac:dyDescent="0.35">
      <c r="AL8053" s="20"/>
    </row>
    <row r="8054" spans="38:38" x14ac:dyDescent="0.35">
      <c r="AL8054" s="20"/>
    </row>
    <row r="8055" spans="38:38" x14ac:dyDescent="0.35">
      <c r="AL8055" s="20"/>
    </row>
    <row r="8056" spans="38:38" x14ac:dyDescent="0.35">
      <c r="AL8056" s="20"/>
    </row>
    <row r="8057" spans="38:38" x14ac:dyDescent="0.35">
      <c r="AL8057" s="20"/>
    </row>
    <row r="8058" spans="38:38" x14ac:dyDescent="0.35">
      <c r="AL8058" s="20"/>
    </row>
    <row r="8059" spans="38:38" x14ac:dyDescent="0.35">
      <c r="AL8059" s="20"/>
    </row>
    <row r="8060" spans="38:38" x14ac:dyDescent="0.35">
      <c r="AL8060" s="20"/>
    </row>
    <row r="8061" spans="38:38" x14ac:dyDescent="0.35">
      <c r="AL8061" s="20"/>
    </row>
    <row r="8062" spans="38:38" x14ac:dyDescent="0.35">
      <c r="AL8062" s="20"/>
    </row>
    <row r="8063" spans="38:38" x14ac:dyDescent="0.35">
      <c r="AL8063" s="20"/>
    </row>
    <row r="8064" spans="38:38" x14ac:dyDescent="0.35">
      <c r="AL8064" s="20"/>
    </row>
    <row r="8065" spans="38:38" x14ac:dyDescent="0.35">
      <c r="AL8065" s="20"/>
    </row>
    <row r="8066" spans="38:38" x14ac:dyDescent="0.35">
      <c r="AL8066" s="20"/>
    </row>
    <row r="8067" spans="38:38" x14ac:dyDescent="0.35">
      <c r="AL8067" s="20"/>
    </row>
    <row r="8068" spans="38:38" x14ac:dyDescent="0.35">
      <c r="AL8068" s="20"/>
    </row>
    <row r="8069" spans="38:38" x14ac:dyDescent="0.35">
      <c r="AL8069" s="20"/>
    </row>
    <row r="8070" spans="38:38" x14ac:dyDescent="0.35">
      <c r="AL8070" s="20"/>
    </row>
    <row r="8071" spans="38:38" x14ac:dyDescent="0.35">
      <c r="AL8071" s="20"/>
    </row>
    <row r="8072" spans="38:38" x14ac:dyDescent="0.35">
      <c r="AL8072" s="20"/>
    </row>
    <row r="8073" spans="38:38" x14ac:dyDescent="0.35">
      <c r="AL8073" s="20"/>
    </row>
    <row r="8074" spans="38:38" x14ac:dyDescent="0.35">
      <c r="AL8074" s="20"/>
    </row>
    <row r="8075" spans="38:38" x14ac:dyDescent="0.35">
      <c r="AL8075" s="20"/>
    </row>
    <row r="8076" spans="38:38" x14ac:dyDescent="0.35">
      <c r="AL8076" s="20"/>
    </row>
    <row r="8077" spans="38:38" x14ac:dyDescent="0.35">
      <c r="AL8077" s="20"/>
    </row>
    <row r="8078" spans="38:38" x14ac:dyDescent="0.35">
      <c r="AL8078" s="20"/>
    </row>
    <row r="8079" spans="38:38" x14ac:dyDescent="0.35">
      <c r="AL8079" s="20"/>
    </row>
    <row r="8080" spans="38:38" x14ac:dyDescent="0.35">
      <c r="AL8080" s="20"/>
    </row>
    <row r="8081" spans="38:38" x14ac:dyDescent="0.35">
      <c r="AL8081" s="20"/>
    </row>
    <row r="8082" spans="38:38" x14ac:dyDescent="0.35">
      <c r="AL8082" s="20"/>
    </row>
    <row r="8083" spans="38:38" x14ac:dyDescent="0.35">
      <c r="AL8083" s="20"/>
    </row>
    <row r="8084" spans="38:38" x14ac:dyDescent="0.35">
      <c r="AL8084" s="20"/>
    </row>
    <row r="8085" spans="38:38" x14ac:dyDescent="0.35">
      <c r="AL8085" s="20"/>
    </row>
    <row r="8086" spans="38:38" x14ac:dyDescent="0.35">
      <c r="AL8086" s="20"/>
    </row>
    <row r="8087" spans="38:38" x14ac:dyDescent="0.35">
      <c r="AL8087" s="20"/>
    </row>
    <row r="8088" spans="38:38" x14ac:dyDescent="0.35">
      <c r="AL8088" s="20"/>
    </row>
    <row r="8089" spans="38:38" x14ac:dyDescent="0.35">
      <c r="AL8089" s="20"/>
    </row>
    <row r="8090" spans="38:38" x14ac:dyDescent="0.35">
      <c r="AL8090" s="20"/>
    </row>
    <row r="8091" spans="38:38" x14ac:dyDescent="0.35">
      <c r="AL8091" s="20"/>
    </row>
    <row r="8092" spans="38:38" x14ac:dyDescent="0.35">
      <c r="AL8092" s="20"/>
    </row>
    <row r="8093" spans="38:38" x14ac:dyDescent="0.35">
      <c r="AL8093" s="20"/>
    </row>
    <row r="8094" spans="38:38" x14ac:dyDescent="0.35">
      <c r="AL8094" s="20"/>
    </row>
    <row r="8095" spans="38:38" x14ac:dyDescent="0.35">
      <c r="AL8095" s="20"/>
    </row>
    <row r="8096" spans="38:38" x14ac:dyDescent="0.35">
      <c r="AL8096" s="20"/>
    </row>
    <row r="8097" spans="38:38" x14ac:dyDescent="0.35">
      <c r="AL8097" s="20"/>
    </row>
    <row r="8098" spans="38:38" x14ac:dyDescent="0.35">
      <c r="AL8098" s="20"/>
    </row>
    <row r="8099" spans="38:38" x14ac:dyDescent="0.35">
      <c r="AL8099" s="20"/>
    </row>
    <row r="8100" spans="38:38" x14ac:dyDescent="0.35">
      <c r="AL8100" s="20"/>
    </row>
    <row r="8101" spans="38:38" x14ac:dyDescent="0.35">
      <c r="AL8101" s="20"/>
    </row>
    <row r="8102" spans="38:38" x14ac:dyDescent="0.35">
      <c r="AL8102" s="20"/>
    </row>
    <row r="8103" spans="38:38" x14ac:dyDescent="0.35">
      <c r="AL8103" s="20"/>
    </row>
    <row r="8104" spans="38:38" x14ac:dyDescent="0.35">
      <c r="AL8104" s="20"/>
    </row>
    <row r="8105" spans="38:38" x14ac:dyDescent="0.35">
      <c r="AL8105" s="20"/>
    </row>
    <row r="8106" spans="38:38" x14ac:dyDescent="0.35">
      <c r="AL8106" s="20"/>
    </row>
    <row r="8107" spans="38:38" x14ac:dyDescent="0.35">
      <c r="AL8107" s="20"/>
    </row>
    <row r="8108" spans="38:38" x14ac:dyDescent="0.35">
      <c r="AL8108" s="20"/>
    </row>
    <row r="8109" spans="38:38" x14ac:dyDescent="0.35">
      <c r="AL8109" s="20"/>
    </row>
    <row r="8110" spans="38:38" x14ac:dyDescent="0.35">
      <c r="AL8110" s="20"/>
    </row>
    <row r="8111" spans="38:38" x14ac:dyDescent="0.35">
      <c r="AL8111" s="20"/>
    </row>
    <row r="8112" spans="38:38" x14ac:dyDescent="0.35">
      <c r="AL8112" s="20"/>
    </row>
    <row r="8113" spans="38:38" x14ac:dyDescent="0.35">
      <c r="AL8113" s="20"/>
    </row>
    <row r="8114" spans="38:38" x14ac:dyDescent="0.35">
      <c r="AL8114" s="20"/>
    </row>
    <row r="8115" spans="38:38" x14ac:dyDescent="0.35">
      <c r="AL8115" s="20"/>
    </row>
    <row r="8116" spans="38:38" x14ac:dyDescent="0.35">
      <c r="AL8116" s="20"/>
    </row>
    <row r="8117" spans="38:38" x14ac:dyDescent="0.35">
      <c r="AL8117" s="20"/>
    </row>
    <row r="8118" spans="38:38" x14ac:dyDescent="0.35">
      <c r="AL8118" s="20"/>
    </row>
    <row r="8119" spans="38:38" x14ac:dyDescent="0.35">
      <c r="AL8119" s="20"/>
    </row>
    <row r="8120" spans="38:38" x14ac:dyDescent="0.35">
      <c r="AL8120" s="20"/>
    </row>
    <row r="8121" spans="38:38" x14ac:dyDescent="0.35">
      <c r="AL8121" s="20"/>
    </row>
    <row r="8122" spans="38:38" x14ac:dyDescent="0.35">
      <c r="AL8122" s="20"/>
    </row>
    <row r="8123" spans="38:38" x14ac:dyDescent="0.35">
      <c r="AL8123" s="20"/>
    </row>
    <row r="8124" spans="38:38" x14ac:dyDescent="0.35">
      <c r="AL8124" s="20"/>
    </row>
    <row r="8125" spans="38:38" x14ac:dyDescent="0.35">
      <c r="AL8125" s="20"/>
    </row>
    <row r="8126" spans="38:38" x14ac:dyDescent="0.35">
      <c r="AL8126" s="20"/>
    </row>
    <row r="8127" spans="38:38" x14ac:dyDescent="0.35">
      <c r="AL8127" s="20"/>
    </row>
    <row r="8128" spans="38:38" x14ac:dyDescent="0.35">
      <c r="AL8128" s="20"/>
    </row>
    <row r="8129" spans="38:38" x14ac:dyDescent="0.35">
      <c r="AL8129" s="20"/>
    </row>
    <row r="8130" spans="38:38" x14ac:dyDescent="0.35">
      <c r="AL8130" s="20"/>
    </row>
    <row r="8131" spans="38:38" x14ac:dyDescent="0.35">
      <c r="AL8131" s="20"/>
    </row>
    <row r="8132" spans="38:38" x14ac:dyDescent="0.35">
      <c r="AL8132" s="20"/>
    </row>
    <row r="8133" spans="38:38" x14ac:dyDescent="0.35">
      <c r="AL8133" s="20"/>
    </row>
    <row r="8134" spans="38:38" x14ac:dyDescent="0.35">
      <c r="AL8134" s="20"/>
    </row>
    <row r="8135" spans="38:38" x14ac:dyDescent="0.35">
      <c r="AL8135" s="20"/>
    </row>
    <row r="8136" spans="38:38" x14ac:dyDescent="0.35">
      <c r="AL8136" s="20"/>
    </row>
    <row r="8137" spans="38:38" x14ac:dyDescent="0.35">
      <c r="AL8137" s="20"/>
    </row>
    <row r="8138" spans="38:38" x14ac:dyDescent="0.35">
      <c r="AL8138" s="20"/>
    </row>
    <row r="8139" spans="38:38" x14ac:dyDescent="0.35">
      <c r="AL8139" s="20"/>
    </row>
    <row r="8140" spans="38:38" x14ac:dyDescent="0.35">
      <c r="AL8140" s="20"/>
    </row>
    <row r="8141" spans="38:38" x14ac:dyDescent="0.35">
      <c r="AL8141" s="20"/>
    </row>
    <row r="8142" spans="38:38" x14ac:dyDescent="0.35">
      <c r="AL8142" s="20"/>
    </row>
    <row r="8143" spans="38:38" x14ac:dyDescent="0.35">
      <c r="AL8143" s="20"/>
    </row>
    <row r="8144" spans="38:38" x14ac:dyDescent="0.35">
      <c r="AL8144" s="20"/>
    </row>
    <row r="8145" spans="38:38" x14ac:dyDescent="0.35">
      <c r="AL8145" s="20"/>
    </row>
    <row r="8146" spans="38:38" x14ac:dyDescent="0.35">
      <c r="AL8146" s="20"/>
    </row>
    <row r="8147" spans="38:38" x14ac:dyDescent="0.35">
      <c r="AL8147" s="20"/>
    </row>
    <row r="8148" spans="38:38" x14ac:dyDescent="0.35">
      <c r="AL8148" s="20"/>
    </row>
    <row r="8149" spans="38:38" x14ac:dyDescent="0.35">
      <c r="AL8149" s="20"/>
    </row>
    <row r="8150" spans="38:38" x14ac:dyDescent="0.35">
      <c r="AL8150" s="20"/>
    </row>
    <row r="8151" spans="38:38" x14ac:dyDescent="0.35">
      <c r="AL8151" s="20"/>
    </row>
    <row r="8152" spans="38:38" x14ac:dyDescent="0.35">
      <c r="AL8152" s="20"/>
    </row>
    <row r="8153" spans="38:38" x14ac:dyDescent="0.35">
      <c r="AL8153" s="20"/>
    </row>
    <row r="8154" spans="38:38" x14ac:dyDescent="0.35">
      <c r="AL8154" s="20"/>
    </row>
    <row r="8155" spans="38:38" x14ac:dyDescent="0.35">
      <c r="AL8155" s="20"/>
    </row>
    <row r="8156" spans="38:38" x14ac:dyDescent="0.35">
      <c r="AL8156" s="20"/>
    </row>
    <row r="8157" spans="38:38" x14ac:dyDescent="0.35">
      <c r="AL8157" s="20"/>
    </row>
    <row r="8158" spans="38:38" x14ac:dyDescent="0.35">
      <c r="AL8158" s="20"/>
    </row>
    <row r="8159" spans="38:38" x14ac:dyDescent="0.35">
      <c r="AL8159" s="20"/>
    </row>
    <row r="8160" spans="38:38" x14ac:dyDescent="0.35">
      <c r="AL8160" s="20"/>
    </row>
    <row r="8161" spans="38:38" x14ac:dyDescent="0.35">
      <c r="AL8161" s="20"/>
    </row>
    <row r="8162" spans="38:38" x14ac:dyDescent="0.35">
      <c r="AL8162" s="20"/>
    </row>
    <row r="8163" spans="38:38" x14ac:dyDescent="0.35">
      <c r="AL8163" s="20"/>
    </row>
    <row r="8164" spans="38:38" x14ac:dyDescent="0.35">
      <c r="AL8164" s="20"/>
    </row>
    <row r="8165" spans="38:38" x14ac:dyDescent="0.35">
      <c r="AL8165" s="20"/>
    </row>
    <row r="8166" spans="38:38" x14ac:dyDescent="0.35">
      <c r="AL8166" s="20"/>
    </row>
    <row r="8167" spans="38:38" x14ac:dyDescent="0.35">
      <c r="AL8167" s="20"/>
    </row>
    <row r="8168" spans="38:38" x14ac:dyDescent="0.35">
      <c r="AL8168" s="20"/>
    </row>
    <row r="8169" spans="38:38" x14ac:dyDescent="0.35">
      <c r="AL8169" s="20"/>
    </row>
    <row r="8170" spans="38:38" x14ac:dyDescent="0.35">
      <c r="AL8170" s="20"/>
    </row>
    <row r="8171" spans="38:38" x14ac:dyDescent="0.35">
      <c r="AL8171" s="20"/>
    </row>
    <row r="8172" spans="38:38" x14ac:dyDescent="0.35">
      <c r="AL8172" s="20"/>
    </row>
    <row r="8173" spans="38:38" x14ac:dyDescent="0.35">
      <c r="AL8173" s="20"/>
    </row>
    <row r="8174" spans="38:38" x14ac:dyDescent="0.35">
      <c r="AL8174" s="20"/>
    </row>
    <row r="8175" spans="38:38" x14ac:dyDescent="0.35">
      <c r="AL8175" s="20"/>
    </row>
    <row r="8176" spans="38:38" x14ac:dyDescent="0.35">
      <c r="AL8176" s="20"/>
    </row>
    <row r="8177" spans="38:38" x14ac:dyDescent="0.35">
      <c r="AL8177" s="20"/>
    </row>
    <row r="8178" spans="38:38" x14ac:dyDescent="0.35">
      <c r="AL8178" s="20"/>
    </row>
    <row r="8179" spans="38:38" x14ac:dyDescent="0.35">
      <c r="AL8179" s="20"/>
    </row>
    <row r="8180" spans="38:38" x14ac:dyDescent="0.35">
      <c r="AL8180" s="20"/>
    </row>
    <row r="8181" spans="38:38" x14ac:dyDescent="0.35">
      <c r="AL8181" s="20"/>
    </row>
    <row r="8182" spans="38:38" x14ac:dyDescent="0.35">
      <c r="AL8182" s="20"/>
    </row>
    <row r="8183" spans="38:38" x14ac:dyDescent="0.35">
      <c r="AL8183" s="20"/>
    </row>
    <row r="8184" spans="38:38" x14ac:dyDescent="0.35">
      <c r="AL8184" s="20"/>
    </row>
    <row r="8185" spans="38:38" x14ac:dyDescent="0.35">
      <c r="AL8185" s="20"/>
    </row>
    <row r="8186" spans="38:38" x14ac:dyDescent="0.35">
      <c r="AL8186" s="20"/>
    </row>
    <row r="8187" spans="38:38" x14ac:dyDescent="0.35">
      <c r="AL8187" s="20"/>
    </row>
    <row r="8188" spans="38:38" x14ac:dyDescent="0.35">
      <c r="AL8188" s="20"/>
    </row>
    <row r="8189" spans="38:38" x14ac:dyDescent="0.35">
      <c r="AL8189" s="20"/>
    </row>
    <row r="8190" spans="38:38" x14ac:dyDescent="0.35">
      <c r="AL8190" s="20"/>
    </row>
    <row r="8191" spans="38:38" x14ac:dyDescent="0.35">
      <c r="AL8191" s="20"/>
    </row>
    <row r="8192" spans="38:38" x14ac:dyDescent="0.35">
      <c r="AL8192" s="20"/>
    </row>
    <row r="8193" spans="38:38" x14ac:dyDescent="0.35">
      <c r="AL8193" s="20"/>
    </row>
    <row r="8194" spans="38:38" x14ac:dyDescent="0.35">
      <c r="AL8194" s="20"/>
    </row>
    <row r="8195" spans="38:38" x14ac:dyDescent="0.35">
      <c r="AL8195" s="20"/>
    </row>
    <row r="8196" spans="38:38" x14ac:dyDescent="0.35">
      <c r="AL8196" s="20"/>
    </row>
    <row r="8197" spans="38:38" x14ac:dyDescent="0.35">
      <c r="AL8197" s="20"/>
    </row>
    <row r="8198" spans="38:38" x14ac:dyDescent="0.35">
      <c r="AL8198" s="20"/>
    </row>
    <row r="8199" spans="38:38" x14ac:dyDescent="0.35">
      <c r="AL8199" s="20"/>
    </row>
    <row r="8200" spans="38:38" x14ac:dyDescent="0.35">
      <c r="AL8200" s="20"/>
    </row>
    <row r="8201" spans="38:38" x14ac:dyDescent="0.35">
      <c r="AL8201" s="20"/>
    </row>
    <row r="8202" spans="38:38" x14ac:dyDescent="0.35">
      <c r="AL8202" s="20"/>
    </row>
    <row r="8203" spans="38:38" x14ac:dyDescent="0.35">
      <c r="AL8203" s="20"/>
    </row>
    <row r="8204" spans="38:38" x14ac:dyDescent="0.35">
      <c r="AL8204" s="20"/>
    </row>
    <row r="8205" spans="38:38" x14ac:dyDescent="0.35">
      <c r="AL8205" s="20"/>
    </row>
    <row r="8206" spans="38:38" x14ac:dyDescent="0.35">
      <c r="AL8206" s="20"/>
    </row>
    <row r="8207" spans="38:38" x14ac:dyDescent="0.35">
      <c r="AL8207" s="20"/>
    </row>
    <row r="8208" spans="38:38" x14ac:dyDescent="0.35">
      <c r="AL8208" s="20"/>
    </row>
    <row r="8209" spans="38:38" x14ac:dyDescent="0.35">
      <c r="AL8209" s="20"/>
    </row>
    <row r="8210" spans="38:38" x14ac:dyDescent="0.35">
      <c r="AL8210" s="20"/>
    </row>
    <row r="8211" spans="38:38" x14ac:dyDescent="0.35">
      <c r="AL8211" s="20"/>
    </row>
    <row r="8212" spans="38:38" x14ac:dyDescent="0.35">
      <c r="AL8212" s="20"/>
    </row>
    <row r="8213" spans="38:38" x14ac:dyDescent="0.35">
      <c r="AL8213" s="20"/>
    </row>
    <row r="8214" spans="38:38" x14ac:dyDescent="0.35">
      <c r="AL8214" s="20"/>
    </row>
    <row r="8215" spans="38:38" x14ac:dyDescent="0.35">
      <c r="AL8215" s="20"/>
    </row>
    <row r="8216" spans="38:38" x14ac:dyDescent="0.35">
      <c r="AL8216" s="20"/>
    </row>
    <row r="8217" spans="38:38" x14ac:dyDescent="0.35">
      <c r="AL8217" s="20"/>
    </row>
    <row r="8218" spans="38:38" x14ac:dyDescent="0.35">
      <c r="AL8218" s="20"/>
    </row>
    <row r="8219" spans="38:38" x14ac:dyDescent="0.35">
      <c r="AL8219" s="20"/>
    </row>
    <row r="8220" spans="38:38" x14ac:dyDescent="0.35">
      <c r="AL8220" s="20"/>
    </row>
    <row r="8221" spans="38:38" x14ac:dyDescent="0.35">
      <c r="AL8221" s="20"/>
    </row>
    <row r="8222" spans="38:38" x14ac:dyDescent="0.35">
      <c r="AL8222" s="20"/>
    </row>
    <row r="8223" spans="38:38" x14ac:dyDescent="0.35">
      <c r="AL8223" s="20"/>
    </row>
    <row r="8224" spans="38:38" x14ac:dyDescent="0.35">
      <c r="AL8224" s="20"/>
    </row>
    <row r="8225" spans="38:38" x14ac:dyDescent="0.35">
      <c r="AL8225" s="20"/>
    </row>
    <row r="8226" spans="38:38" x14ac:dyDescent="0.35">
      <c r="AL8226" s="20"/>
    </row>
    <row r="8227" spans="38:38" x14ac:dyDescent="0.35">
      <c r="AL8227" s="20"/>
    </row>
    <row r="8228" spans="38:38" x14ac:dyDescent="0.35">
      <c r="AL8228" s="20"/>
    </row>
    <row r="8229" spans="38:38" x14ac:dyDescent="0.35">
      <c r="AL8229" s="20"/>
    </row>
    <row r="8230" spans="38:38" x14ac:dyDescent="0.35">
      <c r="AL8230" s="20"/>
    </row>
    <row r="8231" spans="38:38" x14ac:dyDescent="0.35">
      <c r="AL8231" s="20"/>
    </row>
    <row r="8232" spans="38:38" x14ac:dyDescent="0.35">
      <c r="AL8232" s="20"/>
    </row>
    <row r="8233" spans="38:38" x14ac:dyDescent="0.35">
      <c r="AL8233" s="20"/>
    </row>
    <row r="8234" spans="38:38" x14ac:dyDescent="0.35">
      <c r="AL8234" s="20"/>
    </row>
    <row r="8235" spans="38:38" x14ac:dyDescent="0.35">
      <c r="AL8235" s="20"/>
    </row>
    <row r="8236" spans="38:38" x14ac:dyDescent="0.35">
      <c r="AL8236" s="20"/>
    </row>
    <row r="8237" spans="38:38" x14ac:dyDescent="0.35">
      <c r="AL8237" s="20"/>
    </row>
    <row r="8238" spans="38:38" x14ac:dyDescent="0.35">
      <c r="AL8238" s="20"/>
    </row>
    <row r="8239" spans="38:38" x14ac:dyDescent="0.35">
      <c r="AL8239" s="20"/>
    </row>
    <row r="8240" spans="38:38" x14ac:dyDescent="0.35">
      <c r="AL8240" s="20"/>
    </row>
    <row r="8241" spans="38:38" x14ac:dyDescent="0.35">
      <c r="AL8241" s="20"/>
    </row>
    <row r="8242" spans="38:38" x14ac:dyDescent="0.35">
      <c r="AL8242" s="20"/>
    </row>
    <row r="8243" spans="38:38" x14ac:dyDescent="0.35">
      <c r="AL8243" s="20"/>
    </row>
    <row r="8244" spans="38:38" x14ac:dyDescent="0.35">
      <c r="AL8244" s="20"/>
    </row>
    <row r="8245" spans="38:38" x14ac:dyDescent="0.35">
      <c r="AL8245" s="20"/>
    </row>
    <row r="8246" spans="38:38" x14ac:dyDescent="0.35">
      <c r="AL8246" s="20"/>
    </row>
    <row r="8247" spans="38:38" x14ac:dyDescent="0.35">
      <c r="AL8247" s="20"/>
    </row>
    <row r="8248" spans="38:38" x14ac:dyDescent="0.35">
      <c r="AL8248" s="20"/>
    </row>
    <row r="8249" spans="38:38" x14ac:dyDescent="0.35">
      <c r="AL8249" s="20"/>
    </row>
    <row r="8250" spans="38:38" x14ac:dyDescent="0.35">
      <c r="AL8250" s="20"/>
    </row>
    <row r="8251" spans="38:38" x14ac:dyDescent="0.35">
      <c r="AL8251" s="20"/>
    </row>
    <row r="8252" spans="38:38" x14ac:dyDescent="0.35">
      <c r="AL8252" s="20"/>
    </row>
    <row r="8253" spans="38:38" x14ac:dyDescent="0.35">
      <c r="AL8253" s="20"/>
    </row>
    <row r="8254" spans="38:38" x14ac:dyDescent="0.35">
      <c r="AL8254" s="20"/>
    </row>
    <row r="8255" spans="38:38" x14ac:dyDescent="0.35">
      <c r="AL8255" s="20"/>
    </row>
    <row r="8256" spans="38:38" x14ac:dyDescent="0.35">
      <c r="AL8256" s="20"/>
    </row>
    <row r="8257" spans="38:38" x14ac:dyDescent="0.35">
      <c r="AL8257" s="20"/>
    </row>
    <row r="8258" spans="38:38" x14ac:dyDescent="0.35">
      <c r="AL8258" s="20"/>
    </row>
    <row r="8259" spans="38:38" x14ac:dyDescent="0.35">
      <c r="AL8259" s="20"/>
    </row>
    <row r="8260" spans="38:38" x14ac:dyDescent="0.35">
      <c r="AL8260" s="20"/>
    </row>
    <row r="8261" spans="38:38" x14ac:dyDescent="0.35">
      <c r="AL8261" s="20"/>
    </row>
    <row r="8262" spans="38:38" x14ac:dyDescent="0.35">
      <c r="AL8262" s="20"/>
    </row>
    <row r="8263" spans="38:38" x14ac:dyDescent="0.35">
      <c r="AL8263" s="20"/>
    </row>
    <row r="8264" spans="38:38" x14ac:dyDescent="0.35">
      <c r="AL8264" s="20"/>
    </row>
    <row r="8265" spans="38:38" x14ac:dyDescent="0.35">
      <c r="AL8265" s="20"/>
    </row>
    <row r="8266" spans="38:38" x14ac:dyDescent="0.35">
      <c r="AL8266" s="20"/>
    </row>
    <row r="8267" spans="38:38" x14ac:dyDescent="0.35">
      <c r="AL8267" s="20"/>
    </row>
    <row r="8268" spans="38:38" x14ac:dyDescent="0.35">
      <c r="AL8268" s="20"/>
    </row>
    <row r="8269" spans="38:38" x14ac:dyDescent="0.35">
      <c r="AL8269" s="20"/>
    </row>
    <row r="8270" spans="38:38" x14ac:dyDescent="0.35">
      <c r="AL8270" s="20"/>
    </row>
    <row r="8271" spans="38:38" x14ac:dyDescent="0.35">
      <c r="AL8271" s="20"/>
    </row>
    <row r="8272" spans="38:38" x14ac:dyDescent="0.35">
      <c r="AL8272" s="20"/>
    </row>
    <row r="8273" spans="38:38" x14ac:dyDescent="0.35">
      <c r="AL8273" s="20"/>
    </row>
    <row r="8274" spans="38:38" x14ac:dyDescent="0.35">
      <c r="AL8274" s="20"/>
    </row>
    <row r="8275" spans="38:38" x14ac:dyDescent="0.35">
      <c r="AL8275" s="20"/>
    </row>
    <row r="8276" spans="38:38" x14ac:dyDescent="0.35">
      <c r="AL8276" s="20"/>
    </row>
    <row r="8277" spans="38:38" x14ac:dyDescent="0.35">
      <c r="AL8277" s="20"/>
    </row>
    <row r="8278" spans="38:38" x14ac:dyDescent="0.35">
      <c r="AL8278" s="20"/>
    </row>
    <row r="8279" spans="38:38" x14ac:dyDescent="0.35">
      <c r="AL8279" s="20"/>
    </row>
    <row r="8280" spans="38:38" x14ac:dyDescent="0.35">
      <c r="AL8280" s="20"/>
    </row>
    <row r="8281" spans="38:38" x14ac:dyDescent="0.35">
      <c r="AL8281" s="20"/>
    </row>
    <row r="8282" spans="38:38" x14ac:dyDescent="0.35">
      <c r="AL8282" s="20"/>
    </row>
    <row r="8283" spans="38:38" x14ac:dyDescent="0.35">
      <c r="AL8283" s="20"/>
    </row>
    <row r="8284" spans="38:38" x14ac:dyDescent="0.35">
      <c r="AL8284" s="20"/>
    </row>
    <row r="8285" spans="38:38" x14ac:dyDescent="0.35">
      <c r="AL8285" s="20"/>
    </row>
    <row r="8286" spans="38:38" x14ac:dyDescent="0.35">
      <c r="AL8286" s="20"/>
    </row>
    <row r="8287" spans="38:38" x14ac:dyDescent="0.35">
      <c r="AL8287" s="20"/>
    </row>
    <row r="8288" spans="38:38" x14ac:dyDescent="0.35">
      <c r="AL8288" s="20"/>
    </row>
    <row r="8289" spans="38:38" x14ac:dyDescent="0.35">
      <c r="AL8289" s="20"/>
    </row>
    <row r="8290" spans="38:38" x14ac:dyDescent="0.35">
      <c r="AL8290" s="20"/>
    </row>
    <row r="8291" spans="38:38" x14ac:dyDescent="0.35">
      <c r="AL8291" s="20"/>
    </row>
    <row r="8292" spans="38:38" x14ac:dyDescent="0.35">
      <c r="AL8292" s="20"/>
    </row>
    <row r="8293" spans="38:38" x14ac:dyDescent="0.35">
      <c r="AL8293" s="20"/>
    </row>
    <row r="8294" spans="38:38" x14ac:dyDescent="0.35">
      <c r="AL8294" s="20"/>
    </row>
    <row r="8295" spans="38:38" x14ac:dyDescent="0.35">
      <c r="AL8295" s="20"/>
    </row>
    <row r="8296" spans="38:38" x14ac:dyDescent="0.35">
      <c r="AL8296" s="20"/>
    </row>
    <row r="8297" spans="38:38" x14ac:dyDescent="0.35">
      <c r="AL8297" s="20"/>
    </row>
    <row r="8298" spans="38:38" x14ac:dyDescent="0.35">
      <c r="AL8298" s="20"/>
    </row>
    <row r="8299" spans="38:38" x14ac:dyDescent="0.35">
      <c r="AL8299" s="20"/>
    </row>
    <row r="8300" spans="38:38" x14ac:dyDescent="0.35">
      <c r="AL8300" s="20"/>
    </row>
    <row r="8301" spans="38:38" x14ac:dyDescent="0.35">
      <c r="AL8301" s="20"/>
    </row>
    <row r="8302" spans="38:38" x14ac:dyDescent="0.35">
      <c r="AL8302" s="20"/>
    </row>
    <row r="8303" spans="38:38" x14ac:dyDescent="0.35">
      <c r="AL8303" s="20"/>
    </row>
    <row r="8304" spans="38:38" x14ac:dyDescent="0.35">
      <c r="AL8304" s="20"/>
    </row>
    <row r="8305" spans="38:38" x14ac:dyDescent="0.35">
      <c r="AL8305" s="20"/>
    </row>
    <row r="8306" spans="38:38" x14ac:dyDescent="0.35">
      <c r="AL8306" s="20"/>
    </row>
    <row r="8307" spans="38:38" x14ac:dyDescent="0.35">
      <c r="AL8307" s="20"/>
    </row>
    <row r="8308" spans="38:38" x14ac:dyDescent="0.35">
      <c r="AL8308" s="20"/>
    </row>
    <row r="8309" spans="38:38" x14ac:dyDescent="0.35">
      <c r="AL8309" s="20"/>
    </row>
    <row r="8310" spans="38:38" x14ac:dyDescent="0.35">
      <c r="AL8310" s="20"/>
    </row>
    <row r="8311" spans="38:38" x14ac:dyDescent="0.35">
      <c r="AL8311" s="20"/>
    </row>
    <row r="8312" spans="38:38" x14ac:dyDescent="0.35">
      <c r="AL8312" s="20"/>
    </row>
    <row r="8313" spans="38:38" x14ac:dyDescent="0.35">
      <c r="AL8313" s="20"/>
    </row>
    <row r="8314" spans="38:38" x14ac:dyDescent="0.35">
      <c r="AL8314" s="20"/>
    </row>
    <row r="8315" spans="38:38" x14ac:dyDescent="0.35">
      <c r="AL8315" s="20"/>
    </row>
    <row r="8316" spans="38:38" x14ac:dyDescent="0.35">
      <c r="AL8316" s="20"/>
    </row>
    <row r="8317" spans="38:38" x14ac:dyDescent="0.35">
      <c r="AL8317" s="20"/>
    </row>
    <row r="8318" spans="38:38" x14ac:dyDescent="0.35">
      <c r="AL8318" s="20"/>
    </row>
    <row r="8319" spans="38:38" x14ac:dyDescent="0.35">
      <c r="AL8319" s="20"/>
    </row>
    <row r="8320" spans="38:38" x14ac:dyDescent="0.35">
      <c r="AL8320" s="20"/>
    </row>
    <row r="8321" spans="38:38" x14ac:dyDescent="0.35">
      <c r="AL8321" s="20"/>
    </row>
    <row r="8322" spans="38:38" x14ac:dyDescent="0.35">
      <c r="AL8322" s="20"/>
    </row>
    <row r="8323" spans="38:38" x14ac:dyDescent="0.35">
      <c r="AL8323" s="20"/>
    </row>
    <row r="8324" spans="38:38" x14ac:dyDescent="0.35">
      <c r="AL8324" s="20"/>
    </row>
    <row r="8325" spans="38:38" x14ac:dyDescent="0.35">
      <c r="AL8325" s="20"/>
    </row>
    <row r="8326" spans="38:38" x14ac:dyDescent="0.35">
      <c r="AL8326" s="20"/>
    </row>
    <row r="8327" spans="38:38" x14ac:dyDescent="0.35">
      <c r="AL8327" s="20"/>
    </row>
    <row r="8328" spans="38:38" x14ac:dyDescent="0.35">
      <c r="AL8328" s="20"/>
    </row>
    <row r="8329" spans="38:38" x14ac:dyDescent="0.35">
      <c r="AL8329" s="20"/>
    </row>
    <row r="8330" spans="38:38" x14ac:dyDescent="0.35">
      <c r="AL8330" s="20"/>
    </row>
    <row r="8331" spans="38:38" x14ac:dyDescent="0.35">
      <c r="AL8331" s="20"/>
    </row>
    <row r="8332" spans="38:38" x14ac:dyDescent="0.35">
      <c r="AL8332" s="20"/>
    </row>
    <row r="8333" spans="38:38" x14ac:dyDescent="0.35">
      <c r="AL8333" s="20"/>
    </row>
    <row r="8334" spans="38:38" x14ac:dyDescent="0.35">
      <c r="AL8334" s="20"/>
    </row>
    <row r="8335" spans="38:38" x14ac:dyDescent="0.35">
      <c r="AL8335" s="20"/>
    </row>
    <row r="8336" spans="38:38" x14ac:dyDescent="0.35">
      <c r="AL8336" s="20"/>
    </row>
    <row r="8337" spans="38:38" x14ac:dyDescent="0.35">
      <c r="AL8337" s="20"/>
    </row>
    <row r="8338" spans="38:38" x14ac:dyDescent="0.35">
      <c r="AL8338" s="20"/>
    </row>
    <row r="8339" spans="38:38" x14ac:dyDescent="0.35">
      <c r="AL8339" s="20"/>
    </row>
    <row r="8340" spans="38:38" x14ac:dyDescent="0.35">
      <c r="AL8340" s="20"/>
    </row>
    <row r="8341" spans="38:38" x14ac:dyDescent="0.35">
      <c r="AL8341" s="20"/>
    </row>
    <row r="8342" spans="38:38" x14ac:dyDescent="0.35">
      <c r="AL8342" s="20"/>
    </row>
    <row r="8343" spans="38:38" x14ac:dyDescent="0.35">
      <c r="AL8343" s="20"/>
    </row>
    <row r="8344" spans="38:38" x14ac:dyDescent="0.35">
      <c r="AL8344" s="20"/>
    </row>
    <row r="8345" spans="38:38" x14ac:dyDescent="0.35">
      <c r="AL8345" s="20"/>
    </row>
    <row r="8346" spans="38:38" x14ac:dyDescent="0.35">
      <c r="AL8346" s="20"/>
    </row>
    <row r="8347" spans="38:38" x14ac:dyDescent="0.35">
      <c r="AL8347" s="20"/>
    </row>
    <row r="8348" spans="38:38" x14ac:dyDescent="0.35">
      <c r="AL8348" s="20"/>
    </row>
    <row r="8349" spans="38:38" x14ac:dyDescent="0.35">
      <c r="AL8349" s="20"/>
    </row>
    <row r="8350" spans="38:38" x14ac:dyDescent="0.35">
      <c r="AL8350" s="20"/>
    </row>
    <row r="8351" spans="38:38" x14ac:dyDescent="0.35">
      <c r="AL8351" s="20"/>
    </row>
    <row r="8352" spans="38:38" x14ac:dyDescent="0.35">
      <c r="AL8352" s="20"/>
    </row>
    <row r="8353" spans="38:38" x14ac:dyDescent="0.35">
      <c r="AL8353" s="20"/>
    </row>
    <row r="8354" spans="38:38" x14ac:dyDescent="0.35">
      <c r="AL8354" s="20"/>
    </row>
    <row r="8355" spans="38:38" x14ac:dyDescent="0.35">
      <c r="AL8355" s="20"/>
    </row>
    <row r="8356" spans="38:38" x14ac:dyDescent="0.35">
      <c r="AL8356" s="20"/>
    </row>
    <row r="8357" spans="38:38" x14ac:dyDescent="0.35">
      <c r="AL8357" s="20"/>
    </row>
    <row r="8358" spans="38:38" x14ac:dyDescent="0.35">
      <c r="AL8358" s="20"/>
    </row>
    <row r="8359" spans="38:38" x14ac:dyDescent="0.35">
      <c r="AL8359" s="20"/>
    </row>
    <row r="8360" spans="38:38" x14ac:dyDescent="0.35">
      <c r="AL8360" s="20"/>
    </row>
    <row r="8361" spans="38:38" x14ac:dyDescent="0.35">
      <c r="AL8361" s="20"/>
    </row>
    <row r="8362" spans="38:38" x14ac:dyDescent="0.35">
      <c r="AL8362" s="20"/>
    </row>
    <row r="8363" spans="38:38" x14ac:dyDescent="0.35">
      <c r="AL8363" s="20"/>
    </row>
    <row r="8364" spans="38:38" x14ac:dyDescent="0.35">
      <c r="AL8364" s="20"/>
    </row>
    <row r="8365" spans="38:38" x14ac:dyDescent="0.35">
      <c r="AL8365" s="20"/>
    </row>
    <row r="8366" spans="38:38" x14ac:dyDescent="0.35">
      <c r="AL8366" s="20"/>
    </row>
    <row r="8367" spans="38:38" x14ac:dyDescent="0.35">
      <c r="AL8367" s="20"/>
    </row>
    <row r="8368" spans="38:38" x14ac:dyDescent="0.35">
      <c r="AL8368" s="20"/>
    </row>
    <row r="8369" spans="38:38" x14ac:dyDescent="0.35">
      <c r="AL8369" s="20"/>
    </row>
    <row r="8370" spans="38:38" x14ac:dyDescent="0.35">
      <c r="AL8370" s="20"/>
    </row>
    <row r="8371" spans="38:38" x14ac:dyDescent="0.35">
      <c r="AL8371" s="20"/>
    </row>
    <row r="8372" spans="38:38" x14ac:dyDescent="0.35">
      <c r="AL8372" s="20"/>
    </row>
    <row r="8373" spans="38:38" x14ac:dyDescent="0.35">
      <c r="AL8373" s="20"/>
    </row>
    <row r="8374" spans="38:38" x14ac:dyDescent="0.35">
      <c r="AL8374" s="20"/>
    </row>
    <row r="8375" spans="38:38" x14ac:dyDescent="0.35">
      <c r="AL8375" s="20"/>
    </row>
    <row r="8376" spans="38:38" x14ac:dyDescent="0.35">
      <c r="AL8376" s="20"/>
    </row>
    <row r="8377" spans="38:38" x14ac:dyDescent="0.35">
      <c r="AL8377" s="20"/>
    </row>
    <row r="8378" spans="38:38" x14ac:dyDescent="0.35">
      <c r="AL8378" s="20"/>
    </row>
    <row r="8379" spans="38:38" x14ac:dyDescent="0.35">
      <c r="AL8379" s="20"/>
    </row>
    <row r="8380" spans="38:38" x14ac:dyDescent="0.35">
      <c r="AL8380" s="20"/>
    </row>
    <row r="8381" spans="38:38" x14ac:dyDescent="0.35">
      <c r="AL8381" s="20"/>
    </row>
    <row r="8382" spans="38:38" x14ac:dyDescent="0.35">
      <c r="AL8382" s="20"/>
    </row>
    <row r="8383" spans="38:38" x14ac:dyDescent="0.35">
      <c r="AL8383" s="20"/>
    </row>
    <row r="8384" spans="38:38" x14ac:dyDescent="0.35">
      <c r="AL8384" s="20"/>
    </row>
    <row r="8385" spans="38:38" x14ac:dyDescent="0.35">
      <c r="AL8385" s="20"/>
    </row>
    <row r="8386" spans="38:38" x14ac:dyDescent="0.35">
      <c r="AL8386" s="20"/>
    </row>
    <row r="8387" spans="38:38" x14ac:dyDescent="0.35">
      <c r="AL8387" s="20"/>
    </row>
    <row r="8388" spans="38:38" x14ac:dyDescent="0.35">
      <c r="AL8388" s="20"/>
    </row>
    <row r="8389" spans="38:38" x14ac:dyDescent="0.35">
      <c r="AL8389" s="20"/>
    </row>
    <row r="8390" spans="38:38" x14ac:dyDescent="0.35">
      <c r="AL8390" s="20"/>
    </row>
    <row r="8391" spans="38:38" x14ac:dyDescent="0.35">
      <c r="AL8391" s="20"/>
    </row>
    <row r="8392" spans="38:38" x14ac:dyDescent="0.35">
      <c r="AL8392" s="20"/>
    </row>
    <row r="8393" spans="38:38" x14ac:dyDescent="0.35">
      <c r="AL8393" s="20"/>
    </row>
    <row r="8394" spans="38:38" x14ac:dyDescent="0.35">
      <c r="AL8394" s="20"/>
    </row>
    <row r="8395" spans="38:38" x14ac:dyDescent="0.35">
      <c r="AL8395" s="20"/>
    </row>
    <row r="8396" spans="38:38" x14ac:dyDescent="0.35">
      <c r="AL8396" s="20"/>
    </row>
    <row r="8397" spans="38:38" x14ac:dyDescent="0.35">
      <c r="AL8397" s="20"/>
    </row>
    <row r="8398" spans="38:38" x14ac:dyDescent="0.35">
      <c r="AL8398" s="20"/>
    </row>
    <row r="8399" spans="38:38" x14ac:dyDescent="0.35">
      <c r="AL8399" s="20"/>
    </row>
    <row r="8400" spans="38:38" x14ac:dyDescent="0.35">
      <c r="AL8400" s="20"/>
    </row>
    <row r="8401" spans="38:38" x14ac:dyDescent="0.35">
      <c r="AL8401" s="20"/>
    </row>
    <row r="8402" spans="38:38" x14ac:dyDescent="0.35">
      <c r="AL8402" s="20"/>
    </row>
    <row r="8403" spans="38:38" x14ac:dyDescent="0.35">
      <c r="AL8403" s="20"/>
    </row>
    <row r="8404" spans="38:38" x14ac:dyDescent="0.35">
      <c r="AL8404" s="20"/>
    </row>
    <row r="8405" spans="38:38" x14ac:dyDescent="0.35">
      <c r="AL8405" s="20"/>
    </row>
    <row r="8406" spans="38:38" x14ac:dyDescent="0.35">
      <c r="AL8406" s="20"/>
    </row>
    <row r="8407" spans="38:38" x14ac:dyDescent="0.35">
      <c r="AL8407" s="20"/>
    </row>
    <row r="8408" spans="38:38" x14ac:dyDescent="0.35">
      <c r="AL8408" s="20"/>
    </row>
    <row r="8409" spans="38:38" x14ac:dyDescent="0.35">
      <c r="AL8409" s="20"/>
    </row>
    <row r="8410" spans="38:38" x14ac:dyDescent="0.35">
      <c r="AL8410" s="20"/>
    </row>
    <row r="8411" spans="38:38" x14ac:dyDescent="0.35">
      <c r="AL8411" s="20"/>
    </row>
    <row r="8412" spans="38:38" x14ac:dyDescent="0.35">
      <c r="AL8412" s="20"/>
    </row>
    <row r="8413" spans="38:38" x14ac:dyDescent="0.35">
      <c r="AL8413" s="20"/>
    </row>
    <row r="8414" spans="38:38" x14ac:dyDescent="0.35">
      <c r="AL8414" s="20"/>
    </row>
    <row r="8415" spans="38:38" x14ac:dyDescent="0.35">
      <c r="AL8415" s="20"/>
    </row>
    <row r="8416" spans="38:38" x14ac:dyDescent="0.35">
      <c r="AL8416" s="20"/>
    </row>
    <row r="8417" spans="38:38" x14ac:dyDescent="0.35">
      <c r="AL8417" s="20"/>
    </row>
    <row r="8418" spans="38:38" x14ac:dyDescent="0.35">
      <c r="AL8418" s="20"/>
    </row>
    <row r="8419" spans="38:38" x14ac:dyDescent="0.35">
      <c r="AL8419" s="20"/>
    </row>
    <row r="8420" spans="38:38" x14ac:dyDescent="0.35">
      <c r="AL8420" s="20"/>
    </row>
    <row r="8421" spans="38:38" x14ac:dyDescent="0.35">
      <c r="AL8421" s="20"/>
    </row>
    <row r="8422" spans="38:38" x14ac:dyDescent="0.35">
      <c r="AL8422" s="20"/>
    </row>
    <row r="8423" spans="38:38" x14ac:dyDescent="0.35">
      <c r="AL8423" s="20"/>
    </row>
    <row r="8424" spans="38:38" x14ac:dyDescent="0.35">
      <c r="AL8424" s="20"/>
    </row>
    <row r="8425" spans="38:38" x14ac:dyDescent="0.35">
      <c r="AL8425" s="20"/>
    </row>
    <row r="8426" spans="38:38" x14ac:dyDescent="0.35">
      <c r="AL8426" s="20"/>
    </row>
    <row r="8427" spans="38:38" x14ac:dyDescent="0.35">
      <c r="AL8427" s="20"/>
    </row>
    <row r="8428" spans="38:38" x14ac:dyDescent="0.35">
      <c r="AL8428" s="20"/>
    </row>
    <row r="8429" spans="38:38" x14ac:dyDescent="0.35">
      <c r="AL8429" s="20"/>
    </row>
    <row r="8430" spans="38:38" x14ac:dyDescent="0.35">
      <c r="AL8430" s="20"/>
    </row>
    <row r="8431" spans="38:38" x14ac:dyDescent="0.35">
      <c r="AL8431" s="20"/>
    </row>
    <row r="8432" spans="38:38" x14ac:dyDescent="0.35">
      <c r="AL8432" s="20"/>
    </row>
    <row r="8433" spans="38:38" x14ac:dyDescent="0.35">
      <c r="AL8433" s="20"/>
    </row>
    <row r="8434" spans="38:38" x14ac:dyDescent="0.35">
      <c r="AL8434" s="20"/>
    </row>
    <row r="8435" spans="38:38" x14ac:dyDescent="0.35">
      <c r="AL8435" s="20"/>
    </row>
    <row r="8436" spans="38:38" x14ac:dyDescent="0.35">
      <c r="AL8436" s="20"/>
    </row>
    <row r="8437" spans="38:38" x14ac:dyDescent="0.35">
      <c r="AL8437" s="20"/>
    </row>
    <row r="8438" spans="38:38" x14ac:dyDescent="0.35">
      <c r="AL8438" s="20"/>
    </row>
    <row r="8439" spans="38:38" x14ac:dyDescent="0.35">
      <c r="AL8439" s="20"/>
    </row>
    <row r="8440" spans="38:38" x14ac:dyDescent="0.35">
      <c r="AL8440" s="20"/>
    </row>
    <row r="8441" spans="38:38" x14ac:dyDescent="0.35">
      <c r="AL8441" s="20"/>
    </row>
    <row r="8442" spans="38:38" x14ac:dyDescent="0.35">
      <c r="AL8442" s="20"/>
    </row>
    <row r="8443" spans="38:38" x14ac:dyDescent="0.35">
      <c r="AL8443" s="20"/>
    </row>
    <row r="8444" spans="38:38" x14ac:dyDescent="0.35">
      <c r="AL8444" s="20"/>
    </row>
    <row r="8445" spans="38:38" x14ac:dyDescent="0.35">
      <c r="AL8445" s="20"/>
    </row>
    <row r="8446" spans="38:38" x14ac:dyDescent="0.35">
      <c r="AL8446" s="20"/>
    </row>
    <row r="8447" spans="38:38" x14ac:dyDescent="0.35">
      <c r="AL8447" s="20"/>
    </row>
    <row r="8448" spans="38:38" x14ac:dyDescent="0.35">
      <c r="AL8448" s="20"/>
    </row>
    <row r="8449" spans="38:38" x14ac:dyDescent="0.35">
      <c r="AL8449" s="20"/>
    </row>
    <row r="8450" spans="38:38" x14ac:dyDescent="0.35">
      <c r="AL8450" s="20"/>
    </row>
    <row r="8451" spans="38:38" x14ac:dyDescent="0.35">
      <c r="AL8451" s="20"/>
    </row>
    <row r="8452" spans="38:38" x14ac:dyDescent="0.35">
      <c r="AL8452" s="20"/>
    </row>
    <row r="8453" spans="38:38" x14ac:dyDescent="0.35">
      <c r="AL8453" s="20"/>
    </row>
    <row r="8454" spans="38:38" x14ac:dyDescent="0.35">
      <c r="AL8454" s="20"/>
    </row>
    <row r="8455" spans="38:38" x14ac:dyDescent="0.35">
      <c r="AL8455" s="20"/>
    </row>
    <row r="8456" spans="38:38" x14ac:dyDescent="0.35">
      <c r="AL8456" s="20"/>
    </row>
    <row r="8457" spans="38:38" x14ac:dyDescent="0.35">
      <c r="AL8457" s="20"/>
    </row>
    <row r="8458" spans="38:38" x14ac:dyDescent="0.35">
      <c r="AL8458" s="20"/>
    </row>
    <row r="8459" spans="38:38" x14ac:dyDescent="0.35">
      <c r="AL8459" s="20"/>
    </row>
    <row r="8460" spans="38:38" x14ac:dyDescent="0.35">
      <c r="AL8460" s="20"/>
    </row>
    <row r="8461" spans="38:38" x14ac:dyDescent="0.35">
      <c r="AL8461" s="20"/>
    </row>
    <row r="8462" spans="38:38" x14ac:dyDescent="0.35">
      <c r="AL8462" s="20"/>
    </row>
    <row r="8463" spans="38:38" x14ac:dyDescent="0.35">
      <c r="AL8463" s="20"/>
    </row>
    <row r="8464" spans="38:38" x14ac:dyDescent="0.35">
      <c r="AL8464" s="20"/>
    </row>
    <row r="8465" spans="38:38" x14ac:dyDescent="0.35">
      <c r="AL8465" s="20"/>
    </row>
    <row r="8466" spans="38:38" x14ac:dyDescent="0.35">
      <c r="AL8466" s="20"/>
    </row>
    <row r="8467" spans="38:38" x14ac:dyDescent="0.35">
      <c r="AL8467" s="20"/>
    </row>
    <row r="8468" spans="38:38" x14ac:dyDescent="0.35">
      <c r="AL8468" s="20"/>
    </row>
    <row r="8469" spans="38:38" x14ac:dyDescent="0.35">
      <c r="AL8469" s="20"/>
    </row>
    <row r="8470" spans="38:38" x14ac:dyDescent="0.35">
      <c r="AL8470" s="20"/>
    </row>
    <row r="8471" spans="38:38" x14ac:dyDescent="0.35">
      <c r="AL8471" s="20"/>
    </row>
    <row r="8472" spans="38:38" x14ac:dyDescent="0.35">
      <c r="AL8472" s="20"/>
    </row>
    <row r="8473" spans="38:38" x14ac:dyDescent="0.35">
      <c r="AL8473" s="20"/>
    </row>
    <row r="8474" spans="38:38" x14ac:dyDescent="0.35">
      <c r="AL8474" s="20"/>
    </row>
    <row r="8475" spans="38:38" x14ac:dyDescent="0.35">
      <c r="AL8475" s="20"/>
    </row>
    <row r="8476" spans="38:38" x14ac:dyDescent="0.35">
      <c r="AL8476" s="20"/>
    </row>
    <row r="8477" spans="38:38" x14ac:dyDescent="0.35">
      <c r="AL8477" s="20"/>
    </row>
    <row r="8478" spans="38:38" x14ac:dyDescent="0.35">
      <c r="AL8478" s="20"/>
    </row>
    <row r="8479" spans="38:38" x14ac:dyDescent="0.35">
      <c r="AL8479" s="20"/>
    </row>
    <row r="8480" spans="38:38" x14ac:dyDescent="0.35">
      <c r="AL8480" s="20"/>
    </row>
    <row r="8481" spans="38:38" x14ac:dyDescent="0.35">
      <c r="AL8481" s="20"/>
    </row>
    <row r="8482" spans="38:38" x14ac:dyDescent="0.35">
      <c r="AL8482" s="20"/>
    </row>
    <row r="8483" spans="38:38" x14ac:dyDescent="0.35">
      <c r="AL8483" s="20"/>
    </row>
    <row r="8484" spans="38:38" x14ac:dyDescent="0.35">
      <c r="AL8484" s="20"/>
    </row>
    <row r="8485" spans="38:38" x14ac:dyDescent="0.35">
      <c r="AL8485" s="20"/>
    </row>
    <row r="8486" spans="38:38" x14ac:dyDescent="0.35">
      <c r="AL8486" s="20"/>
    </row>
    <row r="8487" spans="38:38" x14ac:dyDescent="0.35">
      <c r="AL8487" s="20"/>
    </row>
    <row r="8488" spans="38:38" x14ac:dyDescent="0.35">
      <c r="AL8488" s="20"/>
    </row>
    <row r="8489" spans="38:38" x14ac:dyDescent="0.35">
      <c r="AL8489" s="20"/>
    </row>
    <row r="8490" spans="38:38" x14ac:dyDescent="0.35">
      <c r="AL8490" s="20"/>
    </row>
    <row r="8491" spans="38:38" x14ac:dyDescent="0.35">
      <c r="AL8491" s="20"/>
    </row>
    <row r="8492" spans="38:38" x14ac:dyDescent="0.35">
      <c r="AL8492" s="20"/>
    </row>
    <row r="8493" spans="38:38" x14ac:dyDescent="0.35">
      <c r="AL8493" s="20"/>
    </row>
    <row r="8494" spans="38:38" x14ac:dyDescent="0.35">
      <c r="AL8494" s="20"/>
    </row>
    <row r="8495" spans="38:38" x14ac:dyDescent="0.35">
      <c r="AL8495" s="20"/>
    </row>
    <row r="8496" spans="38:38" x14ac:dyDescent="0.35">
      <c r="AL8496" s="20"/>
    </row>
    <row r="8497" spans="38:38" x14ac:dyDescent="0.35">
      <c r="AL8497" s="20"/>
    </row>
    <row r="8498" spans="38:38" x14ac:dyDescent="0.35">
      <c r="AL8498" s="20"/>
    </row>
    <row r="8499" spans="38:38" x14ac:dyDescent="0.35">
      <c r="AL8499" s="20"/>
    </row>
    <row r="8500" spans="38:38" x14ac:dyDescent="0.35">
      <c r="AL8500" s="20"/>
    </row>
    <row r="8501" spans="38:38" x14ac:dyDescent="0.35">
      <c r="AL8501" s="20"/>
    </row>
    <row r="8502" spans="38:38" x14ac:dyDescent="0.35">
      <c r="AL8502" s="20"/>
    </row>
    <row r="8503" spans="38:38" x14ac:dyDescent="0.35">
      <c r="AL8503" s="20"/>
    </row>
    <row r="8504" spans="38:38" x14ac:dyDescent="0.35">
      <c r="AL8504" s="20"/>
    </row>
    <row r="8505" spans="38:38" x14ac:dyDescent="0.35">
      <c r="AL8505" s="20"/>
    </row>
    <row r="8506" spans="38:38" x14ac:dyDescent="0.35">
      <c r="AL8506" s="20"/>
    </row>
    <row r="8507" spans="38:38" x14ac:dyDescent="0.35">
      <c r="AL8507" s="20"/>
    </row>
    <row r="8508" spans="38:38" x14ac:dyDescent="0.35">
      <c r="AL8508" s="20"/>
    </row>
    <row r="8509" spans="38:38" x14ac:dyDescent="0.35">
      <c r="AL8509" s="20"/>
    </row>
    <row r="8510" spans="38:38" x14ac:dyDescent="0.35">
      <c r="AL8510" s="20"/>
    </row>
    <row r="8511" spans="38:38" x14ac:dyDescent="0.35">
      <c r="AL8511" s="20"/>
    </row>
    <row r="8512" spans="38:38" x14ac:dyDescent="0.35">
      <c r="AL8512" s="20"/>
    </row>
    <row r="8513" spans="38:38" x14ac:dyDescent="0.35">
      <c r="AL8513" s="20"/>
    </row>
    <row r="8514" spans="38:38" x14ac:dyDescent="0.35">
      <c r="AL8514" s="20"/>
    </row>
    <row r="8515" spans="38:38" x14ac:dyDescent="0.35">
      <c r="AL8515" s="20"/>
    </row>
    <row r="8516" spans="38:38" x14ac:dyDescent="0.35">
      <c r="AL8516" s="20"/>
    </row>
    <row r="8517" spans="38:38" x14ac:dyDescent="0.35">
      <c r="AL8517" s="20"/>
    </row>
    <row r="8518" spans="38:38" x14ac:dyDescent="0.35">
      <c r="AL8518" s="20"/>
    </row>
    <row r="8519" spans="38:38" x14ac:dyDescent="0.35">
      <c r="AL8519" s="20"/>
    </row>
    <row r="8520" spans="38:38" x14ac:dyDescent="0.35">
      <c r="AL8520" s="20"/>
    </row>
    <row r="8521" spans="38:38" x14ac:dyDescent="0.35">
      <c r="AL8521" s="20"/>
    </row>
    <row r="8522" spans="38:38" x14ac:dyDescent="0.35">
      <c r="AL8522" s="20"/>
    </row>
    <row r="8523" spans="38:38" x14ac:dyDescent="0.35">
      <c r="AL8523" s="20"/>
    </row>
    <row r="8524" spans="38:38" x14ac:dyDescent="0.35">
      <c r="AL8524" s="20"/>
    </row>
    <row r="8525" spans="38:38" x14ac:dyDescent="0.35">
      <c r="AL8525" s="20"/>
    </row>
    <row r="8526" spans="38:38" x14ac:dyDescent="0.35">
      <c r="AL8526" s="20"/>
    </row>
    <row r="8527" spans="38:38" x14ac:dyDescent="0.35">
      <c r="AL8527" s="20"/>
    </row>
    <row r="8528" spans="38:38" x14ac:dyDescent="0.35">
      <c r="AL8528" s="20"/>
    </row>
    <row r="8529" spans="38:38" x14ac:dyDescent="0.35">
      <c r="AL8529" s="20"/>
    </row>
    <row r="8530" spans="38:38" x14ac:dyDescent="0.35">
      <c r="AL8530" s="20"/>
    </row>
    <row r="8531" spans="38:38" x14ac:dyDescent="0.35">
      <c r="AL8531" s="20"/>
    </row>
    <row r="8532" spans="38:38" x14ac:dyDescent="0.35">
      <c r="AL8532" s="20"/>
    </row>
    <row r="8533" spans="38:38" x14ac:dyDescent="0.35">
      <c r="AL8533" s="20"/>
    </row>
    <row r="8534" spans="38:38" x14ac:dyDescent="0.35">
      <c r="AL8534" s="20"/>
    </row>
    <row r="8535" spans="38:38" x14ac:dyDescent="0.35">
      <c r="AL8535" s="20"/>
    </row>
    <row r="8536" spans="38:38" x14ac:dyDescent="0.35">
      <c r="AL8536" s="20"/>
    </row>
    <row r="8537" spans="38:38" x14ac:dyDescent="0.35">
      <c r="AL8537" s="20"/>
    </row>
    <row r="8538" spans="38:38" x14ac:dyDescent="0.35">
      <c r="AL8538" s="20"/>
    </row>
    <row r="8539" spans="38:38" x14ac:dyDescent="0.35">
      <c r="AL8539" s="20"/>
    </row>
    <row r="8540" spans="38:38" x14ac:dyDescent="0.35">
      <c r="AL8540" s="20"/>
    </row>
    <row r="8541" spans="38:38" x14ac:dyDescent="0.35">
      <c r="AL8541" s="20"/>
    </row>
    <row r="8542" spans="38:38" x14ac:dyDescent="0.35">
      <c r="AL8542" s="20"/>
    </row>
    <row r="8543" spans="38:38" x14ac:dyDescent="0.35">
      <c r="AL8543" s="20"/>
    </row>
    <row r="8544" spans="38:38" x14ac:dyDescent="0.35">
      <c r="AL8544" s="20"/>
    </row>
    <row r="8545" spans="38:38" x14ac:dyDescent="0.35">
      <c r="AL8545" s="20"/>
    </row>
    <row r="8546" spans="38:38" x14ac:dyDescent="0.35">
      <c r="AL8546" s="20"/>
    </row>
    <row r="8547" spans="38:38" x14ac:dyDescent="0.35">
      <c r="AL8547" s="20"/>
    </row>
    <row r="8548" spans="38:38" x14ac:dyDescent="0.35">
      <c r="AL8548" s="20"/>
    </row>
    <row r="8549" spans="38:38" x14ac:dyDescent="0.35">
      <c r="AL8549" s="20"/>
    </row>
    <row r="8550" spans="38:38" x14ac:dyDescent="0.35">
      <c r="AL8550" s="20"/>
    </row>
    <row r="8551" spans="38:38" x14ac:dyDescent="0.35">
      <c r="AL8551" s="20"/>
    </row>
    <row r="8552" spans="38:38" x14ac:dyDescent="0.35">
      <c r="AL8552" s="20"/>
    </row>
    <row r="8553" spans="38:38" x14ac:dyDescent="0.35">
      <c r="AL8553" s="20"/>
    </row>
    <row r="8554" spans="38:38" x14ac:dyDescent="0.35">
      <c r="AL8554" s="20"/>
    </row>
    <row r="8555" spans="38:38" x14ac:dyDescent="0.35">
      <c r="AL8555" s="20"/>
    </row>
    <row r="8556" spans="38:38" x14ac:dyDescent="0.35">
      <c r="AL8556" s="20"/>
    </row>
    <row r="8557" spans="38:38" x14ac:dyDescent="0.35">
      <c r="AL8557" s="20"/>
    </row>
    <row r="8558" spans="38:38" x14ac:dyDescent="0.35">
      <c r="AL8558" s="20"/>
    </row>
    <row r="8559" spans="38:38" x14ac:dyDescent="0.35">
      <c r="AL8559" s="20"/>
    </row>
    <row r="8560" spans="38:38" x14ac:dyDescent="0.35">
      <c r="AL8560" s="20"/>
    </row>
    <row r="8561" spans="38:38" x14ac:dyDescent="0.35">
      <c r="AL8561" s="20"/>
    </row>
    <row r="8562" spans="38:38" x14ac:dyDescent="0.35">
      <c r="AL8562" s="20"/>
    </row>
    <row r="8563" spans="38:38" x14ac:dyDescent="0.35">
      <c r="AL8563" s="20"/>
    </row>
    <row r="8564" spans="38:38" x14ac:dyDescent="0.35">
      <c r="AL8564" s="20"/>
    </row>
    <row r="8565" spans="38:38" x14ac:dyDescent="0.35">
      <c r="AL8565" s="20"/>
    </row>
    <row r="8566" spans="38:38" x14ac:dyDescent="0.35">
      <c r="AL8566" s="20"/>
    </row>
    <row r="8567" spans="38:38" x14ac:dyDescent="0.35">
      <c r="AL8567" s="20"/>
    </row>
    <row r="8568" spans="38:38" x14ac:dyDescent="0.35">
      <c r="AL8568" s="20"/>
    </row>
    <row r="8569" spans="38:38" x14ac:dyDescent="0.35">
      <c r="AL8569" s="20"/>
    </row>
    <row r="8570" spans="38:38" x14ac:dyDescent="0.35">
      <c r="AL8570" s="20"/>
    </row>
    <row r="8571" spans="38:38" x14ac:dyDescent="0.35">
      <c r="AL8571" s="20"/>
    </row>
    <row r="8572" spans="38:38" x14ac:dyDescent="0.35">
      <c r="AL8572" s="20"/>
    </row>
    <row r="8573" spans="38:38" x14ac:dyDescent="0.35">
      <c r="AL8573" s="20"/>
    </row>
    <row r="8574" spans="38:38" x14ac:dyDescent="0.35">
      <c r="AL8574" s="20"/>
    </row>
    <row r="8575" spans="38:38" x14ac:dyDescent="0.35">
      <c r="AL8575" s="20"/>
    </row>
    <row r="8576" spans="38:38" x14ac:dyDescent="0.35">
      <c r="AL8576" s="20"/>
    </row>
    <row r="8577" spans="38:38" x14ac:dyDescent="0.35">
      <c r="AL8577" s="20"/>
    </row>
    <row r="8578" spans="38:38" x14ac:dyDescent="0.35">
      <c r="AL8578" s="20"/>
    </row>
    <row r="8579" spans="38:38" x14ac:dyDescent="0.35">
      <c r="AL8579" s="20"/>
    </row>
    <row r="8580" spans="38:38" x14ac:dyDescent="0.35">
      <c r="AL8580" s="20"/>
    </row>
    <row r="8581" spans="38:38" x14ac:dyDescent="0.35">
      <c r="AL8581" s="20"/>
    </row>
    <row r="8582" spans="38:38" x14ac:dyDescent="0.35">
      <c r="AL8582" s="20"/>
    </row>
    <row r="8583" spans="38:38" x14ac:dyDescent="0.35">
      <c r="AL8583" s="20"/>
    </row>
    <row r="8584" spans="38:38" x14ac:dyDescent="0.35">
      <c r="AL8584" s="20"/>
    </row>
    <row r="8585" spans="38:38" x14ac:dyDescent="0.35">
      <c r="AL8585" s="20"/>
    </row>
    <row r="8586" spans="38:38" x14ac:dyDescent="0.35">
      <c r="AL8586" s="20"/>
    </row>
    <row r="8587" spans="38:38" x14ac:dyDescent="0.35">
      <c r="AL8587" s="20"/>
    </row>
    <row r="8588" spans="38:38" x14ac:dyDescent="0.35">
      <c r="AL8588" s="20"/>
    </row>
    <row r="8589" spans="38:38" x14ac:dyDescent="0.35">
      <c r="AL8589" s="20"/>
    </row>
    <row r="8590" spans="38:38" x14ac:dyDescent="0.35">
      <c r="AL8590" s="20"/>
    </row>
    <row r="8591" spans="38:38" x14ac:dyDescent="0.35">
      <c r="AL8591" s="20"/>
    </row>
    <row r="8592" spans="38:38" x14ac:dyDescent="0.35">
      <c r="AL8592" s="20"/>
    </row>
    <row r="8593" spans="38:38" x14ac:dyDescent="0.35">
      <c r="AL8593" s="20"/>
    </row>
    <row r="8594" spans="38:38" x14ac:dyDescent="0.35">
      <c r="AL8594" s="20"/>
    </row>
    <row r="8595" spans="38:38" x14ac:dyDescent="0.35">
      <c r="AL8595" s="20"/>
    </row>
    <row r="8596" spans="38:38" x14ac:dyDescent="0.35">
      <c r="AL8596" s="20"/>
    </row>
    <row r="8597" spans="38:38" x14ac:dyDescent="0.35">
      <c r="AL8597" s="20"/>
    </row>
    <row r="8598" spans="38:38" x14ac:dyDescent="0.35">
      <c r="AL8598" s="20"/>
    </row>
    <row r="8599" spans="38:38" x14ac:dyDescent="0.35">
      <c r="AL8599" s="20"/>
    </row>
    <row r="8600" spans="38:38" x14ac:dyDescent="0.35">
      <c r="AL8600" s="20"/>
    </row>
    <row r="8601" spans="38:38" x14ac:dyDescent="0.35">
      <c r="AL8601" s="20"/>
    </row>
    <row r="8602" spans="38:38" x14ac:dyDescent="0.35">
      <c r="AL8602" s="20"/>
    </row>
    <row r="8603" spans="38:38" x14ac:dyDescent="0.35">
      <c r="AL8603" s="20"/>
    </row>
    <row r="8604" spans="38:38" x14ac:dyDescent="0.35">
      <c r="AL8604" s="20"/>
    </row>
    <row r="8605" spans="38:38" x14ac:dyDescent="0.35">
      <c r="AL8605" s="20"/>
    </row>
    <row r="8606" spans="38:38" x14ac:dyDescent="0.35">
      <c r="AL8606" s="20"/>
    </row>
    <row r="8607" spans="38:38" x14ac:dyDescent="0.35">
      <c r="AL8607" s="20"/>
    </row>
    <row r="8608" spans="38:38" x14ac:dyDescent="0.35">
      <c r="AL8608" s="20"/>
    </row>
    <row r="8609" spans="38:38" x14ac:dyDescent="0.35">
      <c r="AL8609" s="20"/>
    </row>
    <row r="8610" spans="38:38" x14ac:dyDescent="0.35">
      <c r="AL8610" s="20"/>
    </row>
    <row r="8611" spans="38:38" x14ac:dyDescent="0.35">
      <c r="AL8611" s="20"/>
    </row>
    <row r="8612" spans="38:38" x14ac:dyDescent="0.35">
      <c r="AL8612" s="20"/>
    </row>
    <row r="8613" spans="38:38" x14ac:dyDescent="0.35">
      <c r="AL8613" s="20"/>
    </row>
    <row r="8614" spans="38:38" x14ac:dyDescent="0.35">
      <c r="AL8614" s="20"/>
    </row>
    <row r="8615" spans="38:38" x14ac:dyDescent="0.35">
      <c r="AL8615" s="20"/>
    </row>
    <row r="8616" spans="38:38" x14ac:dyDescent="0.35">
      <c r="AL8616" s="20"/>
    </row>
    <row r="8617" spans="38:38" x14ac:dyDescent="0.35">
      <c r="AL8617" s="20"/>
    </row>
    <row r="8618" spans="38:38" x14ac:dyDescent="0.35">
      <c r="AL8618" s="20"/>
    </row>
    <row r="8619" spans="38:38" x14ac:dyDescent="0.35">
      <c r="AL8619" s="20"/>
    </row>
    <row r="8620" spans="38:38" x14ac:dyDescent="0.35">
      <c r="AL8620" s="20"/>
    </row>
    <row r="8621" spans="38:38" x14ac:dyDescent="0.35">
      <c r="AL8621" s="20"/>
    </row>
    <row r="8622" spans="38:38" x14ac:dyDescent="0.35">
      <c r="AL8622" s="20"/>
    </row>
    <row r="8623" spans="38:38" x14ac:dyDescent="0.35">
      <c r="AL8623" s="20"/>
    </row>
    <row r="8624" spans="38:38" x14ac:dyDescent="0.35">
      <c r="AL8624" s="20"/>
    </row>
    <row r="8625" spans="38:38" x14ac:dyDescent="0.35">
      <c r="AL8625" s="20"/>
    </row>
    <row r="8626" spans="38:38" x14ac:dyDescent="0.35">
      <c r="AL8626" s="20"/>
    </row>
    <row r="8627" spans="38:38" x14ac:dyDescent="0.35">
      <c r="AL8627" s="20"/>
    </row>
    <row r="8628" spans="38:38" x14ac:dyDescent="0.35">
      <c r="AL8628" s="20"/>
    </row>
    <row r="8629" spans="38:38" x14ac:dyDescent="0.35">
      <c r="AL8629" s="20"/>
    </row>
    <row r="8630" spans="38:38" x14ac:dyDescent="0.35">
      <c r="AL8630" s="20"/>
    </row>
    <row r="8631" spans="38:38" x14ac:dyDescent="0.35">
      <c r="AL8631" s="20"/>
    </row>
    <row r="8632" spans="38:38" x14ac:dyDescent="0.35">
      <c r="AL8632" s="20"/>
    </row>
    <row r="8633" spans="38:38" x14ac:dyDescent="0.35">
      <c r="AL8633" s="20"/>
    </row>
    <row r="8634" spans="38:38" x14ac:dyDescent="0.35">
      <c r="AL8634" s="20"/>
    </row>
    <row r="8635" spans="38:38" x14ac:dyDescent="0.35">
      <c r="AL8635" s="20"/>
    </row>
    <row r="8636" spans="38:38" x14ac:dyDescent="0.35">
      <c r="AL8636" s="20"/>
    </row>
    <row r="8637" spans="38:38" x14ac:dyDescent="0.35">
      <c r="AL8637" s="20"/>
    </row>
    <row r="8638" spans="38:38" x14ac:dyDescent="0.35">
      <c r="AL8638" s="20"/>
    </row>
    <row r="8639" spans="38:38" x14ac:dyDescent="0.35">
      <c r="AL8639" s="20"/>
    </row>
    <row r="8640" spans="38:38" x14ac:dyDescent="0.35">
      <c r="AL8640" s="20"/>
    </row>
    <row r="8641" spans="38:38" x14ac:dyDescent="0.35">
      <c r="AL8641" s="20"/>
    </row>
    <row r="8642" spans="38:38" x14ac:dyDescent="0.35">
      <c r="AL8642" s="20"/>
    </row>
    <row r="8643" spans="38:38" x14ac:dyDescent="0.35">
      <c r="AL8643" s="20"/>
    </row>
    <row r="8644" spans="38:38" x14ac:dyDescent="0.35">
      <c r="AL8644" s="20"/>
    </row>
    <row r="8645" spans="38:38" x14ac:dyDescent="0.35">
      <c r="AL8645" s="20"/>
    </row>
    <row r="8646" spans="38:38" x14ac:dyDescent="0.35">
      <c r="AL8646" s="20"/>
    </row>
    <row r="8647" spans="38:38" x14ac:dyDescent="0.35">
      <c r="AL8647" s="20"/>
    </row>
    <row r="8648" spans="38:38" x14ac:dyDescent="0.35">
      <c r="AL8648" s="20"/>
    </row>
    <row r="8649" spans="38:38" x14ac:dyDescent="0.35">
      <c r="AL8649" s="20"/>
    </row>
    <row r="8650" spans="38:38" x14ac:dyDescent="0.35">
      <c r="AL8650" s="20"/>
    </row>
    <row r="8651" spans="38:38" x14ac:dyDescent="0.35">
      <c r="AL8651" s="20"/>
    </row>
    <row r="8652" spans="38:38" x14ac:dyDescent="0.35">
      <c r="AL8652" s="20"/>
    </row>
    <row r="8653" spans="38:38" x14ac:dyDescent="0.35">
      <c r="AL8653" s="20"/>
    </row>
    <row r="8654" spans="38:38" x14ac:dyDescent="0.35">
      <c r="AL8654" s="20"/>
    </row>
    <row r="8655" spans="38:38" x14ac:dyDescent="0.35">
      <c r="AL8655" s="20"/>
    </row>
    <row r="8656" spans="38:38" x14ac:dyDescent="0.35">
      <c r="AL8656" s="20"/>
    </row>
    <row r="8657" spans="38:38" x14ac:dyDescent="0.35">
      <c r="AL8657" s="20"/>
    </row>
    <row r="8658" spans="38:38" x14ac:dyDescent="0.35">
      <c r="AL8658" s="20"/>
    </row>
    <row r="8659" spans="38:38" x14ac:dyDescent="0.35">
      <c r="AL8659" s="20"/>
    </row>
    <row r="8660" spans="38:38" x14ac:dyDescent="0.35">
      <c r="AL8660" s="20"/>
    </row>
    <row r="8661" spans="38:38" x14ac:dyDescent="0.35">
      <c r="AL8661" s="20"/>
    </row>
    <row r="8662" spans="38:38" x14ac:dyDescent="0.35">
      <c r="AL8662" s="20"/>
    </row>
    <row r="8663" spans="38:38" x14ac:dyDescent="0.35">
      <c r="AL8663" s="20"/>
    </row>
    <row r="8664" spans="38:38" x14ac:dyDescent="0.35">
      <c r="AL8664" s="20"/>
    </row>
    <row r="8665" spans="38:38" x14ac:dyDescent="0.35">
      <c r="AL8665" s="20"/>
    </row>
    <row r="8666" spans="38:38" x14ac:dyDescent="0.35">
      <c r="AL8666" s="20"/>
    </row>
    <row r="8667" spans="38:38" x14ac:dyDescent="0.35">
      <c r="AL8667" s="20"/>
    </row>
    <row r="8668" spans="38:38" x14ac:dyDescent="0.35">
      <c r="AL8668" s="20"/>
    </row>
    <row r="8669" spans="38:38" x14ac:dyDescent="0.35">
      <c r="AL8669" s="20"/>
    </row>
    <row r="8670" spans="38:38" x14ac:dyDescent="0.35">
      <c r="AL8670" s="20"/>
    </row>
    <row r="8671" spans="38:38" x14ac:dyDescent="0.35">
      <c r="AL8671" s="20"/>
    </row>
    <row r="8672" spans="38:38" x14ac:dyDescent="0.35">
      <c r="AL8672" s="20"/>
    </row>
    <row r="8673" spans="38:38" x14ac:dyDescent="0.35">
      <c r="AL8673" s="20"/>
    </row>
    <row r="8674" spans="38:38" x14ac:dyDescent="0.35">
      <c r="AL8674" s="20"/>
    </row>
    <row r="8675" spans="38:38" x14ac:dyDescent="0.35">
      <c r="AL8675" s="20"/>
    </row>
    <row r="8676" spans="38:38" x14ac:dyDescent="0.35">
      <c r="AL8676" s="20"/>
    </row>
    <row r="8677" spans="38:38" x14ac:dyDescent="0.35">
      <c r="AL8677" s="20"/>
    </row>
    <row r="8678" spans="38:38" x14ac:dyDescent="0.35">
      <c r="AL8678" s="20"/>
    </row>
    <row r="8679" spans="38:38" x14ac:dyDescent="0.35">
      <c r="AL8679" s="20"/>
    </row>
    <row r="8680" spans="38:38" x14ac:dyDescent="0.35">
      <c r="AL8680" s="20"/>
    </row>
    <row r="8681" spans="38:38" x14ac:dyDescent="0.35">
      <c r="AL8681" s="20"/>
    </row>
    <row r="8682" spans="38:38" x14ac:dyDescent="0.35">
      <c r="AL8682" s="20"/>
    </row>
    <row r="8683" spans="38:38" x14ac:dyDescent="0.35">
      <c r="AL8683" s="20"/>
    </row>
    <row r="8684" spans="38:38" x14ac:dyDescent="0.35">
      <c r="AL8684" s="20"/>
    </row>
    <row r="8685" spans="38:38" x14ac:dyDescent="0.35">
      <c r="AL8685" s="20"/>
    </row>
    <row r="8686" spans="38:38" x14ac:dyDescent="0.35">
      <c r="AL8686" s="20"/>
    </row>
    <row r="8687" spans="38:38" x14ac:dyDescent="0.35">
      <c r="AL8687" s="20"/>
    </row>
    <row r="8688" spans="38:38" x14ac:dyDescent="0.35">
      <c r="AL8688" s="20"/>
    </row>
    <row r="8689" spans="38:38" x14ac:dyDescent="0.35">
      <c r="AL8689" s="20"/>
    </row>
    <row r="8690" spans="38:38" x14ac:dyDescent="0.35">
      <c r="AL8690" s="20"/>
    </row>
    <row r="8691" spans="38:38" x14ac:dyDescent="0.35">
      <c r="AL8691" s="20"/>
    </row>
    <row r="8692" spans="38:38" x14ac:dyDescent="0.35">
      <c r="AL8692" s="20"/>
    </row>
    <row r="8693" spans="38:38" x14ac:dyDescent="0.35">
      <c r="AL8693" s="20"/>
    </row>
    <row r="8694" spans="38:38" x14ac:dyDescent="0.35">
      <c r="AL8694" s="20"/>
    </row>
    <row r="8695" spans="38:38" x14ac:dyDescent="0.35">
      <c r="AL8695" s="20"/>
    </row>
    <row r="8696" spans="38:38" x14ac:dyDescent="0.35">
      <c r="AL8696" s="20"/>
    </row>
    <row r="8697" spans="38:38" x14ac:dyDescent="0.35">
      <c r="AL8697" s="20"/>
    </row>
    <row r="8698" spans="38:38" x14ac:dyDescent="0.35">
      <c r="AL8698" s="20"/>
    </row>
    <row r="8699" spans="38:38" x14ac:dyDescent="0.35">
      <c r="AL8699" s="20"/>
    </row>
    <row r="8700" spans="38:38" x14ac:dyDescent="0.35">
      <c r="AL8700" s="20"/>
    </row>
    <row r="8701" spans="38:38" x14ac:dyDescent="0.35">
      <c r="AL8701" s="20"/>
    </row>
    <row r="8702" spans="38:38" x14ac:dyDescent="0.35">
      <c r="AL8702" s="20"/>
    </row>
    <row r="8703" spans="38:38" x14ac:dyDescent="0.35">
      <c r="AL8703" s="20"/>
    </row>
    <row r="8704" spans="38:38" x14ac:dyDescent="0.35">
      <c r="AL8704" s="20"/>
    </row>
    <row r="8705" spans="38:38" x14ac:dyDescent="0.35">
      <c r="AL8705" s="20"/>
    </row>
    <row r="8706" spans="38:38" x14ac:dyDescent="0.35">
      <c r="AL8706" s="20"/>
    </row>
    <row r="8707" spans="38:38" x14ac:dyDescent="0.35">
      <c r="AL8707" s="20"/>
    </row>
    <row r="8708" spans="38:38" x14ac:dyDescent="0.35">
      <c r="AL8708" s="20"/>
    </row>
    <row r="8709" spans="38:38" x14ac:dyDescent="0.35">
      <c r="AL8709" s="20"/>
    </row>
    <row r="8710" spans="38:38" x14ac:dyDescent="0.35">
      <c r="AL8710" s="20"/>
    </row>
    <row r="8711" spans="38:38" x14ac:dyDescent="0.35">
      <c r="AL8711" s="20"/>
    </row>
    <row r="8712" spans="38:38" x14ac:dyDescent="0.35">
      <c r="AL8712" s="20"/>
    </row>
    <row r="8713" spans="38:38" x14ac:dyDescent="0.35">
      <c r="AL8713" s="20"/>
    </row>
    <row r="8714" spans="38:38" x14ac:dyDescent="0.35">
      <c r="AL8714" s="20"/>
    </row>
    <row r="8715" spans="38:38" x14ac:dyDescent="0.35">
      <c r="AL8715" s="20"/>
    </row>
    <row r="8716" spans="38:38" x14ac:dyDescent="0.35">
      <c r="AL8716" s="20"/>
    </row>
    <row r="8717" spans="38:38" x14ac:dyDescent="0.35">
      <c r="AL8717" s="20"/>
    </row>
    <row r="8718" spans="38:38" x14ac:dyDescent="0.35">
      <c r="AL8718" s="20"/>
    </row>
    <row r="8719" spans="38:38" x14ac:dyDescent="0.35">
      <c r="AL8719" s="20"/>
    </row>
    <row r="8720" spans="38:38" x14ac:dyDescent="0.35">
      <c r="AL8720" s="20"/>
    </row>
    <row r="8721" spans="38:38" x14ac:dyDescent="0.35">
      <c r="AL8721" s="20"/>
    </row>
    <row r="8722" spans="38:38" x14ac:dyDescent="0.35">
      <c r="AL8722" s="20"/>
    </row>
    <row r="8723" spans="38:38" x14ac:dyDescent="0.35">
      <c r="AL8723" s="20"/>
    </row>
    <row r="8724" spans="38:38" x14ac:dyDescent="0.35">
      <c r="AL8724" s="20"/>
    </row>
    <row r="8725" spans="38:38" x14ac:dyDescent="0.35">
      <c r="AL8725" s="20"/>
    </row>
    <row r="8726" spans="38:38" x14ac:dyDescent="0.35">
      <c r="AL8726" s="20"/>
    </row>
    <row r="8727" spans="38:38" x14ac:dyDescent="0.35">
      <c r="AL8727" s="20"/>
    </row>
    <row r="8728" spans="38:38" x14ac:dyDescent="0.35">
      <c r="AL8728" s="20"/>
    </row>
    <row r="8729" spans="38:38" x14ac:dyDescent="0.35">
      <c r="AL8729" s="20"/>
    </row>
    <row r="8730" spans="38:38" x14ac:dyDescent="0.35">
      <c r="AL8730" s="20"/>
    </row>
    <row r="8731" spans="38:38" x14ac:dyDescent="0.35">
      <c r="AL8731" s="20"/>
    </row>
    <row r="8732" spans="38:38" x14ac:dyDescent="0.35">
      <c r="AL8732" s="20"/>
    </row>
    <row r="8733" spans="38:38" x14ac:dyDescent="0.35">
      <c r="AL8733" s="20"/>
    </row>
    <row r="8734" spans="38:38" x14ac:dyDescent="0.35">
      <c r="AL8734" s="20"/>
    </row>
    <row r="8735" spans="38:38" x14ac:dyDescent="0.35">
      <c r="AL8735" s="20"/>
    </row>
    <row r="8736" spans="38:38" x14ac:dyDescent="0.35">
      <c r="AL8736" s="20"/>
    </row>
    <row r="8737" spans="38:38" x14ac:dyDescent="0.35">
      <c r="AL8737" s="20"/>
    </row>
    <row r="8738" spans="38:38" x14ac:dyDescent="0.35">
      <c r="AL8738" s="20"/>
    </row>
    <row r="8739" spans="38:38" x14ac:dyDescent="0.35">
      <c r="AL8739" s="20"/>
    </row>
    <row r="8740" spans="38:38" x14ac:dyDescent="0.35">
      <c r="AL8740" s="20"/>
    </row>
    <row r="8741" spans="38:38" x14ac:dyDescent="0.35">
      <c r="AL8741" s="20"/>
    </row>
    <row r="8742" spans="38:38" x14ac:dyDescent="0.35">
      <c r="AL8742" s="20"/>
    </row>
    <row r="8743" spans="38:38" x14ac:dyDescent="0.35">
      <c r="AL8743" s="20"/>
    </row>
    <row r="8744" spans="38:38" x14ac:dyDescent="0.35">
      <c r="AL8744" s="20"/>
    </row>
    <row r="8745" spans="38:38" x14ac:dyDescent="0.35">
      <c r="AL8745" s="20"/>
    </row>
    <row r="8746" spans="38:38" x14ac:dyDescent="0.35">
      <c r="AL8746" s="20"/>
    </row>
    <row r="8747" spans="38:38" x14ac:dyDescent="0.35">
      <c r="AL8747" s="20"/>
    </row>
    <row r="8748" spans="38:38" x14ac:dyDescent="0.35">
      <c r="AL8748" s="20"/>
    </row>
    <row r="8749" spans="38:38" x14ac:dyDescent="0.35">
      <c r="AL8749" s="20"/>
    </row>
    <row r="8750" spans="38:38" x14ac:dyDescent="0.35">
      <c r="AL8750" s="20"/>
    </row>
    <row r="8751" spans="38:38" x14ac:dyDescent="0.35">
      <c r="AL8751" s="20"/>
    </row>
    <row r="8752" spans="38:38" x14ac:dyDescent="0.35">
      <c r="AL8752" s="20"/>
    </row>
    <row r="8753" spans="38:38" x14ac:dyDescent="0.35">
      <c r="AL8753" s="20"/>
    </row>
    <row r="8754" spans="38:38" x14ac:dyDescent="0.35">
      <c r="AL8754" s="20"/>
    </row>
    <row r="8755" spans="38:38" x14ac:dyDescent="0.35">
      <c r="AL8755" s="20"/>
    </row>
    <row r="8756" spans="38:38" x14ac:dyDescent="0.35">
      <c r="AL8756" s="20"/>
    </row>
    <row r="8757" spans="38:38" x14ac:dyDescent="0.35">
      <c r="AL8757" s="20"/>
    </row>
    <row r="8758" spans="38:38" x14ac:dyDescent="0.35">
      <c r="AL8758" s="20"/>
    </row>
    <row r="8759" spans="38:38" x14ac:dyDescent="0.35">
      <c r="AL8759" s="20"/>
    </row>
    <row r="8760" spans="38:38" x14ac:dyDescent="0.35">
      <c r="AL8760" s="20"/>
    </row>
    <row r="8761" spans="38:38" x14ac:dyDescent="0.35">
      <c r="AL8761" s="20"/>
    </row>
    <row r="8762" spans="38:38" x14ac:dyDescent="0.35">
      <c r="AL8762" s="20"/>
    </row>
  </sheetData>
  <mergeCells count="1">
    <mergeCell ref="A4:B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buses_2busSRES</vt:lpstr>
      <vt:lpstr>generators_2busSRES</vt:lpstr>
      <vt:lpstr>links_2busSRES</vt:lpstr>
      <vt:lpstr>loads</vt:lpstr>
      <vt:lpstr>run_of_river_inflow</vt:lpstr>
      <vt:lpstr>store</vt:lpstr>
      <vt:lpstr>storage_units</vt:lpstr>
      <vt:lpstr>demands</vt:lpstr>
      <vt:lpstr>profiles</vt:lpstr>
      <vt:lpstr>Origen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2026-04-30T13:19:50Z</dcterms:modified>
</cp:coreProperties>
</file>