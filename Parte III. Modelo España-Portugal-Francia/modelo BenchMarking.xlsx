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"/>
    </mc:Choice>
  </mc:AlternateContent>
  <xr:revisionPtr revIDLastSave="0" documentId="13_ncr:1_{D68C1167-518F-4B2E-8DA6-2711A799D96F}" xr6:coauthVersionLast="47" xr6:coauthVersionMax="47" xr10:uidLastSave="{00000000-0000-0000-0000-000000000000}"/>
  <bookViews>
    <workbookView xWindow="-110" yWindow="-110" windowWidth="19420" windowHeight="10300" tabRatio="752" firstSheet="3" activeTab="8" xr2:uid="{00000000-000D-0000-FFFF-FFFF00000000}"/>
  </bookViews>
  <sheets>
    <sheet name="Guide Sheet" sheetId="8" r:id="rId1"/>
    <sheet name="carriers" sheetId="2" r:id="rId2"/>
    <sheet name="buses_1busSRES" sheetId="1" r:id="rId3"/>
    <sheet name="buses_2busSRES" sheetId="15" r:id="rId4"/>
    <sheet name="generators_1busSRES" sheetId="3" r:id="rId5"/>
    <sheet name="generators_2busSRES" sheetId="17" r:id="rId6"/>
    <sheet name="links_1busSRES" sheetId="4" r:id="rId7"/>
    <sheet name="loads" sheetId="5" r:id="rId8"/>
    <sheet name="links_2busSRES" sheetId="16" r:id="rId9"/>
    <sheet name="run_of_river_inflow" sheetId="12" r:id="rId10"/>
    <sheet name="store" sheetId="7" r:id="rId11"/>
    <sheet name="storage_units" sheetId="6" r:id="rId12"/>
    <sheet name="demands" sheetId="11" r:id="rId13"/>
    <sheet name="profiles" sheetId="10" r:id="rId14"/>
    <sheet name="Hoja1" sheetId="20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0" l="1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" i="20"/>
  <c r="A4" i="12" l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3" i="12"/>
  <c r="A2" i="12"/>
  <c r="D28" i="3" l="1"/>
  <c r="D28" i="17" l="1"/>
  <c r="D3" i="7" l="1"/>
  <c r="C3" i="7"/>
  <c r="C2" i="7"/>
  <c r="D2" i="7" s="1"/>
  <c r="C2" i="6" l="1"/>
  <c r="C7" i="3"/>
  <c r="C7" i="17" l="1"/>
  <c r="C12" i="17"/>
  <c r="C5" i="17"/>
  <c r="D4" i="16" l="1"/>
  <c r="D3" i="16"/>
  <c r="D2" i="16"/>
  <c r="C5" i="3"/>
  <c r="C15" i="3" l="1"/>
  <c r="C14" i="3"/>
  <c r="C8" i="3"/>
  <c r="C12" i="3" l="1"/>
  <c r="D4" i="4" l="1"/>
  <c r="D3" i="4"/>
  <c r="D2" i="4"/>
</calcChain>
</file>

<file path=xl/sharedStrings.xml><?xml version="1.0" encoding="utf-8"?>
<sst xmlns="http://schemas.openxmlformats.org/spreadsheetml/2006/main" count="787" uniqueCount="150">
  <si>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</si>
  <si>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</si>
  <si>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</si>
  <si>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</si>
  <si>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</si>
  <si>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</si>
  <si>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</si>
  <si>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</si>
  <si>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</si>
  <si>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</si>
  <si>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</si>
  <si>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</si>
  <si>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</si>
  <si>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</si>
  <si>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</si>
  <si>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</si>
  <si>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</si>
  <si>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</si>
  <si>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</si>
  <si>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</si>
  <si>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</si>
  <si>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</si>
  <si>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</si>
  <si>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</si>
  <si>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</si>
  <si>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</si>
  <si>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</si>
  <si>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</si>
  <si>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</si>
  <si>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</si>
  <si>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</si>
  <si>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</si>
  <si>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</si>
  <si>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</si>
  <si>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</si>
  <si>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</si>
  <si>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</si>
  <si>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</si>
  <si>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</si>
  <si>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</si>
  <si>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</si>
  <si>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</si>
  <si>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</si>
  <si>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</si>
  <si>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</si>
  <si>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</si>
  <si>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</si>
  <si>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</si>
  <si>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</si>
  <si>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</si>
  <si>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</si>
  <si>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</si>
  <si>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</si>
  <si>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</si>
  <si>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</si>
  <si>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</si>
  <si>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</si>
  <si>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</si>
  <si>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</si>
  <si>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</si>
  <si>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</si>
  <si>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</si>
  <si>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</si>
  <si>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</si>
  <si>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</si>
  <si>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</si>
  <si>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</si>
  <si>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</si>
  <si>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PT_wind_profile</t>
  </si>
  <si>
    <t>PT_solar_profile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</si>
  <si>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</si>
  <si>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</si>
  <si>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</si>
  <si>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</si>
  <si>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</si>
  <si>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</si>
  <si>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</si>
  <si>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</si>
  <si>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</si>
  <si>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</si>
  <si>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</si>
  <si>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</si>
  <si>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</si>
  <si>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</si>
  <si>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</si>
  <si>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</si>
  <si>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</si>
  <si>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</si>
  <si>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</si>
  <si>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</si>
  <si>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ES_SRES_bus</t>
  </si>
  <si>
    <t>PT_SRES_bus</t>
  </si>
  <si>
    <t>ES_SRES_solar</t>
  </si>
  <si>
    <t>ES_SRES_wind</t>
  </si>
  <si>
    <t>PT_SRES_solar</t>
  </si>
  <si>
    <t>PT_SRES_wind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</si>
  <si>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</si>
  <si>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</si>
  <si>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</si>
  <si>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</si>
  <si>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</si>
  <si>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</si>
  <si>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</si>
  <si>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</si>
  <si>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</si>
  <si>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</si>
  <si>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</si>
  <si>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</si>
  <si>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FR_electrolyzer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</si>
  <si>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</si>
  <si>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</si>
  <si>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</si>
  <si>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</si>
  <si>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</si>
  <si>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</si>
  <si>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</si>
  <si>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</si>
  <si>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</si>
  <si>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</si>
  <si>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</si>
  <si>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</si>
  <si>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</si>
  <si>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</si>
  <si>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FR_electrolyzerSW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</si>
  <si>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</si>
  <si>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</si>
  <si>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</si>
  <si>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</si>
  <si>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</si>
  <si>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</si>
  <si>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</si>
  <si>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</si>
  <si>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</si>
  <si>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</si>
  <si>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</si>
  <si>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</si>
  <si>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</si>
  <si>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</si>
  <si>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</si>
  <si>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</si>
  <si>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</si>
  <si>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</si>
  <si>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</si>
  <si>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</si>
  <si>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</si>
  <si>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</si>
  <si>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</si>
  <si>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</si>
  <si>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MA_hydrogen_profile_low</t>
  </si>
  <si>
    <t>MA_hydrogen_profile_high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</si>
</sst>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Tahoma"/>
      <family val="2"/>
    </font>
    <font>
      <sz val="11"/>
      <color rgb="FF0070C0"/>
      <name val="Tahoma"/>
      <family val="2"/>
    </font>
    <font>
      <sz val="11"/>
      <name val="Tahoma"/>
      <family val="2"/>
    </font>
    <font>
      <sz val="11"/>
      <color rgb="FFFF0000"/>
      <name val="Tahoma"/>
      <family val="2"/>
    </font>
    <font>
      <i/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FFE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7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0" applyNumberFormat="0" applyBorder="0" applyAlignment="0" applyProtection="0"/>
    <xf numFmtId="0" fontId="24" fillId="19" borderId="8" applyNumberFormat="0" applyAlignment="0" applyProtection="0"/>
    <xf numFmtId="0" fontId="25" fillId="20" borderId="9" applyNumberFormat="0" applyAlignment="0" applyProtection="0"/>
    <xf numFmtId="0" fontId="26" fillId="20" borderId="8" applyNumberFormat="0" applyAlignment="0" applyProtection="0"/>
    <xf numFmtId="0" fontId="27" fillId="0" borderId="10" applyNumberFormat="0" applyFill="0" applyAlignment="0" applyProtection="0"/>
    <xf numFmtId="0" fontId="28" fillId="21" borderId="11" applyNumberFormat="0" applyAlignment="0" applyProtection="0"/>
    <xf numFmtId="0" fontId="29" fillId="0" borderId="0" applyNumberFormat="0" applyFill="0" applyBorder="0" applyAlignment="0" applyProtection="0"/>
    <xf numFmtId="0" fontId="16" fillId="22" borderId="12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3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32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32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32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32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</cellStyleXfs>
  <cellXfs count="66">
    <xf numFmtId="0" fontId="0" fillId="0" borderId="0" xfId="0"/>
    <xf numFmtId="0" fontId="9" fillId="12" borderId="1" xfId="0" applyFont="1" applyFill="1" applyBorder="1"/>
    <xf numFmtId="0" fontId="9" fillId="7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8" borderId="0" xfId="0" applyFont="1" applyFill="1"/>
    <xf numFmtId="0" fontId="10" fillId="7" borderId="0" xfId="0" applyFont="1" applyFill="1"/>
    <xf numFmtId="2" fontId="10" fillId="7" borderId="0" xfId="0" applyNumberFormat="1" applyFont="1" applyFill="1"/>
    <xf numFmtId="2" fontId="9" fillId="7" borderId="0" xfId="0" applyNumberFormat="1" applyFont="1" applyFill="1"/>
    <xf numFmtId="0" fontId="9" fillId="7" borderId="0" xfId="0" applyFont="1" applyFill="1" applyAlignment="1">
      <alignment horizontal="left"/>
    </xf>
    <xf numFmtId="0" fontId="10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9" fillId="12" borderId="0" xfId="0" applyFont="1" applyFill="1"/>
    <xf numFmtId="0" fontId="9" fillId="12" borderId="0" xfId="0" applyFont="1" applyFill="1" applyAlignment="1">
      <alignment horizontal="center" vertical="center"/>
    </xf>
    <xf numFmtId="0" fontId="9" fillId="10" borderId="0" xfId="0" applyFont="1" applyFill="1"/>
    <xf numFmtId="0" fontId="9" fillId="13" borderId="0" xfId="0" applyFont="1" applyFill="1"/>
    <xf numFmtId="0" fontId="9" fillId="14" borderId="0" xfId="0" applyFont="1" applyFill="1"/>
    <xf numFmtId="0" fontId="12" fillId="7" borderId="0" xfId="0" applyFont="1" applyFill="1"/>
    <xf numFmtId="0" fontId="9" fillId="15" borderId="0" xfId="0" applyFont="1" applyFill="1"/>
    <xf numFmtId="0" fontId="11" fillId="12" borderId="0" xfId="0" applyFont="1" applyFill="1"/>
    <xf numFmtId="0" fontId="13" fillId="3" borderId="0" xfId="0" applyFont="1" applyFill="1"/>
    <xf numFmtId="0" fontId="13" fillId="2" borderId="0" xfId="0" applyFont="1" applyFill="1"/>
    <xf numFmtId="0" fontId="11" fillId="7" borderId="0" xfId="0" applyFont="1" applyFill="1"/>
    <xf numFmtId="0" fontId="13" fillId="9" borderId="0" xfId="0" applyFont="1" applyFill="1"/>
    <xf numFmtId="0" fontId="14" fillId="7" borderId="0" xfId="0" applyFont="1" applyFill="1"/>
    <xf numFmtId="0" fontId="9" fillId="7" borderId="0" xfId="0" applyFont="1" applyFill="1" applyAlignment="1">
      <alignment horizontal="right"/>
    </xf>
    <xf numFmtId="0" fontId="9" fillId="7" borderId="0" xfId="0" applyFont="1" applyFill="1" applyAlignment="1">
      <alignment horizontal="right" wrapText="1"/>
    </xf>
    <xf numFmtId="0" fontId="9" fillId="12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right"/>
    </xf>
    <xf numFmtId="0" fontId="11" fillId="7" borderId="0" xfId="0" applyFont="1" applyFill="1" applyAlignment="1">
      <alignment horizontal="right"/>
    </xf>
    <xf numFmtId="0" fontId="13" fillId="7" borderId="0" xfId="0" applyFont="1" applyFill="1"/>
    <xf numFmtId="0" fontId="9" fillId="6" borderId="0" xfId="0" applyFont="1" applyFill="1"/>
    <xf numFmtId="0" fontId="11" fillId="2" borderId="0" xfId="0" applyFont="1" applyFill="1"/>
    <xf numFmtId="0" fontId="11" fillId="3" borderId="0" xfId="0" applyFont="1" applyFill="1"/>
    <xf numFmtId="1" fontId="9" fillId="7" borderId="0" xfId="0" applyNumberFormat="1" applyFont="1" applyFill="1"/>
    <xf numFmtId="0" fontId="9" fillId="7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11" fontId="9" fillId="7" borderId="3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164" fontId="11" fillId="7" borderId="15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/>
    </xf>
    <xf numFmtId="0" fontId="9" fillId="7" borderId="0" xfId="0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2" fontId="9" fillId="7" borderId="0" xfId="0" applyNumberFormat="1" applyFont="1" applyFill="1" applyAlignment="1">
      <alignment horizontal="center"/>
    </xf>
    <xf numFmtId="2" fontId="15" fillId="7" borderId="0" xfId="0" applyNumberFormat="1" applyFont="1" applyFill="1" applyAlignment="1">
      <alignment horizontal="center"/>
    </xf>
    <xf numFmtId="0" fontId="9" fillId="47" borderId="14" xfId="0" applyFont="1" applyFill="1" applyBorder="1" applyAlignment="1">
      <alignment horizontal="center"/>
    </xf>
    <xf numFmtId="164" fontId="9" fillId="7" borderId="15" xfId="0" applyNumberFormat="1" applyFont="1" applyFill="1" applyBorder="1" applyAlignment="1">
      <alignment horizontal="center" vertical="center"/>
    </xf>
    <xf numFmtId="164" fontId="9" fillId="7" borderId="15" xfId="0" applyNumberFormat="1" applyFont="1" applyFill="1" applyBorder="1" applyAlignment="1">
      <alignment horizontal="center"/>
    </xf>
    <xf numFmtId="0" fontId="9" fillId="0" borderId="0" xfId="0" applyFont="1"/>
    <xf numFmtId="0" fontId="1" fillId="7" borderId="0" xfId="0" applyFont="1" applyFill="1"/>
    <xf numFmtId="0" fontId="0" fillId="7" borderId="0" xfId="0" applyFill="1"/>
    <xf numFmtId="0" fontId="33" fillId="7" borderId="0" xfId="0" applyFont="1" applyFill="1"/>
    <xf numFmtId="1" fontId="9" fillId="7" borderId="3" xfId="0" applyNumberFormat="1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164" fontId="9" fillId="7" borderId="3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</cellXfs>
  <cellStyles count="57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FF7171"/>
      <color rgb="FFCDFFE6"/>
      <color rgb="FF99FFCC"/>
      <color rgb="FFFFFFCC"/>
      <color rgb="FF93E3FF"/>
      <color rgb="FFD9F5FF"/>
      <color rgb="FFDFFED6"/>
      <color rgb="FFFFB3B3"/>
      <color rgb="FF98FB7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ojas_de_datos/datos%20benchmarking%20francia%20nodos.xlsx" TargetMode="External"/><Relationship Id="rId2" Type="http://schemas.openxmlformats.org/officeDocument/2006/relationships/externalLinkPath" Target="file:///C:\Users\EXT10348\Downloads\WinPython%203.12.10\WPy64-31241\PROYECTOS%20PYPSA\Dispatching-Project-in-PypSA\hojas_de_datos\datos%20benchmarking%20francia%20nodos.xlsx" TargetMode="External"/><Relationship Id="rId1" Type="http://schemas.openxmlformats.org/officeDocument/2006/relationships/externalLinkPath" Target="/Users/EXT10348/Downloads/WinPython%203.12.10/WPy64-31241/PROYECTOS%20PYPSA/Dispatching-Project-in-PypSA/hojas_de_datos/datos%20benchmarking%20francia%20no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os Benchmarking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E8" sqref="E8"/>
    </sheetView>
  </sheetViews>
  <sheetFormatPr baseColWidth="10" defaultRowHeight="14.5" x14ac:dyDescent="0.35"/>
  <cols>
    <col min="1" max="1" width="48.54296875" style="58" bestFit="1" customWidth="1"/>
    <col min="2" max="2" width="19.90625" style="58" bestFit="1" customWidth="1"/>
    <col min="3" max="16384" width="10.90625" style="58"/>
  </cols>
  <sheetData>
    <row r="1" spans="1:3" ht="23.5" x14ac:dyDescent="0.55000000000000004">
      <c r="A1" s="57" t="s">
        <v>29</v>
      </c>
    </row>
    <row r="2" spans="1:3" x14ac:dyDescent="0.35">
      <c r="A2" s="58" t="s">
        <v>18</v>
      </c>
    </row>
    <row r="3" spans="1:3" x14ac:dyDescent="0.35">
      <c r="B3" s="58" t="s">
        <v>13</v>
      </c>
      <c r="C3" s="59" t="s">
        <v>72</v>
      </c>
    </row>
    <row r="4" spans="1:3" x14ac:dyDescent="0.35">
      <c r="B4" s="58" t="s">
        <v>105</v>
      </c>
      <c r="C4" s="59" t="s">
        <v>76</v>
      </c>
    </row>
    <row r="5" spans="1:3" x14ac:dyDescent="0.35">
      <c r="B5" s="58" t="s">
        <v>14</v>
      </c>
      <c r="C5" s="59" t="s">
        <v>73</v>
      </c>
    </row>
    <row r="6" spans="1:3" x14ac:dyDescent="0.35">
      <c r="B6" s="58" t="s">
        <v>15</v>
      </c>
      <c r="C6" s="59" t="s">
        <v>73</v>
      </c>
    </row>
    <row r="7" spans="1:3" x14ac:dyDescent="0.35">
      <c r="B7" s="58" t="s">
        <v>19</v>
      </c>
      <c r="C7" s="59"/>
    </row>
    <row r="8" spans="1:3" x14ac:dyDescent="0.35">
      <c r="B8" s="58" t="s">
        <v>20</v>
      </c>
      <c r="C8" s="59"/>
    </row>
    <row r="9" spans="1:3" x14ac:dyDescent="0.35">
      <c r="B9" s="58" t="s">
        <v>25</v>
      </c>
      <c r="C9" s="59" t="s">
        <v>76</v>
      </c>
    </row>
    <row r="10" spans="1:3" x14ac:dyDescent="0.35">
      <c r="B10" s="58" t="s">
        <v>26</v>
      </c>
      <c r="C10" s="59"/>
    </row>
    <row r="11" spans="1:3" x14ac:dyDescent="0.35">
      <c r="B11" s="58" t="s">
        <v>27</v>
      </c>
      <c r="C11" s="59"/>
    </row>
    <row r="12" spans="1:3" x14ac:dyDescent="0.35">
      <c r="B12" s="58" t="s">
        <v>28</v>
      </c>
      <c r="C12" s="59"/>
    </row>
    <row r="13" spans="1:3" x14ac:dyDescent="0.35">
      <c r="C13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3"/>
  <sheetViews>
    <sheetView workbookViewId="0">
      <selection activeCell="D17" sqref="D17"/>
    </sheetView>
  </sheetViews>
  <sheetFormatPr baseColWidth="10" defaultRowHeight="14" x14ac:dyDescent="0.3"/>
  <cols>
    <col min="1" max="1" width="15.7265625" style="2" bestFit="1" customWidth="1"/>
    <col min="2" max="2" width="9.90625" style="2" customWidth="1"/>
    <col min="3" max="16384" width="10.90625" style="2"/>
  </cols>
  <sheetData>
    <row r="1" spans="1:2" x14ac:dyDescent="0.3">
      <c r="A1" s="1" t="s">
        <v>5</v>
      </c>
      <c r="B1" s="1" t="s">
        <v>1</v>
      </c>
    </row>
    <row r="2" spans="1:2" x14ac:dyDescent="0.3">
      <c r="A2" s="2" t="s">
        <v>7</v>
      </c>
      <c r="B2" s="2" t="s">
        <v>6</v>
      </c>
    </row>
    <row r="3" spans="1:2" x14ac:dyDescent="0.3">
      <c r="A3" s="2" t="s">
        <v>8</v>
      </c>
      <c r="B3" s="2" t="s">
        <v>6</v>
      </c>
    </row>
    <row r="4" spans="1:2" x14ac:dyDescent="0.3">
      <c r="A4" s="2" t="s">
        <v>9</v>
      </c>
      <c r="B4" s="2" t="s">
        <v>6</v>
      </c>
    </row>
    <row r="5" spans="1:2" x14ac:dyDescent="0.3">
      <c r="A5" s="2" t="s">
        <v>3</v>
      </c>
      <c r="B5" s="2" t="s">
        <v>6</v>
      </c>
    </row>
    <row r="6" spans="1:2" x14ac:dyDescent="0.3">
      <c r="A6" s="2" t="s">
        <v>10</v>
      </c>
      <c r="B6" s="2" t="s">
        <v>6</v>
      </c>
    </row>
    <row r="7" spans="1:2" x14ac:dyDescent="0.3">
      <c r="A7" s="2" t="s">
        <v>11</v>
      </c>
      <c r="B7" s="2" t="s">
        <v>6</v>
      </c>
    </row>
    <row r="8" spans="1:2" x14ac:dyDescent="0.3">
      <c r="A8" s="2" t="s">
        <v>12</v>
      </c>
      <c r="B8" s="2" t="s">
        <v>6</v>
      </c>
    </row>
    <row r="9" spans="1:2" x14ac:dyDescent="0.3">
      <c r="A9" s="2" t="s">
        <v>4</v>
      </c>
      <c r="B9" s="2" t="s">
        <v>6</v>
      </c>
    </row>
    <row r="10" spans="1:2" x14ac:dyDescent="0.3">
      <c r="A10" s="2" t="s">
        <v>85</v>
      </c>
      <c r="B10" s="2" t="s">
        <v>6</v>
      </c>
    </row>
    <row r="11" spans="1:2" x14ac:dyDescent="0.3">
      <c r="A11" s="2" t="s">
        <v>101</v>
      </c>
      <c r="B11" s="2" t="s">
        <v>6</v>
      </c>
    </row>
    <row r="12" spans="1:2" x14ac:dyDescent="0.3">
      <c r="A12" s="2" t="s">
        <v>145</v>
      </c>
      <c r="B12" s="2" t="s">
        <v>6</v>
      </c>
    </row>
    <row r="13" spans="1:2" x14ac:dyDescent="0.3">
      <c r="A13" s="2" t="s">
        <v>146</v>
      </c>
      <c r="B13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H16"/>
  <sheetViews>
    <sheetView workbookViewId="0">
      <selection activeCell="B11" sqref="B11"/>
    </sheetView>
  </sheetViews>
  <sheetFormatPr baseColWidth="10" defaultRowHeight="14" x14ac:dyDescent="0.3"/>
  <cols>
    <col min="1" max="1" width="25.1796875" style="2" customWidth="1"/>
    <col min="2" max="16384" width="10.90625" style="2"/>
  </cols>
  <sheetData>
    <row r="1" spans="1:8" x14ac:dyDescent="0.3">
      <c r="A1" s="20" t="s">
        <v>5</v>
      </c>
      <c r="B1" s="20" t="s">
        <v>0</v>
      </c>
      <c r="C1" s="20" t="s">
        <v>1</v>
      </c>
      <c r="D1" s="20" t="s">
        <v>96</v>
      </c>
      <c r="E1" s="20" t="s">
        <v>97</v>
      </c>
    </row>
    <row r="2" spans="1:8" x14ac:dyDescent="0.3">
      <c r="A2" s="3" t="s">
        <v>31</v>
      </c>
      <c r="B2" s="2" t="s">
        <v>7</v>
      </c>
      <c r="C2" s="2" t="s">
        <v>6</v>
      </c>
      <c r="D2" s="2">
        <v>-3.7038000000000002</v>
      </c>
      <c r="E2" s="2">
        <v>40.416800000000002</v>
      </c>
    </row>
    <row r="3" spans="1:8" x14ac:dyDescent="0.3">
      <c r="A3" s="3" t="s">
        <v>32</v>
      </c>
      <c r="B3" s="2" t="s">
        <v>2</v>
      </c>
      <c r="C3" s="2" t="s">
        <v>6</v>
      </c>
      <c r="D3" s="2">
        <v>-3.7038000000000002</v>
      </c>
      <c r="E3" s="2">
        <v>40.416800000000002</v>
      </c>
    </row>
    <row r="4" spans="1:8" x14ac:dyDescent="0.3">
      <c r="A4" s="3" t="s">
        <v>33</v>
      </c>
      <c r="B4" s="2" t="s">
        <v>3</v>
      </c>
      <c r="C4" s="2" t="s">
        <v>6</v>
      </c>
      <c r="D4" s="2">
        <v>-3.7038000000000002</v>
      </c>
      <c r="E4" s="2">
        <v>40.416800000000002</v>
      </c>
    </row>
    <row r="5" spans="1:8" x14ac:dyDescent="0.3">
      <c r="A5" s="3" t="s">
        <v>34</v>
      </c>
      <c r="B5" s="2" t="s">
        <v>4</v>
      </c>
      <c r="C5" s="2" t="s">
        <v>6</v>
      </c>
      <c r="D5" s="2">
        <v>-3.7038000000000002</v>
      </c>
      <c r="E5" s="2">
        <v>40.416800000000002</v>
      </c>
    </row>
    <row r="6" spans="1:8" x14ac:dyDescent="0.3">
      <c r="A6" s="22" t="s">
        <v>90</v>
      </c>
      <c r="B6" s="2" t="s">
        <v>7</v>
      </c>
      <c r="C6" s="2" t="s">
        <v>6</v>
      </c>
      <c r="D6" s="2">
        <v>-3.7038000000000002</v>
      </c>
      <c r="E6" s="2">
        <v>40.416800000000002</v>
      </c>
    </row>
    <row r="7" spans="1:8" x14ac:dyDescent="0.3">
      <c r="A7" s="4" t="s">
        <v>35</v>
      </c>
      <c r="B7" s="2" t="s">
        <v>7</v>
      </c>
      <c r="C7" s="2" t="s">
        <v>6</v>
      </c>
      <c r="D7" s="2">
        <v>-9.1393000000000004</v>
      </c>
      <c r="E7" s="2">
        <v>38.722299999999997</v>
      </c>
    </row>
    <row r="8" spans="1:8" x14ac:dyDescent="0.3">
      <c r="A8" s="4" t="s">
        <v>36</v>
      </c>
      <c r="B8" s="2" t="s">
        <v>2</v>
      </c>
      <c r="C8" s="2" t="s">
        <v>6</v>
      </c>
      <c r="D8" s="2">
        <v>-9.1393000000000004</v>
      </c>
      <c r="E8" s="2">
        <v>38.722299999999997</v>
      </c>
    </row>
    <row r="9" spans="1:8" x14ac:dyDescent="0.3">
      <c r="A9" s="4" t="s">
        <v>37</v>
      </c>
      <c r="B9" s="2" t="s">
        <v>3</v>
      </c>
      <c r="C9" s="2" t="s">
        <v>6</v>
      </c>
      <c r="D9" s="2">
        <v>-9.1393000000000004</v>
      </c>
      <c r="E9" s="2">
        <v>38.722299999999997</v>
      </c>
    </row>
    <row r="10" spans="1:8" x14ac:dyDescent="0.3">
      <c r="A10" s="4" t="s">
        <v>38</v>
      </c>
      <c r="B10" s="2" t="s">
        <v>4</v>
      </c>
      <c r="C10" s="2" t="s">
        <v>6</v>
      </c>
      <c r="D10" s="2">
        <v>-9.1393000000000004</v>
      </c>
      <c r="E10" s="2">
        <v>38.722299999999997</v>
      </c>
    </row>
    <row r="11" spans="1:8" x14ac:dyDescent="0.3">
      <c r="A11" s="21" t="s">
        <v>91</v>
      </c>
      <c r="B11" s="2" t="s">
        <v>7</v>
      </c>
      <c r="C11" s="2" t="s">
        <v>6</v>
      </c>
      <c r="D11" s="2">
        <v>-9.1393000000000004</v>
      </c>
      <c r="E11" s="2">
        <v>38.722299999999997</v>
      </c>
    </row>
    <row r="12" spans="1:8" x14ac:dyDescent="0.3">
      <c r="A12" s="5" t="s">
        <v>98</v>
      </c>
      <c r="B12" s="2" t="s">
        <v>7</v>
      </c>
      <c r="C12" s="2" t="s">
        <v>6</v>
      </c>
      <c r="D12" s="2">
        <v>2.3521999999999998</v>
      </c>
      <c r="E12" s="2">
        <v>48.8566</v>
      </c>
    </row>
    <row r="13" spans="1:8" x14ac:dyDescent="0.3">
      <c r="A13" s="5" t="s">
        <v>99</v>
      </c>
      <c r="B13" s="2" t="s">
        <v>4</v>
      </c>
      <c r="C13" s="2" t="s">
        <v>6</v>
      </c>
      <c r="D13" s="2">
        <v>2.3521999999999998</v>
      </c>
      <c r="E13" s="2">
        <v>48.8566</v>
      </c>
    </row>
    <row r="14" spans="1:8" x14ac:dyDescent="0.3">
      <c r="A14" s="5" t="s">
        <v>118</v>
      </c>
      <c r="B14" s="2" t="s">
        <v>4</v>
      </c>
      <c r="C14" s="2" t="s">
        <v>6</v>
      </c>
      <c r="D14" s="2">
        <v>2.3521999999999998</v>
      </c>
      <c r="E14" s="2">
        <v>48.8566</v>
      </c>
      <c r="H14" s="2" t="s">
        <v>122</v>
      </c>
    </row>
    <row r="15" spans="1:8" x14ac:dyDescent="0.3">
      <c r="A15" s="5" t="s">
        <v>119</v>
      </c>
      <c r="B15" s="2" t="s">
        <v>4</v>
      </c>
      <c r="C15" s="2" t="s">
        <v>6</v>
      </c>
      <c r="D15" s="2">
        <v>2.3521999999999998</v>
      </c>
      <c r="E15" s="2">
        <v>48.8566</v>
      </c>
    </row>
    <row r="16" spans="1:8" x14ac:dyDescent="0.3">
      <c r="A16" s="15" t="s">
        <v>113</v>
      </c>
      <c r="B16" s="2" t="s">
        <v>4</v>
      </c>
      <c r="C16" s="2" t="s">
        <v>6</v>
      </c>
      <c r="D16" s="2">
        <v>-6.84</v>
      </c>
      <c r="E16" s="2">
        <v>34.020000000000003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5" tint="0.39997558519241921"/>
  </sheetPr>
  <dimension ref="A1:H18"/>
  <sheetViews>
    <sheetView workbookViewId="0">
      <selection activeCell="A14" sqref="A14"/>
    </sheetView>
  </sheetViews>
  <sheetFormatPr baseColWidth="10" defaultRowHeight="14" x14ac:dyDescent="0.3"/>
  <cols>
    <col min="1" max="1" width="25.1796875" style="2" customWidth="1"/>
    <col min="2" max="16384" width="10.90625" style="2"/>
  </cols>
  <sheetData>
    <row r="1" spans="1:8" x14ac:dyDescent="0.3">
      <c r="A1" s="20" t="s">
        <v>5</v>
      </c>
      <c r="B1" s="20" t="s">
        <v>0</v>
      </c>
      <c r="C1" s="20" t="s">
        <v>1</v>
      </c>
      <c r="D1" s="20" t="s">
        <v>96</v>
      </c>
      <c r="E1" s="20" t="s">
        <v>97</v>
      </c>
    </row>
    <row r="2" spans="1:8" x14ac:dyDescent="0.3">
      <c r="A2" s="3" t="s">
        <v>31</v>
      </c>
      <c r="B2" s="2" t="s">
        <v>7</v>
      </c>
      <c r="C2" s="2" t="s">
        <v>6</v>
      </c>
      <c r="D2" s="2">
        <v>-3.7038000000000002</v>
      </c>
      <c r="E2" s="2">
        <v>40.416800000000002</v>
      </c>
    </row>
    <row r="3" spans="1:8" x14ac:dyDescent="0.3">
      <c r="A3" s="3" t="s">
        <v>32</v>
      </c>
      <c r="B3" s="2" t="s">
        <v>2</v>
      </c>
      <c r="C3" s="2" t="s">
        <v>6</v>
      </c>
      <c r="D3" s="2">
        <v>-3.7038000000000002</v>
      </c>
      <c r="E3" s="2">
        <v>40.416800000000002</v>
      </c>
    </row>
    <row r="4" spans="1:8" x14ac:dyDescent="0.3">
      <c r="A4" s="3" t="s">
        <v>33</v>
      </c>
      <c r="B4" s="2" t="s">
        <v>3</v>
      </c>
      <c r="C4" s="2" t="s">
        <v>6</v>
      </c>
      <c r="D4" s="2">
        <v>-3.7038000000000002</v>
      </c>
      <c r="E4" s="2">
        <v>40.416800000000002</v>
      </c>
    </row>
    <row r="5" spans="1:8" x14ac:dyDescent="0.3">
      <c r="A5" s="3" t="s">
        <v>34</v>
      </c>
      <c r="B5" s="2" t="s">
        <v>4</v>
      </c>
      <c r="C5" s="2" t="s">
        <v>6</v>
      </c>
      <c r="D5" s="2">
        <v>-3.7038000000000002</v>
      </c>
      <c r="E5" s="2">
        <v>40.416800000000002</v>
      </c>
    </row>
    <row r="6" spans="1:8" x14ac:dyDescent="0.3">
      <c r="A6" s="22" t="s">
        <v>109</v>
      </c>
      <c r="B6" s="2" t="s">
        <v>7</v>
      </c>
      <c r="C6" s="2" t="s">
        <v>6</v>
      </c>
      <c r="D6" s="2">
        <v>-3.7038000000000002</v>
      </c>
      <c r="E6" s="2">
        <v>40.416800000000002</v>
      </c>
    </row>
    <row r="7" spans="1:8" x14ac:dyDescent="0.3">
      <c r="A7" s="22" t="s">
        <v>110</v>
      </c>
      <c r="B7" s="2" t="s">
        <v>4</v>
      </c>
      <c r="C7" s="2" t="s">
        <v>6</v>
      </c>
      <c r="D7" s="2">
        <v>-3.7038000000000002</v>
      </c>
      <c r="E7" s="2">
        <v>40.416800000000002</v>
      </c>
    </row>
    <row r="8" spans="1:8" x14ac:dyDescent="0.3">
      <c r="A8" s="4" t="s">
        <v>35</v>
      </c>
      <c r="B8" s="2" t="s">
        <v>7</v>
      </c>
      <c r="C8" s="2" t="s">
        <v>6</v>
      </c>
      <c r="D8" s="2">
        <v>-9.1393000000000004</v>
      </c>
      <c r="E8" s="2">
        <v>38.722299999999997</v>
      </c>
    </row>
    <row r="9" spans="1:8" x14ac:dyDescent="0.3">
      <c r="A9" s="4" t="s">
        <v>36</v>
      </c>
      <c r="B9" s="2" t="s">
        <v>2</v>
      </c>
      <c r="C9" s="2" t="s">
        <v>6</v>
      </c>
      <c r="D9" s="2">
        <v>-9.1393000000000004</v>
      </c>
      <c r="E9" s="2">
        <v>38.722299999999997</v>
      </c>
    </row>
    <row r="10" spans="1:8" x14ac:dyDescent="0.3">
      <c r="A10" s="4" t="s">
        <v>37</v>
      </c>
      <c r="B10" s="2" t="s">
        <v>3</v>
      </c>
      <c r="C10" s="2" t="s">
        <v>6</v>
      </c>
      <c r="D10" s="2">
        <v>-9.1393000000000004</v>
      </c>
      <c r="E10" s="2">
        <v>38.722299999999997</v>
      </c>
    </row>
    <row r="11" spans="1:8" x14ac:dyDescent="0.3">
      <c r="A11" s="4" t="s">
        <v>38</v>
      </c>
      <c r="B11" s="2" t="s">
        <v>4</v>
      </c>
      <c r="C11" s="2" t="s">
        <v>6</v>
      </c>
      <c r="D11" s="2">
        <v>-9.1393000000000004</v>
      </c>
      <c r="E11" s="2">
        <v>38.722299999999997</v>
      </c>
    </row>
    <row r="12" spans="1:8" x14ac:dyDescent="0.3">
      <c r="A12" s="21" t="s">
        <v>111</v>
      </c>
      <c r="B12" s="2" t="s">
        <v>7</v>
      </c>
      <c r="C12" s="2" t="s">
        <v>6</v>
      </c>
      <c r="D12" s="2">
        <v>-9.1393000000000004</v>
      </c>
      <c r="E12" s="2">
        <v>38.722299999999997</v>
      </c>
    </row>
    <row r="13" spans="1:8" x14ac:dyDescent="0.3">
      <c r="A13" s="21" t="s">
        <v>112</v>
      </c>
      <c r="B13" s="2" t="s">
        <v>4</v>
      </c>
      <c r="C13" s="2" t="s">
        <v>6</v>
      </c>
      <c r="D13" s="2">
        <v>-9.1393000000000004</v>
      </c>
      <c r="E13" s="2">
        <v>38.722299999999997</v>
      </c>
    </row>
    <row r="14" spans="1:8" x14ac:dyDescent="0.3">
      <c r="A14" s="5" t="s">
        <v>98</v>
      </c>
      <c r="B14" s="2" t="s">
        <v>7</v>
      </c>
      <c r="C14" s="2" t="s">
        <v>6</v>
      </c>
      <c r="D14" s="2">
        <v>2.3521999999999998</v>
      </c>
      <c r="E14" s="2">
        <v>48.8566</v>
      </c>
    </row>
    <row r="15" spans="1:8" x14ac:dyDescent="0.3">
      <c r="A15" s="5" t="s">
        <v>99</v>
      </c>
      <c r="B15" s="2" t="s">
        <v>4</v>
      </c>
      <c r="C15" s="2" t="s">
        <v>6</v>
      </c>
      <c r="D15" s="2">
        <v>4.3521999999999998</v>
      </c>
      <c r="E15" s="2">
        <v>48.8566</v>
      </c>
    </row>
    <row r="16" spans="1:8" x14ac:dyDescent="0.3">
      <c r="A16" s="5" t="s">
        <v>118</v>
      </c>
      <c r="B16" s="2" t="s">
        <v>4</v>
      </c>
      <c r="C16" s="2" t="s">
        <v>6</v>
      </c>
      <c r="D16" s="2">
        <v>2.8521999999999998</v>
      </c>
      <c r="E16" s="2">
        <v>43.8566</v>
      </c>
      <c r="H16" s="2" t="s">
        <v>122</v>
      </c>
    </row>
    <row r="17" spans="1:5" x14ac:dyDescent="0.3">
      <c r="A17" s="5" t="s">
        <v>119</v>
      </c>
      <c r="B17" s="2" t="s">
        <v>4</v>
      </c>
      <c r="C17" s="2" t="s">
        <v>6</v>
      </c>
      <c r="D17" s="2">
        <v>-1.3522000000000001</v>
      </c>
      <c r="E17" s="2">
        <v>45.8566</v>
      </c>
    </row>
    <row r="18" spans="1:5" x14ac:dyDescent="0.3">
      <c r="A18" s="15" t="s">
        <v>113</v>
      </c>
      <c r="B18" s="2" t="s">
        <v>4</v>
      </c>
      <c r="C18" s="2" t="s">
        <v>6</v>
      </c>
      <c r="D18" s="2">
        <v>-6.84</v>
      </c>
      <c r="E18" s="2">
        <v>34.020000000000003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F30"/>
  <sheetViews>
    <sheetView topLeftCell="A15" zoomScale="85" zoomScaleNormal="85" workbookViewId="0">
      <selection activeCell="E31" sqref="E31"/>
    </sheetView>
  </sheetViews>
  <sheetFormatPr baseColWidth="10" defaultRowHeight="14" x14ac:dyDescent="0.3"/>
  <cols>
    <col min="1" max="1" width="29.54296875" style="2" bestFit="1" customWidth="1"/>
    <col min="2" max="2" width="24.453125" style="2" bestFit="1" customWidth="1"/>
    <col min="3" max="6" width="13.453125" style="2" customWidth="1"/>
    <col min="7" max="16384" width="10.90625" style="2"/>
  </cols>
  <sheetData>
    <row r="1" spans="1:6" ht="14.5" customHeight="1" x14ac:dyDescent="0.3">
      <c r="A1" s="13" t="s">
        <v>5</v>
      </c>
      <c r="B1" s="13" t="s">
        <v>16</v>
      </c>
      <c r="C1" s="13" t="s">
        <v>13</v>
      </c>
      <c r="D1" s="13" t="s">
        <v>15</v>
      </c>
      <c r="E1" s="13" t="s">
        <v>0</v>
      </c>
      <c r="F1" s="13" t="s">
        <v>1</v>
      </c>
    </row>
    <row r="2" spans="1:6" x14ac:dyDescent="0.3">
      <c r="A2" s="3" t="s">
        <v>47</v>
      </c>
      <c r="B2" s="2" t="s">
        <v>31</v>
      </c>
      <c r="C2" s="6">
        <v>117805</v>
      </c>
      <c r="D2" s="2">
        <v>0</v>
      </c>
      <c r="E2" s="2" t="s">
        <v>10</v>
      </c>
      <c r="F2" s="2" t="s">
        <v>6</v>
      </c>
    </row>
    <row r="3" spans="1:6" x14ac:dyDescent="0.3">
      <c r="A3" s="3" t="s">
        <v>48</v>
      </c>
      <c r="B3" s="2" t="s">
        <v>31</v>
      </c>
      <c r="C3" s="7">
        <v>91799.794460000019</v>
      </c>
      <c r="D3" s="2">
        <v>0</v>
      </c>
      <c r="E3" s="2" t="s">
        <v>9</v>
      </c>
      <c r="F3" s="2" t="s">
        <v>6</v>
      </c>
    </row>
    <row r="4" spans="1:6" x14ac:dyDescent="0.3">
      <c r="A4" s="3" t="s">
        <v>49</v>
      </c>
      <c r="B4" s="2" t="s">
        <v>31</v>
      </c>
      <c r="C4" s="6">
        <v>2462.66</v>
      </c>
      <c r="D4" s="2">
        <v>22</v>
      </c>
      <c r="E4" s="2" t="s">
        <v>12</v>
      </c>
      <c r="F4" s="2" t="s">
        <v>6</v>
      </c>
    </row>
    <row r="5" spans="1:6" x14ac:dyDescent="0.3">
      <c r="A5" s="3" t="s">
        <v>50</v>
      </c>
      <c r="B5" s="2" t="s">
        <v>33</v>
      </c>
      <c r="C5" s="2">
        <f>1*10^14</f>
        <v>100000000000000</v>
      </c>
      <c r="D5" s="2">
        <v>0</v>
      </c>
      <c r="E5" s="2" t="s">
        <v>3</v>
      </c>
      <c r="F5" s="2" t="s">
        <v>6</v>
      </c>
    </row>
    <row r="6" spans="1:6" x14ac:dyDescent="0.3">
      <c r="A6" s="3" t="s">
        <v>51</v>
      </c>
      <c r="B6" s="2" t="s">
        <v>31</v>
      </c>
      <c r="C6" s="7">
        <v>3117.91912</v>
      </c>
      <c r="D6" s="2">
        <v>0</v>
      </c>
      <c r="E6" s="2" t="s">
        <v>8</v>
      </c>
      <c r="F6" s="2" t="s">
        <v>6</v>
      </c>
    </row>
    <row r="7" spans="1:6" x14ac:dyDescent="0.3">
      <c r="A7" s="31" t="s">
        <v>92</v>
      </c>
      <c r="B7" s="2" t="s">
        <v>90</v>
      </c>
      <c r="C7" s="7">
        <f>37999.7</f>
        <v>37999.699999999997</v>
      </c>
      <c r="D7" s="2">
        <v>0</v>
      </c>
      <c r="E7" s="2" t="s">
        <v>10</v>
      </c>
      <c r="F7" s="2" t="s">
        <v>6</v>
      </c>
    </row>
    <row r="8" spans="1:6" x14ac:dyDescent="0.3">
      <c r="A8" s="31" t="s">
        <v>93</v>
      </c>
      <c r="B8" s="2" t="s">
        <v>90</v>
      </c>
      <c r="C8" s="7">
        <f>37999.78</f>
        <v>37999.78</v>
      </c>
      <c r="D8" s="2">
        <v>0</v>
      </c>
      <c r="E8" s="2" t="s">
        <v>9</v>
      </c>
      <c r="F8" s="2" t="s">
        <v>6</v>
      </c>
    </row>
    <row r="9" spans="1:6" x14ac:dyDescent="0.3">
      <c r="A9" s="4" t="s">
        <v>52</v>
      </c>
      <c r="B9" s="2" t="s">
        <v>35</v>
      </c>
      <c r="C9" s="7">
        <v>24578</v>
      </c>
      <c r="D9" s="2">
        <v>0</v>
      </c>
      <c r="E9" s="2" t="s">
        <v>10</v>
      </c>
      <c r="F9" s="2" t="s">
        <v>6</v>
      </c>
    </row>
    <row r="10" spans="1:6" x14ac:dyDescent="0.3">
      <c r="A10" s="4" t="s">
        <v>53</v>
      </c>
      <c r="B10" s="2" t="s">
        <v>35</v>
      </c>
      <c r="C10" s="7">
        <v>21243.600000000002</v>
      </c>
      <c r="D10" s="2">
        <v>0</v>
      </c>
      <c r="E10" s="2" t="s">
        <v>9</v>
      </c>
      <c r="F10" s="2" t="s">
        <v>6</v>
      </c>
    </row>
    <row r="11" spans="1:6" x14ac:dyDescent="0.3">
      <c r="A11" s="4" t="s">
        <v>54</v>
      </c>
      <c r="B11" s="2" t="s">
        <v>35</v>
      </c>
      <c r="C11" s="6">
        <v>1607</v>
      </c>
      <c r="D11" s="2">
        <v>22</v>
      </c>
      <c r="E11" s="2" t="s">
        <v>12</v>
      </c>
      <c r="F11" s="2" t="s">
        <v>6</v>
      </c>
    </row>
    <row r="12" spans="1:6" x14ac:dyDescent="0.3">
      <c r="A12" s="4" t="s">
        <v>55</v>
      </c>
      <c r="B12" s="2" t="s">
        <v>37</v>
      </c>
      <c r="C12" s="2">
        <f>1*10^14</f>
        <v>100000000000000</v>
      </c>
      <c r="D12" s="2">
        <v>0</v>
      </c>
      <c r="E12" s="2" t="s">
        <v>3</v>
      </c>
      <c r="F12" s="2" t="s">
        <v>6</v>
      </c>
    </row>
    <row r="13" spans="1:6" x14ac:dyDescent="0.3">
      <c r="A13" s="4" t="s">
        <v>56</v>
      </c>
      <c r="B13" s="2" t="s">
        <v>35</v>
      </c>
      <c r="C13" s="6">
        <v>508.3</v>
      </c>
      <c r="D13" s="2">
        <v>0</v>
      </c>
      <c r="E13" s="2" t="s">
        <v>8</v>
      </c>
      <c r="F13" s="2" t="s">
        <v>6</v>
      </c>
    </row>
    <row r="14" spans="1:6" x14ac:dyDescent="0.3">
      <c r="A14" s="31" t="s">
        <v>94</v>
      </c>
      <c r="B14" s="2" t="s">
        <v>91</v>
      </c>
      <c r="C14" s="6">
        <f>12584.9</f>
        <v>12584.9</v>
      </c>
      <c r="D14" s="2">
        <v>0</v>
      </c>
      <c r="E14" s="2" t="s">
        <v>10</v>
      </c>
      <c r="F14" s="2" t="s">
        <v>6</v>
      </c>
    </row>
    <row r="15" spans="1:6" x14ac:dyDescent="0.3">
      <c r="A15" s="31" t="s">
        <v>95</v>
      </c>
      <c r="B15" s="2" t="s">
        <v>91</v>
      </c>
      <c r="C15" s="6">
        <f>9922</f>
        <v>9922</v>
      </c>
      <c r="D15" s="2">
        <v>0</v>
      </c>
      <c r="E15" s="2" t="s">
        <v>9</v>
      </c>
      <c r="F15" s="2" t="s">
        <v>6</v>
      </c>
    </row>
    <row r="16" spans="1:6" x14ac:dyDescent="0.3">
      <c r="A16" s="24" t="s">
        <v>86</v>
      </c>
      <c r="B16" s="2" t="s">
        <v>31</v>
      </c>
      <c r="C16" s="2">
        <v>10000000</v>
      </c>
      <c r="D16" s="2">
        <v>10000</v>
      </c>
      <c r="E16" s="2" t="s">
        <v>85</v>
      </c>
      <c r="F16" s="2" t="s">
        <v>6</v>
      </c>
    </row>
    <row r="17" spans="1:6" x14ac:dyDescent="0.3">
      <c r="A17" s="24" t="s">
        <v>87</v>
      </c>
      <c r="B17" s="2" t="s">
        <v>35</v>
      </c>
      <c r="C17" s="2">
        <v>10000000</v>
      </c>
      <c r="D17" s="2">
        <v>10000</v>
      </c>
      <c r="E17" s="2" t="s">
        <v>85</v>
      </c>
      <c r="F17" s="2" t="s">
        <v>6</v>
      </c>
    </row>
    <row r="18" spans="1:6" x14ac:dyDescent="0.3">
      <c r="A18" s="24" t="s">
        <v>107</v>
      </c>
      <c r="B18" s="2" t="s">
        <v>98</v>
      </c>
      <c r="C18" s="2">
        <v>10000000</v>
      </c>
      <c r="D18" s="2">
        <v>10000</v>
      </c>
      <c r="E18" s="2" t="s">
        <v>85</v>
      </c>
      <c r="F18" s="2" t="s">
        <v>6</v>
      </c>
    </row>
    <row r="19" spans="1:6" x14ac:dyDescent="0.3">
      <c r="A19" s="24" t="s">
        <v>88</v>
      </c>
      <c r="B19" s="2" t="s">
        <v>34</v>
      </c>
      <c r="C19" s="2">
        <v>10000000</v>
      </c>
      <c r="D19" s="2">
        <v>3000</v>
      </c>
      <c r="E19" s="2" t="s">
        <v>85</v>
      </c>
      <c r="F19" s="2" t="s">
        <v>6</v>
      </c>
    </row>
    <row r="20" spans="1:6" x14ac:dyDescent="0.3">
      <c r="A20" s="24" t="s">
        <v>89</v>
      </c>
      <c r="B20" s="2" t="s">
        <v>38</v>
      </c>
      <c r="C20" s="2">
        <v>10000000</v>
      </c>
      <c r="D20" s="2">
        <v>3000</v>
      </c>
      <c r="E20" s="2" t="s">
        <v>85</v>
      </c>
      <c r="F20" s="2" t="s">
        <v>6</v>
      </c>
    </row>
    <row r="21" spans="1:6" x14ac:dyDescent="0.3">
      <c r="A21" s="24" t="s">
        <v>106</v>
      </c>
      <c r="B21" s="2" t="s">
        <v>99</v>
      </c>
      <c r="C21" s="2">
        <v>10000000</v>
      </c>
      <c r="D21" s="2">
        <v>3000</v>
      </c>
      <c r="E21" s="2" t="s">
        <v>85</v>
      </c>
      <c r="F21" s="2" t="s">
        <v>6</v>
      </c>
    </row>
    <row r="22" spans="1:6" x14ac:dyDescent="0.3">
      <c r="A22" s="24" t="s">
        <v>120</v>
      </c>
      <c r="B22" s="2" t="s">
        <v>118</v>
      </c>
      <c r="C22" s="2">
        <v>10000000</v>
      </c>
      <c r="D22" s="2">
        <v>3000</v>
      </c>
      <c r="E22" s="2" t="s">
        <v>85</v>
      </c>
      <c r="F22" s="2" t="s">
        <v>6</v>
      </c>
    </row>
    <row r="23" spans="1:6" x14ac:dyDescent="0.3">
      <c r="A23" s="24" t="s">
        <v>121</v>
      </c>
      <c r="B23" s="2" t="s">
        <v>119</v>
      </c>
      <c r="C23" s="2">
        <v>10000000</v>
      </c>
      <c r="D23" s="2">
        <v>3000</v>
      </c>
      <c r="E23" s="2" t="s">
        <v>85</v>
      </c>
      <c r="F23" s="2" t="s">
        <v>6</v>
      </c>
    </row>
    <row r="24" spans="1:6" x14ac:dyDescent="0.3">
      <c r="A24" s="5" t="s">
        <v>135</v>
      </c>
      <c r="B24" s="2" t="s">
        <v>98</v>
      </c>
      <c r="C24" s="18">
        <v>5000</v>
      </c>
      <c r="D24" s="2">
        <v>0</v>
      </c>
      <c r="E24" s="2" t="s">
        <v>7</v>
      </c>
      <c r="F24" s="2" t="s">
        <v>6</v>
      </c>
    </row>
    <row r="25" spans="1:6" x14ac:dyDescent="0.3">
      <c r="A25" s="5" t="s">
        <v>136</v>
      </c>
      <c r="B25" s="2" t="s">
        <v>119</v>
      </c>
      <c r="C25" s="18">
        <v>1553.672292</v>
      </c>
      <c r="D25" s="2">
        <v>0</v>
      </c>
      <c r="E25" s="2" t="s">
        <v>4</v>
      </c>
      <c r="F25" s="2" t="s">
        <v>6</v>
      </c>
    </row>
    <row r="26" spans="1:6" x14ac:dyDescent="0.3">
      <c r="A26" s="5" t="s">
        <v>137</v>
      </c>
      <c r="B26" s="2" t="s">
        <v>99</v>
      </c>
      <c r="C26" s="18">
        <v>6779.6610170000004</v>
      </c>
      <c r="D26" s="2">
        <v>0</v>
      </c>
      <c r="E26" s="2" t="s">
        <v>4</v>
      </c>
      <c r="F26" s="2" t="s">
        <v>6</v>
      </c>
    </row>
    <row r="27" spans="1:6" x14ac:dyDescent="0.3">
      <c r="A27" s="15" t="s">
        <v>114</v>
      </c>
      <c r="B27" s="2" t="s">
        <v>113</v>
      </c>
      <c r="C27" s="6">
        <v>1517.7757899999999</v>
      </c>
      <c r="D27" s="2">
        <v>0</v>
      </c>
      <c r="E27" s="2" t="s">
        <v>4</v>
      </c>
      <c r="F27" s="2" t="s">
        <v>6</v>
      </c>
    </row>
    <row r="28" spans="1:6" x14ac:dyDescent="0.3">
      <c r="A28" s="15" t="s">
        <v>115</v>
      </c>
      <c r="B28" s="2" t="s">
        <v>113</v>
      </c>
      <c r="C28" s="6">
        <v>1422.3673200000001</v>
      </c>
      <c r="D28" s="2">
        <f>73.7</f>
        <v>73.7</v>
      </c>
      <c r="E28" s="2" t="s">
        <v>4</v>
      </c>
      <c r="F28" s="2" t="s">
        <v>6</v>
      </c>
    </row>
    <row r="29" spans="1:6" x14ac:dyDescent="0.3">
      <c r="A29" s="5" t="s">
        <v>129</v>
      </c>
      <c r="B29" s="2" t="s">
        <v>118</v>
      </c>
      <c r="C29" s="2">
        <v>1241</v>
      </c>
      <c r="D29" s="2">
        <v>0</v>
      </c>
      <c r="E29" s="2" t="s">
        <v>4</v>
      </c>
      <c r="F29" s="2" t="s">
        <v>6</v>
      </c>
    </row>
    <row r="30" spans="1:6" x14ac:dyDescent="0.3">
      <c r="A30" s="5" t="s">
        <v>130</v>
      </c>
      <c r="B30" s="2" t="s">
        <v>119</v>
      </c>
      <c r="C30" s="2">
        <v>331</v>
      </c>
      <c r="D30" s="2">
        <v>0</v>
      </c>
      <c r="E30" s="2" t="s">
        <v>4</v>
      </c>
      <c r="F30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5" tint="0.39997558519241921"/>
  </sheetPr>
  <dimension ref="A1:F30"/>
  <sheetViews>
    <sheetView topLeftCell="A16" workbookViewId="0">
      <selection activeCell="C26" sqref="C26"/>
    </sheetView>
  </sheetViews>
  <sheetFormatPr baseColWidth="10" defaultRowHeight="14" x14ac:dyDescent="0.3"/>
  <cols>
    <col min="1" max="1" width="29.1796875" style="2" bestFit="1" customWidth="1"/>
    <col min="2" max="2" width="26.6328125" style="2" customWidth="1"/>
    <col min="3" max="3" width="10.90625" style="2"/>
    <col min="4" max="4" width="13.08984375" style="2" bestFit="1" customWidth="1"/>
    <col min="5" max="5" width="15.7265625" style="2" bestFit="1" customWidth="1"/>
    <col min="6" max="10" width="10.90625" style="2"/>
    <col min="11" max="11" width="11.7265625" style="2" customWidth="1"/>
    <col min="12" max="16384" width="10.90625" style="2"/>
  </cols>
  <sheetData>
    <row r="1" spans="1:6" x14ac:dyDescent="0.3">
      <c r="A1" s="13" t="s">
        <v>5</v>
      </c>
      <c r="B1" s="13" t="s">
        <v>16</v>
      </c>
      <c r="C1" s="13" t="s">
        <v>13</v>
      </c>
      <c r="D1" s="13" t="s">
        <v>15</v>
      </c>
      <c r="E1" s="13" t="s">
        <v>0</v>
      </c>
      <c r="F1" s="13" t="s">
        <v>1</v>
      </c>
    </row>
    <row r="2" spans="1:6" x14ac:dyDescent="0.3">
      <c r="A2" s="3" t="s">
        <v>47</v>
      </c>
      <c r="B2" s="2" t="s">
        <v>31</v>
      </c>
      <c r="C2" s="6">
        <v>117805</v>
      </c>
      <c r="D2" s="2">
        <v>0</v>
      </c>
      <c r="E2" s="2" t="s">
        <v>10</v>
      </c>
      <c r="F2" s="2" t="s">
        <v>6</v>
      </c>
    </row>
    <row r="3" spans="1:6" x14ac:dyDescent="0.3">
      <c r="A3" s="3" t="s">
        <v>48</v>
      </c>
      <c r="B3" s="2" t="s">
        <v>31</v>
      </c>
      <c r="C3" s="7">
        <v>91799.794460000019</v>
      </c>
      <c r="D3" s="2">
        <v>0</v>
      </c>
      <c r="E3" s="2" t="s">
        <v>9</v>
      </c>
      <c r="F3" s="2" t="s">
        <v>6</v>
      </c>
    </row>
    <row r="4" spans="1:6" x14ac:dyDescent="0.3">
      <c r="A4" s="3" t="s">
        <v>49</v>
      </c>
      <c r="B4" s="2" t="s">
        <v>31</v>
      </c>
      <c r="C4" s="6">
        <v>2462.66</v>
      </c>
      <c r="D4" s="2">
        <v>22</v>
      </c>
      <c r="E4" s="2" t="s">
        <v>12</v>
      </c>
      <c r="F4" s="2" t="s">
        <v>6</v>
      </c>
    </row>
    <row r="5" spans="1:6" x14ac:dyDescent="0.3">
      <c r="A5" s="3" t="s">
        <v>50</v>
      </c>
      <c r="B5" s="2" t="s">
        <v>33</v>
      </c>
      <c r="C5" s="2">
        <f>1*10^14</f>
        <v>100000000000000</v>
      </c>
      <c r="D5" s="2">
        <v>0</v>
      </c>
      <c r="E5" s="2" t="s">
        <v>3</v>
      </c>
      <c r="F5" s="2" t="s">
        <v>6</v>
      </c>
    </row>
    <row r="6" spans="1:6" x14ac:dyDescent="0.3">
      <c r="A6" s="3" t="s">
        <v>51</v>
      </c>
      <c r="B6" s="2" t="s">
        <v>31</v>
      </c>
      <c r="C6" s="7">
        <v>3117.91912</v>
      </c>
      <c r="D6" s="2">
        <v>0</v>
      </c>
      <c r="E6" s="2" t="s">
        <v>8</v>
      </c>
      <c r="F6" s="2" t="s">
        <v>6</v>
      </c>
    </row>
    <row r="7" spans="1:6" x14ac:dyDescent="0.3">
      <c r="A7" s="2" t="s">
        <v>82</v>
      </c>
      <c r="B7" s="2" t="s">
        <v>109</v>
      </c>
      <c r="C7" s="7">
        <f>37999.78-16300</f>
        <v>21699.78</v>
      </c>
      <c r="D7" s="2">
        <v>0</v>
      </c>
      <c r="E7" s="2" t="s">
        <v>146</v>
      </c>
      <c r="F7" s="2" t="s">
        <v>6</v>
      </c>
    </row>
    <row r="8" spans="1:6" x14ac:dyDescent="0.3">
      <c r="A8" s="2" t="s">
        <v>81</v>
      </c>
      <c r="B8" s="2" t="s">
        <v>110</v>
      </c>
      <c r="C8" s="6">
        <v>16300</v>
      </c>
      <c r="D8" s="2">
        <v>0</v>
      </c>
      <c r="E8" s="2" t="s">
        <v>145</v>
      </c>
      <c r="F8" s="2" t="s">
        <v>6</v>
      </c>
    </row>
    <row r="9" spans="1:6" x14ac:dyDescent="0.3">
      <c r="A9" s="4" t="s">
        <v>52</v>
      </c>
      <c r="B9" s="2" t="s">
        <v>35</v>
      </c>
      <c r="C9" s="6">
        <v>61741.1</v>
      </c>
      <c r="D9" s="2">
        <v>0</v>
      </c>
      <c r="E9" s="2" t="s">
        <v>10</v>
      </c>
      <c r="F9" s="2" t="s">
        <v>6</v>
      </c>
    </row>
    <row r="10" spans="1:6" x14ac:dyDescent="0.3">
      <c r="A10" s="4" t="s">
        <v>53</v>
      </c>
      <c r="B10" s="2" t="s">
        <v>35</v>
      </c>
      <c r="C10" s="7">
        <v>21243.600000000002</v>
      </c>
      <c r="D10" s="2">
        <v>0</v>
      </c>
      <c r="E10" s="2" t="s">
        <v>9</v>
      </c>
      <c r="F10" s="2" t="s">
        <v>6</v>
      </c>
    </row>
    <row r="11" spans="1:6" x14ac:dyDescent="0.3">
      <c r="A11" s="4" t="s">
        <v>54</v>
      </c>
      <c r="B11" s="2" t="s">
        <v>35</v>
      </c>
      <c r="C11" s="6">
        <v>1607</v>
      </c>
      <c r="D11" s="35">
        <v>22</v>
      </c>
      <c r="E11" s="2" t="s">
        <v>12</v>
      </c>
      <c r="F11" s="2" t="s">
        <v>6</v>
      </c>
    </row>
    <row r="12" spans="1:6" x14ac:dyDescent="0.3">
      <c r="A12" s="4" t="s">
        <v>55</v>
      </c>
      <c r="B12" s="2" t="s">
        <v>37</v>
      </c>
      <c r="C12" s="2">
        <f>1*10^14</f>
        <v>100000000000000</v>
      </c>
      <c r="D12" s="2">
        <v>0</v>
      </c>
      <c r="E12" s="2" t="s">
        <v>3</v>
      </c>
      <c r="F12" s="2" t="s">
        <v>6</v>
      </c>
    </row>
    <row r="13" spans="1:6" x14ac:dyDescent="0.3">
      <c r="A13" s="4" t="s">
        <v>56</v>
      </c>
      <c r="B13" s="2" t="s">
        <v>35</v>
      </c>
      <c r="C13" s="6">
        <v>508.3</v>
      </c>
      <c r="D13" s="2">
        <v>0</v>
      </c>
      <c r="E13" s="2" t="s">
        <v>8</v>
      </c>
      <c r="F13" s="2" t="s">
        <v>6</v>
      </c>
    </row>
    <row r="14" spans="1:6" x14ac:dyDescent="0.3">
      <c r="A14" s="2" t="s">
        <v>84</v>
      </c>
      <c r="B14" s="2" t="s">
        <v>111</v>
      </c>
      <c r="C14" s="7">
        <v>5048.5736999999999</v>
      </c>
      <c r="D14" s="2">
        <v>0</v>
      </c>
      <c r="E14" s="2" t="s">
        <v>146</v>
      </c>
      <c r="F14" s="2" t="s">
        <v>6</v>
      </c>
    </row>
    <row r="15" spans="1:6" x14ac:dyDescent="0.3">
      <c r="A15" s="2" t="s">
        <v>83</v>
      </c>
      <c r="B15" s="2" t="s">
        <v>112</v>
      </c>
      <c r="C15" s="6">
        <v>7536.3262999999997</v>
      </c>
      <c r="D15" s="2">
        <v>0</v>
      </c>
      <c r="E15" s="2" t="s">
        <v>145</v>
      </c>
      <c r="F15" s="2" t="s">
        <v>6</v>
      </c>
    </row>
    <row r="16" spans="1:6" x14ac:dyDescent="0.3">
      <c r="A16" s="32" t="s">
        <v>86</v>
      </c>
      <c r="B16" s="2" t="s">
        <v>31</v>
      </c>
      <c r="C16" s="2">
        <v>10000000</v>
      </c>
      <c r="D16" s="2">
        <v>10000</v>
      </c>
      <c r="E16" s="2" t="s">
        <v>85</v>
      </c>
      <c r="F16" s="2" t="s">
        <v>6</v>
      </c>
    </row>
    <row r="17" spans="1:6" x14ac:dyDescent="0.3">
      <c r="A17" s="32" t="s">
        <v>87</v>
      </c>
      <c r="B17" s="2" t="s">
        <v>35</v>
      </c>
      <c r="C17" s="2">
        <v>10000000</v>
      </c>
      <c r="D17" s="2">
        <v>10000</v>
      </c>
      <c r="E17" s="2" t="s">
        <v>85</v>
      </c>
      <c r="F17" s="2" t="s">
        <v>6</v>
      </c>
    </row>
    <row r="18" spans="1:6" x14ac:dyDescent="0.3">
      <c r="A18" s="32" t="s">
        <v>107</v>
      </c>
      <c r="B18" s="2" t="s">
        <v>98</v>
      </c>
      <c r="C18" s="2">
        <v>10000000</v>
      </c>
      <c r="D18" s="2">
        <v>10000</v>
      </c>
      <c r="E18" s="2" t="s">
        <v>85</v>
      </c>
      <c r="F18" s="2" t="s">
        <v>6</v>
      </c>
    </row>
    <row r="19" spans="1:6" x14ac:dyDescent="0.3">
      <c r="A19" s="32" t="s">
        <v>88</v>
      </c>
      <c r="B19" s="2" t="s">
        <v>34</v>
      </c>
      <c r="C19" s="2">
        <v>10000000</v>
      </c>
      <c r="D19" s="2">
        <v>3000</v>
      </c>
      <c r="E19" s="2" t="s">
        <v>85</v>
      </c>
      <c r="F19" s="2" t="s">
        <v>6</v>
      </c>
    </row>
    <row r="20" spans="1:6" x14ac:dyDescent="0.3">
      <c r="A20" s="32" t="s">
        <v>89</v>
      </c>
      <c r="B20" s="2" t="s">
        <v>38</v>
      </c>
      <c r="C20" s="2">
        <v>10000000</v>
      </c>
      <c r="D20" s="2">
        <v>2500</v>
      </c>
      <c r="E20" s="2" t="s">
        <v>85</v>
      </c>
      <c r="F20" s="2" t="s">
        <v>6</v>
      </c>
    </row>
    <row r="21" spans="1:6" x14ac:dyDescent="0.3">
      <c r="A21" s="32" t="s">
        <v>106</v>
      </c>
      <c r="B21" s="2" t="s">
        <v>99</v>
      </c>
      <c r="C21" s="2">
        <v>10000000</v>
      </c>
      <c r="D21" s="2">
        <v>2500</v>
      </c>
      <c r="E21" s="2" t="s">
        <v>85</v>
      </c>
      <c r="F21" s="2" t="s">
        <v>6</v>
      </c>
    </row>
    <row r="22" spans="1:6" x14ac:dyDescent="0.3">
      <c r="A22" s="32" t="s">
        <v>120</v>
      </c>
      <c r="B22" s="2" t="s">
        <v>118</v>
      </c>
      <c r="C22" s="2">
        <v>10000000</v>
      </c>
      <c r="D22" s="2">
        <v>2500</v>
      </c>
      <c r="E22" s="2" t="s">
        <v>85</v>
      </c>
      <c r="F22" s="2" t="s">
        <v>6</v>
      </c>
    </row>
    <row r="23" spans="1:6" x14ac:dyDescent="0.3">
      <c r="A23" s="32" t="s">
        <v>121</v>
      </c>
      <c r="B23" s="2" t="s">
        <v>119</v>
      </c>
      <c r="C23" s="2">
        <v>10000000</v>
      </c>
      <c r="D23" s="2">
        <v>2500</v>
      </c>
      <c r="E23" s="2" t="s">
        <v>85</v>
      </c>
      <c r="F23" s="2" t="s">
        <v>6</v>
      </c>
    </row>
    <row r="24" spans="1:6" x14ac:dyDescent="0.3">
      <c r="A24" s="5" t="s">
        <v>135</v>
      </c>
      <c r="B24" s="2" t="s">
        <v>98</v>
      </c>
      <c r="C24" s="6">
        <v>5000</v>
      </c>
      <c r="D24" s="2">
        <v>0</v>
      </c>
      <c r="E24" s="2" t="s">
        <v>7</v>
      </c>
      <c r="F24" s="2" t="s">
        <v>6</v>
      </c>
    </row>
    <row r="25" spans="1:6" x14ac:dyDescent="0.3">
      <c r="A25" s="5" t="s">
        <v>136</v>
      </c>
      <c r="B25" s="2" t="s">
        <v>119</v>
      </c>
      <c r="C25" s="6">
        <v>1553.672292</v>
      </c>
      <c r="D25" s="2">
        <v>0</v>
      </c>
      <c r="E25" s="2" t="s">
        <v>4</v>
      </c>
      <c r="F25" s="2" t="s">
        <v>6</v>
      </c>
    </row>
    <row r="26" spans="1:6" x14ac:dyDescent="0.3">
      <c r="A26" s="5" t="s">
        <v>137</v>
      </c>
      <c r="B26" s="2" t="s">
        <v>99</v>
      </c>
      <c r="C26" s="6">
        <v>6779.6610170000004</v>
      </c>
      <c r="D26" s="2">
        <v>0</v>
      </c>
      <c r="E26" s="2" t="s">
        <v>4</v>
      </c>
      <c r="F26" s="2" t="s">
        <v>6</v>
      </c>
    </row>
    <row r="27" spans="1:6" x14ac:dyDescent="0.3">
      <c r="A27" s="15" t="s">
        <v>114</v>
      </c>
      <c r="B27" s="2" t="s">
        <v>113</v>
      </c>
      <c r="C27" s="6">
        <v>1517.7757899999999</v>
      </c>
      <c r="D27" s="2">
        <v>0</v>
      </c>
      <c r="E27" s="2" t="s">
        <v>4</v>
      </c>
      <c r="F27" s="2" t="s">
        <v>6</v>
      </c>
    </row>
    <row r="28" spans="1:6" x14ac:dyDescent="0.3">
      <c r="A28" s="15" t="s">
        <v>115</v>
      </c>
      <c r="B28" s="2" t="s">
        <v>113</v>
      </c>
      <c r="C28" s="6">
        <v>1422.3673200000001</v>
      </c>
      <c r="D28" s="2">
        <f>73.7</f>
        <v>73.7</v>
      </c>
      <c r="E28" s="2" t="s">
        <v>4</v>
      </c>
      <c r="F28" s="2" t="s">
        <v>6</v>
      </c>
    </row>
    <row r="29" spans="1:6" x14ac:dyDescent="0.3">
      <c r="A29" s="5" t="s">
        <v>129</v>
      </c>
      <c r="B29" s="2" t="s">
        <v>118</v>
      </c>
      <c r="C29" s="6">
        <v>1241</v>
      </c>
      <c r="D29" s="2">
        <v>0</v>
      </c>
      <c r="E29" s="2" t="s">
        <v>4</v>
      </c>
      <c r="F29" s="2" t="s">
        <v>6</v>
      </c>
    </row>
    <row r="30" spans="1:6" x14ac:dyDescent="0.3">
      <c r="A30" s="5" t="s">
        <v>130</v>
      </c>
      <c r="B30" s="2" t="s">
        <v>119</v>
      </c>
      <c r="C30" s="6">
        <v>331</v>
      </c>
      <c r="D30" s="2">
        <v>0</v>
      </c>
      <c r="E30" s="2" t="s">
        <v>4</v>
      </c>
      <c r="F30" s="2" t="s">
        <v>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K27"/>
  <sheetViews>
    <sheetView zoomScaleNormal="100" workbookViewId="0">
      <selection activeCell="A23" sqref="A23"/>
    </sheetView>
  </sheetViews>
  <sheetFormatPr baseColWidth="10" defaultRowHeight="14" x14ac:dyDescent="0.3"/>
  <cols>
    <col min="1" max="1" width="42.26953125" style="2" customWidth="1"/>
    <col min="2" max="3" width="24.1796875" style="2" bestFit="1" customWidth="1"/>
    <col min="4" max="4" width="16.453125" style="26" customWidth="1"/>
    <col min="5" max="11" width="16.453125" style="2" customWidth="1"/>
    <col min="12" max="16384" width="10.90625" style="2"/>
  </cols>
  <sheetData>
    <row r="1" spans="1:11" x14ac:dyDescent="0.3">
      <c r="A1" s="13" t="s">
        <v>5</v>
      </c>
      <c r="B1" s="14" t="s">
        <v>74</v>
      </c>
      <c r="C1" s="14" t="s">
        <v>75</v>
      </c>
      <c r="D1" s="28" t="s">
        <v>13</v>
      </c>
      <c r="E1" s="14" t="s">
        <v>14</v>
      </c>
      <c r="F1" s="14" t="s">
        <v>17</v>
      </c>
      <c r="G1" s="14" t="s">
        <v>15</v>
      </c>
      <c r="H1" s="14" t="s">
        <v>19</v>
      </c>
      <c r="I1" s="14" t="s">
        <v>20</v>
      </c>
      <c r="J1" s="14" t="s">
        <v>0</v>
      </c>
      <c r="K1" s="14" t="s">
        <v>1</v>
      </c>
    </row>
    <row r="2" spans="1:11" x14ac:dyDescent="0.3">
      <c r="A2" s="3" t="s">
        <v>39</v>
      </c>
      <c r="B2" s="9" t="s">
        <v>33</v>
      </c>
      <c r="C2" s="9" t="s">
        <v>31</v>
      </c>
      <c r="D2" s="29">
        <f>24559.64</f>
        <v>24559.64</v>
      </c>
      <c r="E2" s="11"/>
      <c r="F2" s="11">
        <v>0.57999999999999996</v>
      </c>
      <c r="G2" s="11">
        <v>146.19</v>
      </c>
      <c r="H2" s="11">
        <v>842.35602840000001</v>
      </c>
      <c r="I2" s="11">
        <v>1052.945035</v>
      </c>
      <c r="J2" s="11" t="s">
        <v>3</v>
      </c>
      <c r="K2" s="11" t="s">
        <v>6</v>
      </c>
    </row>
    <row r="3" spans="1:11" x14ac:dyDescent="0.3">
      <c r="A3" s="3" t="s">
        <v>40</v>
      </c>
      <c r="B3" s="9" t="s">
        <v>32</v>
      </c>
      <c r="C3" s="9" t="s">
        <v>31</v>
      </c>
      <c r="D3" s="29">
        <f>25140.2664733333</f>
        <v>25140.2664733333</v>
      </c>
      <c r="E3" s="11"/>
      <c r="F3" s="11">
        <v>0.85</v>
      </c>
      <c r="G3" s="11">
        <v>0</v>
      </c>
      <c r="H3" s="11"/>
      <c r="I3" s="11"/>
      <c r="J3" s="11" t="s">
        <v>8</v>
      </c>
      <c r="K3" s="11" t="s">
        <v>6</v>
      </c>
    </row>
    <row r="4" spans="1:11" x14ac:dyDescent="0.3">
      <c r="A4" s="3" t="s">
        <v>41</v>
      </c>
      <c r="B4" s="9" t="s">
        <v>31</v>
      </c>
      <c r="C4" s="9" t="s">
        <v>32</v>
      </c>
      <c r="D4" s="29">
        <f>13320.7506329652</f>
        <v>13320.750632965201</v>
      </c>
      <c r="E4" s="11"/>
      <c r="F4" s="11">
        <v>0.75</v>
      </c>
      <c r="G4" s="11">
        <v>0</v>
      </c>
      <c r="H4" s="11"/>
      <c r="I4" s="11"/>
      <c r="J4" s="11" t="s">
        <v>7</v>
      </c>
      <c r="K4" s="11" t="s">
        <v>6</v>
      </c>
    </row>
    <row r="5" spans="1:11" x14ac:dyDescent="0.3">
      <c r="A5" s="3" t="s">
        <v>42</v>
      </c>
      <c r="B5" s="9" t="s">
        <v>31</v>
      </c>
      <c r="C5" s="9" t="s">
        <v>34</v>
      </c>
      <c r="D5" s="29">
        <v>15500</v>
      </c>
      <c r="E5" s="11"/>
      <c r="F5" s="10">
        <v>0.7</v>
      </c>
      <c r="G5" s="11">
        <v>0</v>
      </c>
      <c r="H5" s="11"/>
      <c r="I5" s="11"/>
      <c r="J5" s="11" t="s">
        <v>4</v>
      </c>
      <c r="K5" s="11" t="s">
        <v>6</v>
      </c>
    </row>
    <row r="6" spans="1:11" x14ac:dyDescent="0.3">
      <c r="A6" s="2" t="s">
        <v>81</v>
      </c>
      <c r="B6" s="9" t="s">
        <v>90</v>
      </c>
      <c r="C6" s="9" t="s">
        <v>34</v>
      </c>
      <c r="D6" s="29">
        <v>32600</v>
      </c>
      <c r="E6" s="11"/>
      <c r="F6" s="10">
        <v>0.7</v>
      </c>
      <c r="G6" s="11">
        <v>0</v>
      </c>
      <c r="H6" s="11"/>
      <c r="I6" s="11"/>
      <c r="J6" s="11" t="s">
        <v>4</v>
      </c>
      <c r="K6" s="11" t="s">
        <v>6</v>
      </c>
    </row>
    <row r="7" spans="1:11" x14ac:dyDescent="0.3">
      <c r="A7" s="2" t="s">
        <v>82</v>
      </c>
      <c r="B7" s="9" t="s">
        <v>90</v>
      </c>
      <c r="C7" s="9" t="s">
        <v>31</v>
      </c>
      <c r="D7" s="26">
        <v>100000</v>
      </c>
      <c r="E7" s="11"/>
      <c r="F7" s="11">
        <v>1</v>
      </c>
      <c r="G7" s="11">
        <v>0</v>
      </c>
      <c r="H7" s="11"/>
      <c r="I7" s="11"/>
      <c r="J7" s="11" t="s">
        <v>7</v>
      </c>
      <c r="K7" s="11" t="s">
        <v>6</v>
      </c>
    </row>
    <row r="8" spans="1:11" x14ac:dyDescent="0.3">
      <c r="A8" s="4" t="s">
        <v>43</v>
      </c>
      <c r="B8" s="9" t="s">
        <v>37</v>
      </c>
      <c r="C8" s="9" t="s">
        <v>35</v>
      </c>
      <c r="D8" s="29">
        <v>1357</v>
      </c>
      <c r="E8" s="11"/>
      <c r="F8" s="11">
        <v>0.57999999999999996</v>
      </c>
      <c r="G8" s="11">
        <v>146.19</v>
      </c>
      <c r="H8" s="11">
        <v>2.4</v>
      </c>
      <c r="I8" s="11">
        <v>3</v>
      </c>
      <c r="J8" s="11" t="s">
        <v>3</v>
      </c>
      <c r="K8" s="11" t="s">
        <v>6</v>
      </c>
    </row>
    <row r="9" spans="1:11" x14ac:dyDescent="0.3">
      <c r="A9" s="4" t="s">
        <v>44</v>
      </c>
      <c r="B9" s="9" t="s">
        <v>36</v>
      </c>
      <c r="C9" s="9" t="s">
        <v>35</v>
      </c>
      <c r="D9" s="29">
        <v>3135</v>
      </c>
      <c r="E9" s="11"/>
      <c r="F9" s="11">
        <v>0.85</v>
      </c>
      <c r="G9" s="11">
        <v>0</v>
      </c>
      <c r="H9" s="11"/>
      <c r="I9" s="11"/>
      <c r="J9" s="11" t="s">
        <v>8</v>
      </c>
      <c r="K9" s="11" t="s">
        <v>6</v>
      </c>
    </row>
    <row r="10" spans="1:11" x14ac:dyDescent="0.3">
      <c r="A10" s="4" t="s">
        <v>45</v>
      </c>
      <c r="B10" s="9" t="s">
        <v>35</v>
      </c>
      <c r="C10" s="9" t="s">
        <v>36</v>
      </c>
      <c r="D10" s="29">
        <v>3837</v>
      </c>
      <c r="E10" s="11"/>
      <c r="F10" s="11">
        <v>0.75</v>
      </c>
      <c r="G10" s="11">
        <v>0</v>
      </c>
      <c r="H10" s="11"/>
      <c r="I10" s="11"/>
      <c r="J10" s="11" t="s">
        <v>7</v>
      </c>
      <c r="K10" s="11" t="s">
        <v>6</v>
      </c>
    </row>
    <row r="11" spans="1:11" x14ac:dyDescent="0.3">
      <c r="A11" s="4" t="s">
        <v>46</v>
      </c>
      <c r="B11" s="9" t="s">
        <v>35</v>
      </c>
      <c r="C11" s="9" t="s">
        <v>38</v>
      </c>
      <c r="D11" s="29">
        <v>0</v>
      </c>
      <c r="E11" s="11"/>
      <c r="F11" s="10">
        <v>0.7</v>
      </c>
      <c r="G11" s="11">
        <v>0</v>
      </c>
      <c r="H11" s="11"/>
      <c r="I11" s="11"/>
      <c r="J11" s="11" t="s">
        <v>4</v>
      </c>
      <c r="K11" s="11" t="s">
        <v>6</v>
      </c>
    </row>
    <row r="12" spans="1:11" x14ac:dyDescent="0.3">
      <c r="A12" s="2" t="s">
        <v>83</v>
      </c>
      <c r="B12" s="9" t="s">
        <v>91</v>
      </c>
      <c r="C12" s="9" t="s">
        <v>38</v>
      </c>
      <c r="D12" s="29">
        <v>13478</v>
      </c>
      <c r="E12" s="11"/>
      <c r="F12" s="10">
        <v>0.7</v>
      </c>
      <c r="G12" s="11">
        <v>0</v>
      </c>
      <c r="H12" s="11"/>
      <c r="I12" s="11"/>
      <c r="J12" s="11" t="s">
        <v>4</v>
      </c>
      <c r="K12" s="11" t="s">
        <v>6</v>
      </c>
    </row>
    <row r="13" spans="1:11" x14ac:dyDescent="0.3">
      <c r="A13" s="2" t="s">
        <v>84</v>
      </c>
      <c r="B13" s="9" t="s">
        <v>91</v>
      </c>
      <c r="C13" s="9" t="s">
        <v>35</v>
      </c>
      <c r="D13" s="26">
        <v>100000</v>
      </c>
      <c r="E13" s="11"/>
      <c r="F13" s="11">
        <v>1</v>
      </c>
      <c r="G13" s="11">
        <v>0</v>
      </c>
      <c r="H13" s="11"/>
      <c r="I13" s="11"/>
      <c r="J13" s="11" t="s">
        <v>7</v>
      </c>
      <c r="K13" s="11" t="s">
        <v>6</v>
      </c>
    </row>
    <row r="14" spans="1:11" x14ac:dyDescent="0.3">
      <c r="A14" s="5" t="s">
        <v>108</v>
      </c>
      <c r="B14" s="9" t="s">
        <v>98</v>
      </c>
      <c r="C14" s="9" t="s">
        <v>99</v>
      </c>
      <c r="D14" s="29">
        <v>10800</v>
      </c>
      <c r="E14" s="11"/>
      <c r="F14" s="10">
        <v>0.7</v>
      </c>
      <c r="G14" s="11">
        <v>0</v>
      </c>
      <c r="H14" s="11"/>
      <c r="I14" s="11"/>
      <c r="J14" s="11" t="s">
        <v>4</v>
      </c>
      <c r="K14" s="11" t="s">
        <v>6</v>
      </c>
    </row>
    <row r="15" spans="1:11" x14ac:dyDescent="0.3">
      <c r="A15" s="5" t="s">
        <v>123</v>
      </c>
      <c r="B15" s="9" t="s">
        <v>98</v>
      </c>
      <c r="C15" s="9" t="s">
        <v>119</v>
      </c>
      <c r="D15" s="29">
        <v>2700</v>
      </c>
      <c r="E15" s="11"/>
      <c r="F15" s="10">
        <v>0.7</v>
      </c>
      <c r="G15" s="11">
        <v>0</v>
      </c>
      <c r="H15" s="11"/>
      <c r="I15" s="11"/>
      <c r="J15" s="11" t="s">
        <v>4</v>
      </c>
      <c r="K15" s="11" t="s">
        <v>6</v>
      </c>
    </row>
    <row r="16" spans="1:11" x14ac:dyDescent="0.3">
      <c r="A16" s="16" t="s">
        <v>77</v>
      </c>
      <c r="B16" s="9" t="s">
        <v>31</v>
      </c>
      <c r="C16" s="9" t="s">
        <v>35</v>
      </c>
      <c r="D16" s="29">
        <v>4200</v>
      </c>
      <c r="E16" s="11"/>
      <c r="F16" s="12">
        <v>1</v>
      </c>
      <c r="G16" s="12">
        <v>0.01</v>
      </c>
      <c r="H16" s="11"/>
      <c r="I16" s="11"/>
      <c r="J16" s="11" t="s">
        <v>7</v>
      </c>
      <c r="K16" s="11" t="s">
        <v>6</v>
      </c>
    </row>
    <row r="17" spans="1:11" x14ac:dyDescent="0.3">
      <c r="A17" s="17" t="s">
        <v>78</v>
      </c>
      <c r="B17" s="9" t="s">
        <v>34</v>
      </c>
      <c r="C17" s="9" t="s">
        <v>38</v>
      </c>
      <c r="D17" s="29">
        <v>2860.169492</v>
      </c>
      <c r="E17" s="11"/>
      <c r="F17" s="12">
        <v>1</v>
      </c>
      <c r="G17" s="12">
        <v>0.01</v>
      </c>
      <c r="H17" s="11"/>
      <c r="I17" s="11"/>
      <c r="J17" s="11" t="s">
        <v>4</v>
      </c>
      <c r="K17" s="11" t="s">
        <v>6</v>
      </c>
    </row>
    <row r="18" spans="1:11" x14ac:dyDescent="0.3">
      <c r="A18" s="16" t="s">
        <v>79</v>
      </c>
      <c r="B18" s="9" t="s">
        <v>35</v>
      </c>
      <c r="C18" s="9" t="s">
        <v>31</v>
      </c>
      <c r="D18" s="29">
        <v>3500</v>
      </c>
      <c r="E18" s="11"/>
      <c r="F18" s="12">
        <v>1</v>
      </c>
      <c r="G18" s="12">
        <v>0.01</v>
      </c>
      <c r="H18" s="11"/>
      <c r="I18" s="11"/>
      <c r="J18" s="11" t="s">
        <v>7</v>
      </c>
      <c r="K18" s="11" t="s">
        <v>6</v>
      </c>
    </row>
    <row r="19" spans="1:11" x14ac:dyDescent="0.3">
      <c r="A19" s="17" t="s">
        <v>80</v>
      </c>
      <c r="B19" s="9" t="s">
        <v>38</v>
      </c>
      <c r="C19" s="9" t="s">
        <v>34</v>
      </c>
      <c r="D19" s="29">
        <v>2860.169492</v>
      </c>
      <c r="E19" s="11"/>
      <c r="F19" s="12">
        <v>1</v>
      </c>
      <c r="G19" s="12">
        <v>0.01</v>
      </c>
      <c r="H19" s="11"/>
      <c r="I19" s="11"/>
      <c r="J19" s="11" t="s">
        <v>4</v>
      </c>
      <c r="K19" s="11" t="s">
        <v>6</v>
      </c>
    </row>
    <row r="20" spans="1:11" x14ac:dyDescent="0.3">
      <c r="A20" s="16" t="s">
        <v>100</v>
      </c>
      <c r="B20" s="9" t="s">
        <v>31</v>
      </c>
      <c r="C20" s="9" t="s">
        <v>98</v>
      </c>
      <c r="D20" s="29">
        <v>5000</v>
      </c>
      <c r="E20" s="11"/>
      <c r="F20" s="12">
        <v>1</v>
      </c>
      <c r="G20" s="12">
        <v>0.01</v>
      </c>
      <c r="H20" s="11"/>
      <c r="I20" s="11"/>
      <c r="J20" s="11" t="s">
        <v>7</v>
      </c>
      <c r="K20" s="11" t="s">
        <v>6</v>
      </c>
    </row>
    <row r="21" spans="1:11" x14ac:dyDescent="0.3">
      <c r="A21" s="16" t="s">
        <v>104</v>
      </c>
      <c r="B21" s="9" t="s">
        <v>98</v>
      </c>
      <c r="C21" s="9" t="s">
        <v>31</v>
      </c>
      <c r="D21" s="29">
        <v>5000</v>
      </c>
      <c r="E21" s="11"/>
      <c r="F21" s="12">
        <v>1</v>
      </c>
      <c r="G21" s="12">
        <v>0.01</v>
      </c>
      <c r="H21" s="11"/>
      <c r="I21" s="11"/>
      <c r="J21" s="11" t="s">
        <v>7</v>
      </c>
      <c r="K21" s="11" t="s">
        <v>6</v>
      </c>
    </row>
    <row r="22" spans="1:11" x14ac:dyDescent="0.3">
      <c r="A22" s="17" t="s">
        <v>125</v>
      </c>
      <c r="B22" s="9" t="s">
        <v>34</v>
      </c>
      <c r="C22" s="9" t="s">
        <v>119</v>
      </c>
      <c r="D22" s="29">
        <v>5014.1242920000004</v>
      </c>
      <c r="E22" s="12"/>
      <c r="F22" s="12">
        <v>1</v>
      </c>
      <c r="G22" s="12">
        <v>0.01</v>
      </c>
      <c r="H22" s="12"/>
      <c r="I22" s="12"/>
      <c r="J22" s="11" t="s">
        <v>4</v>
      </c>
      <c r="K22" s="11" t="s">
        <v>6</v>
      </c>
    </row>
    <row r="23" spans="1:11" x14ac:dyDescent="0.3">
      <c r="A23" s="17" t="s">
        <v>124</v>
      </c>
      <c r="B23" s="9" t="s">
        <v>34</v>
      </c>
      <c r="C23" s="9" t="s">
        <v>118</v>
      </c>
      <c r="D23" s="29">
        <v>7627.1186459999999</v>
      </c>
      <c r="E23" s="12"/>
      <c r="F23" s="12">
        <v>1</v>
      </c>
      <c r="G23" s="12">
        <v>0.01</v>
      </c>
      <c r="H23" s="12"/>
      <c r="I23" s="12"/>
      <c r="J23" s="11" t="s">
        <v>4</v>
      </c>
      <c r="K23" s="11" t="s">
        <v>6</v>
      </c>
    </row>
    <row r="24" spans="1:11" x14ac:dyDescent="0.3">
      <c r="A24" s="17" t="s">
        <v>126</v>
      </c>
      <c r="B24" s="9" t="s">
        <v>119</v>
      </c>
      <c r="C24" s="9" t="s">
        <v>118</v>
      </c>
      <c r="D24" s="29">
        <v>1553.672292</v>
      </c>
      <c r="E24" s="12"/>
      <c r="F24" s="12">
        <v>1</v>
      </c>
      <c r="G24" s="12">
        <v>0.01</v>
      </c>
      <c r="H24" s="12"/>
      <c r="I24" s="12"/>
      <c r="J24" s="11" t="s">
        <v>4</v>
      </c>
      <c r="K24" s="11" t="s">
        <v>6</v>
      </c>
    </row>
    <row r="25" spans="1:11" x14ac:dyDescent="0.3">
      <c r="A25" s="17" t="s">
        <v>127</v>
      </c>
      <c r="B25" s="9" t="s">
        <v>118</v>
      </c>
      <c r="C25" s="9" t="s">
        <v>99</v>
      </c>
      <c r="D25" s="29">
        <v>6779.6610170000004</v>
      </c>
      <c r="E25" s="12"/>
      <c r="F25" s="12">
        <v>1</v>
      </c>
      <c r="G25" s="12">
        <v>0.01</v>
      </c>
      <c r="H25" s="12"/>
      <c r="I25" s="12"/>
      <c r="J25" s="11" t="s">
        <v>4</v>
      </c>
      <c r="K25" s="11" t="s">
        <v>6</v>
      </c>
    </row>
    <row r="26" spans="1:11" x14ac:dyDescent="0.3">
      <c r="A26" s="17" t="s">
        <v>128</v>
      </c>
      <c r="B26" s="9" t="s">
        <v>99</v>
      </c>
      <c r="C26" s="9" t="s">
        <v>118</v>
      </c>
      <c r="D26" s="29">
        <v>6779.6610170000004</v>
      </c>
      <c r="E26" s="12"/>
      <c r="F26" s="12">
        <v>1</v>
      </c>
      <c r="G26" s="12">
        <v>0.01</v>
      </c>
      <c r="H26" s="12"/>
      <c r="I26" s="12"/>
      <c r="J26" s="11" t="s">
        <v>4</v>
      </c>
      <c r="K26" s="11" t="s">
        <v>6</v>
      </c>
    </row>
    <row r="27" spans="1:11" x14ac:dyDescent="0.3">
      <c r="A27" s="19" t="s">
        <v>116</v>
      </c>
      <c r="B27" s="9" t="s">
        <v>113</v>
      </c>
      <c r="C27" s="9" t="s">
        <v>34</v>
      </c>
      <c r="D27" s="29">
        <v>3742.94</v>
      </c>
      <c r="E27" s="11"/>
      <c r="F27" s="12">
        <v>1</v>
      </c>
      <c r="G27" s="12">
        <v>0</v>
      </c>
      <c r="H27" s="11"/>
      <c r="I27" s="11"/>
      <c r="J27" s="11" t="s">
        <v>4</v>
      </c>
      <c r="K27" s="1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D10"/>
  <sheetViews>
    <sheetView workbookViewId="0">
      <selection activeCell="B6" sqref="B6"/>
    </sheetView>
  </sheetViews>
  <sheetFormatPr baseColWidth="10" defaultRowHeight="14" x14ac:dyDescent="0.3"/>
  <cols>
    <col min="1" max="1" width="23.7265625" style="2" bestFit="1" customWidth="1"/>
    <col min="2" max="2" width="24.1796875" style="2" bestFit="1" customWidth="1"/>
    <col min="3" max="3" width="9.08984375" style="2" bestFit="1" customWidth="1"/>
    <col min="4" max="16384" width="10.90625" style="2"/>
  </cols>
  <sheetData>
    <row r="1" spans="1:4" x14ac:dyDescent="0.3">
      <c r="A1" s="56" t="s">
        <v>5</v>
      </c>
      <c r="B1" s="2" t="s">
        <v>16</v>
      </c>
      <c r="C1" s="2" t="s">
        <v>0</v>
      </c>
      <c r="D1" s="2" t="s">
        <v>1</v>
      </c>
    </row>
    <row r="2" spans="1:4" x14ac:dyDescent="0.3">
      <c r="A2" s="3" t="s">
        <v>62</v>
      </c>
      <c r="B2" s="2" t="s">
        <v>31</v>
      </c>
      <c r="C2" s="2" t="s">
        <v>7</v>
      </c>
      <c r="D2" s="2" t="s">
        <v>6</v>
      </c>
    </row>
    <row r="3" spans="1:4" x14ac:dyDescent="0.3">
      <c r="A3" s="3" t="s">
        <v>63</v>
      </c>
      <c r="B3" s="2" t="s">
        <v>34</v>
      </c>
      <c r="C3" s="2" t="s">
        <v>4</v>
      </c>
      <c r="D3" s="2" t="s">
        <v>6</v>
      </c>
    </row>
    <row r="4" spans="1:4" x14ac:dyDescent="0.3">
      <c r="A4" s="4" t="s">
        <v>64</v>
      </c>
      <c r="B4" s="2" t="s">
        <v>35</v>
      </c>
      <c r="C4" s="2" t="s">
        <v>7</v>
      </c>
      <c r="D4" s="2" t="s">
        <v>6</v>
      </c>
    </row>
    <row r="5" spans="1:4" x14ac:dyDescent="0.3">
      <c r="A5" s="4" t="s">
        <v>65</v>
      </c>
      <c r="B5" s="2" t="s">
        <v>38</v>
      </c>
      <c r="C5" s="2" t="s">
        <v>4</v>
      </c>
      <c r="D5" s="2" t="s">
        <v>6</v>
      </c>
    </row>
    <row r="6" spans="1:4" x14ac:dyDescent="0.3">
      <c r="A6" s="5" t="s">
        <v>102</v>
      </c>
      <c r="B6" s="2" t="s">
        <v>98</v>
      </c>
      <c r="C6" s="2" t="s">
        <v>7</v>
      </c>
      <c r="D6" s="2" t="s">
        <v>6</v>
      </c>
    </row>
    <row r="7" spans="1:4" x14ac:dyDescent="0.3">
      <c r="A7" s="5" t="s">
        <v>103</v>
      </c>
      <c r="B7" s="2" t="s">
        <v>99</v>
      </c>
      <c r="C7" s="2" t="s">
        <v>4</v>
      </c>
      <c r="D7" s="2" t="s">
        <v>6</v>
      </c>
    </row>
    <row r="8" spans="1:4" x14ac:dyDescent="0.3">
      <c r="A8" s="5" t="s">
        <v>117</v>
      </c>
      <c r="B8" s="2" t="s">
        <v>119</v>
      </c>
      <c r="C8" s="2" t="s">
        <v>4</v>
      </c>
      <c r="D8" s="2" t="s">
        <v>6</v>
      </c>
    </row>
    <row r="9" spans="1:4" x14ac:dyDescent="0.3">
      <c r="A9" s="5" t="s">
        <v>144</v>
      </c>
      <c r="B9" s="2" t="s">
        <v>118</v>
      </c>
      <c r="C9" s="2" t="s">
        <v>4</v>
      </c>
      <c r="D9" s="2" t="s">
        <v>6</v>
      </c>
    </row>
    <row r="10" spans="1:4" x14ac:dyDescent="0.3">
      <c r="A10" s="5" t="s">
        <v>143</v>
      </c>
      <c r="B10" s="2" t="s">
        <v>119</v>
      </c>
      <c r="C10" s="2" t="s">
        <v>4</v>
      </c>
      <c r="D10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5" tint="0.39997558519241921"/>
  </sheetPr>
  <dimension ref="A1:K26"/>
  <sheetViews>
    <sheetView tabSelected="1" topLeftCell="A7" workbookViewId="0">
      <selection activeCell="D13" sqref="D13"/>
    </sheetView>
  </sheetViews>
  <sheetFormatPr baseColWidth="10" defaultRowHeight="14" x14ac:dyDescent="0.3"/>
  <cols>
    <col min="1" max="1" width="42.26953125" style="2" customWidth="1"/>
    <col min="2" max="2" width="24.1796875" style="2" customWidth="1"/>
    <col min="3" max="3" width="25.54296875" style="2" customWidth="1"/>
    <col min="4" max="11" width="13.90625" style="2" customWidth="1"/>
    <col min="12" max="16384" width="10.90625" style="2"/>
  </cols>
  <sheetData>
    <row r="1" spans="1:11" x14ac:dyDescent="0.3">
      <c r="A1" s="13" t="s">
        <v>5</v>
      </c>
      <c r="B1" s="13" t="s">
        <v>74</v>
      </c>
      <c r="C1" s="13" t="s">
        <v>75</v>
      </c>
      <c r="D1" s="13" t="s">
        <v>13</v>
      </c>
      <c r="E1" s="13" t="s">
        <v>14</v>
      </c>
      <c r="F1" s="13" t="s">
        <v>17</v>
      </c>
      <c r="G1" s="13" t="s">
        <v>15</v>
      </c>
      <c r="H1" s="13" t="s">
        <v>19</v>
      </c>
      <c r="I1" s="13" t="s">
        <v>20</v>
      </c>
      <c r="J1" s="13" t="s">
        <v>0</v>
      </c>
      <c r="K1" s="13" t="s">
        <v>1</v>
      </c>
    </row>
    <row r="2" spans="1:11" x14ac:dyDescent="0.3">
      <c r="A2" s="3" t="s">
        <v>39</v>
      </c>
      <c r="B2" s="2" t="s">
        <v>33</v>
      </c>
      <c r="C2" s="2" t="s">
        <v>31</v>
      </c>
      <c r="D2" s="6">
        <f>24559.64</f>
        <v>24559.64</v>
      </c>
      <c r="F2" s="2">
        <v>0.57999999999999996</v>
      </c>
      <c r="G2" s="27">
        <v>146.19</v>
      </c>
      <c r="H2" s="2">
        <v>842.35602840000001</v>
      </c>
      <c r="I2" s="2">
        <v>1052.945035</v>
      </c>
      <c r="J2" s="2" t="s">
        <v>3</v>
      </c>
      <c r="K2" s="2" t="s">
        <v>6</v>
      </c>
    </row>
    <row r="3" spans="1:11" x14ac:dyDescent="0.3">
      <c r="A3" s="3" t="s">
        <v>40</v>
      </c>
      <c r="B3" s="2" t="s">
        <v>32</v>
      </c>
      <c r="C3" s="2" t="s">
        <v>31</v>
      </c>
      <c r="D3" s="6">
        <f>25140.2664733333</f>
        <v>25140.2664733333</v>
      </c>
      <c r="F3" s="2">
        <v>0.85</v>
      </c>
      <c r="G3" s="2">
        <v>0</v>
      </c>
      <c r="J3" s="2" t="s">
        <v>8</v>
      </c>
      <c r="K3" s="2" t="s">
        <v>6</v>
      </c>
    </row>
    <row r="4" spans="1:11" x14ac:dyDescent="0.3">
      <c r="A4" s="3" t="s">
        <v>41</v>
      </c>
      <c r="B4" s="2" t="s">
        <v>31</v>
      </c>
      <c r="C4" s="2" t="s">
        <v>32</v>
      </c>
      <c r="D4" s="6">
        <f>13320.7506329652</f>
        <v>13320.750632965201</v>
      </c>
      <c r="F4" s="2">
        <v>0.75</v>
      </c>
      <c r="G4" s="2">
        <v>0</v>
      </c>
      <c r="J4" s="2" t="s">
        <v>7</v>
      </c>
      <c r="K4" s="2" t="s">
        <v>6</v>
      </c>
    </row>
    <row r="5" spans="1:11" x14ac:dyDescent="0.3">
      <c r="A5" s="3" t="s">
        <v>42</v>
      </c>
      <c r="B5" s="2" t="s">
        <v>31</v>
      </c>
      <c r="C5" s="2" t="s">
        <v>34</v>
      </c>
      <c r="D5" s="6">
        <v>15500</v>
      </c>
      <c r="F5" s="2">
        <v>0.7</v>
      </c>
      <c r="G5" s="2">
        <v>0</v>
      </c>
      <c r="J5" s="2" t="s">
        <v>4</v>
      </c>
      <c r="K5" s="2" t="s">
        <v>6</v>
      </c>
    </row>
    <row r="6" spans="1:11" x14ac:dyDescent="0.3">
      <c r="A6" s="2" t="s">
        <v>81</v>
      </c>
      <c r="B6" s="2" t="s">
        <v>110</v>
      </c>
      <c r="C6" s="2" t="s">
        <v>34</v>
      </c>
      <c r="D6" s="6">
        <v>32600</v>
      </c>
      <c r="F6" s="2">
        <v>0.7</v>
      </c>
      <c r="G6" s="2">
        <v>0</v>
      </c>
      <c r="J6" s="2" t="s">
        <v>4</v>
      </c>
      <c r="K6" s="2" t="s">
        <v>6</v>
      </c>
    </row>
    <row r="7" spans="1:11" x14ac:dyDescent="0.3">
      <c r="A7" s="2" t="s">
        <v>82</v>
      </c>
      <c r="B7" s="2" t="s">
        <v>109</v>
      </c>
      <c r="C7" s="2" t="s">
        <v>31</v>
      </c>
      <c r="D7" s="2">
        <v>100000</v>
      </c>
      <c r="F7" s="2">
        <v>1</v>
      </c>
      <c r="G7" s="2">
        <v>0</v>
      </c>
      <c r="J7" s="2" t="s">
        <v>7</v>
      </c>
      <c r="K7" s="2" t="s">
        <v>6</v>
      </c>
    </row>
    <row r="8" spans="1:11" x14ac:dyDescent="0.3">
      <c r="A8" s="4" t="s">
        <v>43</v>
      </c>
      <c r="B8" s="2" t="s">
        <v>37</v>
      </c>
      <c r="C8" s="2" t="s">
        <v>35</v>
      </c>
      <c r="D8" s="6">
        <v>1357</v>
      </c>
      <c r="F8" s="2">
        <v>0.57999999999999996</v>
      </c>
      <c r="G8" s="27">
        <v>146.19</v>
      </c>
      <c r="H8" s="2">
        <v>2.4</v>
      </c>
      <c r="I8" s="2">
        <v>3</v>
      </c>
      <c r="J8" s="2" t="s">
        <v>3</v>
      </c>
      <c r="K8" s="2" t="s">
        <v>6</v>
      </c>
    </row>
    <row r="9" spans="1:11" x14ac:dyDescent="0.3">
      <c r="A9" s="4" t="s">
        <v>44</v>
      </c>
      <c r="B9" s="2" t="s">
        <v>36</v>
      </c>
      <c r="C9" s="2" t="s">
        <v>35</v>
      </c>
      <c r="D9" s="6">
        <v>3135</v>
      </c>
      <c r="F9" s="2">
        <v>0.85</v>
      </c>
      <c r="G9" s="2">
        <v>0</v>
      </c>
      <c r="J9" s="2" t="s">
        <v>8</v>
      </c>
      <c r="K9" s="2" t="s">
        <v>6</v>
      </c>
    </row>
    <row r="10" spans="1:11" x14ac:dyDescent="0.3">
      <c r="A10" s="4" t="s">
        <v>45</v>
      </c>
      <c r="B10" s="2" t="s">
        <v>35</v>
      </c>
      <c r="C10" s="2" t="s">
        <v>36</v>
      </c>
      <c r="D10" s="6">
        <v>3837</v>
      </c>
      <c r="F10" s="2">
        <v>0.75</v>
      </c>
      <c r="G10" s="2">
        <v>0</v>
      </c>
      <c r="J10" s="2" t="s">
        <v>7</v>
      </c>
      <c r="K10" s="2" t="s">
        <v>6</v>
      </c>
    </row>
    <row r="11" spans="1:11" x14ac:dyDescent="0.3">
      <c r="A11" s="4" t="s">
        <v>46</v>
      </c>
      <c r="B11" s="2" t="s">
        <v>35</v>
      </c>
      <c r="C11" s="2" t="s">
        <v>38</v>
      </c>
      <c r="D11" s="6">
        <v>0</v>
      </c>
      <c r="E11" s="6"/>
      <c r="F11" s="6">
        <v>0.7</v>
      </c>
      <c r="G11" s="2">
        <v>0</v>
      </c>
      <c r="J11" s="2" t="s">
        <v>4</v>
      </c>
      <c r="K11" s="2" t="s">
        <v>6</v>
      </c>
    </row>
    <row r="12" spans="1:11" x14ac:dyDescent="0.3">
      <c r="A12" s="2" t="s">
        <v>83</v>
      </c>
      <c r="B12" s="2" t="s">
        <v>112</v>
      </c>
      <c r="C12" s="2" t="s">
        <v>38</v>
      </c>
      <c r="D12" s="6">
        <v>13478</v>
      </c>
      <c r="E12" s="6"/>
      <c r="F12" s="6">
        <v>0.7</v>
      </c>
      <c r="G12" s="2">
        <v>0</v>
      </c>
      <c r="J12" s="2" t="s">
        <v>4</v>
      </c>
      <c r="K12" s="2" t="s">
        <v>6</v>
      </c>
    </row>
    <row r="13" spans="1:11" x14ac:dyDescent="0.3">
      <c r="A13" s="2" t="s">
        <v>84</v>
      </c>
      <c r="B13" s="2" t="s">
        <v>111</v>
      </c>
      <c r="C13" s="2" t="s">
        <v>35</v>
      </c>
      <c r="D13" s="2">
        <v>100000</v>
      </c>
      <c r="F13" s="2">
        <v>1</v>
      </c>
      <c r="G13" s="2">
        <v>0</v>
      </c>
      <c r="J13" s="2" t="s">
        <v>7</v>
      </c>
      <c r="K13" s="2" t="s">
        <v>6</v>
      </c>
    </row>
    <row r="14" spans="1:11" x14ac:dyDescent="0.3">
      <c r="A14" s="16" t="s">
        <v>77</v>
      </c>
      <c r="B14" s="2" t="s">
        <v>31</v>
      </c>
      <c r="C14" s="2" t="s">
        <v>35</v>
      </c>
      <c r="D14" s="6">
        <v>4200</v>
      </c>
      <c r="F14" s="30">
        <v>1</v>
      </c>
      <c r="G14" s="2">
        <v>0.1</v>
      </c>
      <c r="J14" s="2" t="s">
        <v>7</v>
      </c>
      <c r="K14" s="2" t="s">
        <v>6</v>
      </c>
    </row>
    <row r="15" spans="1:11" x14ac:dyDescent="0.3">
      <c r="A15" s="17" t="s">
        <v>78</v>
      </c>
      <c r="B15" s="2" t="s">
        <v>34</v>
      </c>
      <c r="C15" s="2" t="s">
        <v>38</v>
      </c>
      <c r="D15" s="6">
        <v>2860.169492</v>
      </c>
      <c r="F15" s="30">
        <v>1</v>
      </c>
      <c r="G15" s="2">
        <v>0.1</v>
      </c>
      <c r="J15" s="2" t="s">
        <v>4</v>
      </c>
      <c r="K15" s="2" t="s">
        <v>6</v>
      </c>
    </row>
    <row r="16" spans="1:11" x14ac:dyDescent="0.3">
      <c r="A16" s="16" t="s">
        <v>79</v>
      </c>
      <c r="B16" s="2" t="s">
        <v>35</v>
      </c>
      <c r="C16" s="2" t="s">
        <v>31</v>
      </c>
      <c r="D16" s="6">
        <v>3500</v>
      </c>
      <c r="F16" s="30">
        <v>1</v>
      </c>
      <c r="G16" s="2">
        <v>0.1</v>
      </c>
      <c r="J16" s="2" t="s">
        <v>7</v>
      </c>
      <c r="K16" s="2" t="s">
        <v>6</v>
      </c>
    </row>
    <row r="17" spans="1:11" x14ac:dyDescent="0.3">
      <c r="A17" s="17" t="s">
        <v>80</v>
      </c>
      <c r="B17" s="2" t="s">
        <v>38</v>
      </c>
      <c r="C17" s="2" t="s">
        <v>34</v>
      </c>
      <c r="D17" s="6">
        <v>2860.169492</v>
      </c>
      <c r="F17" s="30">
        <v>1</v>
      </c>
      <c r="G17" s="2">
        <v>0.1</v>
      </c>
      <c r="J17" s="2" t="s">
        <v>4</v>
      </c>
      <c r="K17" s="2" t="s">
        <v>6</v>
      </c>
    </row>
    <row r="18" spans="1:11" x14ac:dyDescent="0.3">
      <c r="A18" s="16" t="s">
        <v>100</v>
      </c>
      <c r="B18" s="2" t="s">
        <v>31</v>
      </c>
      <c r="C18" s="2" t="s">
        <v>98</v>
      </c>
      <c r="D18" s="6">
        <v>5001</v>
      </c>
      <c r="F18" s="30">
        <v>1</v>
      </c>
      <c r="G18" s="2">
        <v>0.1</v>
      </c>
      <c r="J18" s="2" t="s">
        <v>7</v>
      </c>
      <c r="K18" s="2" t="s">
        <v>6</v>
      </c>
    </row>
    <row r="19" spans="1:11" x14ac:dyDescent="0.3">
      <c r="A19" s="16" t="s">
        <v>104</v>
      </c>
      <c r="B19" s="2" t="s">
        <v>98</v>
      </c>
      <c r="C19" s="2" t="s">
        <v>31</v>
      </c>
      <c r="D19" s="6">
        <v>5001</v>
      </c>
      <c r="F19" s="30">
        <v>1</v>
      </c>
      <c r="G19" s="2">
        <v>0.1</v>
      </c>
      <c r="J19" s="2" t="s">
        <v>7</v>
      </c>
      <c r="K19" s="2" t="s">
        <v>6</v>
      </c>
    </row>
    <row r="20" spans="1:11" x14ac:dyDescent="0.3">
      <c r="A20" s="17" t="s">
        <v>125</v>
      </c>
      <c r="B20" s="2" t="s">
        <v>34</v>
      </c>
      <c r="C20" s="2" t="s">
        <v>119</v>
      </c>
      <c r="D20" s="6">
        <v>5014.1242920000004</v>
      </c>
      <c r="E20" s="18"/>
      <c r="F20" s="30">
        <v>1</v>
      </c>
      <c r="G20" s="2">
        <v>0.1</v>
      </c>
      <c r="H20" s="18"/>
      <c r="I20" s="18"/>
      <c r="J20" s="2" t="s">
        <v>4</v>
      </c>
      <c r="K20" s="2" t="s">
        <v>6</v>
      </c>
    </row>
    <row r="21" spans="1:11" x14ac:dyDescent="0.3">
      <c r="A21" s="17" t="s">
        <v>124</v>
      </c>
      <c r="B21" s="2" t="s">
        <v>34</v>
      </c>
      <c r="C21" s="2" t="s">
        <v>118</v>
      </c>
      <c r="D21" s="6">
        <v>7627.1186459999999</v>
      </c>
      <c r="E21" s="18"/>
      <c r="F21" s="30">
        <v>1</v>
      </c>
      <c r="G21" s="2">
        <v>0.1</v>
      </c>
      <c r="H21" s="18"/>
      <c r="I21" s="18"/>
      <c r="J21" s="2" t="s">
        <v>4</v>
      </c>
      <c r="K21" s="2" t="s">
        <v>6</v>
      </c>
    </row>
    <row r="22" spans="1:11" x14ac:dyDescent="0.3">
      <c r="A22" s="17" t="s">
        <v>133</v>
      </c>
      <c r="B22" s="2" t="s">
        <v>118</v>
      </c>
      <c r="C22" s="2" t="s">
        <v>34</v>
      </c>
      <c r="D22" s="6">
        <v>7627.1186459999999</v>
      </c>
      <c r="E22" s="18"/>
      <c r="F22" s="30">
        <v>1</v>
      </c>
      <c r="G22" s="2">
        <v>0.1</v>
      </c>
      <c r="H22" s="18"/>
      <c r="I22" s="18"/>
      <c r="J22" s="2" t="s">
        <v>4</v>
      </c>
      <c r="K22" s="2" t="s">
        <v>6</v>
      </c>
    </row>
    <row r="23" spans="1:11" x14ac:dyDescent="0.3">
      <c r="A23" s="17" t="s">
        <v>126</v>
      </c>
      <c r="B23" s="2" t="s">
        <v>119</v>
      </c>
      <c r="C23" s="2" t="s">
        <v>118</v>
      </c>
      <c r="D23" s="6">
        <v>1553.672292</v>
      </c>
      <c r="E23" s="18"/>
      <c r="F23" s="30">
        <v>1</v>
      </c>
      <c r="G23" s="2">
        <v>0.1</v>
      </c>
      <c r="H23" s="18"/>
      <c r="I23" s="18"/>
      <c r="J23" s="2" t="s">
        <v>4</v>
      </c>
      <c r="K23" s="2" t="s">
        <v>6</v>
      </c>
    </row>
    <row r="24" spans="1:11" x14ac:dyDescent="0.3">
      <c r="A24" s="17" t="s">
        <v>127</v>
      </c>
      <c r="B24" s="2" t="s">
        <v>118</v>
      </c>
      <c r="C24" s="2" t="s">
        <v>99</v>
      </c>
      <c r="D24" s="6">
        <v>6780.6610170000004</v>
      </c>
      <c r="E24" s="18"/>
      <c r="F24" s="30">
        <v>1</v>
      </c>
      <c r="G24" s="2">
        <v>0.1</v>
      </c>
      <c r="H24" s="18"/>
      <c r="I24" s="18"/>
      <c r="J24" s="2" t="s">
        <v>4</v>
      </c>
      <c r="K24" s="2" t="s">
        <v>6</v>
      </c>
    </row>
    <row r="25" spans="1:11" x14ac:dyDescent="0.3">
      <c r="A25" s="17" t="s">
        <v>128</v>
      </c>
      <c r="B25" s="2" t="s">
        <v>99</v>
      </c>
      <c r="C25" s="2" t="s">
        <v>118</v>
      </c>
      <c r="D25" s="6">
        <v>6780.6610170000004</v>
      </c>
      <c r="E25" s="18"/>
      <c r="F25" s="30">
        <v>1</v>
      </c>
      <c r="G25" s="2">
        <v>0.1</v>
      </c>
      <c r="H25" s="18"/>
      <c r="I25" s="18"/>
      <c r="J25" s="2" t="s">
        <v>4</v>
      </c>
      <c r="K25" s="2" t="s">
        <v>6</v>
      </c>
    </row>
    <row r="26" spans="1:11" x14ac:dyDescent="0.3">
      <c r="A26" s="19" t="s">
        <v>116</v>
      </c>
      <c r="B26" s="2" t="s">
        <v>113</v>
      </c>
      <c r="C26" s="2" t="s">
        <v>34</v>
      </c>
      <c r="D26" s="6">
        <v>3742.94</v>
      </c>
      <c r="F26" s="30">
        <v>1</v>
      </c>
      <c r="G26" s="30">
        <v>0</v>
      </c>
      <c r="J26" s="2" t="s">
        <v>4</v>
      </c>
      <c r="K26" s="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2D050"/>
  </sheetPr>
  <dimension ref="A1:D169"/>
  <sheetViews>
    <sheetView workbookViewId="0">
      <selection activeCell="H6" sqref="H6"/>
    </sheetView>
  </sheetViews>
  <sheetFormatPr baseColWidth="10" defaultRowHeight="14" x14ac:dyDescent="0.3"/>
  <cols>
    <col min="1" max="1" width="5.7265625" style="47" bestFit="1" customWidth="1"/>
    <col min="2" max="2" width="20.26953125" style="11" bestFit="1" customWidth="1"/>
    <col min="3" max="3" width="20.26953125" style="65" bestFit="1" customWidth="1"/>
    <col min="4" max="4" width="18.81640625" style="11" customWidth="1"/>
    <col min="5" max="16384" width="10.90625" style="2"/>
  </cols>
  <sheetData>
    <row r="1" spans="1:4" s="25" customFormat="1" x14ac:dyDescent="0.3">
      <c r="A1" s="39" t="s">
        <v>147</v>
      </c>
      <c r="B1" s="61" t="s">
        <v>70</v>
      </c>
      <c r="C1" s="62" t="s">
        <v>71</v>
      </c>
      <c r="D1" s="63" t="s">
        <v>131</v>
      </c>
    </row>
    <row r="2" spans="1:4" x14ac:dyDescent="0.3">
      <c r="A2" s="60">
        <f>0</f>
        <v>0</v>
      </c>
      <c r="B2" s="64">
        <v>0.25493919022938366</v>
      </c>
      <c r="C2" s="45">
        <v>0.72203423175290182</v>
      </c>
      <c r="D2" s="45">
        <v>0.50275862068965516</v>
      </c>
    </row>
    <row r="3" spans="1:4" x14ac:dyDescent="0.3">
      <c r="A3" s="60">
        <f>A2+1</f>
        <v>1</v>
      </c>
      <c r="B3" s="64">
        <v>0.25493919022938366</v>
      </c>
      <c r="C3" s="45">
        <v>0.72203423175290182</v>
      </c>
      <c r="D3" s="45">
        <v>0.50275862068965516</v>
      </c>
    </row>
    <row r="4" spans="1:4" x14ac:dyDescent="0.3">
      <c r="A4" s="60">
        <f t="shared" ref="A4:A67" si="0">A3+1</f>
        <v>2</v>
      </c>
      <c r="B4" s="64">
        <v>0.25493919022938366</v>
      </c>
      <c r="C4" s="45">
        <v>0.72203423175290182</v>
      </c>
      <c r="D4" s="45">
        <v>0.50275862068965516</v>
      </c>
    </row>
    <row r="5" spans="1:4" x14ac:dyDescent="0.3">
      <c r="A5" s="60">
        <f t="shared" si="0"/>
        <v>3</v>
      </c>
      <c r="B5" s="64">
        <v>0.25493919022938366</v>
      </c>
      <c r="C5" s="45">
        <v>0.72203423175290182</v>
      </c>
      <c r="D5" s="45">
        <v>0.50275862068965516</v>
      </c>
    </row>
    <row r="6" spans="1:4" x14ac:dyDescent="0.3">
      <c r="A6" s="60">
        <f t="shared" si="0"/>
        <v>4</v>
      </c>
      <c r="B6" s="64">
        <v>0.25493919022938366</v>
      </c>
      <c r="C6" s="45">
        <v>0.72203423175290182</v>
      </c>
      <c r="D6" s="45">
        <v>0.50275862068965516</v>
      </c>
    </row>
    <row r="7" spans="1:4" x14ac:dyDescent="0.3">
      <c r="A7" s="60">
        <f t="shared" si="0"/>
        <v>5</v>
      </c>
      <c r="B7" s="64">
        <v>0.25493919022938366</v>
      </c>
      <c r="C7" s="45">
        <v>0.72203423175290182</v>
      </c>
      <c r="D7" s="45">
        <v>0.50275862068965516</v>
      </c>
    </row>
    <row r="8" spans="1:4" x14ac:dyDescent="0.3">
      <c r="A8" s="60">
        <f t="shared" si="0"/>
        <v>6</v>
      </c>
      <c r="B8" s="64">
        <v>0.25493919022938366</v>
      </c>
      <c r="C8" s="45">
        <v>0.72203423175290182</v>
      </c>
      <c r="D8" s="45">
        <v>0.50275862068965516</v>
      </c>
    </row>
    <row r="9" spans="1:4" x14ac:dyDescent="0.3">
      <c r="A9" s="60">
        <f t="shared" si="0"/>
        <v>7</v>
      </c>
      <c r="B9" s="64">
        <v>0.25493919022938366</v>
      </c>
      <c r="C9" s="45">
        <v>0.72203423175290182</v>
      </c>
      <c r="D9" s="45">
        <v>0.50275862068965516</v>
      </c>
    </row>
    <row r="10" spans="1:4" x14ac:dyDescent="0.3">
      <c r="A10" s="60">
        <f t="shared" si="0"/>
        <v>8</v>
      </c>
      <c r="B10" s="64">
        <v>0.25493919022938366</v>
      </c>
      <c r="C10" s="45">
        <v>0.72203423175290182</v>
      </c>
      <c r="D10" s="45">
        <v>0.50275862068965516</v>
      </c>
    </row>
    <row r="11" spans="1:4" x14ac:dyDescent="0.3">
      <c r="A11" s="60">
        <f t="shared" si="0"/>
        <v>9</v>
      </c>
      <c r="B11" s="64">
        <v>0.25493919022938366</v>
      </c>
      <c r="C11" s="45">
        <v>0.72203423175290182</v>
      </c>
      <c r="D11" s="45">
        <v>0.50275862068965516</v>
      </c>
    </row>
    <row r="12" spans="1:4" x14ac:dyDescent="0.3">
      <c r="A12" s="60">
        <f t="shared" si="0"/>
        <v>10</v>
      </c>
      <c r="B12" s="64">
        <v>0.25493919022938366</v>
      </c>
      <c r="C12" s="45">
        <v>0.72203423175290182</v>
      </c>
      <c r="D12" s="45">
        <v>0.50275862068965516</v>
      </c>
    </row>
    <row r="13" spans="1:4" x14ac:dyDescent="0.3">
      <c r="A13" s="60">
        <f t="shared" si="0"/>
        <v>11</v>
      </c>
      <c r="B13" s="64">
        <v>0.25493919022938366</v>
      </c>
      <c r="C13" s="45">
        <v>0.72203423175290182</v>
      </c>
      <c r="D13" s="45">
        <v>0.50275862068965516</v>
      </c>
    </row>
    <row r="14" spans="1:4" x14ac:dyDescent="0.3">
      <c r="A14" s="60">
        <f t="shared" si="0"/>
        <v>12</v>
      </c>
      <c r="B14" s="64">
        <v>0.25493919022938366</v>
      </c>
      <c r="C14" s="45">
        <v>0.72203423175290182</v>
      </c>
      <c r="D14" s="45">
        <v>0.50275862068965516</v>
      </c>
    </row>
    <row r="15" spans="1:4" x14ac:dyDescent="0.3">
      <c r="A15" s="60">
        <f t="shared" si="0"/>
        <v>13</v>
      </c>
      <c r="B15" s="64">
        <v>0.25493919022938366</v>
      </c>
      <c r="C15" s="45">
        <v>0.72203423175290182</v>
      </c>
      <c r="D15" s="45">
        <v>0.50275862068965516</v>
      </c>
    </row>
    <row r="16" spans="1:4" x14ac:dyDescent="0.3">
      <c r="A16" s="60">
        <f t="shared" si="0"/>
        <v>14</v>
      </c>
      <c r="B16" s="64">
        <v>0.25493919022938366</v>
      </c>
      <c r="C16" s="45">
        <v>0.72203423175290182</v>
      </c>
      <c r="D16" s="45">
        <v>0.50275862068965516</v>
      </c>
    </row>
    <row r="17" spans="1:4" x14ac:dyDescent="0.3">
      <c r="A17" s="60">
        <f t="shared" si="0"/>
        <v>15</v>
      </c>
      <c r="B17" s="64">
        <v>0.25493919022938366</v>
      </c>
      <c r="C17" s="45">
        <v>0.72203423175290182</v>
      </c>
      <c r="D17" s="45">
        <v>0.50275862068965516</v>
      </c>
    </row>
    <row r="18" spans="1:4" x14ac:dyDescent="0.3">
      <c r="A18" s="60">
        <f t="shared" si="0"/>
        <v>16</v>
      </c>
      <c r="B18" s="64">
        <v>0.25493919022938366</v>
      </c>
      <c r="C18" s="45">
        <v>0.72203423175290182</v>
      </c>
      <c r="D18" s="45">
        <v>0.50275862068965516</v>
      </c>
    </row>
    <row r="19" spans="1:4" x14ac:dyDescent="0.3">
      <c r="A19" s="60">
        <f t="shared" si="0"/>
        <v>17</v>
      </c>
      <c r="B19" s="64">
        <v>0.25493919022938366</v>
      </c>
      <c r="C19" s="45">
        <v>0.72203423175290182</v>
      </c>
      <c r="D19" s="45">
        <v>0.50275862068965516</v>
      </c>
    </row>
    <row r="20" spans="1:4" x14ac:dyDescent="0.3">
      <c r="A20" s="60">
        <f t="shared" si="0"/>
        <v>18</v>
      </c>
      <c r="B20" s="64">
        <v>0.25493919022938366</v>
      </c>
      <c r="C20" s="45">
        <v>0.72203423175290182</v>
      </c>
      <c r="D20" s="45">
        <v>0.50275862068965516</v>
      </c>
    </row>
    <row r="21" spans="1:4" x14ac:dyDescent="0.3">
      <c r="A21" s="60">
        <f t="shared" si="0"/>
        <v>19</v>
      </c>
      <c r="B21" s="64">
        <v>0.25493919022938366</v>
      </c>
      <c r="C21" s="45">
        <v>0.72203423175290182</v>
      </c>
      <c r="D21" s="45">
        <v>0.50275862068965516</v>
      </c>
    </row>
    <row r="22" spans="1:4" x14ac:dyDescent="0.3">
      <c r="A22" s="60">
        <f t="shared" si="0"/>
        <v>20</v>
      </c>
      <c r="B22" s="64">
        <v>0.25493919022938366</v>
      </c>
      <c r="C22" s="45">
        <v>0.72203423175290182</v>
      </c>
      <c r="D22" s="45">
        <v>0.50275862068965516</v>
      </c>
    </row>
    <row r="23" spans="1:4" x14ac:dyDescent="0.3">
      <c r="A23" s="60">
        <f t="shared" si="0"/>
        <v>21</v>
      </c>
      <c r="B23" s="64">
        <v>0.25493919022938366</v>
      </c>
      <c r="C23" s="45">
        <v>0.72203423175290182</v>
      </c>
      <c r="D23" s="45">
        <v>0.50275862068965516</v>
      </c>
    </row>
    <row r="24" spans="1:4" x14ac:dyDescent="0.3">
      <c r="A24" s="60">
        <f t="shared" si="0"/>
        <v>22</v>
      </c>
      <c r="B24" s="64">
        <v>0.25493919022938366</v>
      </c>
      <c r="C24" s="45">
        <v>0.72203423175290182</v>
      </c>
      <c r="D24" s="45">
        <v>0.50275862068965516</v>
      </c>
    </row>
    <row r="25" spans="1:4" x14ac:dyDescent="0.3">
      <c r="A25" s="60">
        <f t="shared" si="0"/>
        <v>23</v>
      </c>
      <c r="B25" s="64">
        <v>0.25493919022938366</v>
      </c>
      <c r="C25" s="45">
        <v>0.72203423175290182</v>
      </c>
      <c r="D25" s="45">
        <v>0.50275862068965516</v>
      </c>
    </row>
    <row r="26" spans="1:4" x14ac:dyDescent="0.3">
      <c r="A26" s="60">
        <f t="shared" si="0"/>
        <v>24</v>
      </c>
      <c r="B26" s="64">
        <v>0.25493919022938366</v>
      </c>
      <c r="C26" s="45">
        <v>0.72203423175290182</v>
      </c>
      <c r="D26" s="45">
        <v>0.50275862068965516</v>
      </c>
    </row>
    <row r="27" spans="1:4" x14ac:dyDescent="0.3">
      <c r="A27" s="60">
        <f t="shared" si="0"/>
        <v>25</v>
      </c>
      <c r="B27" s="64">
        <v>0.25493919022938366</v>
      </c>
      <c r="C27" s="45">
        <v>0.72203423175290182</v>
      </c>
      <c r="D27" s="45">
        <v>0.50275862068965516</v>
      </c>
    </row>
    <row r="28" spans="1:4" x14ac:dyDescent="0.3">
      <c r="A28" s="60">
        <f t="shared" si="0"/>
        <v>26</v>
      </c>
      <c r="B28" s="64">
        <v>0.25493919022938366</v>
      </c>
      <c r="C28" s="45">
        <v>0.72203423175290182</v>
      </c>
      <c r="D28" s="45">
        <v>0.50275862068965516</v>
      </c>
    </row>
    <row r="29" spans="1:4" x14ac:dyDescent="0.3">
      <c r="A29" s="60">
        <f t="shared" si="0"/>
        <v>27</v>
      </c>
      <c r="B29" s="64">
        <v>0.25493919022938366</v>
      </c>
      <c r="C29" s="45">
        <v>0.72203423175290182</v>
      </c>
      <c r="D29" s="45">
        <v>0.50275862068965516</v>
      </c>
    </row>
    <row r="30" spans="1:4" x14ac:dyDescent="0.3">
      <c r="A30" s="60">
        <f t="shared" si="0"/>
        <v>28</v>
      </c>
      <c r="B30" s="64">
        <v>0.25493919022938366</v>
      </c>
      <c r="C30" s="45">
        <v>0.72203423175290182</v>
      </c>
      <c r="D30" s="45">
        <v>0.50275862068965516</v>
      </c>
    </row>
    <row r="31" spans="1:4" x14ac:dyDescent="0.3">
      <c r="A31" s="60">
        <f t="shared" si="0"/>
        <v>29</v>
      </c>
      <c r="B31" s="64">
        <v>0.25493919022938366</v>
      </c>
      <c r="C31" s="45">
        <v>0.72203423175290182</v>
      </c>
      <c r="D31" s="45">
        <v>0.50275862068965516</v>
      </c>
    </row>
    <row r="32" spans="1:4" x14ac:dyDescent="0.3">
      <c r="A32" s="60">
        <f t="shared" si="0"/>
        <v>30</v>
      </c>
      <c r="B32" s="64">
        <v>0.25493919022938366</v>
      </c>
      <c r="C32" s="45">
        <v>0.72203423175290182</v>
      </c>
      <c r="D32" s="45">
        <v>0.50275862068965516</v>
      </c>
    </row>
    <row r="33" spans="1:4" x14ac:dyDescent="0.3">
      <c r="A33" s="60">
        <f t="shared" si="0"/>
        <v>31</v>
      </c>
      <c r="B33" s="64">
        <v>0.25493919022938366</v>
      </c>
      <c r="C33" s="45">
        <v>0.72203423175290182</v>
      </c>
      <c r="D33" s="45">
        <v>0.50275862068965516</v>
      </c>
    </row>
    <row r="34" spans="1:4" x14ac:dyDescent="0.3">
      <c r="A34" s="60">
        <f t="shared" si="0"/>
        <v>32</v>
      </c>
      <c r="B34" s="64">
        <v>0.25493919022938366</v>
      </c>
      <c r="C34" s="45">
        <v>0.72203423175290182</v>
      </c>
      <c r="D34" s="45">
        <v>0.50275862068965516</v>
      </c>
    </row>
    <row r="35" spans="1:4" x14ac:dyDescent="0.3">
      <c r="A35" s="60">
        <f t="shared" si="0"/>
        <v>33</v>
      </c>
      <c r="B35" s="64">
        <v>0.25493919022938366</v>
      </c>
      <c r="C35" s="45">
        <v>0.72203423175290182</v>
      </c>
      <c r="D35" s="45">
        <v>0.50275862068965516</v>
      </c>
    </row>
    <row r="36" spans="1:4" x14ac:dyDescent="0.3">
      <c r="A36" s="60">
        <f t="shared" si="0"/>
        <v>34</v>
      </c>
      <c r="B36" s="64">
        <v>0.25493919022938366</v>
      </c>
      <c r="C36" s="45">
        <v>0.72203423175290182</v>
      </c>
      <c r="D36" s="45">
        <v>0.50275862068965516</v>
      </c>
    </row>
    <row r="37" spans="1:4" x14ac:dyDescent="0.3">
      <c r="A37" s="60">
        <f t="shared" si="0"/>
        <v>35</v>
      </c>
      <c r="B37" s="64">
        <v>0.25493919022938366</v>
      </c>
      <c r="C37" s="45">
        <v>0.72203423175290182</v>
      </c>
      <c r="D37" s="45">
        <v>0.50275862068965516</v>
      </c>
    </row>
    <row r="38" spans="1:4" x14ac:dyDescent="0.3">
      <c r="A38" s="60">
        <f t="shared" si="0"/>
        <v>36</v>
      </c>
      <c r="B38" s="64">
        <v>0.25493919022938366</v>
      </c>
      <c r="C38" s="45">
        <v>0.72203423175290182</v>
      </c>
      <c r="D38" s="45">
        <v>0.50275862068965516</v>
      </c>
    </row>
    <row r="39" spans="1:4" x14ac:dyDescent="0.3">
      <c r="A39" s="60">
        <f t="shared" si="0"/>
        <v>37</v>
      </c>
      <c r="B39" s="64">
        <v>0.25493919022938366</v>
      </c>
      <c r="C39" s="45">
        <v>0.72203423175290182</v>
      </c>
      <c r="D39" s="45">
        <v>0.50275862068965516</v>
      </c>
    </row>
    <row r="40" spans="1:4" x14ac:dyDescent="0.3">
      <c r="A40" s="60">
        <f t="shared" si="0"/>
        <v>38</v>
      </c>
      <c r="B40" s="64">
        <v>0.25493919022938366</v>
      </c>
      <c r="C40" s="45">
        <v>0.72203423175290182</v>
      </c>
      <c r="D40" s="45">
        <v>0.50275862068965516</v>
      </c>
    </row>
    <row r="41" spans="1:4" x14ac:dyDescent="0.3">
      <c r="A41" s="60">
        <f t="shared" si="0"/>
        <v>39</v>
      </c>
      <c r="B41" s="64">
        <v>0.25493919022938366</v>
      </c>
      <c r="C41" s="45">
        <v>0.72203423175290182</v>
      </c>
      <c r="D41" s="45">
        <v>0.50275862068965516</v>
      </c>
    </row>
    <row r="42" spans="1:4" x14ac:dyDescent="0.3">
      <c r="A42" s="60">
        <f t="shared" si="0"/>
        <v>40</v>
      </c>
      <c r="B42" s="64">
        <v>0.25493919022938366</v>
      </c>
      <c r="C42" s="45">
        <v>0.72203423175290182</v>
      </c>
      <c r="D42" s="45">
        <v>0.50275862068965516</v>
      </c>
    </row>
    <row r="43" spans="1:4" x14ac:dyDescent="0.3">
      <c r="A43" s="60">
        <f t="shared" si="0"/>
        <v>41</v>
      </c>
      <c r="B43" s="64">
        <v>0.25493919022938366</v>
      </c>
      <c r="C43" s="45">
        <v>0.72203423175290182</v>
      </c>
      <c r="D43" s="45">
        <v>0.50275862068965516</v>
      </c>
    </row>
    <row r="44" spans="1:4" x14ac:dyDescent="0.3">
      <c r="A44" s="60">
        <f t="shared" si="0"/>
        <v>42</v>
      </c>
      <c r="B44" s="64">
        <v>0.25493919022938366</v>
      </c>
      <c r="C44" s="45">
        <v>0.72203423175290182</v>
      </c>
      <c r="D44" s="45">
        <v>0.50275862068965516</v>
      </c>
    </row>
    <row r="45" spans="1:4" x14ac:dyDescent="0.3">
      <c r="A45" s="60">
        <f t="shared" si="0"/>
        <v>43</v>
      </c>
      <c r="B45" s="64">
        <v>0.25493919022938366</v>
      </c>
      <c r="C45" s="45">
        <v>0.72203423175290182</v>
      </c>
      <c r="D45" s="45">
        <v>0.50275862068965516</v>
      </c>
    </row>
    <row r="46" spans="1:4" x14ac:dyDescent="0.3">
      <c r="A46" s="60">
        <f t="shared" si="0"/>
        <v>44</v>
      </c>
      <c r="B46" s="64">
        <v>0.25493919022938366</v>
      </c>
      <c r="C46" s="45">
        <v>0.72203423175290182</v>
      </c>
      <c r="D46" s="45">
        <v>0.50275862068965516</v>
      </c>
    </row>
    <row r="47" spans="1:4" x14ac:dyDescent="0.3">
      <c r="A47" s="60">
        <f t="shared" si="0"/>
        <v>45</v>
      </c>
      <c r="B47" s="64">
        <v>0.25493919022938366</v>
      </c>
      <c r="C47" s="45">
        <v>0.72203423175290182</v>
      </c>
      <c r="D47" s="45">
        <v>0.50275862068965516</v>
      </c>
    </row>
    <row r="48" spans="1:4" x14ac:dyDescent="0.3">
      <c r="A48" s="60">
        <f t="shared" si="0"/>
        <v>46</v>
      </c>
      <c r="B48" s="64">
        <v>0.25493919022938366</v>
      </c>
      <c r="C48" s="45">
        <v>0.72203423175290182</v>
      </c>
      <c r="D48" s="45">
        <v>0.50275862068965516</v>
      </c>
    </row>
    <row r="49" spans="1:4" x14ac:dyDescent="0.3">
      <c r="A49" s="60">
        <f t="shared" si="0"/>
        <v>47</v>
      </c>
      <c r="B49" s="64">
        <v>0.25493919022938366</v>
      </c>
      <c r="C49" s="45">
        <v>0.72203423175290182</v>
      </c>
      <c r="D49" s="45">
        <v>0.50275862068965516</v>
      </c>
    </row>
    <row r="50" spans="1:4" x14ac:dyDescent="0.3">
      <c r="A50" s="60">
        <f t="shared" si="0"/>
        <v>48</v>
      </c>
      <c r="B50" s="64">
        <v>0.25493919022938366</v>
      </c>
      <c r="C50" s="45">
        <v>0.72203423175290182</v>
      </c>
      <c r="D50" s="45">
        <v>0.50275862068965516</v>
      </c>
    </row>
    <row r="51" spans="1:4" x14ac:dyDescent="0.3">
      <c r="A51" s="60">
        <f t="shared" si="0"/>
        <v>49</v>
      </c>
      <c r="B51" s="64">
        <v>0.25493919022938366</v>
      </c>
      <c r="C51" s="45">
        <v>0.72203423175290182</v>
      </c>
      <c r="D51" s="45">
        <v>0.50275862068965516</v>
      </c>
    </row>
    <row r="52" spans="1:4" x14ac:dyDescent="0.3">
      <c r="A52" s="60">
        <f t="shared" si="0"/>
        <v>50</v>
      </c>
      <c r="B52" s="64">
        <v>0.25493919022938366</v>
      </c>
      <c r="C52" s="45">
        <v>0.72203423175290182</v>
      </c>
      <c r="D52" s="45">
        <v>0.50275862068965516</v>
      </c>
    </row>
    <row r="53" spans="1:4" x14ac:dyDescent="0.3">
      <c r="A53" s="60">
        <f t="shared" si="0"/>
        <v>51</v>
      </c>
      <c r="B53" s="64">
        <v>0.25493919022938366</v>
      </c>
      <c r="C53" s="45">
        <v>0.72203423175290182</v>
      </c>
      <c r="D53" s="45">
        <v>0.50275862068965516</v>
      </c>
    </row>
    <row r="54" spans="1:4" x14ac:dyDescent="0.3">
      <c r="A54" s="60">
        <f t="shared" si="0"/>
        <v>52</v>
      </c>
      <c r="B54" s="64">
        <v>0.25493919022938366</v>
      </c>
      <c r="C54" s="45">
        <v>0.72203423175290182</v>
      </c>
      <c r="D54" s="45">
        <v>0.50275862068965516</v>
      </c>
    </row>
    <row r="55" spans="1:4" x14ac:dyDescent="0.3">
      <c r="A55" s="60">
        <f t="shared" si="0"/>
        <v>53</v>
      </c>
      <c r="B55" s="64">
        <v>0.25493919022938366</v>
      </c>
      <c r="C55" s="45">
        <v>0.72203423175290182</v>
      </c>
      <c r="D55" s="45">
        <v>0.50275862068965516</v>
      </c>
    </row>
    <row r="56" spans="1:4" x14ac:dyDescent="0.3">
      <c r="A56" s="60">
        <f t="shared" si="0"/>
        <v>54</v>
      </c>
      <c r="B56" s="64">
        <v>0.25493919022938366</v>
      </c>
      <c r="C56" s="45">
        <v>0.72203423175290182</v>
      </c>
      <c r="D56" s="45">
        <v>0.50275862068965516</v>
      </c>
    </row>
    <row r="57" spans="1:4" x14ac:dyDescent="0.3">
      <c r="A57" s="60">
        <f t="shared" si="0"/>
        <v>55</v>
      </c>
      <c r="B57" s="64">
        <v>0.25493919022938366</v>
      </c>
      <c r="C57" s="45">
        <v>0.72203423175290182</v>
      </c>
      <c r="D57" s="45">
        <v>0.50275862068965516</v>
      </c>
    </row>
    <row r="58" spans="1:4" x14ac:dyDescent="0.3">
      <c r="A58" s="60">
        <f t="shared" si="0"/>
        <v>56</v>
      </c>
      <c r="B58" s="64">
        <v>0.25493919022938366</v>
      </c>
      <c r="C58" s="45">
        <v>0.72203423175290182</v>
      </c>
      <c r="D58" s="45">
        <v>0.50275862068965516</v>
      </c>
    </row>
    <row r="59" spans="1:4" x14ac:dyDescent="0.3">
      <c r="A59" s="60">
        <f t="shared" si="0"/>
        <v>57</v>
      </c>
      <c r="B59" s="64">
        <v>0.25493919022938366</v>
      </c>
      <c r="C59" s="45">
        <v>0.72203423175290182</v>
      </c>
      <c r="D59" s="45">
        <v>0.50275862068965516</v>
      </c>
    </row>
    <row r="60" spans="1:4" x14ac:dyDescent="0.3">
      <c r="A60" s="60">
        <f t="shared" si="0"/>
        <v>58</v>
      </c>
      <c r="B60" s="64">
        <v>0.25493919022938366</v>
      </c>
      <c r="C60" s="45">
        <v>0.72203423175290182</v>
      </c>
      <c r="D60" s="45">
        <v>0.50275862068965516</v>
      </c>
    </row>
    <row r="61" spans="1:4" x14ac:dyDescent="0.3">
      <c r="A61" s="60">
        <f t="shared" si="0"/>
        <v>59</v>
      </c>
      <c r="B61" s="64">
        <v>0.25493919022938366</v>
      </c>
      <c r="C61" s="45">
        <v>0.72203423175290182</v>
      </c>
      <c r="D61" s="45">
        <v>0.50275862068965516</v>
      </c>
    </row>
    <row r="62" spans="1:4" x14ac:dyDescent="0.3">
      <c r="A62" s="60">
        <f t="shared" si="0"/>
        <v>60</v>
      </c>
      <c r="B62" s="64">
        <v>0.25493919022938366</v>
      </c>
      <c r="C62" s="45">
        <v>0.72203423175290182</v>
      </c>
      <c r="D62" s="45">
        <v>0.50275862068965516</v>
      </c>
    </row>
    <row r="63" spans="1:4" x14ac:dyDescent="0.3">
      <c r="A63" s="60">
        <f t="shared" si="0"/>
        <v>61</v>
      </c>
      <c r="B63" s="64">
        <v>0.25493919022938366</v>
      </c>
      <c r="C63" s="45">
        <v>0.72203423175290182</v>
      </c>
      <c r="D63" s="45">
        <v>0.50275862068965516</v>
      </c>
    </row>
    <row r="64" spans="1:4" x14ac:dyDescent="0.3">
      <c r="A64" s="60">
        <f t="shared" si="0"/>
        <v>62</v>
      </c>
      <c r="B64" s="64">
        <v>0.25493919022938366</v>
      </c>
      <c r="C64" s="45">
        <v>0.72203423175290182</v>
      </c>
      <c r="D64" s="45">
        <v>0.50275862068965516</v>
      </c>
    </row>
    <row r="65" spans="1:4" x14ac:dyDescent="0.3">
      <c r="A65" s="60">
        <f t="shared" si="0"/>
        <v>63</v>
      </c>
      <c r="B65" s="64">
        <v>0.25493919022938366</v>
      </c>
      <c r="C65" s="45">
        <v>0.72203423175290182</v>
      </c>
      <c r="D65" s="45">
        <v>0.50275862068965516</v>
      </c>
    </row>
    <row r="66" spans="1:4" x14ac:dyDescent="0.3">
      <c r="A66" s="60">
        <f t="shared" si="0"/>
        <v>64</v>
      </c>
      <c r="B66" s="64">
        <v>0.25493919022938366</v>
      </c>
      <c r="C66" s="45">
        <v>0.72203423175290182</v>
      </c>
      <c r="D66" s="45">
        <v>0.50275862068965516</v>
      </c>
    </row>
    <row r="67" spans="1:4" x14ac:dyDescent="0.3">
      <c r="A67" s="60">
        <f t="shared" si="0"/>
        <v>65</v>
      </c>
      <c r="B67" s="64">
        <v>0.25493919022938366</v>
      </c>
      <c r="C67" s="45">
        <v>0.72203423175290182</v>
      </c>
      <c r="D67" s="45">
        <v>0.50275862068965516</v>
      </c>
    </row>
    <row r="68" spans="1:4" x14ac:dyDescent="0.3">
      <c r="A68" s="60">
        <f t="shared" ref="A68:A131" si="1">A67+1</f>
        <v>66</v>
      </c>
      <c r="B68" s="64">
        <v>0.25493919022938366</v>
      </c>
      <c r="C68" s="45">
        <v>0.72203423175290182</v>
      </c>
      <c r="D68" s="45">
        <v>0.50275862068965516</v>
      </c>
    </row>
    <row r="69" spans="1:4" x14ac:dyDescent="0.3">
      <c r="A69" s="60">
        <f t="shared" si="1"/>
        <v>67</v>
      </c>
      <c r="B69" s="64">
        <v>0.25493919022938366</v>
      </c>
      <c r="C69" s="45">
        <v>0.72203423175290182</v>
      </c>
      <c r="D69" s="45">
        <v>0.50275862068965516</v>
      </c>
    </row>
    <row r="70" spans="1:4" x14ac:dyDescent="0.3">
      <c r="A70" s="60">
        <f t="shared" si="1"/>
        <v>68</v>
      </c>
      <c r="B70" s="64">
        <v>0.25493919022938366</v>
      </c>
      <c r="C70" s="45">
        <v>0.72203423175290182</v>
      </c>
      <c r="D70" s="45">
        <v>0.50275862068965516</v>
      </c>
    </row>
    <row r="71" spans="1:4" x14ac:dyDescent="0.3">
      <c r="A71" s="60">
        <f t="shared" si="1"/>
        <v>69</v>
      </c>
      <c r="B71" s="64">
        <v>0.25493919022938366</v>
      </c>
      <c r="C71" s="45">
        <v>0.72203423175290182</v>
      </c>
      <c r="D71" s="45">
        <v>0.50275862068965516</v>
      </c>
    </row>
    <row r="72" spans="1:4" x14ac:dyDescent="0.3">
      <c r="A72" s="60">
        <f t="shared" si="1"/>
        <v>70</v>
      </c>
      <c r="B72" s="64">
        <v>0.25493919022938366</v>
      </c>
      <c r="C72" s="45">
        <v>0.72203423175290182</v>
      </c>
      <c r="D72" s="45">
        <v>0.50275862068965516</v>
      </c>
    </row>
    <row r="73" spans="1:4" x14ac:dyDescent="0.3">
      <c r="A73" s="60">
        <f t="shared" si="1"/>
        <v>71</v>
      </c>
      <c r="B73" s="64">
        <v>0.25493919022938366</v>
      </c>
      <c r="C73" s="45">
        <v>0.72203423175290182</v>
      </c>
      <c r="D73" s="45">
        <v>0.50275862068965516</v>
      </c>
    </row>
    <row r="74" spans="1:4" x14ac:dyDescent="0.3">
      <c r="A74" s="60">
        <f t="shared" si="1"/>
        <v>72</v>
      </c>
      <c r="B74" s="64">
        <v>0.25493919022938366</v>
      </c>
      <c r="C74" s="45">
        <v>0.72203423175290182</v>
      </c>
      <c r="D74" s="45">
        <v>0.50275862068965516</v>
      </c>
    </row>
    <row r="75" spans="1:4" x14ac:dyDescent="0.3">
      <c r="A75" s="60">
        <f t="shared" si="1"/>
        <v>73</v>
      </c>
      <c r="B75" s="64">
        <v>0.25493919022938366</v>
      </c>
      <c r="C75" s="45">
        <v>0.72203423175290182</v>
      </c>
      <c r="D75" s="45">
        <v>0.50275862068965516</v>
      </c>
    </row>
    <row r="76" spans="1:4" x14ac:dyDescent="0.3">
      <c r="A76" s="60">
        <f t="shared" si="1"/>
        <v>74</v>
      </c>
      <c r="B76" s="64">
        <v>0.25493919022938366</v>
      </c>
      <c r="C76" s="45">
        <v>0.72203423175290182</v>
      </c>
      <c r="D76" s="45">
        <v>0.50275862068965516</v>
      </c>
    </row>
    <row r="77" spans="1:4" x14ac:dyDescent="0.3">
      <c r="A77" s="60">
        <f t="shared" si="1"/>
        <v>75</v>
      </c>
      <c r="B77" s="64">
        <v>0.25493919022938366</v>
      </c>
      <c r="C77" s="45">
        <v>0.72203423175290182</v>
      </c>
      <c r="D77" s="45">
        <v>0.50275862068965516</v>
      </c>
    </row>
    <row r="78" spans="1:4" x14ac:dyDescent="0.3">
      <c r="A78" s="60">
        <f t="shared" si="1"/>
        <v>76</v>
      </c>
      <c r="B78" s="64">
        <v>0.25493919022938366</v>
      </c>
      <c r="C78" s="45">
        <v>0.72203423175290182</v>
      </c>
      <c r="D78" s="45">
        <v>0.50275862068965516</v>
      </c>
    </row>
    <row r="79" spans="1:4" x14ac:dyDescent="0.3">
      <c r="A79" s="60">
        <f t="shared" si="1"/>
        <v>77</v>
      </c>
      <c r="B79" s="64">
        <v>0.25493919022938366</v>
      </c>
      <c r="C79" s="45">
        <v>0.72203423175290182</v>
      </c>
      <c r="D79" s="45">
        <v>0.50275862068965516</v>
      </c>
    </row>
    <row r="80" spans="1:4" x14ac:dyDescent="0.3">
      <c r="A80" s="60">
        <f t="shared" si="1"/>
        <v>78</v>
      </c>
      <c r="B80" s="64">
        <v>0.25493919022938366</v>
      </c>
      <c r="C80" s="45">
        <v>0.72203423175290182</v>
      </c>
      <c r="D80" s="45">
        <v>0.50275862068965516</v>
      </c>
    </row>
    <row r="81" spans="1:4" x14ac:dyDescent="0.3">
      <c r="A81" s="60">
        <f t="shared" si="1"/>
        <v>79</v>
      </c>
      <c r="B81" s="64">
        <v>0.25493919022938366</v>
      </c>
      <c r="C81" s="45">
        <v>0.72203423175290182</v>
      </c>
      <c r="D81" s="45">
        <v>0.50275862068965516</v>
      </c>
    </row>
    <row r="82" spans="1:4" x14ac:dyDescent="0.3">
      <c r="A82" s="60">
        <f t="shared" si="1"/>
        <v>80</v>
      </c>
      <c r="B82" s="64">
        <v>0.25493919022938366</v>
      </c>
      <c r="C82" s="45">
        <v>0.72203423175290182</v>
      </c>
      <c r="D82" s="45">
        <v>0.50275862068965516</v>
      </c>
    </row>
    <row r="83" spans="1:4" x14ac:dyDescent="0.3">
      <c r="A83" s="60">
        <f t="shared" si="1"/>
        <v>81</v>
      </c>
      <c r="B83" s="64">
        <v>0.25493919022938366</v>
      </c>
      <c r="C83" s="45">
        <v>0.72203423175290182</v>
      </c>
      <c r="D83" s="45">
        <v>0.50275862068965516</v>
      </c>
    </row>
    <row r="84" spans="1:4" x14ac:dyDescent="0.3">
      <c r="A84" s="60">
        <f t="shared" si="1"/>
        <v>82</v>
      </c>
      <c r="B84" s="64">
        <v>0.25493919022938366</v>
      </c>
      <c r="C84" s="45">
        <v>0.72203423175290182</v>
      </c>
      <c r="D84" s="45">
        <v>0.50275862068965516</v>
      </c>
    </row>
    <row r="85" spans="1:4" x14ac:dyDescent="0.3">
      <c r="A85" s="60">
        <f t="shared" si="1"/>
        <v>83</v>
      </c>
      <c r="B85" s="64">
        <v>0.25493919022938366</v>
      </c>
      <c r="C85" s="45">
        <v>0.72203423175290182</v>
      </c>
      <c r="D85" s="45">
        <v>0.50275862068965516</v>
      </c>
    </row>
    <row r="86" spans="1:4" x14ac:dyDescent="0.3">
      <c r="A86" s="60">
        <f t="shared" si="1"/>
        <v>84</v>
      </c>
      <c r="B86" s="64">
        <v>0.25493919022938366</v>
      </c>
      <c r="C86" s="45">
        <v>0.72203423175290182</v>
      </c>
      <c r="D86" s="45">
        <v>0.50275862068965516</v>
      </c>
    </row>
    <row r="87" spans="1:4" x14ac:dyDescent="0.3">
      <c r="A87" s="60">
        <f t="shared" si="1"/>
        <v>85</v>
      </c>
      <c r="B87" s="64">
        <v>0.25493919022938366</v>
      </c>
      <c r="C87" s="45">
        <v>0.72203423175290182</v>
      </c>
      <c r="D87" s="45">
        <v>0.50275862068965516</v>
      </c>
    </row>
    <row r="88" spans="1:4" x14ac:dyDescent="0.3">
      <c r="A88" s="60">
        <f t="shared" si="1"/>
        <v>86</v>
      </c>
      <c r="B88" s="64">
        <v>0.25493919022938366</v>
      </c>
      <c r="C88" s="45">
        <v>0.72203423175290182</v>
      </c>
      <c r="D88" s="45">
        <v>0.50275862068965516</v>
      </c>
    </row>
    <row r="89" spans="1:4" x14ac:dyDescent="0.3">
      <c r="A89" s="60">
        <f t="shared" si="1"/>
        <v>87</v>
      </c>
      <c r="B89" s="64">
        <v>0.25493919022938366</v>
      </c>
      <c r="C89" s="45">
        <v>0.72203423175290182</v>
      </c>
      <c r="D89" s="45">
        <v>0.50275862068965516</v>
      </c>
    </row>
    <row r="90" spans="1:4" x14ac:dyDescent="0.3">
      <c r="A90" s="60">
        <f t="shared" si="1"/>
        <v>88</v>
      </c>
      <c r="B90" s="64">
        <v>0.25493919022938366</v>
      </c>
      <c r="C90" s="45">
        <v>0.72203423175290182</v>
      </c>
      <c r="D90" s="45">
        <v>0.50275862068965516</v>
      </c>
    </row>
    <row r="91" spans="1:4" x14ac:dyDescent="0.3">
      <c r="A91" s="60">
        <f t="shared" si="1"/>
        <v>89</v>
      </c>
      <c r="B91" s="64">
        <v>0.25493919022938366</v>
      </c>
      <c r="C91" s="45">
        <v>0.72203423175290182</v>
      </c>
      <c r="D91" s="45">
        <v>0.50275862068965516</v>
      </c>
    </row>
    <row r="92" spans="1:4" x14ac:dyDescent="0.3">
      <c r="A92" s="60">
        <f t="shared" si="1"/>
        <v>90</v>
      </c>
      <c r="B92" s="64">
        <v>0.25493919022938366</v>
      </c>
      <c r="C92" s="45">
        <v>0.72203423175290182</v>
      </c>
      <c r="D92" s="45">
        <v>0.50275862068965516</v>
      </c>
    </row>
    <row r="93" spans="1:4" x14ac:dyDescent="0.3">
      <c r="A93" s="60">
        <f t="shared" si="1"/>
        <v>91</v>
      </c>
      <c r="B93" s="64">
        <v>0.25493919022938366</v>
      </c>
      <c r="C93" s="45">
        <v>0.72203423175290182</v>
      </c>
      <c r="D93" s="45">
        <v>0.50275862068965516</v>
      </c>
    </row>
    <row r="94" spans="1:4" x14ac:dyDescent="0.3">
      <c r="A94" s="60">
        <f t="shared" si="1"/>
        <v>92</v>
      </c>
      <c r="B94" s="64">
        <v>0.25493919022938366</v>
      </c>
      <c r="C94" s="45">
        <v>0.72203423175290182</v>
      </c>
      <c r="D94" s="45">
        <v>0.50275862068965516</v>
      </c>
    </row>
    <row r="95" spans="1:4" x14ac:dyDescent="0.3">
      <c r="A95" s="60">
        <f t="shared" si="1"/>
        <v>93</v>
      </c>
      <c r="B95" s="64">
        <v>0.25493919022938366</v>
      </c>
      <c r="C95" s="45">
        <v>0.72203423175290182</v>
      </c>
      <c r="D95" s="45">
        <v>0.50275862068965516</v>
      </c>
    </row>
    <row r="96" spans="1:4" x14ac:dyDescent="0.3">
      <c r="A96" s="60">
        <f t="shared" si="1"/>
        <v>94</v>
      </c>
      <c r="B96" s="64">
        <v>0.25493919022938366</v>
      </c>
      <c r="C96" s="45">
        <v>0.72203423175290182</v>
      </c>
      <c r="D96" s="45">
        <v>0.50275862068965516</v>
      </c>
    </row>
    <row r="97" spans="1:4" x14ac:dyDescent="0.3">
      <c r="A97" s="60">
        <f t="shared" si="1"/>
        <v>95</v>
      </c>
      <c r="B97" s="64">
        <v>0.25493919022938366</v>
      </c>
      <c r="C97" s="45">
        <v>0.72203423175290182</v>
      </c>
      <c r="D97" s="45">
        <v>0.50275862068965516</v>
      </c>
    </row>
    <row r="98" spans="1:4" x14ac:dyDescent="0.3">
      <c r="A98" s="60">
        <f t="shared" si="1"/>
        <v>96</v>
      </c>
      <c r="B98" s="64">
        <v>0.25493919022938366</v>
      </c>
      <c r="C98" s="45">
        <v>0.72203423175290182</v>
      </c>
      <c r="D98" s="45">
        <v>0.50275862068965516</v>
      </c>
    </row>
    <row r="99" spans="1:4" x14ac:dyDescent="0.3">
      <c r="A99" s="60">
        <f t="shared" si="1"/>
        <v>97</v>
      </c>
      <c r="B99" s="64">
        <v>0.25493919022938366</v>
      </c>
      <c r="C99" s="45">
        <v>0.72203423175290182</v>
      </c>
      <c r="D99" s="45">
        <v>0.50275862068965516</v>
      </c>
    </row>
    <row r="100" spans="1:4" x14ac:dyDescent="0.3">
      <c r="A100" s="60">
        <f t="shared" si="1"/>
        <v>98</v>
      </c>
      <c r="B100" s="64">
        <v>0.25493919022938366</v>
      </c>
      <c r="C100" s="45">
        <v>0.72203423175290182</v>
      </c>
      <c r="D100" s="45">
        <v>0.50275862068965516</v>
      </c>
    </row>
    <row r="101" spans="1:4" x14ac:dyDescent="0.3">
      <c r="A101" s="60">
        <f t="shared" si="1"/>
        <v>99</v>
      </c>
      <c r="B101" s="64">
        <v>0.25493919022938366</v>
      </c>
      <c r="C101" s="45">
        <v>0.72203423175290182</v>
      </c>
      <c r="D101" s="45">
        <v>0.50275862068965516</v>
      </c>
    </row>
    <row r="102" spans="1:4" x14ac:dyDescent="0.3">
      <c r="A102" s="60">
        <f t="shared" si="1"/>
        <v>100</v>
      </c>
      <c r="B102" s="64">
        <v>0.25493919022938366</v>
      </c>
      <c r="C102" s="45">
        <v>0.72203423175290182</v>
      </c>
      <c r="D102" s="45">
        <v>0.50275862068965516</v>
      </c>
    </row>
    <row r="103" spans="1:4" x14ac:dyDescent="0.3">
      <c r="A103" s="60">
        <f t="shared" si="1"/>
        <v>101</v>
      </c>
      <c r="B103" s="64">
        <v>0.25493919022938366</v>
      </c>
      <c r="C103" s="45">
        <v>0.72203423175290182</v>
      </c>
      <c r="D103" s="45">
        <v>0.50275862068965516</v>
      </c>
    </row>
    <row r="104" spans="1:4" x14ac:dyDescent="0.3">
      <c r="A104" s="60">
        <f t="shared" si="1"/>
        <v>102</v>
      </c>
      <c r="B104" s="64">
        <v>0.25493919022938366</v>
      </c>
      <c r="C104" s="45">
        <v>0.72203423175290182</v>
      </c>
      <c r="D104" s="45">
        <v>0.50275862068965516</v>
      </c>
    </row>
    <row r="105" spans="1:4" x14ac:dyDescent="0.3">
      <c r="A105" s="60">
        <f t="shared" si="1"/>
        <v>103</v>
      </c>
      <c r="B105" s="64">
        <v>0.25493919022938366</v>
      </c>
      <c r="C105" s="45">
        <v>0.72203423175290182</v>
      </c>
      <c r="D105" s="45">
        <v>0.50275862068965516</v>
      </c>
    </row>
    <row r="106" spans="1:4" x14ac:dyDescent="0.3">
      <c r="A106" s="60">
        <f t="shared" si="1"/>
        <v>104</v>
      </c>
      <c r="B106" s="64">
        <v>0.25493919022938366</v>
      </c>
      <c r="C106" s="45">
        <v>0.72203423175290182</v>
      </c>
      <c r="D106" s="45">
        <v>0.50275862068965516</v>
      </c>
    </row>
    <row r="107" spans="1:4" x14ac:dyDescent="0.3">
      <c r="A107" s="60">
        <f t="shared" si="1"/>
        <v>105</v>
      </c>
      <c r="B107" s="64">
        <v>0.25493919022938366</v>
      </c>
      <c r="C107" s="45">
        <v>0.72203423175290182</v>
      </c>
      <c r="D107" s="45">
        <v>0.50275862068965516</v>
      </c>
    </row>
    <row r="108" spans="1:4" x14ac:dyDescent="0.3">
      <c r="A108" s="60">
        <f t="shared" si="1"/>
        <v>106</v>
      </c>
      <c r="B108" s="64">
        <v>0.25493919022938366</v>
      </c>
      <c r="C108" s="45">
        <v>0.72203423175290182</v>
      </c>
      <c r="D108" s="45">
        <v>0.50275862068965516</v>
      </c>
    </row>
    <row r="109" spans="1:4" x14ac:dyDescent="0.3">
      <c r="A109" s="60">
        <f t="shared" si="1"/>
        <v>107</v>
      </c>
      <c r="B109" s="64">
        <v>0.25493919022938366</v>
      </c>
      <c r="C109" s="45">
        <v>0.72203423175290182</v>
      </c>
      <c r="D109" s="45">
        <v>0.50275862068965516</v>
      </c>
    </row>
    <row r="110" spans="1:4" x14ac:dyDescent="0.3">
      <c r="A110" s="60">
        <f t="shared" si="1"/>
        <v>108</v>
      </c>
      <c r="B110" s="64">
        <v>0</v>
      </c>
      <c r="C110" s="45">
        <v>0.72203423175290182</v>
      </c>
      <c r="D110" s="45">
        <v>0.50275862068965516</v>
      </c>
    </row>
    <row r="111" spans="1:4" x14ac:dyDescent="0.3">
      <c r="A111" s="60">
        <f t="shared" si="1"/>
        <v>109</v>
      </c>
      <c r="B111" s="64">
        <v>0.25493919022938366</v>
      </c>
      <c r="C111" s="45">
        <v>0.72203423175290182</v>
      </c>
      <c r="D111" s="45">
        <v>0.50275862068965516</v>
      </c>
    </row>
    <row r="112" spans="1:4" x14ac:dyDescent="0.3">
      <c r="A112" s="60">
        <f t="shared" si="1"/>
        <v>110</v>
      </c>
      <c r="B112" s="64">
        <v>0</v>
      </c>
      <c r="C112" s="45">
        <v>0.72203423175290182</v>
      </c>
      <c r="D112" s="45">
        <v>0.50275862068965516</v>
      </c>
    </row>
    <row r="113" spans="1:4" x14ac:dyDescent="0.3">
      <c r="A113" s="60">
        <f t="shared" si="1"/>
        <v>111</v>
      </c>
      <c r="B113" s="64">
        <v>0</v>
      </c>
      <c r="C113" s="45">
        <v>0.72203423175290182</v>
      </c>
      <c r="D113" s="45">
        <v>0.50275862068965516</v>
      </c>
    </row>
    <row r="114" spans="1:4" x14ac:dyDescent="0.3">
      <c r="A114" s="60">
        <f t="shared" si="1"/>
        <v>112</v>
      </c>
      <c r="B114" s="64">
        <v>0.25493919022938366</v>
      </c>
      <c r="C114" s="45">
        <v>0.72203423175290182</v>
      </c>
      <c r="D114" s="45">
        <v>0.50275862068965516</v>
      </c>
    </row>
    <row r="115" spans="1:4" x14ac:dyDescent="0.3">
      <c r="A115" s="60">
        <f t="shared" si="1"/>
        <v>113</v>
      </c>
      <c r="B115" s="64">
        <v>0.25493919022938366</v>
      </c>
      <c r="C115" s="45">
        <v>0.72203423175290182</v>
      </c>
      <c r="D115" s="45">
        <v>0.50275862068965516</v>
      </c>
    </row>
    <row r="116" spans="1:4" x14ac:dyDescent="0.3">
      <c r="A116" s="60">
        <f t="shared" si="1"/>
        <v>114</v>
      </c>
      <c r="B116" s="64">
        <v>0.25493919022938366</v>
      </c>
      <c r="C116" s="45">
        <v>0.72203423175290182</v>
      </c>
      <c r="D116" s="45">
        <v>0.50275862068965516</v>
      </c>
    </row>
    <row r="117" spans="1:4" x14ac:dyDescent="0.3">
      <c r="A117" s="60">
        <f t="shared" si="1"/>
        <v>115</v>
      </c>
      <c r="B117" s="64">
        <v>0.25493919022938366</v>
      </c>
      <c r="C117" s="45">
        <v>0.72203423175290182</v>
      </c>
      <c r="D117" s="45">
        <v>0.50275862068965516</v>
      </c>
    </row>
    <row r="118" spans="1:4" x14ac:dyDescent="0.3">
      <c r="A118" s="60">
        <f t="shared" si="1"/>
        <v>116</v>
      </c>
      <c r="B118" s="64">
        <v>0.25493919022938366</v>
      </c>
      <c r="C118" s="45">
        <v>0.72203423175290182</v>
      </c>
      <c r="D118" s="45">
        <v>0.50275862068965516</v>
      </c>
    </row>
    <row r="119" spans="1:4" x14ac:dyDescent="0.3">
      <c r="A119" s="60">
        <f t="shared" si="1"/>
        <v>117</v>
      </c>
      <c r="B119" s="64">
        <v>0.25493919022938366</v>
      </c>
      <c r="C119" s="45">
        <v>0.72203423175290182</v>
      </c>
      <c r="D119" s="45">
        <v>0.50275862068965516</v>
      </c>
    </row>
    <row r="120" spans="1:4" x14ac:dyDescent="0.3">
      <c r="A120" s="60">
        <f t="shared" si="1"/>
        <v>118</v>
      </c>
      <c r="B120" s="64">
        <v>0.25493919022938366</v>
      </c>
      <c r="C120" s="45">
        <v>0.72203423175290182</v>
      </c>
      <c r="D120" s="45">
        <v>0.50275862068965516</v>
      </c>
    </row>
    <row r="121" spans="1:4" x14ac:dyDescent="0.3">
      <c r="A121" s="60">
        <f t="shared" si="1"/>
        <v>119</v>
      </c>
      <c r="B121" s="64">
        <v>0.25493919022938366</v>
      </c>
      <c r="C121" s="45">
        <v>0.72203423175290182</v>
      </c>
      <c r="D121" s="45">
        <v>0.50275862068965516</v>
      </c>
    </row>
    <row r="122" spans="1:4" x14ac:dyDescent="0.3">
      <c r="A122" s="60">
        <f t="shared" si="1"/>
        <v>120</v>
      </c>
      <c r="B122" s="64">
        <v>0.25493919022938366</v>
      </c>
      <c r="C122" s="45">
        <v>0.72203423175290182</v>
      </c>
      <c r="D122" s="45">
        <v>0.50275862068965516</v>
      </c>
    </row>
    <row r="123" spans="1:4" x14ac:dyDescent="0.3">
      <c r="A123" s="60">
        <f t="shared" si="1"/>
        <v>121</v>
      </c>
      <c r="B123" s="64">
        <v>0.25493919022938366</v>
      </c>
      <c r="C123" s="45">
        <v>0.72203423175290182</v>
      </c>
      <c r="D123" s="45">
        <v>0.50275862068965516</v>
      </c>
    </row>
    <row r="124" spans="1:4" x14ac:dyDescent="0.3">
      <c r="A124" s="60">
        <f t="shared" si="1"/>
        <v>122</v>
      </c>
      <c r="B124" s="64">
        <v>0.25493919022938366</v>
      </c>
      <c r="C124" s="45">
        <v>0.72203423175290182</v>
      </c>
      <c r="D124" s="45">
        <v>0.50275862068965516</v>
      </c>
    </row>
    <row r="125" spans="1:4" x14ac:dyDescent="0.3">
      <c r="A125" s="60">
        <f t="shared" si="1"/>
        <v>123</v>
      </c>
      <c r="B125" s="64">
        <v>0.25493919022938366</v>
      </c>
      <c r="C125" s="45">
        <v>0.72203423175290182</v>
      </c>
      <c r="D125" s="45">
        <v>0.50275862068965516</v>
      </c>
    </row>
    <row r="126" spans="1:4" x14ac:dyDescent="0.3">
      <c r="A126" s="60">
        <f t="shared" si="1"/>
        <v>124</v>
      </c>
      <c r="B126" s="64">
        <v>0.25493919022938366</v>
      </c>
      <c r="C126" s="45">
        <v>0.72203423175290182</v>
      </c>
      <c r="D126" s="45">
        <v>0.50275862068965516</v>
      </c>
    </row>
    <row r="127" spans="1:4" x14ac:dyDescent="0.3">
      <c r="A127" s="60">
        <f t="shared" si="1"/>
        <v>125</v>
      </c>
      <c r="B127" s="64">
        <v>0.25493919022938366</v>
      </c>
      <c r="C127" s="45">
        <v>0.72203423175290182</v>
      </c>
      <c r="D127" s="45">
        <v>0.50275862068965516</v>
      </c>
    </row>
    <row r="128" spans="1:4" x14ac:dyDescent="0.3">
      <c r="A128" s="60">
        <f t="shared" si="1"/>
        <v>126</v>
      </c>
      <c r="B128" s="64">
        <v>0.25493919022938366</v>
      </c>
      <c r="C128" s="45">
        <v>0.72203423175290182</v>
      </c>
      <c r="D128" s="45">
        <v>0.50275862068965516</v>
      </c>
    </row>
    <row r="129" spans="1:4" x14ac:dyDescent="0.3">
      <c r="A129" s="60">
        <f t="shared" si="1"/>
        <v>127</v>
      </c>
      <c r="B129" s="64">
        <v>0.25493919022938366</v>
      </c>
      <c r="C129" s="45">
        <v>0.72203423175290182</v>
      </c>
      <c r="D129" s="45">
        <v>0.50275862068965516</v>
      </c>
    </row>
    <row r="130" spans="1:4" x14ac:dyDescent="0.3">
      <c r="A130" s="60">
        <f t="shared" si="1"/>
        <v>128</v>
      </c>
      <c r="B130" s="64">
        <v>0.25493919022938366</v>
      </c>
      <c r="C130" s="45">
        <v>0.72203423175290182</v>
      </c>
      <c r="D130" s="45">
        <v>0.50275862068965516</v>
      </c>
    </row>
    <row r="131" spans="1:4" x14ac:dyDescent="0.3">
      <c r="A131" s="60">
        <f t="shared" si="1"/>
        <v>129</v>
      </c>
      <c r="B131" s="64">
        <v>0.25493919022938366</v>
      </c>
      <c r="C131" s="45">
        <v>0.72203423175290182</v>
      </c>
      <c r="D131" s="45">
        <v>0.50275862068965516</v>
      </c>
    </row>
    <row r="132" spans="1:4" x14ac:dyDescent="0.3">
      <c r="A132" s="60">
        <f t="shared" ref="A132:A169" si="2">A131+1</f>
        <v>130</v>
      </c>
      <c r="B132" s="64">
        <v>0.25493919022938366</v>
      </c>
      <c r="C132" s="45">
        <v>0.72203423175290182</v>
      </c>
      <c r="D132" s="45">
        <v>0.50275862068965516</v>
      </c>
    </row>
    <row r="133" spans="1:4" x14ac:dyDescent="0.3">
      <c r="A133" s="60">
        <f t="shared" si="2"/>
        <v>131</v>
      </c>
      <c r="B133" s="64">
        <v>0.25493919022938366</v>
      </c>
      <c r="C133" s="45">
        <v>0.72203423175290182</v>
      </c>
      <c r="D133" s="45">
        <v>0.50275862068965516</v>
      </c>
    </row>
    <row r="134" spans="1:4" x14ac:dyDescent="0.3">
      <c r="A134" s="60">
        <f t="shared" si="2"/>
        <v>132</v>
      </c>
      <c r="B134" s="64">
        <v>0.25493919022938366</v>
      </c>
      <c r="C134" s="45">
        <v>0.72203423175290182</v>
      </c>
      <c r="D134" s="45">
        <v>0.50275862068965516</v>
      </c>
    </row>
    <row r="135" spans="1:4" x14ac:dyDescent="0.3">
      <c r="A135" s="60">
        <f t="shared" si="2"/>
        <v>133</v>
      </c>
      <c r="B135" s="64">
        <v>0.25493919022938366</v>
      </c>
      <c r="C135" s="45">
        <v>0.72203423175290182</v>
      </c>
      <c r="D135" s="45">
        <v>0.50275862068965516</v>
      </c>
    </row>
    <row r="136" spans="1:4" x14ac:dyDescent="0.3">
      <c r="A136" s="60">
        <f t="shared" si="2"/>
        <v>134</v>
      </c>
      <c r="B136" s="64">
        <v>0.25493919022938366</v>
      </c>
      <c r="C136" s="45">
        <v>0.72203423175290182</v>
      </c>
      <c r="D136" s="45">
        <v>0.50275862068965516</v>
      </c>
    </row>
    <row r="137" spans="1:4" x14ac:dyDescent="0.3">
      <c r="A137" s="60">
        <f t="shared" si="2"/>
        <v>135</v>
      </c>
      <c r="B137" s="64">
        <v>0.25493919022938366</v>
      </c>
      <c r="C137" s="45">
        <v>0.72203423175290182</v>
      </c>
      <c r="D137" s="45">
        <v>0.50275862068965516</v>
      </c>
    </row>
    <row r="138" spans="1:4" x14ac:dyDescent="0.3">
      <c r="A138" s="60">
        <f t="shared" si="2"/>
        <v>136</v>
      </c>
      <c r="B138" s="64">
        <v>0.25493919022938366</v>
      </c>
      <c r="C138" s="45">
        <v>0.72203423175290182</v>
      </c>
      <c r="D138" s="45">
        <v>0.50275862068965516</v>
      </c>
    </row>
    <row r="139" spans="1:4" x14ac:dyDescent="0.3">
      <c r="A139" s="60">
        <f t="shared" si="2"/>
        <v>137</v>
      </c>
      <c r="B139" s="64">
        <v>0.25493919022938366</v>
      </c>
      <c r="C139" s="45">
        <v>0.72203423175290182</v>
      </c>
      <c r="D139" s="45">
        <v>0.50275862068965516</v>
      </c>
    </row>
    <row r="140" spans="1:4" x14ac:dyDescent="0.3">
      <c r="A140" s="60">
        <f t="shared" si="2"/>
        <v>138</v>
      </c>
      <c r="B140" s="64">
        <v>0.25493919022938366</v>
      </c>
      <c r="C140" s="45">
        <v>0.72203423175290182</v>
      </c>
      <c r="D140" s="45">
        <v>0.50275862068965516</v>
      </c>
    </row>
    <row r="141" spans="1:4" x14ac:dyDescent="0.3">
      <c r="A141" s="60">
        <f t="shared" si="2"/>
        <v>139</v>
      </c>
      <c r="B141" s="64">
        <v>0.25493919022938366</v>
      </c>
      <c r="C141" s="45">
        <v>0.72203423175290182</v>
      </c>
      <c r="D141" s="45">
        <v>0.50275862068965516</v>
      </c>
    </row>
    <row r="142" spans="1:4" x14ac:dyDescent="0.3">
      <c r="A142" s="60">
        <f t="shared" si="2"/>
        <v>140</v>
      </c>
      <c r="B142" s="64">
        <v>0.25493919022938366</v>
      </c>
      <c r="C142" s="45">
        <v>0.72203423175290182</v>
      </c>
      <c r="D142" s="45">
        <v>0.50275862068965516</v>
      </c>
    </row>
    <row r="143" spans="1:4" x14ac:dyDescent="0.3">
      <c r="A143" s="60">
        <f t="shared" si="2"/>
        <v>141</v>
      </c>
      <c r="B143" s="64">
        <v>0.25493919022938366</v>
      </c>
      <c r="C143" s="45">
        <v>0.72203423175290182</v>
      </c>
      <c r="D143" s="45">
        <v>0.50275862068965516</v>
      </c>
    </row>
    <row r="144" spans="1:4" x14ac:dyDescent="0.3">
      <c r="A144" s="60">
        <f t="shared" si="2"/>
        <v>142</v>
      </c>
      <c r="B144" s="64">
        <v>0.25493919022938366</v>
      </c>
      <c r="C144" s="45">
        <v>0.72203423175290182</v>
      </c>
      <c r="D144" s="45">
        <v>0.50275862068965516</v>
      </c>
    </row>
    <row r="145" spans="1:4" x14ac:dyDescent="0.3">
      <c r="A145" s="60">
        <f t="shared" si="2"/>
        <v>143</v>
      </c>
      <c r="B145" s="64">
        <v>0.25493919022938366</v>
      </c>
      <c r="C145" s="45">
        <v>0.72203423175290182</v>
      </c>
      <c r="D145" s="45">
        <v>0.50275862068965516</v>
      </c>
    </row>
    <row r="146" spans="1:4" x14ac:dyDescent="0.3">
      <c r="A146" s="60">
        <f t="shared" si="2"/>
        <v>144</v>
      </c>
      <c r="B146" s="64">
        <v>0.25493919022938366</v>
      </c>
      <c r="C146" s="45">
        <v>0.72203423175290182</v>
      </c>
      <c r="D146" s="45">
        <v>0.50275862068965516</v>
      </c>
    </row>
    <row r="147" spans="1:4" x14ac:dyDescent="0.3">
      <c r="A147" s="60">
        <f t="shared" si="2"/>
        <v>145</v>
      </c>
      <c r="B147" s="64">
        <v>0.25493919022938366</v>
      </c>
      <c r="C147" s="45">
        <v>0.72203423175290182</v>
      </c>
      <c r="D147" s="45">
        <v>0.50275862068965516</v>
      </c>
    </row>
    <row r="148" spans="1:4" x14ac:dyDescent="0.3">
      <c r="A148" s="60">
        <f t="shared" si="2"/>
        <v>146</v>
      </c>
      <c r="B148" s="64">
        <v>0.25493919022938366</v>
      </c>
      <c r="C148" s="45">
        <v>0.72203423175290182</v>
      </c>
      <c r="D148" s="45">
        <v>0.50275862068965516</v>
      </c>
    </row>
    <row r="149" spans="1:4" x14ac:dyDescent="0.3">
      <c r="A149" s="60">
        <f t="shared" si="2"/>
        <v>147</v>
      </c>
      <c r="B149" s="64">
        <v>0.25493919022938366</v>
      </c>
      <c r="C149" s="45">
        <v>0.72203423175290182</v>
      </c>
      <c r="D149" s="45">
        <v>0.50275862068965516</v>
      </c>
    </row>
    <row r="150" spans="1:4" x14ac:dyDescent="0.3">
      <c r="A150" s="60">
        <f t="shared" si="2"/>
        <v>148</v>
      </c>
      <c r="B150" s="64">
        <v>0.25493919022938366</v>
      </c>
      <c r="C150" s="45">
        <v>0.72203423175290182</v>
      </c>
      <c r="D150" s="45">
        <v>0.50275862068965516</v>
      </c>
    </row>
    <row r="151" spans="1:4" x14ac:dyDescent="0.3">
      <c r="A151" s="60">
        <f t="shared" si="2"/>
        <v>149</v>
      </c>
      <c r="B151" s="64">
        <v>0.25493919022938366</v>
      </c>
      <c r="C151" s="45">
        <v>0.72203423175290182</v>
      </c>
      <c r="D151" s="45">
        <v>0.50275862068965516</v>
      </c>
    </row>
    <row r="152" spans="1:4" x14ac:dyDescent="0.3">
      <c r="A152" s="60">
        <f t="shared" si="2"/>
        <v>150</v>
      </c>
      <c r="B152" s="64">
        <v>0.25493919022938366</v>
      </c>
      <c r="C152" s="45">
        <v>0.72203423175290182</v>
      </c>
      <c r="D152" s="45">
        <v>0.50275862068965516</v>
      </c>
    </row>
    <row r="153" spans="1:4" x14ac:dyDescent="0.3">
      <c r="A153" s="60">
        <f t="shared" si="2"/>
        <v>151</v>
      </c>
      <c r="B153" s="64">
        <v>0.25493919022938366</v>
      </c>
      <c r="C153" s="45">
        <v>0.72203423175290182</v>
      </c>
      <c r="D153" s="45">
        <v>0.50275862068965516</v>
      </c>
    </row>
    <row r="154" spans="1:4" x14ac:dyDescent="0.3">
      <c r="A154" s="60">
        <f t="shared" si="2"/>
        <v>152</v>
      </c>
      <c r="B154" s="64">
        <v>0.25493919022938366</v>
      </c>
      <c r="C154" s="45">
        <v>0.72203423175290182</v>
      </c>
      <c r="D154" s="45">
        <v>0.50275862068965516</v>
      </c>
    </row>
    <row r="155" spans="1:4" x14ac:dyDescent="0.3">
      <c r="A155" s="60">
        <f t="shared" si="2"/>
        <v>153</v>
      </c>
      <c r="B155" s="64">
        <v>0.25493919022938366</v>
      </c>
      <c r="C155" s="45">
        <v>0</v>
      </c>
      <c r="D155" s="45">
        <v>0.50275862068965516</v>
      </c>
    </row>
    <row r="156" spans="1:4" x14ac:dyDescent="0.3">
      <c r="A156" s="60">
        <f t="shared" si="2"/>
        <v>154</v>
      </c>
      <c r="B156" s="64">
        <v>0.25493919022938366</v>
      </c>
      <c r="C156" s="45">
        <v>0.72203423175290182</v>
      </c>
      <c r="D156" s="45">
        <v>0.50275862068965516</v>
      </c>
    </row>
    <row r="157" spans="1:4" x14ac:dyDescent="0.3">
      <c r="A157" s="60">
        <f t="shared" si="2"/>
        <v>155</v>
      </c>
      <c r="B157" s="64">
        <v>0.25493919022938366</v>
      </c>
      <c r="C157" s="45">
        <v>0.72203423175290182</v>
      </c>
      <c r="D157" s="45">
        <v>0.50275862068965516</v>
      </c>
    </row>
    <row r="158" spans="1:4" x14ac:dyDescent="0.3">
      <c r="A158" s="60">
        <f t="shared" si="2"/>
        <v>156</v>
      </c>
      <c r="B158" s="64">
        <v>0.25493919022938366</v>
      </c>
      <c r="C158" s="45">
        <v>0.72203423175290182</v>
      </c>
      <c r="D158" s="45">
        <v>0.50275862068965516</v>
      </c>
    </row>
    <row r="159" spans="1:4" x14ac:dyDescent="0.3">
      <c r="A159" s="60">
        <f t="shared" si="2"/>
        <v>157</v>
      </c>
      <c r="B159" s="64">
        <v>0.25493919022938366</v>
      </c>
      <c r="C159" s="45">
        <v>0.72203423175290182</v>
      </c>
      <c r="D159" s="45">
        <v>0.50275862068965516</v>
      </c>
    </row>
    <row r="160" spans="1:4" x14ac:dyDescent="0.3">
      <c r="A160" s="60">
        <f t="shared" si="2"/>
        <v>158</v>
      </c>
      <c r="B160" s="64">
        <v>0.25493919022938366</v>
      </c>
      <c r="C160" s="45">
        <v>0.72203423175290182</v>
      </c>
      <c r="D160" s="45">
        <v>0.50275862068965516</v>
      </c>
    </row>
    <row r="161" spans="1:4" x14ac:dyDescent="0.3">
      <c r="A161" s="60">
        <f t="shared" si="2"/>
        <v>159</v>
      </c>
      <c r="B161" s="64">
        <v>0</v>
      </c>
      <c r="C161" s="45">
        <v>0.72203423175290182</v>
      </c>
      <c r="D161" s="45">
        <v>0.50275862068965516</v>
      </c>
    </row>
    <row r="162" spans="1:4" x14ac:dyDescent="0.3">
      <c r="A162" s="60">
        <f t="shared" si="2"/>
        <v>160</v>
      </c>
      <c r="B162" s="64">
        <v>0</v>
      </c>
      <c r="C162" s="45">
        <v>0.72203423175290182</v>
      </c>
      <c r="D162" s="45">
        <v>0.50275862068965516</v>
      </c>
    </row>
    <row r="163" spans="1:4" x14ac:dyDescent="0.3">
      <c r="A163" s="60">
        <f t="shared" si="2"/>
        <v>161</v>
      </c>
      <c r="B163" s="64">
        <v>0.25493919022938366</v>
      </c>
      <c r="C163" s="45">
        <v>0.72203423175290182</v>
      </c>
      <c r="D163" s="45">
        <v>0.50275862068965516</v>
      </c>
    </row>
    <row r="164" spans="1:4" x14ac:dyDescent="0.3">
      <c r="A164" s="60">
        <f t="shared" si="2"/>
        <v>162</v>
      </c>
      <c r="B164" s="64">
        <v>0.25493919022938366</v>
      </c>
      <c r="C164" s="45">
        <v>0.72203423175290182</v>
      </c>
      <c r="D164" s="45">
        <v>0.50275862068965516</v>
      </c>
    </row>
    <row r="165" spans="1:4" x14ac:dyDescent="0.3">
      <c r="A165" s="60">
        <f t="shared" si="2"/>
        <v>163</v>
      </c>
      <c r="B165" s="64">
        <v>0.25493919022938366</v>
      </c>
      <c r="C165" s="45">
        <v>0.72203423175290182</v>
      </c>
      <c r="D165" s="45">
        <v>0.50275862068965516</v>
      </c>
    </row>
    <row r="166" spans="1:4" x14ac:dyDescent="0.3">
      <c r="A166" s="60">
        <f t="shared" si="2"/>
        <v>164</v>
      </c>
      <c r="B166" s="64">
        <v>0.25493919022938366</v>
      </c>
      <c r="C166" s="45">
        <v>0.72203423175290182</v>
      </c>
      <c r="D166" s="45">
        <v>0.50275862068965516</v>
      </c>
    </row>
    <row r="167" spans="1:4" x14ac:dyDescent="0.3">
      <c r="A167" s="60">
        <f t="shared" si="2"/>
        <v>165</v>
      </c>
      <c r="B167" s="64">
        <v>0.25493919022938366</v>
      </c>
      <c r="C167" s="45">
        <v>0.72203423175290182</v>
      </c>
      <c r="D167" s="45">
        <v>0.50275862068965516</v>
      </c>
    </row>
    <row r="168" spans="1:4" x14ac:dyDescent="0.3">
      <c r="A168" s="60">
        <f t="shared" si="2"/>
        <v>166</v>
      </c>
      <c r="B168" s="64">
        <v>0.25493919022938366</v>
      </c>
      <c r="C168" s="45">
        <v>0.72203423175290182</v>
      </c>
      <c r="D168" s="45">
        <v>0.50275862068965516</v>
      </c>
    </row>
    <row r="169" spans="1:4" x14ac:dyDescent="0.3">
      <c r="A169" s="60">
        <f t="shared" si="2"/>
        <v>167</v>
      </c>
      <c r="B169" s="64">
        <v>0.25493919022938366</v>
      </c>
      <c r="C169" s="45">
        <v>0.72203423175290182</v>
      </c>
      <c r="D169" s="45">
        <v>0.50275862068965516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workbookViewId="0">
      <selection activeCell="G17" sqref="G17"/>
    </sheetView>
  </sheetViews>
  <sheetFormatPr baseColWidth="10" defaultRowHeight="14" x14ac:dyDescent="0.3"/>
  <cols>
    <col min="1" max="1" width="17.453125" style="23" customWidth="1"/>
    <col min="2" max="2" width="12.81640625" style="23" bestFit="1" customWidth="1"/>
    <col min="3" max="3" width="12.54296875" style="23" bestFit="1" customWidth="1"/>
    <col min="4" max="6" width="10.90625" style="23"/>
    <col min="7" max="7" width="20" style="23" bestFit="1" customWidth="1"/>
    <col min="8" max="8" width="10.90625" style="23"/>
    <col min="9" max="9" width="12.6328125" style="23" customWidth="1"/>
    <col min="10" max="16384" width="10.90625" style="23"/>
  </cols>
  <sheetData>
    <row r="1" spans="1:11" x14ac:dyDescent="0.3">
      <c r="A1" s="20" t="s">
        <v>5</v>
      </c>
      <c r="B1" s="20" t="s">
        <v>16</v>
      </c>
      <c r="C1" s="20" t="s">
        <v>25</v>
      </c>
      <c r="D1" s="20" t="s">
        <v>26</v>
      </c>
      <c r="E1" s="20" t="s">
        <v>27</v>
      </c>
      <c r="F1" s="20" t="s">
        <v>28</v>
      </c>
      <c r="G1" s="20" t="s">
        <v>24</v>
      </c>
      <c r="H1" s="20" t="s">
        <v>14</v>
      </c>
      <c r="I1" s="20" t="s">
        <v>15</v>
      </c>
      <c r="J1" s="20" t="s">
        <v>0</v>
      </c>
      <c r="K1" s="20" t="s">
        <v>1</v>
      </c>
    </row>
    <row r="2" spans="1:11" x14ac:dyDescent="0.3">
      <c r="A2" s="33" t="s">
        <v>60</v>
      </c>
      <c r="B2" s="23" t="s">
        <v>32</v>
      </c>
      <c r="C2" s="6">
        <f>20414989.14</f>
        <v>20414989.140000001</v>
      </c>
      <c r="D2" s="2">
        <f>C2*F2</f>
        <v>18373490.226</v>
      </c>
      <c r="E2" s="23">
        <v>0.2</v>
      </c>
      <c r="F2" s="23">
        <v>0.9</v>
      </c>
      <c r="G2" s="23" t="s">
        <v>6</v>
      </c>
      <c r="I2" s="23">
        <v>1</v>
      </c>
      <c r="J2" s="23" t="s">
        <v>8</v>
      </c>
      <c r="K2" s="23" t="s">
        <v>6</v>
      </c>
    </row>
    <row r="3" spans="1:11" x14ac:dyDescent="0.3">
      <c r="A3" s="34" t="s">
        <v>61</v>
      </c>
      <c r="B3" s="23" t="s">
        <v>36</v>
      </c>
      <c r="C3" s="6">
        <f>3307600</f>
        <v>3307600</v>
      </c>
      <c r="D3" s="2">
        <f t="shared" ref="D3" si="0">C3*F3</f>
        <v>2976840</v>
      </c>
      <c r="E3" s="23">
        <v>0.2</v>
      </c>
      <c r="F3" s="23">
        <v>0.9</v>
      </c>
      <c r="G3" s="23" t="s">
        <v>6</v>
      </c>
      <c r="I3" s="23">
        <v>1</v>
      </c>
      <c r="J3" s="23" t="s">
        <v>8</v>
      </c>
      <c r="K3" s="23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K4"/>
  <sheetViews>
    <sheetView workbookViewId="0">
      <selection activeCell="A5" sqref="A5:XFD7"/>
    </sheetView>
  </sheetViews>
  <sheetFormatPr baseColWidth="10" defaultRowHeight="14" x14ac:dyDescent="0.3"/>
  <cols>
    <col min="1" max="1" width="26.7265625" style="2" bestFit="1" customWidth="1"/>
    <col min="2" max="2" width="23.54296875" style="2" bestFit="1" customWidth="1"/>
    <col min="3" max="4" width="10.90625" style="2"/>
    <col min="5" max="5" width="14.54296875" style="2" bestFit="1" customWidth="1"/>
    <col min="6" max="6" width="17.453125" style="2" bestFit="1" customWidth="1"/>
    <col min="7" max="7" width="10.90625" style="2"/>
    <col min="8" max="8" width="20" style="2" bestFit="1" customWidth="1"/>
    <col min="9" max="9" width="12.6328125" style="2" bestFit="1" customWidth="1"/>
    <col min="10" max="16384" width="10.90625" style="2"/>
  </cols>
  <sheetData>
    <row r="1" spans="1:11" x14ac:dyDescent="0.3">
      <c r="A1" s="13" t="s">
        <v>5</v>
      </c>
      <c r="B1" s="13" t="s">
        <v>16</v>
      </c>
      <c r="C1" s="13" t="s">
        <v>13</v>
      </c>
      <c r="D1" s="13" t="s">
        <v>21</v>
      </c>
      <c r="E1" s="13" t="s">
        <v>22</v>
      </c>
      <c r="F1" s="13" t="s">
        <v>23</v>
      </c>
      <c r="G1" s="13" t="s">
        <v>14</v>
      </c>
      <c r="H1" s="13" t="s">
        <v>24</v>
      </c>
      <c r="I1" s="13" t="s">
        <v>15</v>
      </c>
      <c r="J1" s="13" t="s">
        <v>0</v>
      </c>
      <c r="K1" s="13" t="s">
        <v>1</v>
      </c>
    </row>
    <row r="2" spans="1:11" x14ac:dyDescent="0.3">
      <c r="A2" s="3" t="s">
        <v>57</v>
      </c>
      <c r="B2" s="2" t="s">
        <v>31</v>
      </c>
      <c r="C2" s="7">
        <f>57427.04</f>
        <v>57427.040000000001</v>
      </c>
      <c r="D2" s="8">
        <v>4</v>
      </c>
      <c r="E2" s="7">
        <v>0.89658206299999998</v>
      </c>
      <c r="F2" s="7">
        <v>0.89658206299999998</v>
      </c>
      <c r="G2" s="8"/>
      <c r="H2" s="2" t="s">
        <v>30</v>
      </c>
      <c r="I2" s="2">
        <v>0.1</v>
      </c>
      <c r="J2" s="2" t="s">
        <v>7</v>
      </c>
      <c r="K2" s="2" t="s">
        <v>6</v>
      </c>
    </row>
    <row r="3" spans="1:11" x14ac:dyDescent="0.3">
      <c r="A3" s="3" t="s">
        <v>58</v>
      </c>
      <c r="B3" s="2" t="s">
        <v>34</v>
      </c>
      <c r="C3" s="7">
        <v>1528</v>
      </c>
      <c r="D3" s="8">
        <v>1000</v>
      </c>
      <c r="E3" s="8">
        <v>0.99</v>
      </c>
      <c r="F3" s="8">
        <v>0.99</v>
      </c>
      <c r="G3" s="8"/>
      <c r="H3" s="2" t="s">
        <v>30</v>
      </c>
      <c r="I3" s="2">
        <v>2</v>
      </c>
      <c r="J3" s="2" t="s">
        <v>4</v>
      </c>
      <c r="K3" s="2" t="s">
        <v>6</v>
      </c>
    </row>
    <row r="4" spans="1:11" x14ac:dyDescent="0.3">
      <c r="A4" s="4" t="s">
        <v>59</v>
      </c>
      <c r="B4" s="2" t="s">
        <v>35</v>
      </c>
      <c r="C4" s="7">
        <v>12000</v>
      </c>
      <c r="D4" s="8">
        <v>4</v>
      </c>
      <c r="E4" s="7">
        <v>0.92</v>
      </c>
      <c r="F4" s="7">
        <v>0.92</v>
      </c>
      <c r="G4" s="8"/>
      <c r="H4" s="2" t="s">
        <v>30</v>
      </c>
      <c r="I4" s="2">
        <v>0.1</v>
      </c>
      <c r="J4" s="2" t="s">
        <v>7</v>
      </c>
      <c r="K4" s="2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FFC000"/>
  </sheetPr>
  <dimension ref="A1:I170"/>
  <sheetViews>
    <sheetView topLeftCell="C1" zoomScale="90" workbookViewId="0">
      <selection activeCell="D23" sqref="D23"/>
    </sheetView>
  </sheetViews>
  <sheetFormatPr baseColWidth="10" defaultRowHeight="14" x14ac:dyDescent="0.3"/>
  <cols>
    <col min="1" max="6" width="22" style="11" customWidth="1"/>
    <col min="7" max="7" width="28.1796875" style="11" customWidth="1"/>
    <col min="8" max="8" width="22" style="11" customWidth="1"/>
    <col min="9" max="9" width="23.7265625" style="11" bestFit="1" customWidth="1"/>
    <col min="10" max="16384" width="10.90625" style="11"/>
  </cols>
  <sheetData>
    <row r="1" spans="1:9" s="43" customFormat="1" x14ac:dyDescent="0.3">
      <c r="A1" s="49" t="s">
        <v>62</v>
      </c>
      <c r="B1" s="49" t="s">
        <v>63</v>
      </c>
      <c r="C1" s="41" t="s">
        <v>64</v>
      </c>
      <c r="D1" s="41" t="s">
        <v>65</v>
      </c>
      <c r="E1" s="50" t="s">
        <v>102</v>
      </c>
      <c r="F1" s="50" t="s">
        <v>103</v>
      </c>
      <c r="G1" s="50" t="s">
        <v>117</v>
      </c>
      <c r="H1" s="50" t="s">
        <v>144</v>
      </c>
      <c r="I1" s="50" t="s">
        <v>143</v>
      </c>
    </row>
    <row r="2" spans="1:9" x14ac:dyDescent="0.3">
      <c r="A2" s="51">
        <v>31741.699000000001</v>
      </c>
      <c r="B2" s="51">
        <v>11835.472839999999</v>
      </c>
      <c r="C2" s="52">
        <v>5108.7860000000001</v>
      </c>
      <c r="D2" s="52">
        <v>1328.747032</v>
      </c>
      <c r="E2" s="52">
        <v>0</v>
      </c>
      <c r="F2" s="52">
        <v>6779.6610170000004</v>
      </c>
      <c r="G2" s="52">
        <v>0</v>
      </c>
      <c r="H2" s="52">
        <v>0</v>
      </c>
      <c r="I2" s="52">
        <v>0</v>
      </c>
    </row>
    <row r="3" spans="1:9" x14ac:dyDescent="0.3">
      <c r="A3" s="51">
        <v>30099.562999999998</v>
      </c>
      <c r="B3" s="51">
        <v>11835.472839999999</v>
      </c>
      <c r="C3" s="52">
        <v>4819.1030000000001</v>
      </c>
      <c r="D3" s="52">
        <v>1328.747032</v>
      </c>
      <c r="E3" s="52">
        <v>0</v>
      </c>
      <c r="F3" s="52">
        <v>6779.6610170000004</v>
      </c>
      <c r="G3" s="52">
        <v>0</v>
      </c>
      <c r="H3" s="52">
        <v>0</v>
      </c>
      <c r="I3" s="52">
        <v>0</v>
      </c>
    </row>
    <row r="4" spans="1:9" x14ac:dyDescent="0.3">
      <c r="A4" s="51">
        <v>28885.16</v>
      </c>
      <c r="B4" s="51">
        <v>11835.472839999999</v>
      </c>
      <c r="C4" s="52">
        <v>4387.7039999999997</v>
      </c>
      <c r="D4" s="52">
        <v>1328.747032</v>
      </c>
      <c r="E4" s="52">
        <v>0</v>
      </c>
      <c r="F4" s="52">
        <v>6779.6610170000004</v>
      </c>
      <c r="G4" s="52">
        <v>0</v>
      </c>
      <c r="H4" s="52">
        <v>0</v>
      </c>
      <c r="I4" s="52">
        <v>0</v>
      </c>
    </row>
    <row r="5" spans="1:9" x14ac:dyDescent="0.3">
      <c r="A5" s="51">
        <v>28278.065999999999</v>
      </c>
      <c r="B5" s="51">
        <v>11835.472839999999</v>
      </c>
      <c r="C5" s="52">
        <v>4234.8289999999997</v>
      </c>
      <c r="D5" s="52">
        <v>1328.747032</v>
      </c>
      <c r="E5" s="52">
        <v>0</v>
      </c>
      <c r="F5" s="52">
        <v>6779.6610170000004</v>
      </c>
      <c r="G5" s="52">
        <v>0</v>
      </c>
      <c r="H5" s="52">
        <v>0</v>
      </c>
      <c r="I5" s="52">
        <v>0</v>
      </c>
    </row>
    <row r="6" spans="1:9" x14ac:dyDescent="0.3">
      <c r="A6" s="51">
        <v>28514.219000000001</v>
      </c>
      <c r="B6" s="51">
        <v>11851.182839999999</v>
      </c>
      <c r="C6" s="52">
        <v>4222.5379999999996</v>
      </c>
      <c r="D6" s="52">
        <v>1328.747032</v>
      </c>
      <c r="E6" s="52">
        <v>0</v>
      </c>
      <c r="F6" s="52">
        <v>6779.6610170000004</v>
      </c>
      <c r="G6" s="52">
        <v>0</v>
      </c>
      <c r="H6" s="52">
        <v>0</v>
      </c>
      <c r="I6" s="52">
        <v>0</v>
      </c>
    </row>
    <row r="7" spans="1:9" x14ac:dyDescent="0.3">
      <c r="A7" s="51">
        <v>29517.69</v>
      </c>
      <c r="B7" s="51">
        <v>11882.602849999999</v>
      </c>
      <c r="C7" s="52">
        <v>4353.5569999999998</v>
      </c>
      <c r="D7" s="52">
        <v>1426.7035080000001</v>
      </c>
      <c r="E7" s="52">
        <v>0</v>
      </c>
      <c r="F7" s="52">
        <v>6779.6610170000004</v>
      </c>
      <c r="G7" s="52">
        <v>0</v>
      </c>
      <c r="H7" s="52">
        <v>0</v>
      </c>
      <c r="I7" s="52">
        <v>0</v>
      </c>
    </row>
    <row r="8" spans="1:9" x14ac:dyDescent="0.3">
      <c r="A8" s="51">
        <v>31303.323</v>
      </c>
      <c r="B8" s="51">
        <v>11898.312849999998</v>
      </c>
      <c r="C8" s="52">
        <v>4546.4669999999996</v>
      </c>
      <c r="D8" s="52">
        <v>1524.659985</v>
      </c>
      <c r="E8" s="52">
        <v>0</v>
      </c>
      <c r="F8" s="52">
        <v>6779.6610170000004</v>
      </c>
      <c r="G8" s="52">
        <v>0</v>
      </c>
      <c r="H8" s="52">
        <v>0</v>
      </c>
      <c r="I8" s="52">
        <v>0</v>
      </c>
    </row>
    <row r="9" spans="1:9" x14ac:dyDescent="0.3">
      <c r="A9" s="51">
        <v>33072.214</v>
      </c>
      <c r="B9" s="51">
        <v>11914.022849999999</v>
      </c>
      <c r="C9" s="52">
        <v>4670.4759999999997</v>
      </c>
      <c r="D9" s="52">
        <v>1617.460857</v>
      </c>
      <c r="E9" s="52">
        <v>0</v>
      </c>
      <c r="F9" s="52">
        <v>6779.6610170000004</v>
      </c>
      <c r="G9" s="52">
        <v>0</v>
      </c>
      <c r="H9" s="52">
        <v>0</v>
      </c>
      <c r="I9" s="52">
        <v>0</v>
      </c>
    </row>
    <row r="10" spans="1:9" x14ac:dyDescent="0.3">
      <c r="A10" s="51">
        <v>34068.637999999999</v>
      </c>
      <c r="B10" s="51">
        <v>11914.022849999999</v>
      </c>
      <c r="C10" s="52">
        <v>4713.0320000000002</v>
      </c>
      <c r="D10" s="52">
        <v>1715.4173330000001</v>
      </c>
      <c r="E10" s="52">
        <v>0</v>
      </c>
      <c r="F10" s="52">
        <v>6779.6610170000004</v>
      </c>
      <c r="G10" s="52">
        <v>0</v>
      </c>
      <c r="H10" s="52">
        <v>0</v>
      </c>
      <c r="I10" s="52">
        <v>0</v>
      </c>
    </row>
    <row r="11" spans="1:9" x14ac:dyDescent="0.3">
      <c r="A11" s="51">
        <v>35359.432999999997</v>
      </c>
      <c r="B11" s="51">
        <v>11914.022849999999</v>
      </c>
      <c r="C11" s="52">
        <v>4911.3090000000002</v>
      </c>
      <c r="D11" s="52">
        <v>1715.4173330000001</v>
      </c>
      <c r="E11" s="52">
        <v>0</v>
      </c>
      <c r="F11" s="52">
        <v>6779.6610170000004</v>
      </c>
      <c r="G11" s="52">
        <v>0</v>
      </c>
      <c r="H11" s="52">
        <v>0</v>
      </c>
      <c r="I11" s="52">
        <v>0</v>
      </c>
    </row>
    <row r="12" spans="1:9" x14ac:dyDescent="0.3">
      <c r="A12" s="51">
        <v>35771.872000000003</v>
      </c>
      <c r="B12" s="51">
        <v>11914.022849999999</v>
      </c>
      <c r="C12" s="52">
        <v>5033.2820000000002</v>
      </c>
      <c r="D12" s="52">
        <v>1766.9733739999999</v>
      </c>
      <c r="E12" s="52">
        <v>578.16100895</v>
      </c>
      <c r="F12" s="52">
        <v>6779.6610170000004</v>
      </c>
      <c r="G12" s="52">
        <v>651.21892933000004</v>
      </c>
      <c r="H12" s="52">
        <v>0</v>
      </c>
      <c r="I12" s="52">
        <v>0</v>
      </c>
    </row>
    <row r="13" spans="1:9" x14ac:dyDescent="0.3">
      <c r="A13" s="51">
        <v>36558.857000000004</v>
      </c>
      <c r="B13" s="51">
        <v>11898.312849999998</v>
      </c>
      <c r="C13" s="52">
        <v>5241.0720000000001</v>
      </c>
      <c r="D13" s="52">
        <v>1766.9733739999999</v>
      </c>
      <c r="E13" s="52">
        <v>5000</v>
      </c>
      <c r="F13" s="52">
        <v>6779.6610170000004</v>
      </c>
      <c r="G13" s="52">
        <v>948.49916551000001</v>
      </c>
      <c r="H13" s="52">
        <v>818</v>
      </c>
      <c r="I13" s="52">
        <v>0</v>
      </c>
    </row>
    <row r="14" spans="1:9" x14ac:dyDescent="0.3">
      <c r="A14" s="51">
        <v>37443.358999999997</v>
      </c>
      <c r="B14" s="51">
        <v>11882.602849999999</v>
      </c>
      <c r="C14" s="52">
        <v>5572.7849999999999</v>
      </c>
      <c r="D14" s="52">
        <v>1715.4173330000001</v>
      </c>
      <c r="E14" s="52">
        <v>5000</v>
      </c>
      <c r="F14" s="52">
        <v>6779.6610170000004</v>
      </c>
      <c r="G14" s="52">
        <v>261.55916551000001</v>
      </c>
      <c r="H14" s="52">
        <v>818</v>
      </c>
      <c r="I14" s="52">
        <v>330</v>
      </c>
    </row>
    <row r="15" spans="1:9" x14ac:dyDescent="0.3">
      <c r="A15" s="51">
        <v>37784.137000000002</v>
      </c>
      <c r="B15" s="51">
        <v>11882.602849999999</v>
      </c>
      <c r="C15" s="52">
        <v>5282.482</v>
      </c>
      <c r="D15" s="52">
        <v>1741.195354</v>
      </c>
      <c r="E15" s="52">
        <v>5000</v>
      </c>
      <c r="F15" s="52">
        <v>6779.6610170000004</v>
      </c>
      <c r="G15" s="52">
        <v>261.55916551000001</v>
      </c>
      <c r="H15" s="52">
        <v>818</v>
      </c>
      <c r="I15" s="52">
        <v>77.210303929999995</v>
      </c>
    </row>
    <row r="16" spans="1:9" x14ac:dyDescent="0.3">
      <c r="A16" s="51">
        <v>37011.836000000003</v>
      </c>
      <c r="B16" s="51">
        <v>11898.312849999998</v>
      </c>
      <c r="C16" s="52">
        <v>5002.3549999999996</v>
      </c>
      <c r="D16" s="52">
        <v>1715.4173330000001</v>
      </c>
      <c r="E16" s="52">
        <v>5000</v>
      </c>
      <c r="F16" s="52">
        <v>6779.6610170000004</v>
      </c>
      <c r="G16" s="52">
        <v>948.49916551000001</v>
      </c>
      <c r="H16" s="52">
        <v>818</v>
      </c>
      <c r="I16" s="52">
        <v>0</v>
      </c>
    </row>
    <row r="17" spans="1:9" x14ac:dyDescent="0.3">
      <c r="A17" s="51">
        <v>36719.425000000003</v>
      </c>
      <c r="B17" s="51">
        <v>11914.022849999999</v>
      </c>
      <c r="C17" s="52">
        <v>5027.03</v>
      </c>
      <c r="D17" s="52">
        <v>1715.4173330000001</v>
      </c>
      <c r="E17" s="52">
        <v>5000</v>
      </c>
      <c r="F17" s="52">
        <v>6779.6610170000004</v>
      </c>
      <c r="G17" s="52">
        <v>981.21892933000004</v>
      </c>
      <c r="H17" s="52">
        <v>0</v>
      </c>
      <c r="I17" s="52">
        <v>0</v>
      </c>
    </row>
    <row r="18" spans="1:9" x14ac:dyDescent="0.3">
      <c r="A18" s="51">
        <v>37509.415000000001</v>
      </c>
      <c r="B18" s="51">
        <v>11914.022849999999</v>
      </c>
      <c r="C18" s="52">
        <v>5250.4759999999997</v>
      </c>
      <c r="D18" s="52">
        <v>1715.4173330000001</v>
      </c>
      <c r="E18" s="52">
        <v>0</v>
      </c>
      <c r="F18" s="52">
        <v>6779.6610170000004</v>
      </c>
      <c r="G18" s="52">
        <v>294.27892932999998</v>
      </c>
      <c r="H18" s="52">
        <v>0</v>
      </c>
      <c r="I18" s="52">
        <v>0</v>
      </c>
    </row>
    <row r="19" spans="1:9" x14ac:dyDescent="0.3">
      <c r="A19" s="51">
        <v>40069.400999999998</v>
      </c>
      <c r="B19" s="51">
        <v>10571.61585</v>
      </c>
      <c r="C19" s="52">
        <v>5897.9110000000001</v>
      </c>
      <c r="D19" s="52">
        <v>1715.4173330000001</v>
      </c>
      <c r="E19" s="52">
        <v>0</v>
      </c>
      <c r="F19" s="52">
        <v>5734.7610169999998</v>
      </c>
      <c r="G19" s="52">
        <v>0</v>
      </c>
      <c r="H19" s="52">
        <v>0</v>
      </c>
      <c r="I19" s="52">
        <v>0</v>
      </c>
    </row>
    <row r="20" spans="1:9" x14ac:dyDescent="0.3">
      <c r="A20" s="51">
        <v>41869.760999999999</v>
      </c>
      <c r="B20" s="51">
        <v>10555.905849999999</v>
      </c>
      <c r="C20" s="52">
        <v>6460.5529999999999</v>
      </c>
      <c r="D20" s="52">
        <v>1715.4173330000001</v>
      </c>
      <c r="E20" s="52">
        <v>0</v>
      </c>
      <c r="F20" s="52">
        <v>4690.3208989100003</v>
      </c>
      <c r="G20" s="52">
        <v>0</v>
      </c>
      <c r="H20" s="52">
        <v>0</v>
      </c>
      <c r="I20" s="52">
        <v>0</v>
      </c>
    </row>
    <row r="21" spans="1:9" x14ac:dyDescent="0.3">
      <c r="A21" s="51">
        <v>42326.976000000002</v>
      </c>
      <c r="B21" s="51">
        <v>10540.19585</v>
      </c>
      <c r="C21" s="52">
        <v>6579.66</v>
      </c>
      <c r="D21" s="52">
        <v>1560.7492130000001</v>
      </c>
      <c r="E21" s="52">
        <v>0</v>
      </c>
      <c r="F21" s="52">
        <v>3645.8807808299998</v>
      </c>
      <c r="G21" s="52">
        <v>0</v>
      </c>
      <c r="H21" s="52">
        <v>0</v>
      </c>
      <c r="I21" s="52">
        <v>0</v>
      </c>
    </row>
    <row r="22" spans="1:9" x14ac:dyDescent="0.3">
      <c r="A22" s="51">
        <v>41738.434000000001</v>
      </c>
      <c r="B22" s="51">
        <v>10524.485839999999</v>
      </c>
      <c r="C22" s="52">
        <v>6401.134</v>
      </c>
      <c r="D22" s="52">
        <v>1457.6371320000001</v>
      </c>
      <c r="E22" s="52">
        <v>0</v>
      </c>
      <c r="F22" s="52">
        <v>2601.4406627399999</v>
      </c>
      <c r="G22" s="52">
        <v>0</v>
      </c>
      <c r="H22" s="52">
        <v>0</v>
      </c>
      <c r="I22" s="52">
        <v>0</v>
      </c>
    </row>
    <row r="23" spans="1:9" x14ac:dyDescent="0.3">
      <c r="A23" s="51">
        <v>40187.006000000001</v>
      </c>
      <c r="B23" s="51">
        <v>10508.77584</v>
      </c>
      <c r="C23" s="52">
        <v>6011.4380000000001</v>
      </c>
      <c r="D23" s="52">
        <v>1380.3030719999999</v>
      </c>
      <c r="E23" s="52">
        <v>0</v>
      </c>
      <c r="F23" s="52">
        <v>1557.0005446499999</v>
      </c>
      <c r="G23" s="52">
        <v>0</v>
      </c>
      <c r="H23" s="52">
        <v>0</v>
      </c>
      <c r="I23" s="52">
        <v>0</v>
      </c>
    </row>
    <row r="24" spans="1:9" x14ac:dyDescent="0.3">
      <c r="A24" s="51">
        <v>37830.438000000002</v>
      </c>
      <c r="B24" s="51">
        <v>10493.065839999999</v>
      </c>
      <c r="C24" s="52">
        <v>6214.9660000000003</v>
      </c>
      <c r="D24" s="52">
        <v>1328.747032</v>
      </c>
      <c r="E24" s="52">
        <v>0</v>
      </c>
      <c r="F24" s="52">
        <v>2412.11279491</v>
      </c>
      <c r="G24" s="52">
        <v>0</v>
      </c>
      <c r="H24" s="52">
        <v>0</v>
      </c>
      <c r="I24" s="52">
        <v>0</v>
      </c>
    </row>
    <row r="25" spans="1:9" x14ac:dyDescent="0.3">
      <c r="A25" s="51">
        <v>35243.232000000004</v>
      </c>
      <c r="B25" s="51">
        <v>10493.065839999999</v>
      </c>
      <c r="C25" s="52">
        <v>5844.1</v>
      </c>
      <c r="D25" s="52">
        <v>1328.747032</v>
      </c>
      <c r="E25" s="52">
        <v>0</v>
      </c>
      <c r="F25" s="52">
        <v>3457.0127949100001</v>
      </c>
      <c r="G25" s="52">
        <v>0</v>
      </c>
      <c r="H25" s="52">
        <v>0</v>
      </c>
      <c r="I25" s="52">
        <v>0</v>
      </c>
    </row>
    <row r="26" spans="1:9" x14ac:dyDescent="0.3">
      <c r="A26" s="51">
        <v>33915.038</v>
      </c>
      <c r="B26" s="51">
        <v>10493.065839999999</v>
      </c>
      <c r="C26" s="52">
        <v>5660.5590000000002</v>
      </c>
      <c r="D26" s="52">
        <v>1293.3053709999999</v>
      </c>
      <c r="E26" s="52">
        <v>0</v>
      </c>
      <c r="F26" s="52">
        <v>4501.9137809599997</v>
      </c>
      <c r="G26" s="52">
        <v>0</v>
      </c>
      <c r="H26" s="52">
        <v>0</v>
      </c>
      <c r="I26" s="52">
        <v>0</v>
      </c>
    </row>
    <row r="27" spans="1:9" x14ac:dyDescent="0.3">
      <c r="A27" s="51">
        <v>32036.166489359999</v>
      </c>
      <c r="B27" s="51">
        <v>10493.065839999999</v>
      </c>
      <c r="C27" s="52">
        <v>5292.4740000000002</v>
      </c>
      <c r="D27" s="52">
        <v>1293.3053709999999</v>
      </c>
      <c r="E27" s="52">
        <v>0</v>
      </c>
      <c r="F27" s="52">
        <v>5546.8137809600003</v>
      </c>
      <c r="G27" s="52">
        <v>0</v>
      </c>
      <c r="H27" s="52">
        <v>0</v>
      </c>
      <c r="I27" s="52">
        <v>0</v>
      </c>
    </row>
    <row r="28" spans="1:9" x14ac:dyDescent="0.3">
      <c r="A28" s="51">
        <v>30970.332893620001</v>
      </c>
      <c r="B28" s="51">
        <v>10493.065839999999</v>
      </c>
      <c r="C28" s="52">
        <v>4865.9650000000001</v>
      </c>
      <c r="D28" s="52">
        <v>1293.3053709999999</v>
      </c>
      <c r="E28" s="52">
        <v>0</v>
      </c>
      <c r="F28" s="52">
        <v>5747.0736735</v>
      </c>
      <c r="G28" s="52">
        <v>0</v>
      </c>
      <c r="H28" s="52">
        <v>0</v>
      </c>
      <c r="I28" s="52">
        <v>0</v>
      </c>
    </row>
    <row r="29" spans="1:9" x14ac:dyDescent="0.3">
      <c r="A29" s="51">
        <v>30609.32887234</v>
      </c>
      <c r="B29" s="51">
        <v>10493.065839999999</v>
      </c>
      <c r="C29" s="52">
        <v>4748.2039999999997</v>
      </c>
      <c r="D29" s="52">
        <v>1293.3053709999999</v>
      </c>
      <c r="E29" s="52">
        <v>0</v>
      </c>
      <c r="F29" s="52">
        <v>4702.1736735000004</v>
      </c>
      <c r="G29" s="52">
        <v>0</v>
      </c>
      <c r="H29" s="52">
        <v>0</v>
      </c>
      <c r="I29" s="52">
        <v>0</v>
      </c>
    </row>
    <row r="30" spans="1:9" x14ac:dyDescent="0.3">
      <c r="A30" s="51">
        <v>31420.484063830001</v>
      </c>
      <c r="B30" s="51">
        <v>10508.77584</v>
      </c>
      <c r="C30" s="52">
        <v>4751.924</v>
      </c>
      <c r="D30" s="52">
        <v>1293.3053709999999</v>
      </c>
      <c r="E30" s="52">
        <v>0</v>
      </c>
      <c r="F30" s="52">
        <v>3656.8137915900002</v>
      </c>
      <c r="G30" s="52">
        <v>0</v>
      </c>
      <c r="H30" s="52">
        <v>0</v>
      </c>
      <c r="I30" s="52">
        <v>0</v>
      </c>
    </row>
    <row r="31" spans="1:9" x14ac:dyDescent="0.3">
      <c r="A31" s="51">
        <v>33647.227234040001</v>
      </c>
      <c r="B31" s="51">
        <v>10540.19585</v>
      </c>
      <c r="C31" s="52">
        <v>4887.5929999999998</v>
      </c>
      <c r="D31" s="52">
        <v>1391.261847</v>
      </c>
      <c r="E31" s="52">
        <v>0</v>
      </c>
      <c r="F31" s="52">
        <v>2610.9940277599999</v>
      </c>
      <c r="G31" s="52">
        <v>0</v>
      </c>
      <c r="H31" s="52">
        <v>0</v>
      </c>
      <c r="I31" s="52">
        <v>0</v>
      </c>
    </row>
    <row r="32" spans="1:9" x14ac:dyDescent="0.3">
      <c r="A32" s="51">
        <v>36828.191680000004</v>
      </c>
      <c r="B32" s="51">
        <v>10555.905849999999</v>
      </c>
      <c r="C32" s="52">
        <v>5244.3310000000001</v>
      </c>
      <c r="D32" s="52">
        <v>1489.2183239999999</v>
      </c>
      <c r="E32" s="52">
        <v>0</v>
      </c>
      <c r="F32" s="52">
        <v>2600.5208989100001</v>
      </c>
      <c r="G32" s="52">
        <v>0</v>
      </c>
      <c r="H32" s="52">
        <v>0</v>
      </c>
      <c r="I32" s="52">
        <v>0</v>
      </c>
    </row>
    <row r="33" spans="1:9" x14ac:dyDescent="0.3">
      <c r="A33" s="51">
        <v>39652.996679999997</v>
      </c>
      <c r="B33" s="51">
        <v>10571.61585</v>
      </c>
      <c r="C33" s="52">
        <v>5780.6540000000005</v>
      </c>
      <c r="D33" s="52">
        <v>1582.019196</v>
      </c>
      <c r="E33" s="52">
        <v>0</v>
      </c>
      <c r="F33" s="52">
        <v>3644.9610170000001</v>
      </c>
      <c r="G33" s="52">
        <v>0</v>
      </c>
      <c r="H33" s="52">
        <v>0</v>
      </c>
      <c r="I33" s="52">
        <v>0</v>
      </c>
    </row>
    <row r="34" spans="1:9" x14ac:dyDescent="0.3">
      <c r="A34" s="51">
        <v>41504.08268</v>
      </c>
      <c r="B34" s="51">
        <v>10571.61585</v>
      </c>
      <c r="C34" s="52">
        <v>6278.93</v>
      </c>
      <c r="D34" s="52">
        <v>1679.9756729999999</v>
      </c>
      <c r="E34" s="52">
        <v>0</v>
      </c>
      <c r="F34" s="52">
        <v>4689.8610170000002</v>
      </c>
      <c r="G34" s="52">
        <v>0</v>
      </c>
      <c r="H34" s="52">
        <v>0</v>
      </c>
      <c r="I34" s="52">
        <v>0</v>
      </c>
    </row>
    <row r="35" spans="1:9" x14ac:dyDescent="0.3">
      <c r="A35" s="51">
        <v>42690.08668</v>
      </c>
      <c r="B35" s="51">
        <v>10571.61585</v>
      </c>
      <c r="C35" s="52">
        <v>6491.9089999999997</v>
      </c>
      <c r="D35" s="52">
        <v>1679.9756729999999</v>
      </c>
      <c r="E35" s="52">
        <v>0</v>
      </c>
      <c r="F35" s="52">
        <v>5734.7610169999998</v>
      </c>
      <c r="G35" s="52">
        <v>0</v>
      </c>
      <c r="H35" s="52">
        <v>0</v>
      </c>
      <c r="I35" s="52">
        <v>0</v>
      </c>
    </row>
    <row r="36" spans="1:9" x14ac:dyDescent="0.3">
      <c r="A36" s="51">
        <v>42575.571000000004</v>
      </c>
      <c r="B36" s="51">
        <v>11914.022849999999</v>
      </c>
      <c r="C36" s="52">
        <v>6381.1840000000002</v>
      </c>
      <c r="D36" s="52">
        <v>1731.5317130000001</v>
      </c>
      <c r="E36" s="52">
        <v>0</v>
      </c>
      <c r="F36" s="52">
        <v>6779.6610170000004</v>
      </c>
      <c r="G36" s="52">
        <v>0</v>
      </c>
      <c r="H36" s="52">
        <v>0</v>
      </c>
      <c r="I36" s="52">
        <v>0</v>
      </c>
    </row>
    <row r="37" spans="1:9" x14ac:dyDescent="0.3">
      <c r="A37" s="51">
        <v>42837.446000000004</v>
      </c>
      <c r="B37" s="51">
        <v>11898.312849999998</v>
      </c>
      <c r="C37" s="52">
        <v>6459.91</v>
      </c>
      <c r="D37" s="52">
        <v>1731.5317130000001</v>
      </c>
      <c r="E37" s="52">
        <v>0</v>
      </c>
      <c r="F37" s="52">
        <v>6779.6610170000004</v>
      </c>
      <c r="G37" s="52">
        <v>0</v>
      </c>
      <c r="H37" s="52">
        <v>0</v>
      </c>
      <c r="I37" s="52">
        <v>0</v>
      </c>
    </row>
    <row r="38" spans="1:9" x14ac:dyDescent="0.3">
      <c r="A38" s="51">
        <v>43054.642</v>
      </c>
      <c r="B38" s="51">
        <v>11882.602849999999</v>
      </c>
      <c r="C38" s="52">
        <v>6512.3739999999998</v>
      </c>
      <c r="D38" s="52">
        <v>1679.9756729999999</v>
      </c>
      <c r="E38" s="52">
        <v>0</v>
      </c>
      <c r="F38" s="52">
        <v>6779.6610170000004</v>
      </c>
      <c r="G38" s="52">
        <v>0</v>
      </c>
      <c r="H38" s="52">
        <v>0</v>
      </c>
      <c r="I38" s="52">
        <v>0</v>
      </c>
    </row>
    <row r="39" spans="1:9" x14ac:dyDescent="0.3">
      <c r="A39" s="51">
        <v>42919.839</v>
      </c>
      <c r="B39" s="51">
        <v>11882.602849999999</v>
      </c>
      <c r="C39" s="52">
        <v>6237.08</v>
      </c>
      <c r="D39" s="52">
        <v>1705.7536930000001</v>
      </c>
      <c r="E39" s="52">
        <v>0</v>
      </c>
      <c r="F39" s="52">
        <v>6779.6610170000004</v>
      </c>
      <c r="G39" s="52">
        <v>588.96592054999996</v>
      </c>
      <c r="H39" s="52">
        <v>0</v>
      </c>
      <c r="I39" s="52">
        <v>0</v>
      </c>
    </row>
    <row r="40" spans="1:9" x14ac:dyDescent="0.3">
      <c r="A40" s="51">
        <v>42174.105000000003</v>
      </c>
      <c r="B40" s="51">
        <v>11898.312849999998</v>
      </c>
      <c r="C40" s="52">
        <v>6179.3860000000004</v>
      </c>
      <c r="D40" s="52">
        <v>1679.9756729999999</v>
      </c>
      <c r="E40" s="52">
        <v>0</v>
      </c>
      <c r="F40" s="52">
        <v>6779.6610170000004</v>
      </c>
      <c r="G40" s="52">
        <v>650.75806136999995</v>
      </c>
      <c r="H40" s="52">
        <v>0</v>
      </c>
      <c r="I40" s="52">
        <v>0</v>
      </c>
    </row>
    <row r="41" spans="1:9" x14ac:dyDescent="0.3">
      <c r="A41" s="51">
        <v>42199.495000000003</v>
      </c>
      <c r="B41" s="51">
        <v>11914.022849999999</v>
      </c>
      <c r="C41" s="52">
        <v>6194.5559999999996</v>
      </c>
      <c r="D41" s="52">
        <v>1679.9756729999999</v>
      </c>
      <c r="E41" s="52">
        <v>0</v>
      </c>
      <c r="F41" s="52">
        <v>5990.2735120899997</v>
      </c>
      <c r="G41" s="52">
        <v>651.21794327999999</v>
      </c>
      <c r="H41" s="52">
        <v>0</v>
      </c>
      <c r="I41" s="52">
        <v>0</v>
      </c>
    </row>
    <row r="42" spans="1:9" x14ac:dyDescent="0.3">
      <c r="A42" s="51">
        <v>42908.385000000002</v>
      </c>
      <c r="B42" s="51">
        <v>11914.022849999999</v>
      </c>
      <c r="C42" s="52">
        <v>6425.3190000000004</v>
      </c>
      <c r="D42" s="52">
        <v>1679.9756729999999</v>
      </c>
      <c r="E42" s="52">
        <v>0</v>
      </c>
      <c r="F42" s="52">
        <v>4945.3735120900001</v>
      </c>
      <c r="G42" s="52">
        <v>0</v>
      </c>
      <c r="H42" s="52">
        <v>0</v>
      </c>
      <c r="I42" s="52">
        <v>0</v>
      </c>
    </row>
    <row r="43" spans="1:9" x14ac:dyDescent="0.3">
      <c r="A43" s="51">
        <v>45150.703999999998</v>
      </c>
      <c r="B43" s="51">
        <v>10571.61585</v>
      </c>
      <c r="C43" s="52">
        <v>6957.1009999999997</v>
      </c>
      <c r="D43" s="52">
        <v>1679.9756729999999</v>
      </c>
      <c r="E43" s="52">
        <v>0</v>
      </c>
      <c r="F43" s="52">
        <v>3900.47351209</v>
      </c>
      <c r="G43" s="52">
        <v>0</v>
      </c>
      <c r="H43" s="52">
        <v>0</v>
      </c>
      <c r="I43" s="52">
        <v>0</v>
      </c>
    </row>
    <row r="44" spans="1:9" x14ac:dyDescent="0.3">
      <c r="A44" s="51">
        <v>46500.607000000004</v>
      </c>
      <c r="B44" s="51">
        <v>10555.905849999999</v>
      </c>
      <c r="C44" s="52">
        <v>7451.1549999999997</v>
      </c>
      <c r="D44" s="52">
        <v>1679.9756729999999</v>
      </c>
      <c r="E44" s="52">
        <v>0</v>
      </c>
      <c r="F44" s="52">
        <v>2856.033394</v>
      </c>
      <c r="G44" s="52">
        <v>0</v>
      </c>
      <c r="H44" s="52">
        <v>0</v>
      </c>
      <c r="I44" s="52">
        <v>0</v>
      </c>
    </row>
    <row r="45" spans="1:9" x14ac:dyDescent="0.3">
      <c r="A45" s="51">
        <v>46170.290999999997</v>
      </c>
      <c r="B45" s="51">
        <v>10540.19585</v>
      </c>
      <c r="C45" s="52">
        <v>7554.1670000000004</v>
      </c>
      <c r="D45" s="52">
        <v>1525.307552</v>
      </c>
      <c r="E45" s="52">
        <v>0</v>
      </c>
      <c r="F45" s="52">
        <v>1811.5932759100001</v>
      </c>
      <c r="G45" s="52">
        <v>0</v>
      </c>
      <c r="H45" s="52">
        <v>0</v>
      </c>
      <c r="I45" s="52">
        <v>0</v>
      </c>
    </row>
    <row r="46" spans="1:9" x14ac:dyDescent="0.3">
      <c r="A46" s="51">
        <v>44560.091</v>
      </c>
      <c r="B46" s="51">
        <v>10524.485839999999</v>
      </c>
      <c r="C46" s="52">
        <v>7289.6319999999996</v>
      </c>
      <c r="D46" s="52">
        <v>1422.195471</v>
      </c>
      <c r="E46" s="52">
        <v>0</v>
      </c>
      <c r="F46" s="52">
        <v>767.15315782000005</v>
      </c>
      <c r="G46" s="52">
        <v>0</v>
      </c>
      <c r="H46" s="52">
        <v>0</v>
      </c>
      <c r="I46" s="52">
        <v>0</v>
      </c>
    </row>
    <row r="47" spans="1:9" x14ac:dyDescent="0.3">
      <c r="A47" s="51">
        <v>41967.483</v>
      </c>
      <c r="B47" s="51">
        <v>10508.77584</v>
      </c>
      <c r="C47" s="52">
        <v>6840.52</v>
      </c>
      <c r="D47" s="52">
        <v>1344.8614110000001</v>
      </c>
      <c r="E47" s="52">
        <v>0</v>
      </c>
      <c r="F47" s="52">
        <v>422.70993096000001</v>
      </c>
      <c r="G47" s="52">
        <v>0</v>
      </c>
      <c r="H47" s="52">
        <v>0</v>
      </c>
      <c r="I47" s="52">
        <v>0</v>
      </c>
    </row>
    <row r="48" spans="1:9" x14ac:dyDescent="0.3">
      <c r="A48" s="51">
        <v>39356.019</v>
      </c>
      <c r="B48" s="51">
        <v>10493.065839999999</v>
      </c>
      <c r="C48" s="52">
        <v>6945.6790000000001</v>
      </c>
      <c r="D48" s="52">
        <v>1293.3053709999999</v>
      </c>
      <c r="E48" s="52">
        <v>0</v>
      </c>
      <c r="F48" s="52">
        <v>323.07465397999999</v>
      </c>
      <c r="G48" s="52">
        <v>0</v>
      </c>
      <c r="H48" s="52">
        <v>0</v>
      </c>
      <c r="I48" s="52">
        <v>0</v>
      </c>
    </row>
    <row r="49" spans="1:9" x14ac:dyDescent="0.3">
      <c r="A49" s="51">
        <v>36872.559000000001</v>
      </c>
      <c r="B49" s="51">
        <v>10493.065839999999</v>
      </c>
      <c r="C49" s="52">
        <v>6440.0559999999996</v>
      </c>
      <c r="D49" s="52">
        <v>1293.3053709999999</v>
      </c>
      <c r="E49" s="52">
        <v>0</v>
      </c>
      <c r="F49" s="52">
        <v>164.34492398</v>
      </c>
      <c r="G49" s="52">
        <v>0</v>
      </c>
      <c r="H49" s="52">
        <v>0</v>
      </c>
      <c r="I49" s="52">
        <v>0</v>
      </c>
    </row>
    <row r="50" spans="1:9" x14ac:dyDescent="0.3">
      <c r="A50" s="51">
        <v>34091.993000000002</v>
      </c>
      <c r="B50" s="51">
        <v>10493.065839999999</v>
      </c>
      <c r="C50" s="52">
        <v>5690.9629999999997</v>
      </c>
      <c r="D50" s="52">
        <v>1174.815008</v>
      </c>
      <c r="E50" s="52">
        <v>0</v>
      </c>
      <c r="F50" s="52">
        <v>174.87043702</v>
      </c>
      <c r="G50" s="52">
        <v>0</v>
      </c>
      <c r="H50" s="52">
        <v>0</v>
      </c>
      <c r="I50" s="52">
        <v>0</v>
      </c>
    </row>
    <row r="51" spans="1:9" x14ac:dyDescent="0.3">
      <c r="A51" s="51">
        <v>32214.328489359999</v>
      </c>
      <c r="B51" s="51">
        <v>10493.065839999999</v>
      </c>
      <c r="C51" s="52">
        <v>5321.1009999999997</v>
      </c>
      <c r="D51" s="52">
        <v>1174.815008</v>
      </c>
      <c r="E51" s="52">
        <v>0</v>
      </c>
      <c r="F51" s="52">
        <v>266.18921702</v>
      </c>
      <c r="G51" s="52">
        <v>0</v>
      </c>
      <c r="H51" s="52">
        <v>0</v>
      </c>
      <c r="I51" s="52">
        <v>0</v>
      </c>
    </row>
    <row r="52" spans="1:9" x14ac:dyDescent="0.3">
      <c r="A52" s="51">
        <v>31152.763893619998</v>
      </c>
      <c r="B52" s="51">
        <v>10493.065839999999</v>
      </c>
      <c r="C52" s="52">
        <v>4892.9080000000004</v>
      </c>
      <c r="D52" s="52">
        <v>1174.815008</v>
      </c>
      <c r="E52" s="52">
        <v>0</v>
      </c>
      <c r="F52" s="52">
        <v>358.58648701999999</v>
      </c>
      <c r="G52" s="52">
        <v>0</v>
      </c>
      <c r="H52" s="52">
        <v>0</v>
      </c>
      <c r="I52" s="52">
        <v>0</v>
      </c>
    </row>
    <row r="53" spans="1:9" x14ac:dyDescent="0.3">
      <c r="A53" s="51">
        <v>30795.38287234</v>
      </c>
      <c r="B53" s="51">
        <v>10493.065839999999</v>
      </c>
      <c r="C53" s="52">
        <v>4771.9589999999998</v>
      </c>
      <c r="D53" s="52">
        <v>1174.815008</v>
      </c>
      <c r="E53" s="52">
        <v>0</v>
      </c>
      <c r="F53" s="52">
        <v>263.65451702000001</v>
      </c>
      <c r="G53" s="52">
        <v>0</v>
      </c>
      <c r="H53" s="52">
        <v>0</v>
      </c>
      <c r="I53" s="52">
        <v>0</v>
      </c>
    </row>
    <row r="54" spans="1:9" x14ac:dyDescent="0.3">
      <c r="A54" s="51">
        <v>31572.450063830001</v>
      </c>
      <c r="B54" s="51">
        <v>10508.77584</v>
      </c>
      <c r="C54" s="52">
        <v>4773.7979999999998</v>
      </c>
      <c r="D54" s="52">
        <v>1174.815008</v>
      </c>
      <c r="E54" s="52">
        <v>0</v>
      </c>
      <c r="F54" s="52">
        <v>138.12049425999999</v>
      </c>
      <c r="G54" s="52">
        <v>0</v>
      </c>
      <c r="H54" s="52">
        <v>0</v>
      </c>
      <c r="I54" s="52">
        <v>0</v>
      </c>
    </row>
    <row r="55" spans="1:9" x14ac:dyDescent="0.3">
      <c r="A55" s="51">
        <v>33783.608234040003</v>
      </c>
      <c r="B55" s="51">
        <v>10540.19585</v>
      </c>
      <c r="C55" s="52">
        <v>4910.6890000000003</v>
      </c>
      <c r="D55" s="52">
        <v>1272.7714840000001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</row>
    <row r="56" spans="1:9" x14ac:dyDescent="0.3">
      <c r="A56" s="51">
        <v>36932.321680000001</v>
      </c>
      <c r="B56" s="51">
        <v>10555.905849999999</v>
      </c>
      <c r="C56" s="52">
        <v>5273.5649999999996</v>
      </c>
      <c r="D56" s="52">
        <v>1370.7279610000001</v>
      </c>
      <c r="E56" s="52">
        <v>0</v>
      </c>
      <c r="F56" s="52">
        <v>517.83283323000001</v>
      </c>
      <c r="G56" s="52">
        <v>0</v>
      </c>
      <c r="H56" s="52">
        <v>0</v>
      </c>
      <c r="I56" s="52">
        <v>0</v>
      </c>
    </row>
    <row r="57" spans="1:9" x14ac:dyDescent="0.3">
      <c r="A57" s="51">
        <v>39744.099679999999</v>
      </c>
      <c r="B57" s="51">
        <v>10571.61585</v>
      </c>
      <c r="C57" s="52">
        <v>5811.9470000000001</v>
      </c>
      <c r="D57" s="52">
        <v>1463.5288330000001</v>
      </c>
      <c r="E57" s="52">
        <v>0</v>
      </c>
      <c r="F57" s="52">
        <v>1562.2729513199999</v>
      </c>
      <c r="G57" s="52">
        <v>0</v>
      </c>
      <c r="H57" s="52">
        <v>0</v>
      </c>
      <c r="I57" s="52">
        <v>0</v>
      </c>
    </row>
    <row r="58" spans="1:9" x14ac:dyDescent="0.3">
      <c r="A58" s="51">
        <v>41669.138679999996</v>
      </c>
      <c r="B58" s="51">
        <v>10571.61585</v>
      </c>
      <c r="C58" s="52">
        <v>6314.1130000000003</v>
      </c>
      <c r="D58" s="52">
        <v>1561.48531</v>
      </c>
      <c r="E58" s="52">
        <v>0</v>
      </c>
      <c r="F58" s="52">
        <v>2607.1729513199998</v>
      </c>
      <c r="G58" s="52">
        <v>0</v>
      </c>
      <c r="H58" s="52">
        <v>0</v>
      </c>
      <c r="I58" s="52">
        <v>0</v>
      </c>
    </row>
    <row r="59" spans="1:9" x14ac:dyDescent="0.3">
      <c r="A59" s="51">
        <v>43050.735679999998</v>
      </c>
      <c r="B59" s="51">
        <v>10571.61585</v>
      </c>
      <c r="C59" s="52">
        <v>6535.6229999999996</v>
      </c>
      <c r="D59" s="52">
        <v>1561.48531</v>
      </c>
      <c r="E59" s="52">
        <v>0</v>
      </c>
      <c r="F59" s="52">
        <v>3652.0729513199999</v>
      </c>
      <c r="G59" s="52">
        <v>0</v>
      </c>
      <c r="H59" s="52">
        <v>0</v>
      </c>
      <c r="I59" s="52">
        <v>0</v>
      </c>
    </row>
    <row r="60" spans="1:9" x14ac:dyDescent="0.3">
      <c r="A60" s="51">
        <v>42980.409</v>
      </c>
      <c r="B60" s="51">
        <v>11914.022849999999</v>
      </c>
      <c r="C60" s="52">
        <v>6439.6170000000002</v>
      </c>
      <c r="D60" s="52">
        <v>1613.04135</v>
      </c>
      <c r="E60" s="52">
        <v>0</v>
      </c>
      <c r="F60" s="52">
        <v>4696.97295132</v>
      </c>
      <c r="G60" s="52">
        <v>0</v>
      </c>
      <c r="H60" s="52">
        <v>0</v>
      </c>
      <c r="I60" s="52">
        <v>0</v>
      </c>
    </row>
    <row r="61" spans="1:9" x14ac:dyDescent="0.3">
      <c r="A61" s="51">
        <v>42961.798999999999</v>
      </c>
      <c r="B61" s="51">
        <v>11898.312849999998</v>
      </c>
      <c r="C61" s="52">
        <v>6528.7719999999999</v>
      </c>
      <c r="D61" s="52">
        <v>1613.04135</v>
      </c>
      <c r="E61" s="52">
        <v>0</v>
      </c>
      <c r="F61" s="52">
        <v>5742.3328332299998</v>
      </c>
      <c r="G61" s="52">
        <v>165.50463893</v>
      </c>
      <c r="H61" s="52">
        <v>0</v>
      </c>
      <c r="I61" s="52">
        <v>0</v>
      </c>
    </row>
    <row r="62" spans="1:9" x14ac:dyDescent="0.3">
      <c r="A62" s="51">
        <v>43064.267999999996</v>
      </c>
      <c r="B62" s="51">
        <v>11882.602849999999</v>
      </c>
      <c r="C62" s="52">
        <v>6583.1930000000002</v>
      </c>
      <c r="D62" s="52">
        <v>1561.48531</v>
      </c>
      <c r="E62" s="52">
        <v>0</v>
      </c>
      <c r="F62" s="52">
        <v>6779.6610170000004</v>
      </c>
      <c r="G62" s="52">
        <v>650.29719340999998</v>
      </c>
      <c r="H62" s="52">
        <v>0</v>
      </c>
      <c r="I62" s="52">
        <v>0</v>
      </c>
    </row>
    <row r="63" spans="1:9" x14ac:dyDescent="0.3">
      <c r="A63" s="51">
        <v>42777.860999999997</v>
      </c>
      <c r="B63" s="51">
        <v>11882.602849999999</v>
      </c>
      <c r="C63" s="52">
        <v>6305.54</v>
      </c>
      <c r="D63" s="52">
        <v>1587.26333</v>
      </c>
      <c r="E63" s="52">
        <v>0</v>
      </c>
      <c r="F63" s="52">
        <v>6779.6610170000004</v>
      </c>
      <c r="G63" s="52">
        <v>650.29719340999998</v>
      </c>
      <c r="H63" s="52">
        <v>0</v>
      </c>
      <c r="I63" s="52">
        <v>0</v>
      </c>
    </row>
    <row r="64" spans="1:9" x14ac:dyDescent="0.3">
      <c r="A64" s="51">
        <v>42145.586000000003</v>
      </c>
      <c r="B64" s="51">
        <v>11898.312849999998</v>
      </c>
      <c r="C64" s="52">
        <v>6245.7089999999998</v>
      </c>
      <c r="D64" s="52">
        <v>1561.48531</v>
      </c>
      <c r="E64" s="52">
        <v>0</v>
      </c>
      <c r="F64" s="52">
        <v>6093.3312093699997</v>
      </c>
      <c r="G64" s="52">
        <v>650.75707532000001</v>
      </c>
      <c r="H64" s="52">
        <v>0</v>
      </c>
      <c r="I64" s="52">
        <v>0</v>
      </c>
    </row>
    <row r="65" spans="1:9" x14ac:dyDescent="0.3">
      <c r="A65" s="51">
        <v>42152.853999999999</v>
      </c>
      <c r="B65" s="51">
        <v>11914.022849999999</v>
      </c>
      <c r="C65" s="52">
        <v>6248.9279999999999</v>
      </c>
      <c r="D65" s="52">
        <v>1561.48531</v>
      </c>
      <c r="E65" s="52">
        <v>0</v>
      </c>
      <c r="F65" s="52">
        <v>5047.9713274599999</v>
      </c>
      <c r="G65" s="52">
        <v>0</v>
      </c>
      <c r="H65" s="52">
        <v>0</v>
      </c>
      <c r="I65" s="52">
        <v>0</v>
      </c>
    </row>
    <row r="66" spans="1:9" x14ac:dyDescent="0.3">
      <c r="A66" s="51">
        <v>42840.686000000002</v>
      </c>
      <c r="B66" s="51">
        <v>10571.61585</v>
      </c>
      <c r="C66" s="52">
        <v>6466.9210000000003</v>
      </c>
      <c r="D66" s="52">
        <v>1561.48531</v>
      </c>
      <c r="E66" s="52">
        <v>0</v>
      </c>
      <c r="F66" s="52">
        <v>4003.0713274599998</v>
      </c>
      <c r="G66" s="52">
        <v>0</v>
      </c>
      <c r="H66" s="52">
        <v>0</v>
      </c>
      <c r="I66" s="52">
        <v>0</v>
      </c>
    </row>
    <row r="67" spans="1:9" x14ac:dyDescent="0.3">
      <c r="A67" s="51">
        <v>45019.576999999997</v>
      </c>
      <c r="B67" s="51">
        <v>10571.61585</v>
      </c>
      <c r="C67" s="52">
        <v>6989.848</v>
      </c>
      <c r="D67" s="52">
        <v>1561.48531</v>
      </c>
      <c r="E67" s="52">
        <v>0</v>
      </c>
      <c r="F67" s="52">
        <v>2958.1713274600002</v>
      </c>
      <c r="G67" s="52">
        <v>0</v>
      </c>
      <c r="H67" s="52">
        <v>0</v>
      </c>
      <c r="I67" s="52">
        <v>0</v>
      </c>
    </row>
    <row r="68" spans="1:9" x14ac:dyDescent="0.3">
      <c r="A68" s="51">
        <v>46198.184999999998</v>
      </c>
      <c r="B68" s="51">
        <v>10555.905849999999</v>
      </c>
      <c r="C68" s="52">
        <v>7462.5829999999996</v>
      </c>
      <c r="D68" s="52">
        <v>1561.48531</v>
      </c>
      <c r="E68" s="52">
        <v>0</v>
      </c>
      <c r="F68" s="52">
        <v>1262.97413405</v>
      </c>
      <c r="G68" s="52">
        <v>0</v>
      </c>
      <c r="H68" s="52">
        <v>0</v>
      </c>
      <c r="I68" s="52">
        <v>0</v>
      </c>
    </row>
    <row r="69" spans="1:9" x14ac:dyDescent="0.3">
      <c r="A69" s="51">
        <v>45795.559000000001</v>
      </c>
      <c r="B69" s="51">
        <v>10540.19585</v>
      </c>
      <c r="C69" s="52">
        <v>7552.7650000000003</v>
      </c>
      <c r="D69" s="52">
        <v>1406.8171890000001</v>
      </c>
      <c r="E69" s="52">
        <v>0</v>
      </c>
      <c r="F69" s="52">
        <v>285.00377354</v>
      </c>
      <c r="G69" s="52">
        <v>0</v>
      </c>
      <c r="H69" s="52">
        <v>0</v>
      </c>
      <c r="I69" s="52">
        <v>0</v>
      </c>
    </row>
    <row r="70" spans="1:9" x14ac:dyDescent="0.3">
      <c r="A70" s="51">
        <v>44206.544000000002</v>
      </c>
      <c r="B70" s="51">
        <v>10524.485839999999</v>
      </c>
      <c r="C70" s="52">
        <v>7284.4</v>
      </c>
      <c r="D70" s="52">
        <v>1303.705109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</row>
    <row r="71" spans="1:9" x14ac:dyDescent="0.3">
      <c r="A71" s="51">
        <v>41637.482000000004</v>
      </c>
      <c r="B71" s="51">
        <v>10508.77584</v>
      </c>
      <c r="C71" s="52">
        <v>6835.835</v>
      </c>
      <c r="D71" s="52">
        <v>1226.371048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</row>
    <row r="72" spans="1:9" x14ac:dyDescent="0.3">
      <c r="A72" s="51">
        <v>39045.247000000003</v>
      </c>
      <c r="B72" s="51">
        <v>10493.065839999999</v>
      </c>
      <c r="C72" s="52">
        <v>6946.1149999999998</v>
      </c>
      <c r="D72" s="52">
        <v>1174.815008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</row>
    <row r="73" spans="1:9" x14ac:dyDescent="0.3">
      <c r="A73" s="51">
        <v>36622.576000000001</v>
      </c>
      <c r="B73" s="51">
        <v>10493.065839999999</v>
      </c>
      <c r="C73" s="52">
        <v>6435.9790000000003</v>
      </c>
      <c r="D73" s="52">
        <v>1174.815008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</row>
    <row r="74" spans="1:9" x14ac:dyDescent="0.3">
      <c r="A74" s="51">
        <v>34001.474000000002</v>
      </c>
      <c r="B74" s="51">
        <v>10493.065839999999</v>
      </c>
      <c r="C74" s="52">
        <v>5688.5959999999995</v>
      </c>
      <c r="D74" s="52">
        <v>1178.6316489999999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</row>
    <row r="75" spans="1:9" x14ac:dyDescent="0.3">
      <c r="A75" s="51">
        <v>32176.61948936</v>
      </c>
      <c r="B75" s="51">
        <v>10493.065839999999</v>
      </c>
      <c r="C75" s="52">
        <v>5314.6819999999998</v>
      </c>
      <c r="D75" s="52">
        <v>1178.6316489999999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</row>
    <row r="76" spans="1:9" x14ac:dyDescent="0.3">
      <c r="A76" s="51">
        <v>31151.46689362</v>
      </c>
      <c r="B76" s="51">
        <v>10493.065839999999</v>
      </c>
      <c r="C76" s="52">
        <v>4886.3860000000004</v>
      </c>
      <c r="D76" s="52">
        <v>1178.6316489999999</v>
      </c>
      <c r="E76" s="52">
        <v>0</v>
      </c>
      <c r="F76" s="52">
        <v>0</v>
      </c>
      <c r="G76" s="52">
        <v>0</v>
      </c>
      <c r="H76" s="52">
        <v>0</v>
      </c>
      <c r="I76" s="52">
        <v>0</v>
      </c>
    </row>
    <row r="77" spans="1:9" x14ac:dyDescent="0.3">
      <c r="A77" s="51">
        <v>30801.797872340001</v>
      </c>
      <c r="B77" s="51">
        <v>10493.065839999999</v>
      </c>
      <c r="C77" s="52">
        <v>4766.4970000000003</v>
      </c>
      <c r="D77" s="52">
        <v>1178.6316489999999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</row>
    <row r="78" spans="1:9" x14ac:dyDescent="0.3">
      <c r="A78" s="51">
        <v>31550.665063830002</v>
      </c>
      <c r="B78" s="51">
        <v>10508.77584</v>
      </c>
      <c r="C78" s="52">
        <v>4766.549</v>
      </c>
      <c r="D78" s="52">
        <v>1178.6316489999999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</row>
    <row r="79" spans="1:9" x14ac:dyDescent="0.3">
      <c r="A79" s="51">
        <v>33703.018234039999</v>
      </c>
      <c r="B79" s="51">
        <v>10540.19585</v>
      </c>
      <c r="C79" s="52">
        <v>4897.4570000000003</v>
      </c>
      <c r="D79" s="52">
        <v>1276.5881260000001</v>
      </c>
      <c r="E79" s="52">
        <v>0</v>
      </c>
      <c r="F79" s="52">
        <v>0</v>
      </c>
      <c r="G79" s="52">
        <v>0</v>
      </c>
      <c r="H79" s="52">
        <v>0</v>
      </c>
      <c r="I79" s="52">
        <v>0</v>
      </c>
    </row>
    <row r="80" spans="1:9" x14ac:dyDescent="0.3">
      <c r="A80" s="51">
        <v>36791.984680000001</v>
      </c>
      <c r="B80" s="51">
        <v>10555.905849999999</v>
      </c>
      <c r="C80" s="52">
        <v>5246.8270000000002</v>
      </c>
      <c r="D80" s="52">
        <v>1374.5446019999999</v>
      </c>
      <c r="E80" s="52">
        <v>0</v>
      </c>
      <c r="F80" s="52">
        <v>762.68383259999996</v>
      </c>
      <c r="G80" s="52">
        <v>0</v>
      </c>
      <c r="H80" s="52">
        <v>0</v>
      </c>
      <c r="I80" s="52">
        <v>0</v>
      </c>
    </row>
    <row r="81" spans="1:9" x14ac:dyDescent="0.3">
      <c r="A81" s="51">
        <v>39591.880680000002</v>
      </c>
      <c r="B81" s="51">
        <v>10571.61585</v>
      </c>
      <c r="C81" s="52">
        <v>5773.9690000000001</v>
      </c>
      <c r="D81" s="52">
        <v>1467.345474</v>
      </c>
      <c r="E81" s="52">
        <v>0</v>
      </c>
      <c r="F81" s="52">
        <v>1807.12395068</v>
      </c>
      <c r="G81" s="52">
        <v>0</v>
      </c>
      <c r="H81" s="52">
        <v>0</v>
      </c>
      <c r="I81" s="52">
        <v>0</v>
      </c>
    </row>
    <row r="82" spans="1:9" x14ac:dyDescent="0.3">
      <c r="A82" s="51">
        <v>41620.536679999997</v>
      </c>
      <c r="B82" s="51">
        <v>10571.61585</v>
      </c>
      <c r="C82" s="52">
        <v>6262.2020000000002</v>
      </c>
      <c r="D82" s="52">
        <v>1565.3019509999999</v>
      </c>
      <c r="E82" s="52">
        <v>0</v>
      </c>
      <c r="F82" s="52">
        <v>2852.0239506799999</v>
      </c>
      <c r="G82" s="52">
        <v>0</v>
      </c>
      <c r="H82" s="52">
        <v>0</v>
      </c>
      <c r="I82" s="52">
        <v>0</v>
      </c>
    </row>
    <row r="83" spans="1:9" x14ac:dyDescent="0.3">
      <c r="A83" s="51">
        <v>43145.327680000002</v>
      </c>
      <c r="B83" s="51">
        <v>10571.61585</v>
      </c>
      <c r="C83" s="52">
        <v>6477.848</v>
      </c>
      <c r="D83" s="52">
        <v>1565.3019509999999</v>
      </c>
      <c r="E83" s="52">
        <v>0</v>
      </c>
      <c r="F83" s="52">
        <v>3896.92395068</v>
      </c>
      <c r="G83" s="52">
        <v>0</v>
      </c>
      <c r="H83" s="52">
        <v>0</v>
      </c>
      <c r="I83" s="52">
        <v>0</v>
      </c>
    </row>
    <row r="84" spans="1:9" x14ac:dyDescent="0.3">
      <c r="A84" s="51">
        <v>42899.063000000002</v>
      </c>
      <c r="B84" s="51">
        <v>11914.022849999999</v>
      </c>
      <c r="C84" s="52">
        <v>6399.0910000000003</v>
      </c>
      <c r="D84" s="52">
        <v>1616.8579910000001</v>
      </c>
      <c r="E84" s="52">
        <v>0</v>
      </c>
      <c r="F84" s="52">
        <v>4941.8239506800001</v>
      </c>
      <c r="G84" s="52">
        <v>0</v>
      </c>
      <c r="H84" s="52">
        <v>0</v>
      </c>
      <c r="I84" s="52">
        <v>0</v>
      </c>
    </row>
    <row r="85" spans="1:9" x14ac:dyDescent="0.3">
      <c r="A85" s="51">
        <v>43329.033000000003</v>
      </c>
      <c r="B85" s="51">
        <v>11898.312849999998</v>
      </c>
      <c r="C85" s="52">
        <v>6517.8050000000003</v>
      </c>
      <c r="D85" s="52">
        <v>1616.8579910000001</v>
      </c>
      <c r="E85" s="52">
        <v>0</v>
      </c>
      <c r="F85" s="52">
        <v>5987.1838325999997</v>
      </c>
      <c r="G85" s="52">
        <v>0</v>
      </c>
      <c r="H85" s="52">
        <v>0</v>
      </c>
      <c r="I85" s="52">
        <v>0</v>
      </c>
    </row>
    <row r="86" spans="1:9" x14ac:dyDescent="0.3">
      <c r="A86" s="51">
        <v>43728.13</v>
      </c>
      <c r="B86" s="51">
        <v>11882.602849999999</v>
      </c>
      <c r="C86" s="52">
        <v>6604.152</v>
      </c>
      <c r="D86" s="52">
        <v>1565.3019509999999</v>
      </c>
      <c r="E86" s="52">
        <v>0</v>
      </c>
      <c r="F86" s="52">
        <v>6779.6610170000004</v>
      </c>
      <c r="G86" s="52">
        <v>650.29620736000004</v>
      </c>
      <c r="H86" s="52">
        <v>0</v>
      </c>
      <c r="I86" s="52">
        <v>0</v>
      </c>
    </row>
    <row r="87" spans="1:9" x14ac:dyDescent="0.3">
      <c r="A87" s="51">
        <v>43650.438000000002</v>
      </c>
      <c r="B87" s="51">
        <v>11882.602849999999</v>
      </c>
      <c r="C87" s="52">
        <v>6357.2460000000001</v>
      </c>
      <c r="D87" s="52">
        <v>1591.0799709999999</v>
      </c>
      <c r="E87" s="52">
        <v>0</v>
      </c>
      <c r="F87" s="52">
        <v>6779.6610170000004</v>
      </c>
      <c r="G87" s="52">
        <v>592.51350984999999</v>
      </c>
      <c r="H87" s="52">
        <v>0</v>
      </c>
      <c r="I87" s="52">
        <v>0</v>
      </c>
    </row>
    <row r="88" spans="1:9" x14ac:dyDescent="0.3">
      <c r="A88" s="51">
        <v>42943.040000000001</v>
      </c>
      <c r="B88" s="51">
        <v>11898.312849999998</v>
      </c>
      <c r="C88" s="52">
        <v>6317.0320000000002</v>
      </c>
      <c r="D88" s="52">
        <v>1565.3019509999999</v>
      </c>
      <c r="E88" s="52">
        <v>0</v>
      </c>
      <c r="F88" s="52">
        <v>6779.6610170000004</v>
      </c>
      <c r="G88" s="52">
        <v>0</v>
      </c>
      <c r="H88" s="52">
        <v>0</v>
      </c>
      <c r="I88" s="52">
        <v>0</v>
      </c>
    </row>
    <row r="89" spans="1:9" x14ac:dyDescent="0.3">
      <c r="A89" s="51">
        <v>42826.260999999999</v>
      </c>
      <c r="B89" s="51">
        <v>11914.022849999999</v>
      </c>
      <c r="C89" s="52">
        <v>6344.6639999999998</v>
      </c>
      <c r="D89" s="52">
        <v>1565.3019509999999</v>
      </c>
      <c r="E89" s="52">
        <v>0</v>
      </c>
      <c r="F89" s="52">
        <v>6779.6610170000004</v>
      </c>
      <c r="G89" s="52">
        <v>0</v>
      </c>
      <c r="H89" s="52">
        <v>0</v>
      </c>
      <c r="I89" s="52">
        <v>0</v>
      </c>
    </row>
    <row r="90" spans="1:9" x14ac:dyDescent="0.3">
      <c r="A90" s="51">
        <v>43600.135999999999</v>
      </c>
      <c r="B90" s="51">
        <v>11914.022849999999</v>
      </c>
      <c r="C90" s="52">
        <v>6566.5119999999997</v>
      </c>
      <c r="D90" s="52">
        <v>1565.3019509999999</v>
      </c>
      <c r="E90" s="52">
        <v>0</v>
      </c>
      <c r="F90" s="52">
        <v>6779.6610170000004</v>
      </c>
      <c r="G90" s="52">
        <v>0</v>
      </c>
      <c r="H90" s="52">
        <v>0</v>
      </c>
      <c r="I90" s="52">
        <v>0</v>
      </c>
    </row>
    <row r="91" spans="1:9" x14ac:dyDescent="0.3">
      <c r="A91" s="51">
        <v>45774.112000000001</v>
      </c>
      <c r="B91" s="51">
        <v>11914.022849999999</v>
      </c>
      <c r="C91" s="52">
        <v>7042.9809999999998</v>
      </c>
      <c r="D91" s="52">
        <v>1565.3019509999999</v>
      </c>
      <c r="E91" s="52">
        <v>0</v>
      </c>
      <c r="F91" s="52">
        <v>6779.6610170000004</v>
      </c>
      <c r="G91" s="52">
        <v>0</v>
      </c>
      <c r="H91" s="52">
        <v>0</v>
      </c>
      <c r="I91" s="52">
        <v>0</v>
      </c>
    </row>
    <row r="92" spans="1:9" x14ac:dyDescent="0.3">
      <c r="A92" s="51">
        <v>46985.129000000001</v>
      </c>
      <c r="B92" s="51">
        <v>11898.312849999998</v>
      </c>
      <c r="C92" s="52">
        <v>7434.8710000000001</v>
      </c>
      <c r="D92" s="52">
        <v>1565.3019509999999</v>
      </c>
      <c r="E92" s="52">
        <v>0</v>
      </c>
      <c r="F92" s="52">
        <v>6779.6610170000004</v>
      </c>
      <c r="G92" s="52">
        <v>0</v>
      </c>
      <c r="H92" s="52">
        <v>0</v>
      </c>
      <c r="I92" s="52">
        <v>0</v>
      </c>
    </row>
    <row r="93" spans="1:9" x14ac:dyDescent="0.3">
      <c r="A93" s="51">
        <v>46543.966999999997</v>
      </c>
      <c r="B93" s="51">
        <v>11882.602849999999</v>
      </c>
      <c r="C93" s="52">
        <v>7515.1890000000003</v>
      </c>
      <c r="D93" s="52">
        <v>1410.63383</v>
      </c>
      <c r="E93" s="52">
        <v>0</v>
      </c>
      <c r="F93" s="52">
        <v>6779.6610170000004</v>
      </c>
      <c r="G93" s="52">
        <v>0</v>
      </c>
      <c r="H93" s="52">
        <v>0</v>
      </c>
      <c r="I93" s="52">
        <v>0</v>
      </c>
    </row>
    <row r="94" spans="1:9" x14ac:dyDescent="0.3">
      <c r="A94" s="51">
        <v>44908.347000000002</v>
      </c>
      <c r="B94" s="51">
        <v>11866.892839999999</v>
      </c>
      <c r="C94" s="52">
        <v>7256.3289999999997</v>
      </c>
      <c r="D94" s="52">
        <v>1307.5217500000001</v>
      </c>
      <c r="E94" s="52">
        <v>0</v>
      </c>
      <c r="F94" s="52">
        <v>6779.6610170000004</v>
      </c>
      <c r="G94" s="52">
        <v>0</v>
      </c>
      <c r="H94" s="52">
        <v>0</v>
      </c>
      <c r="I94" s="52">
        <v>0</v>
      </c>
    </row>
    <row r="95" spans="1:9" x14ac:dyDescent="0.3">
      <c r="A95" s="51">
        <v>42329.292999999998</v>
      </c>
      <c r="B95" s="51">
        <v>11851.182839999999</v>
      </c>
      <c r="C95" s="52">
        <v>6822.1850000000004</v>
      </c>
      <c r="D95" s="52">
        <v>1230.1876890000001</v>
      </c>
      <c r="E95" s="52">
        <v>0</v>
      </c>
      <c r="F95" s="52">
        <v>6779.6610170000004</v>
      </c>
      <c r="G95" s="52">
        <v>0</v>
      </c>
      <c r="H95" s="52">
        <v>0</v>
      </c>
      <c r="I95" s="52">
        <v>0</v>
      </c>
    </row>
    <row r="96" spans="1:9" x14ac:dyDescent="0.3">
      <c r="A96" s="51">
        <v>39693.309000000001</v>
      </c>
      <c r="B96" s="51">
        <v>11835.472839999999</v>
      </c>
      <c r="C96" s="52">
        <v>6940.8670000000002</v>
      </c>
      <c r="D96" s="52">
        <v>1178.6316489999999</v>
      </c>
      <c r="E96" s="52">
        <v>0</v>
      </c>
      <c r="F96" s="52">
        <v>6779.6610170000004</v>
      </c>
      <c r="G96" s="52">
        <v>0</v>
      </c>
      <c r="H96" s="52">
        <v>0</v>
      </c>
      <c r="I96" s="52">
        <v>0</v>
      </c>
    </row>
    <row r="97" spans="1:9" x14ac:dyDescent="0.3">
      <c r="A97" s="51">
        <v>37196.328999999998</v>
      </c>
      <c r="B97" s="51">
        <v>11835.472839999999</v>
      </c>
      <c r="C97" s="52">
        <v>6443.0649999999996</v>
      </c>
      <c r="D97" s="52">
        <v>1178.6316489999999</v>
      </c>
      <c r="E97" s="52">
        <v>0</v>
      </c>
      <c r="F97" s="52">
        <v>6779.6610170000004</v>
      </c>
      <c r="G97" s="52">
        <v>0</v>
      </c>
      <c r="H97" s="52">
        <v>0</v>
      </c>
      <c r="I97" s="52">
        <v>0</v>
      </c>
    </row>
    <row r="98" spans="1:9" x14ac:dyDescent="0.3">
      <c r="A98" s="51">
        <v>34480.928999999996</v>
      </c>
      <c r="B98" s="51">
        <v>11835.472839999999</v>
      </c>
      <c r="C98" s="52">
        <v>5694.0230000000001</v>
      </c>
      <c r="D98" s="52">
        <v>1258.8719140000001</v>
      </c>
      <c r="E98" s="52">
        <v>0</v>
      </c>
      <c r="F98" s="52">
        <v>6779.6610170000004</v>
      </c>
      <c r="G98" s="52">
        <v>0</v>
      </c>
      <c r="H98" s="52">
        <v>0</v>
      </c>
      <c r="I98" s="52">
        <v>0</v>
      </c>
    </row>
    <row r="99" spans="1:9" x14ac:dyDescent="0.3">
      <c r="A99" s="51">
        <v>32526.065999999999</v>
      </c>
      <c r="B99" s="51">
        <v>11835.472839999999</v>
      </c>
      <c r="C99" s="52">
        <v>5318.067</v>
      </c>
      <c r="D99" s="52">
        <v>1258.8719140000001</v>
      </c>
      <c r="E99" s="52">
        <v>353.90529597</v>
      </c>
      <c r="F99" s="52">
        <v>6779.6610170000004</v>
      </c>
      <c r="G99" s="52">
        <v>0</v>
      </c>
      <c r="H99" s="52">
        <v>0</v>
      </c>
      <c r="I99" s="52">
        <v>0</v>
      </c>
    </row>
    <row r="100" spans="1:9" x14ac:dyDescent="0.3">
      <c r="A100" s="51">
        <v>31404.126</v>
      </c>
      <c r="B100" s="51">
        <v>11835.472839999999</v>
      </c>
      <c r="C100" s="52">
        <v>4886.8729999999996</v>
      </c>
      <c r="D100" s="52">
        <v>1258.8719140000001</v>
      </c>
      <c r="E100" s="52">
        <v>2858.6637063200001</v>
      </c>
      <c r="F100" s="52">
        <v>6779.6610170000004</v>
      </c>
      <c r="G100" s="52">
        <v>0</v>
      </c>
      <c r="H100" s="52">
        <v>0</v>
      </c>
      <c r="I100" s="52">
        <v>0</v>
      </c>
    </row>
    <row r="101" spans="1:9" x14ac:dyDescent="0.3">
      <c r="A101" s="51">
        <v>31010.085999999999</v>
      </c>
      <c r="B101" s="51">
        <v>11835.472839999999</v>
      </c>
      <c r="C101" s="52">
        <v>4764.5219999999999</v>
      </c>
      <c r="D101" s="52">
        <v>1258.8719140000001</v>
      </c>
      <c r="E101" s="52">
        <v>0</v>
      </c>
      <c r="F101" s="52">
        <v>6779.6610170000004</v>
      </c>
      <c r="G101" s="52">
        <v>0</v>
      </c>
      <c r="H101" s="52">
        <v>0</v>
      </c>
      <c r="I101" s="52">
        <v>0</v>
      </c>
    </row>
    <row r="102" spans="1:9" x14ac:dyDescent="0.3">
      <c r="A102" s="51">
        <v>31779.83</v>
      </c>
      <c r="B102" s="51">
        <v>11851.182839999999</v>
      </c>
      <c r="C102" s="52">
        <v>4767.6689999999999</v>
      </c>
      <c r="D102" s="52">
        <v>1258.8719140000001</v>
      </c>
      <c r="E102" s="52">
        <v>0</v>
      </c>
      <c r="F102" s="52">
        <v>6779.6610170000004</v>
      </c>
      <c r="G102" s="52">
        <v>0</v>
      </c>
      <c r="H102" s="52">
        <v>0</v>
      </c>
      <c r="I102" s="52">
        <v>0</v>
      </c>
    </row>
    <row r="103" spans="1:9" x14ac:dyDescent="0.3">
      <c r="A103" s="51">
        <v>33941.966999999997</v>
      </c>
      <c r="B103" s="51">
        <v>11882.602849999999</v>
      </c>
      <c r="C103" s="52">
        <v>4904.3209999999999</v>
      </c>
      <c r="D103" s="52">
        <v>1356.828391</v>
      </c>
      <c r="E103" s="52">
        <v>1329.8327752099999</v>
      </c>
      <c r="F103" s="52">
        <v>6779.6610170000004</v>
      </c>
      <c r="G103" s="52">
        <v>0</v>
      </c>
      <c r="H103" s="52">
        <v>0</v>
      </c>
      <c r="I103" s="52">
        <v>0</v>
      </c>
    </row>
    <row r="104" spans="1:9" x14ac:dyDescent="0.3">
      <c r="A104" s="51">
        <v>37031.663</v>
      </c>
      <c r="B104" s="51">
        <v>11898.312849999998</v>
      </c>
      <c r="C104" s="52">
        <v>5261.7860000000001</v>
      </c>
      <c r="D104" s="52">
        <v>1454.7848670000001</v>
      </c>
      <c r="E104" s="52">
        <v>3030.0808235099998</v>
      </c>
      <c r="F104" s="52">
        <v>6779.6610170000004</v>
      </c>
      <c r="G104" s="52">
        <v>0</v>
      </c>
      <c r="H104" s="52">
        <v>0</v>
      </c>
      <c r="I104" s="52">
        <v>0</v>
      </c>
    </row>
    <row r="105" spans="1:9" x14ac:dyDescent="0.3">
      <c r="A105" s="51">
        <v>39814.495000000003</v>
      </c>
      <c r="B105" s="51">
        <v>11914.022849999999</v>
      </c>
      <c r="C105" s="52">
        <v>5787.902</v>
      </c>
      <c r="D105" s="52">
        <v>1547.58574</v>
      </c>
      <c r="E105" s="52">
        <v>197.61554663999999</v>
      </c>
      <c r="F105" s="52">
        <v>6779.6610170000004</v>
      </c>
      <c r="G105" s="52">
        <v>0</v>
      </c>
      <c r="H105" s="52">
        <v>0</v>
      </c>
      <c r="I105" s="52">
        <v>0</v>
      </c>
    </row>
    <row r="106" spans="1:9" x14ac:dyDescent="0.3">
      <c r="A106" s="51">
        <v>41641.186000000002</v>
      </c>
      <c r="B106" s="51">
        <v>11914.022849999999</v>
      </c>
      <c r="C106" s="52">
        <v>6273.2460000000001</v>
      </c>
      <c r="D106" s="52">
        <v>1645.5422160000001</v>
      </c>
      <c r="E106" s="52">
        <v>843.23938495000004</v>
      </c>
      <c r="F106" s="52">
        <v>6779.6610170000004</v>
      </c>
      <c r="G106" s="52">
        <v>0</v>
      </c>
      <c r="H106" s="52">
        <v>103.1</v>
      </c>
      <c r="I106" s="52">
        <v>0</v>
      </c>
    </row>
    <row r="107" spans="1:9" x14ac:dyDescent="0.3">
      <c r="A107" s="51">
        <v>42953.364999999998</v>
      </c>
      <c r="B107" s="51">
        <v>11914.022849999999</v>
      </c>
      <c r="C107" s="52">
        <v>6495.6360000000004</v>
      </c>
      <c r="D107" s="52">
        <v>1645.5422160000001</v>
      </c>
      <c r="E107" s="52">
        <v>5000</v>
      </c>
      <c r="F107" s="52">
        <v>6779.6610170000004</v>
      </c>
      <c r="G107" s="52">
        <v>0</v>
      </c>
      <c r="H107" s="52">
        <v>818</v>
      </c>
      <c r="I107" s="52">
        <v>330</v>
      </c>
    </row>
    <row r="108" spans="1:9" x14ac:dyDescent="0.3">
      <c r="A108" s="51">
        <v>42971.334999999999</v>
      </c>
      <c r="B108" s="51">
        <v>11914.022849999999</v>
      </c>
      <c r="C108" s="52">
        <v>6423.1790000000001</v>
      </c>
      <c r="D108" s="52">
        <v>1697.0982570000001</v>
      </c>
      <c r="E108" s="52">
        <v>5000</v>
      </c>
      <c r="F108" s="52">
        <v>6779.6610170000004</v>
      </c>
      <c r="G108" s="52">
        <v>0</v>
      </c>
      <c r="H108" s="52">
        <v>818</v>
      </c>
      <c r="I108" s="52">
        <v>330</v>
      </c>
    </row>
    <row r="109" spans="1:9" x14ac:dyDescent="0.3">
      <c r="A109" s="51">
        <v>43535.764000000003</v>
      </c>
      <c r="B109" s="51">
        <v>11898.312849999998</v>
      </c>
      <c r="C109" s="52">
        <v>6554.3549999999996</v>
      </c>
      <c r="D109" s="52">
        <v>1697.0982570000001</v>
      </c>
      <c r="E109" s="52">
        <v>5000</v>
      </c>
      <c r="F109" s="52">
        <v>6779.6610170000004</v>
      </c>
      <c r="G109" s="52">
        <v>0</v>
      </c>
      <c r="H109" s="52">
        <v>818</v>
      </c>
      <c r="I109" s="52">
        <v>330</v>
      </c>
    </row>
    <row r="110" spans="1:9" x14ac:dyDescent="0.3">
      <c r="A110" s="51">
        <v>44056.065000000002</v>
      </c>
      <c r="B110" s="51">
        <v>11882.602849999999</v>
      </c>
      <c r="C110" s="52">
        <v>6677.2020000000002</v>
      </c>
      <c r="D110" s="52">
        <v>1645.5422160000001</v>
      </c>
      <c r="E110" s="52">
        <v>5000</v>
      </c>
      <c r="F110" s="52">
        <v>6779.6610170000004</v>
      </c>
      <c r="G110" s="52">
        <v>0</v>
      </c>
      <c r="H110" s="52">
        <v>818</v>
      </c>
      <c r="I110" s="52">
        <v>330</v>
      </c>
    </row>
    <row r="111" spans="1:9" x14ac:dyDescent="0.3">
      <c r="A111" s="51">
        <v>44045.722000000002</v>
      </c>
      <c r="B111" s="51">
        <v>11882.602849999999</v>
      </c>
      <c r="C111" s="52">
        <v>6452.0839999999998</v>
      </c>
      <c r="D111" s="52">
        <v>1671.320236</v>
      </c>
      <c r="E111" s="52">
        <v>5000</v>
      </c>
      <c r="F111" s="52">
        <v>6779.6610170000004</v>
      </c>
      <c r="G111" s="52">
        <v>0</v>
      </c>
      <c r="H111" s="52">
        <v>818</v>
      </c>
      <c r="I111" s="52">
        <v>330</v>
      </c>
    </row>
    <row r="112" spans="1:9" x14ac:dyDescent="0.3">
      <c r="A112" s="51">
        <v>43237.392</v>
      </c>
      <c r="B112" s="51">
        <v>11898.312849999998</v>
      </c>
      <c r="C112" s="52">
        <v>6412.6229999999996</v>
      </c>
      <c r="D112" s="52">
        <v>1645.5422160000001</v>
      </c>
      <c r="E112" s="52">
        <v>5000</v>
      </c>
      <c r="F112" s="52">
        <v>6779.6610170000004</v>
      </c>
      <c r="G112" s="52">
        <v>0</v>
      </c>
      <c r="H112" s="52">
        <v>818</v>
      </c>
      <c r="I112" s="52">
        <v>330</v>
      </c>
    </row>
    <row r="113" spans="1:9" x14ac:dyDescent="0.3">
      <c r="A113" s="51">
        <v>43095.959000000003</v>
      </c>
      <c r="B113" s="51">
        <v>11914.022849999999</v>
      </c>
      <c r="C113" s="52">
        <v>6413.6030000000001</v>
      </c>
      <c r="D113" s="52">
        <v>1645.5422160000001</v>
      </c>
      <c r="E113" s="52">
        <v>5000</v>
      </c>
      <c r="F113" s="52">
        <v>6779.6610170000004</v>
      </c>
      <c r="G113" s="52">
        <v>0</v>
      </c>
      <c r="H113" s="52">
        <v>818</v>
      </c>
      <c r="I113" s="52">
        <v>330</v>
      </c>
    </row>
    <row r="114" spans="1:9" x14ac:dyDescent="0.3">
      <c r="A114" s="51">
        <v>43820.275999999998</v>
      </c>
      <c r="B114" s="51">
        <v>11914.022849999999</v>
      </c>
      <c r="C114" s="52">
        <v>6608.0029999999997</v>
      </c>
      <c r="D114" s="52">
        <v>1645.5422160000001</v>
      </c>
      <c r="E114" s="52">
        <v>5000</v>
      </c>
      <c r="F114" s="52">
        <v>6779.6610170000004</v>
      </c>
      <c r="G114" s="52">
        <v>0</v>
      </c>
      <c r="H114" s="52">
        <v>818</v>
      </c>
      <c r="I114" s="52">
        <v>330</v>
      </c>
    </row>
    <row r="115" spans="1:9" x14ac:dyDescent="0.3">
      <c r="A115" s="51">
        <v>46060.45</v>
      </c>
      <c r="B115" s="51">
        <v>11914.022849999999</v>
      </c>
      <c r="C115" s="52">
        <v>7061.5820000000003</v>
      </c>
      <c r="D115" s="52">
        <v>1645.5422160000001</v>
      </c>
      <c r="E115" s="52">
        <v>5000</v>
      </c>
      <c r="F115" s="52">
        <v>6779.6610170000004</v>
      </c>
      <c r="G115" s="52">
        <v>0</v>
      </c>
      <c r="H115" s="52">
        <v>818</v>
      </c>
      <c r="I115" s="52">
        <v>0</v>
      </c>
    </row>
    <row r="116" spans="1:9" x14ac:dyDescent="0.3">
      <c r="A116" s="51">
        <v>47164.550999999999</v>
      </c>
      <c r="B116" s="51">
        <v>11898.312849999998</v>
      </c>
      <c r="C116" s="52">
        <v>7459.0020000000004</v>
      </c>
      <c r="D116" s="52">
        <v>1645.5422160000001</v>
      </c>
      <c r="E116" s="52">
        <v>5000</v>
      </c>
      <c r="F116" s="52">
        <v>6779.6610170000004</v>
      </c>
      <c r="G116" s="52">
        <v>0</v>
      </c>
      <c r="H116" s="52">
        <v>167.00042579999999</v>
      </c>
      <c r="I116" s="52">
        <v>0</v>
      </c>
    </row>
    <row r="117" spans="1:9" x14ac:dyDescent="0.3">
      <c r="A117" s="51">
        <v>46362.288999999997</v>
      </c>
      <c r="B117" s="51">
        <v>11882.602849999999</v>
      </c>
      <c r="C117" s="52">
        <v>7511.308</v>
      </c>
      <c r="D117" s="52">
        <v>1490.874096</v>
      </c>
      <c r="E117" s="52">
        <v>5000</v>
      </c>
      <c r="F117" s="52">
        <v>6779.6610170000004</v>
      </c>
      <c r="G117" s="52">
        <v>0</v>
      </c>
      <c r="H117" s="52">
        <v>0</v>
      </c>
      <c r="I117" s="52">
        <v>0</v>
      </c>
    </row>
    <row r="118" spans="1:9" x14ac:dyDescent="0.3">
      <c r="A118" s="51">
        <v>44574.281000000003</v>
      </c>
      <c r="B118" s="51">
        <v>11866.892839999999</v>
      </c>
      <c r="C118" s="52">
        <v>7234.3190000000004</v>
      </c>
      <c r="D118" s="52">
        <v>1387.762015</v>
      </c>
      <c r="E118" s="52">
        <v>2797.6247696400001</v>
      </c>
      <c r="F118" s="52">
        <v>6779.6610170000004</v>
      </c>
      <c r="G118" s="52">
        <v>0</v>
      </c>
      <c r="H118" s="52">
        <v>0</v>
      </c>
      <c r="I118" s="52">
        <v>0</v>
      </c>
    </row>
    <row r="119" spans="1:9" x14ac:dyDescent="0.3">
      <c r="A119" s="51">
        <v>42176.116999999998</v>
      </c>
      <c r="B119" s="51">
        <v>11851.182839999999</v>
      </c>
      <c r="C119" s="52">
        <v>6791.7879999999996</v>
      </c>
      <c r="D119" s="52">
        <v>1310.4279550000001</v>
      </c>
      <c r="E119" s="52">
        <v>0</v>
      </c>
      <c r="F119" s="52">
        <v>6779.6610170000004</v>
      </c>
      <c r="G119" s="52">
        <v>0</v>
      </c>
      <c r="H119" s="52">
        <v>0</v>
      </c>
      <c r="I119" s="52">
        <v>0</v>
      </c>
    </row>
    <row r="120" spans="1:9" x14ac:dyDescent="0.3">
      <c r="A120" s="51">
        <v>39847.639000000003</v>
      </c>
      <c r="B120" s="51">
        <v>11835.472839999999</v>
      </c>
      <c r="C120" s="52">
        <v>6938.5410000000002</v>
      </c>
      <c r="D120" s="52">
        <v>1258.8719140000001</v>
      </c>
      <c r="E120" s="52">
        <v>29.88274315</v>
      </c>
      <c r="F120" s="52">
        <v>6779.6610170000004</v>
      </c>
      <c r="G120" s="52">
        <v>0</v>
      </c>
      <c r="H120" s="52">
        <v>0</v>
      </c>
      <c r="I120" s="52">
        <v>0</v>
      </c>
    </row>
    <row r="121" spans="1:9" x14ac:dyDescent="0.3">
      <c r="A121" s="51">
        <v>37475.285000000003</v>
      </c>
      <c r="B121" s="51">
        <v>11835.472839999999</v>
      </c>
      <c r="C121" s="52">
        <v>6454.8519999999999</v>
      </c>
      <c r="D121" s="52">
        <v>1258.8719140000001</v>
      </c>
      <c r="E121" s="52">
        <v>2244.1603927199999</v>
      </c>
      <c r="F121" s="52">
        <v>6779.6610170000004</v>
      </c>
      <c r="G121" s="52">
        <v>0</v>
      </c>
      <c r="H121" s="52">
        <v>0</v>
      </c>
      <c r="I121" s="52">
        <v>0</v>
      </c>
    </row>
    <row r="122" spans="1:9" x14ac:dyDescent="0.3">
      <c r="A122" s="51">
        <v>34403.582999999999</v>
      </c>
      <c r="B122" s="51">
        <v>11832.805579999998</v>
      </c>
      <c r="C122" s="52">
        <v>5643.5910000000003</v>
      </c>
      <c r="D122" s="52">
        <v>1660.1195</v>
      </c>
      <c r="E122" s="52">
        <v>5000</v>
      </c>
      <c r="F122" s="52">
        <v>6779.6610170000004</v>
      </c>
      <c r="G122" s="52">
        <v>0</v>
      </c>
      <c r="H122" s="52">
        <v>0</v>
      </c>
      <c r="I122" s="52">
        <v>330</v>
      </c>
    </row>
    <row r="123" spans="1:9" x14ac:dyDescent="0.3">
      <c r="A123" s="51">
        <v>32286.286</v>
      </c>
      <c r="B123" s="51">
        <v>11832.805579999998</v>
      </c>
      <c r="C123" s="52">
        <v>5246</v>
      </c>
      <c r="D123" s="52">
        <v>1660.1195</v>
      </c>
      <c r="E123" s="52">
        <v>5000</v>
      </c>
      <c r="F123" s="52">
        <v>6779.6610170000004</v>
      </c>
      <c r="G123" s="52">
        <v>0</v>
      </c>
      <c r="H123" s="52">
        <v>818</v>
      </c>
      <c r="I123" s="52">
        <v>292.82237085000003</v>
      </c>
    </row>
    <row r="124" spans="1:9" x14ac:dyDescent="0.3">
      <c r="A124" s="51">
        <v>30708.298999999999</v>
      </c>
      <c r="B124" s="51">
        <v>11832.805579999998</v>
      </c>
      <c r="C124" s="52">
        <v>4773.5889999999999</v>
      </c>
      <c r="D124" s="52">
        <v>1660.1195</v>
      </c>
      <c r="E124" s="52">
        <v>5000</v>
      </c>
      <c r="F124" s="52">
        <v>6779.6610170000004</v>
      </c>
      <c r="G124" s="52">
        <v>0</v>
      </c>
      <c r="H124" s="52">
        <v>818</v>
      </c>
      <c r="I124" s="52">
        <v>0</v>
      </c>
    </row>
    <row r="125" spans="1:9" x14ac:dyDescent="0.3">
      <c r="A125" s="51">
        <v>29613.284</v>
      </c>
      <c r="B125" s="51">
        <v>11832.805579999998</v>
      </c>
      <c r="C125" s="52">
        <v>4611.43</v>
      </c>
      <c r="D125" s="52">
        <v>1660.1195</v>
      </c>
      <c r="E125" s="52">
        <v>5000</v>
      </c>
      <c r="F125" s="52">
        <v>6779.6610170000004</v>
      </c>
      <c r="G125" s="52">
        <v>0</v>
      </c>
      <c r="H125" s="52">
        <v>818</v>
      </c>
      <c r="I125" s="52">
        <v>330</v>
      </c>
    </row>
    <row r="126" spans="1:9" x14ac:dyDescent="0.3">
      <c r="A126" s="51">
        <v>28629.774000000001</v>
      </c>
      <c r="B126" s="51">
        <v>11864.49785</v>
      </c>
      <c r="C126" s="52">
        <v>4572.915</v>
      </c>
      <c r="D126" s="52">
        <v>1660.1195</v>
      </c>
      <c r="E126" s="52">
        <v>5000</v>
      </c>
      <c r="F126" s="52">
        <v>6779.6610170000004</v>
      </c>
      <c r="G126" s="52">
        <v>0</v>
      </c>
      <c r="H126" s="52">
        <v>818</v>
      </c>
      <c r="I126" s="52">
        <v>330</v>
      </c>
    </row>
    <row r="127" spans="1:9" x14ac:dyDescent="0.3">
      <c r="A127" s="51">
        <v>27657.187000000002</v>
      </c>
      <c r="B127" s="51">
        <v>11896.19011</v>
      </c>
      <c r="C127" s="52">
        <v>4625.1139999999996</v>
      </c>
      <c r="D127" s="52">
        <v>1660.1195</v>
      </c>
      <c r="E127" s="52">
        <v>5000</v>
      </c>
      <c r="F127" s="52">
        <v>6779.6610170000004</v>
      </c>
      <c r="G127" s="52">
        <v>0</v>
      </c>
      <c r="H127" s="52">
        <v>0</v>
      </c>
      <c r="I127" s="52">
        <v>330</v>
      </c>
    </row>
    <row r="128" spans="1:9" x14ac:dyDescent="0.3">
      <c r="A128" s="51">
        <v>27583.937000000002</v>
      </c>
      <c r="B128" s="51">
        <v>11912.036249999999</v>
      </c>
      <c r="C128" s="52">
        <v>4739.2560000000003</v>
      </c>
      <c r="D128" s="52">
        <v>1660.1195</v>
      </c>
      <c r="E128" s="52">
        <v>5000</v>
      </c>
      <c r="F128" s="52">
        <v>6779.6610170000004</v>
      </c>
      <c r="G128" s="52">
        <v>0</v>
      </c>
      <c r="H128" s="52">
        <v>818</v>
      </c>
      <c r="I128" s="52">
        <v>330</v>
      </c>
    </row>
    <row r="129" spans="1:9" x14ac:dyDescent="0.3">
      <c r="A129" s="51">
        <v>28764.89</v>
      </c>
      <c r="B129" s="51">
        <v>11896.19011</v>
      </c>
      <c r="C129" s="52">
        <v>4803.72</v>
      </c>
      <c r="D129" s="52">
        <v>1660.1195</v>
      </c>
      <c r="E129" s="52">
        <v>5000</v>
      </c>
      <c r="F129" s="52">
        <v>6779.6610170000004</v>
      </c>
      <c r="G129" s="52">
        <v>0</v>
      </c>
      <c r="H129" s="52">
        <v>818</v>
      </c>
      <c r="I129" s="52">
        <v>0</v>
      </c>
    </row>
    <row r="130" spans="1:9" x14ac:dyDescent="0.3">
      <c r="A130" s="51">
        <v>30670.205999999998</v>
      </c>
      <c r="B130" s="51">
        <v>11896.19011</v>
      </c>
      <c r="C130" s="52">
        <v>4894.0069999999996</v>
      </c>
      <c r="D130" s="52">
        <v>1660.1195</v>
      </c>
      <c r="E130" s="52">
        <v>5000</v>
      </c>
      <c r="F130" s="52">
        <v>6779.6610170000004</v>
      </c>
      <c r="G130" s="52">
        <v>0</v>
      </c>
      <c r="H130" s="52">
        <v>818</v>
      </c>
      <c r="I130" s="52">
        <v>0</v>
      </c>
    </row>
    <row r="131" spans="1:9" x14ac:dyDescent="0.3">
      <c r="A131" s="51">
        <v>33008.887999999999</v>
      </c>
      <c r="B131" s="51">
        <v>11896.19011</v>
      </c>
      <c r="C131" s="52">
        <v>5145.4859999999999</v>
      </c>
      <c r="D131" s="52">
        <v>1660.1195</v>
      </c>
      <c r="E131" s="52">
        <v>5000</v>
      </c>
      <c r="F131" s="52">
        <v>6779.6610170000004</v>
      </c>
      <c r="G131" s="52">
        <v>0</v>
      </c>
      <c r="H131" s="52">
        <v>818</v>
      </c>
      <c r="I131" s="52">
        <v>330</v>
      </c>
    </row>
    <row r="132" spans="1:9" x14ac:dyDescent="0.3">
      <c r="A132" s="51">
        <v>33449.326000000001</v>
      </c>
      <c r="B132" s="51">
        <v>11896.19011</v>
      </c>
      <c r="C132" s="52">
        <v>5222.2489999999998</v>
      </c>
      <c r="D132" s="52">
        <v>1843.839338</v>
      </c>
      <c r="E132" s="52">
        <v>5000</v>
      </c>
      <c r="F132" s="52">
        <v>6779.6610170000004</v>
      </c>
      <c r="G132" s="52">
        <v>0</v>
      </c>
      <c r="H132" s="52">
        <v>818</v>
      </c>
      <c r="I132" s="52">
        <v>330</v>
      </c>
    </row>
    <row r="133" spans="1:9" x14ac:dyDescent="0.3">
      <c r="A133" s="51">
        <v>34221.461000000003</v>
      </c>
      <c r="B133" s="51">
        <v>11912.036249999999</v>
      </c>
      <c r="C133" s="52">
        <v>5428.2359999999999</v>
      </c>
      <c r="D133" s="52">
        <v>1843.839338</v>
      </c>
      <c r="E133" s="52">
        <v>5000</v>
      </c>
      <c r="F133" s="52">
        <v>6779.6610170000004</v>
      </c>
      <c r="G133" s="52">
        <v>0</v>
      </c>
      <c r="H133" s="52">
        <v>818</v>
      </c>
      <c r="I133" s="52">
        <v>330</v>
      </c>
    </row>
    <row r="134" spans="1:9" x14ac:dyDescent="0.3">
      <c r="A134" s="51">
        <v>35155.864999999998</v>
      </c>
      <c r="B134" s="51">
        <v>11896.19011</v>
      </c>
      <c r="C134" s="52">
        <v>5772.0529999999999</v>
      </c>
      <c r="D134" s="52">
        <v>1843.839338</v>
      </c>
      <c r="E134" s="52">
        <v>5000</v>
      </c>
      <c r="F134" s="52">
        <v>6779.6610170000004</v>
      </c>
      <c r="G134" s="52">
        <v>0</v>
      </c>
      <c r="H134" s="52">
        <v>818</v>
      </c>
      <c r="I134" s="52">
        <v>330</v>
      </c>
    </row>
    <row r="135" spans="1:9" x14ac:dyDescent="0.3">
      <c r="A135" s="51">
        <v>35486.675999999999</v>
      </c>
      <c r="B135" s="51">
        <v>11896.19011</v>
      </c>
      <c r="C135" s="52">
        <v>5541.1480000000001</v>
      </c>
      <c r="D135" s="52">
        <v>1843.839338</v>
      </c>
      <c r="E135" s="52">
        <v>5000</v>
      </c>
      <c r="F135" s="52">
        <v>6779.6610170000004</v>
      </c>
      <c r="G135" s="52">
        <v>0</v>
      </c>
      <c r="H135" s="52">
        <v>818</v>
      </c>
      <c r="I135" s="52">
        <v>330</v>
      </c>
    </row>
    <row r="136" spans="1:9" x14ac:dyDescent="0.3">
      <c r="A136" s="51">
        <v>34433.777999999998</v>
      </c>
      <c r="B136" s="51">
        <v>11912.036249999999</v>
      </c>
      <c r="C136" s="52">
        <v>5346.7479999999996</v>
      </c>
      <c r="D136" s="52">
        <v>1843.839338</v>
      </c>
      <c r="E136" s="52">
        <v>5000</v>
      </c>
      <c r="F136" s="52">
        <v>6779.6610170000004</v>
      </c>
      <c r="G136" s="52">
        <v>0</v>
      </c>
      <c r="H136" s="52">
        <v>818</v>
      </c>
      <c r="I136" s="52">
        <v>330</v>
      </c>
    </row>
    <row r="137" spans="1:9" x14ac:dyDescent="0.3">
      <c r="A137" s="51">
        <v>33882.572999999997</v>
      </c>
      <c r="B137" s="51">
        <v>11896.19011</v>
      </c>
      <c r="C137" s="52">
        <v>5363.0209999999997</v>
      </c>
      <c r="D137" s="52">
        <v>1660.1195</v>
      </c>
      <c r="E137" s="52">
        <v>5000</v>
      </c>
      <c r="F137" s="52">
        <v>6779.6610170000004</v>
      </c>
      <c r="G137" s="52">
        <v>0</v>
      </c>
      <c r="H137" s="52">
        <v>818</v>
      </c>
      <c r="I137" s="52">
        <v>330</v>
      </c>
    </row>
    <row r="138" spans="1:9" x14ac:dyDescent="0.3">
      <c r="A138" s="51">
        <v>34240.737000000001</v>
      </c>
      <c r="B138" s="51">
        <v>11896.19011</v>
      </c>
      <c r="C138" s="52">
        <v>5578.4830000000002</v>
      </c>
      <c r="D138" s="52">
        <v>1660.1195</v>
      </c>
      <c r="E138" s="52">
        <v>5000</v>
      </c>
      <c r="F138" s="52">
        <v>6779.6610170000004</v>
      </c>
      <c r="G138" s="52">
        <v>0</v>
      </c>
      <c r="H138" s="52">
        <v>818</v>
      </c>
      <c r="I138" s="52">
        <v>330</v>
      </c>
    </row>
    <row r="139" spans="1:9" x14ac:dyDescent="0.3">
      <c r="A139" s="51">
        <v>36876.286</v>
      </c>
      <c r="B139" s="51">
        <v>11896.19011</v>
      </c>
      <c r="C139" s="52">
        <v>6202.8130000000001</v>
      </c>
      <c r="D139" s="52">
        <v>1660.1195</v>
      </c>
      <c r="E139" s="52">
        <v>5000</v>
      </c>
      <c r="F139" s="52">
        <v>6779.6610170000004</v>
      </c>
      <c r="G139" s="52">
        <v>0</v>
      </c>
      <c r="H139" s="52">
        <v>0</v>
      </c>
      <c r="I139" s="52">
        <v>104.02773392</v>
      </c>
    </row>
    <row r="140" spans="1:9" x14ac:dyDescent="0.3">
      <c r="A140" s="51">
        <v>38816.682000000001</v>
      </c>
      <c r="B140" s="51">
        <v>11912.036249999999</v>
      </c>
      <c r="C140" s="52">
        <v>6750.8119999999999</v>
      </c>
      <c r="D140" s="52">
        <v>1660.1195</v>
      </c>
      <c r="E140" s="52">
        <v>5000</v>
      </c>
      <c r="F140" s="52">
        <v>6779.6610170000004</v>
      </c>
      <c r="G140" s="52">
        <v>0</v>
      </c>
      <c r="H140" s="52">
        <v>818</v>
      </c>
      <c r="I140" s="52">
        <v>330</v>
      </c>
    </row>
    <row r="141" spans="1:9" x14ac:dyDescent="0.3">
      <c r="A141" s="51">
        <v>39459.180999999997</v>
      </c>
      <c r="B141" s="51">
        <v>11896.19011</v>
      </c>
      <c r="C141" s="52">
        <v>6825.0439999999999</v>
      </c>
      <c r="D141" s="52">
        <v>1660.1195</v>
      </c>
      <c r="E141" s="52">
        <v>5000</v>
      </c>
      <c r="F141" s="52">
        <v>6779.6610170000004</v>
      </c>
      <c r="G141" s="52">
        <v>0</v>
      </c>
      <c r="H141" s="52">
        <v>818</v>
      </c>
      <c r="I141" s="52">
        <v>0</v>
      </c>
    </row>
    <row r="142" spans="1:9" x14ac:dyDescent="0.3">
      <c r="A142" s="51">
        <v>39457.144</v>
      </c>
      <c r="B142" s="51">
        <v>11880.34398</v>
      </c>
      <c r="C142" s="52">
        <v>6558.56</v>
      </c>
      <c r="D142" s="52">
        <v>1660.1195</v>
      </c>
      <c r="E142" s="52">
        <v>5000</v>
      </c>
      <c r="F142" s="52">
        <v>6779.6610170000004</v>
      </c>
      <c r="G142" s="52">
        <v>0</v>
      </c>
      <c r="H142" s="52">
        <v>818</v>
      </c>
      <c r="I142" s="52">
        <v>330</v>
      </c>
    </row>
    <row r="143" spans="1:9" x14ac:dyDescent="0.3">
      <c r="A143" s="51">
        <v>38604.33</v>
      </c>
      <c r="B143" s="51">
        <v>11864.49785</v>
      </c>
      <c r="C143" s="52">
        <v>6112.9520000000002</v>
      </c>
      <c r="D143" s="52">
        <v>1660.1195</v>
      </c>
      <c r="E143" s="52">
        <v>5000</v>
      </c>
      <c r="F143" s="52">
        <v>6779.6610170000004</v>
      </c>
      <c r="G143" s="52">
        <v>0</v>
      </c>
      <c r="H143" s="52">
        <v>818</v>
      </c>
      <c r="I143" s="52">
        <v>0</v>
      </c>
    </row>
    <row r="144" spans="1:9" x14ac:dyDescent="0.3">
      <c r="A144" s="51">
        <v>36813.754999999997</v>
      </c>
      <c r="B144" s="51">
        <v>11832.805579999998</v>
      </c>
      <c r="C144" s="52">
        <v>6325.7550000000001</v>
      </c>
      <c r="D144" s="52">
        <v>1660.1195</v>
      </c>
      <c r="E144" s="52">
        <v>5000</v>
      </c>
      <c r="F144" s="52">
        <v>6779.6610170000004</v>
      </c>
      <c r="G144" s="52">
        <v>0</v>
      </c>
      <c r="H144" s="52">
        <v>0</v>
      </c>
      <c r="I144" s="52">
        <v>330</v>
      </c>
    </row>
    <row r="145" spans="1:9" x14ac:dyDescent="0.3">
      <c r="A145" s="51">
        <v>34282.080000000002</v>
      </c>
      <c r="B145" s="51">
        <v>11832.805579999998</v>
      </c>
      <c r="C145" s="52">
        <v>5965.1719999999996</v>
      </c>
      <c r="D145" s="52">
        <v>1660.1195</v>
      </c>
      <c r="E145" s="52">
        <v>5000</v>
      </c>
      <c r="F145" s="52">
        <v>6779.6610170000004</v>
      </c>
      <c r="G145" s="52">
        <v>0</v>
      </c>
      <c r="H145" s="52">
        <v>818</v>
      </c>
      <c r="I145" s="52">
        <v>0</v>
      </c>
    </row>
    <row r="146" spans="1:9" x14ac:dyDescent="0.3">
      <c r="A146" s="51">
        <v>32633.776000000002</v>
      </c>
      <c r="B146" s="51">
        <v>11832.805579999998</v>
      </c>
      <c r="C146" s="52">
        <v>5339.4930000000004</v>
      </c>
      <c r="D146" s="52">
        <v>1687.8581449999999</v>
      </c>
      <c r="E146" s="52">
        <v>5000</v>
      </c>
      <c r="F146" s="52">
        <v>6779.6610170000004</v>
      </c>
      <c r="G146" s="52">
        <v>0</v>
      </c>
      <c r="H146" s="52">
        <v>818</v>
      </c>
      <c r="I146" s="52">
        <v>330</v>
      </c>
    </row>
    <row r="147" spans="1:9" x14ac:dyDescent="0.3">
      <c r="A147" s="51">
        <v>30727.126</v>
      </c>
      <c r="B147" s="51">
        <v>11832.805579999998</v>
      </c>
      <c r="C147" s="52">
        <v>4957.9459999999999</v>
      </c>
      <c r="D147" s="52">
        <v>1687.8581449999999</v>
      </c>
      <c r="E147" s="52">
        <v>5000</v>
      </c>
      <c r="F147" s="52">
        <v>6779.6610170000004</v>
      </c>
      <c r="G147" s="52">
        <v>0</v>
      </c>
      <c r="H147" s="52">
        <v>818</v>
      </c>
      <c r="I147" s="52">
        <v>330</v>
      </c>
    </row>
    <row r="148" spans="1:9" x14ac:dyDescent="0.3">
      <c r="A148" s="51">
        <v>29460.581999999999</v>
      </c>
      <c r="B148" s="51">
        <v>11832.805579999998</v>
      </c>
      <c r="C148" s="52">
        <v>4496.732</v>
      </c>
      <c r="D148" s="52">
        <v>1687.8581449999999</v>
      </c>
      <c r="E148" s="52">
        <v>5000</v>
      </c>
      <c r="F148" s="52">
        <v>6779.6610170000004</v>
      </c>
      <c r="G148" s="52">
        <v>0</v>
      </c>
      <c r="H148" s="52">
        <v>818</v>
      </c>
      <c r="I148" s="52">
        <v>330</v>
      </c>
    </row>
    <row r="149" spans="1:9" x14ac:dyDescent="0.3">
      <c r="A149" s="51">
        <v>28758.135999999999</v>
      </c>
      <c r="B149" s="51">
        <v>11832.805579999998</v>
      </c>
      <c r="C149" s="52">
        <v>4343.1559999999999</v>
      </c>
      <c r="D149" s="52">
        <v>1687.8581449999999</v>
      </c>
      <c r="E149" s="52">
        <v>5000</v>
      </c>
      <c r="F149" s="52">
        <v>6779.6610170000004</v>
      </c>
      <c r="G149" s="52">
        <v>0</v>
      </c>
      <c r="H149" s="52">
        <v>818</v>
      </c>
      <c r="I149" s="52">
        <v>330</v>
      </c>
    </row>
    <row r="150" spans="1:9" x14ac:dyDescent="0.3">
      <c r="A150" s="51">
        <v>28585.670999999998</v>
      </c>
      <c r="B150" s="51">
        <v>11864.49785</v>
      </c>
      <c r="C150" s="52">
        <v>4305.777</v>
      </c>
      <c r="D150" s="52">
        <v>1687.8581449999999</v>
      </c>
      <c r="E150" s="52">
        <v>5000</v>
      </c>
      <c r="F150" s="52">
        <v>6779.6610170000004</v>
      </c>
      <c r="G150" s="52">
        <v>0</v>
      </c>
      <c r="H150" s="52">
        <v>818</v>
      </c>
      <c r="I150" s="52">
        <v>330</v>
      </c>
    </row>
    <row r="151" spans="1:9" x14ac:dyDescent="0.3">
      <c r="A151" s="51">
        <v>28783.722000000002</v>
      </c>
      <c r="B151" s="51">
        <v>11896.19011</v>
      </c>
      <c r="C151" s="52">
        <v>4336.7520000000004</v>
      </c>
      <c r="D151" s="52">
        <v>1687.8581449999999</v>
      </c>
      <c r="E151" s="52">
        <v>5000</v>
      </c>
      <c r="F151" s="52">
        <v>6779.6610170000004</v>
      </c>
      <c r="G151" s="52">
        <v>0</v>
      </c>
      <c r="H151" s="52">
        <v>818</v>
      </c>
      <c r="I151" s="52">
        <v>330</v>
      </c>
    </row>
    <row r="152" spans="1:9" x14ac:dyDescent="0.3">
      <c r="A152" s="51">
        <v>29674.134999999998</v>
      </c>
      <c r="B152" s="51">
        <v>11912.036249999999</v>
      </c>
      <c r="C152" s="52">
        <v>4388.3490000000002</v>
      </c>
      <c r="D152" s="52">
        <v>1687.8581449999999</v>
      </c>
      <c r="E152" s="52">
        <v>5000</v>
      </c>
      <c r="F152" s="52">
        <v>6779.6610170000004</v>
      </c>
      <c r="G152" s="52">
        <v>0</v>
      </c>
      <c r="H152" s="52">
        <v>818</v>
      </c>
      <c r="I152" s="52">
        <v>330</v>
      </c>
    </row>
    <row r="153" spans="1:9" x14ac:dyDescent="0.3">
      <c r="A153" s="51">
        <v>31319.714</v>
      </c>
      <c r="B153" s="51">
        <v>11896.19011</v>
      </c>
      <c r="C153" s="52">
        <v>4334.1949999999997</v>
      </c>
      <c r="D153" s="52">
        <v>1687.8581449999999</v>
      </c>
      <c r="E153" s="52">
        <v>5000</v>
      </c>
      <c r="F153" s="52">
        <v>6779.6610170000004</v>
      </c>
      <c r="G153" s="52">
        <v>0</v>
      </c>
      <c r="H153" s="52">
        <v>818</v>
      </c>
      <c r="I153" s="52">
        <v>330</v>
      </c>
    </row>
    <row r="154" spans="1:9" x14ac:dyDescent="0.3">
      <c r="A154" s="51">
        <v>33635.925999999999</v>
      </c>
      <c r="B154" s="51">
        <v>11896.19011</v>
      </c>
      <c r="C154" s="52">
        <v>4342.3630000000003</v>
      </c>
      <c r="D154" s="52">
        <v>1687.8581449999999</v>
      </c>
      <c r="E154" s="52">
        <v>5000</v>
      </c>
      <c r="F154" s="52">
        <v>6779.6610170000004</v>
      </c>
      <c r="G154" s="52">
        <v>0</v>
      </c>
      <c r="H154" s="52">
        <v>818</v>
      </c>
      <c r="I154" s="52">
        <v>330</v>
      </c>
    </row>
    <row r="155" spans="1:9" x14ac:dyDescent="0.3">
      <c r="A155" s="51">
        <v>36023.576000000001</v>
      </c>
      <c r="B155" s="51">
        <v>11896.19011</v>
      </c>
      <c r="C155" s="52">
        <v>4640.1970000000001</v>
      </c>
      <c r="D155" s="52">
        <v>1687.8581449999999</v>
      </c>
      <c r="E155" s="52">
        <v>5000</v>
      </c>
      <c r="F155" s="52">
        <v>6779.6610170000004</v>
      </c>
      <c r="G155" s="52">
        <v>0</v>
      </c>
      <c r="H155" s="52">
        <v>818</v>
      </c>
      <c r="I155" s="52">
        <v>330</v>
      </c>
    </row>
    <row r="156" spans="1:9" x14ac:dyDescent="0.3">
      <c r="A156" s="51">
        <v>36804.972999999998</v>
      </c>
      <c r="B156" s="51">
        <v>11896.19011</v>
      </c>
      <c r="C156" s="52">
        <v>4886.9849999999997</v>
      </c>
      <c r="D156" s="52">
        <v>1871.5779829999999</v>
      </c>
      <c r="E156" s="52">
        <v>5000</v>
      </c>
      <c r="F156" s="52">
        <v>6779.6610170000004</v>
      </c>
      <c r="G156" s="52">
        <v>0</v>
      </c>
      <c r="H156" s="52">
        <v>818</v>
      </c>
      <c r="I156" s="52">
        <v>330</v>
      </c>
    </row>
    <row r="157" spans="1:9" x14ac:dyDescent="0.3">
      <c r="A157" s="51">
        <v>37638.228000000003</v>
      </c>
      <c r="B157" s="51">
        <v>11912.036249999999</v>
      </c>
      <c r="C157" s="52">
        <v>5229.9260000000004</v>
      </c>
      <c r="D157" s="52">
        <v>1871.5779829999999</v>
      </c>
      <c r="E157" s="52">
        <v>5000</v>
      </c>
      <c r="F157" s="52">
        <v>6779.6610170000004</v>
      </c>
      <c r="G157" s="52">
        <v>0</v>
      </c>
      <c r="H157" s="52">
        <v>818</v>
      </c>
      <c r="I157" s="52">
        <v>330</v>
      </c>
    </row>
    <row r="158" spans="1:9" x14ac:dyDescent="0.3">
      <c r="A158" s="51">
        <v>38535.195</v>
      </c>
      <c r="B158" s="51">
        <v>11896.19011</v>
      </c>
      <c r="C158" s="52">
        <v>5596.19</v>
      </c>
      <c r="D158" s="52">
        <v>1871.5779829999999</v>
      </c>
      <c r="E158" s="52">
        <v>5000</v>
      </c>
      <c r="F158" s="52">
        <v>6779.6610170000004</v>
      </c>
      <c r="G158" s="52">
        <v>0</v>
      </c>
      <c r="H158" s="52">
        <v>818</v>
      </c>
      <c r="I158" s="52">
        <v>330</v>
      </c>
    </row>
    <row r="159" spans="1:9" x14ac:dyDescent="0.3">
      <c r="A159" s="51">
        <v>38968.957000000002</v>
      </c>
      <c r="B159" s="51">
        <v>11896.19011</v>
      </c>
      <c r="C159" s="52">
        <v>5280.6869999999999</v>
      </c>
      <c r="D159" s="52">
        <v>1871.5779829999999</v>
      </c>
      <c r="E159" s="52">
        <v>5000</v>
      </c>
      <c r="F159" s="52">
        <v>6779.6610170000004</v>
      </c>
      <c r="G159" s="52">
        <v>0</v>
      </c>
      <c r="H159" s="52">
        <v>818</v>
      </c>
      <c r="I159" s="52">
        <v>330</v>
      </c>
    </row>
    <row r="160" spans="1:9" x14ac:dyDescent="0.3">
      <c r="A160" s="51">
        <v>38089.428</v>
      </c>
      <c r="B160" s="51">
        <v>11912.036249999999</v>
      </c>
      <c r="C160" s="52">
        <v>4999.6120000000001</v>
      </c>
      <c r="D160" s="52">
        <v>1871.5779829999999</v>
      </c>
      <c r="E160" s="52">
        <v>5000</v>
      </c>
      <c r="F160" s="52">
        <v>6779.6610170000004</v>
      </c>
      <c r="G160" s="52">
        <v>0</v>
      </c>
      <c r="H160" s="52">
        <v>818</v>
      </c>
      <c r="I160" s="52">
        <v>330</v>
      </c>
    </row>
    <row r="161" spans="1:9" x14ac:dyDescent="0.3">
      <c r="A161" s="51">
        <v>37514.300000000003</v>
      </c>
      <c r="B161" s="51">
        <v>11896.19011</v>
      </c>
      <c r="C161" s="52">
        <v>5002.7030000000004</v>
      </c>
      <c r="D161" s="52">
        <v>1687.8581449999999</v>
      </c>
      <c r="E161" s="52">
        <v>5000</v>
      </c>
      <c r="F161" s="52">
        <v>6779.6610170000004</v>
      </c>
      <c r="G161" s="52">
        <v>0</v>
      </c>
      <c r="H161" s="52">
        <v>818</v>
      </c>
      <c r="I161" s="52">
        <v>330</v>
      </c>
    </row>
    <row r="162" spans="1:9" x14ac:dyDescent="0.3">
      <c r="A162" s="51">
        <v>37580.499000000003</v>
      </c>
      <c r="B162" s="51">
        <v>11896.19011</v>
      </c>
      <c r="C162" s="52">
        <v>5228.2780000000002</v>
      </c>
      <c r="D162" s="52">
        <v>1687.8581449999999</v>
      </c>
      <c r="E162" s="52">
        <v>5000</v>
      </c>
      <c r="F162" s="52">
        <v>6779.6610170000004</v>
      </c>
      <c r="G162" s="52">
        <v>0</v>
      </c>
      <c r="H162" s="52">
        <v>818</v>
      </c>
      <c r="I162" s="52">
        <v>330</v>
      </c>
    </row>
    <row r="163" spans="1:9" x14ac:dyDescent="0.3">
      <c r="A163" s="51">
        <v>39518.828999999998</v>
      </c>
      <c r="B163" s="51">
        <v>11896.19011</v>
      </c>
      <c r="C163" s="52">
        <v>5872.1220000000003</v>
      </c>
      <c r="D163" s="52">
        <v>1687.8581449999999</v>
      </c>
      <c r="E163" s="52">
        <v>5000</v>
      </c>
      <c r="F163" s="52">
        <v>6779.6610170000004</v>
      </c>
      <c r="G163" s="52">
        <v>0</v>
      </c>
      <c r="H163" s="52">
        <v>818</v>
      </c>
      <c r="I163" s="52">
        <v>330</v>
      </c>
    </row>
    <row r="164" spans="1:9" x14ac:dyDescent="0.3">
      <c r="A164" s="51">
        <v>40568.230000000003</v>
      </c>
      <c r="B164" s="51">
        <v>11912.036249999999</v>
      </c>
      <c r="C164" s="52">
        <v>6451.0309999999999</v>
      </c>
      <c r="D164" s="52">
        <v>1687.8581449999999</v>
      </c>
      <c r="E164" s="52">
        <v>5000</v>
      </c>
      <c r="F164" s="52">
        <v>6779.6610170000004</v>
      </c>
      <c r="G164" s="52">
        <v>0</v>
      </c>
      <c r="H164" s="52">
        <v>818</v>
      </c>
      <c r="I164" s="52">
        <v>330</v>
      </c>
    </row>
    <row r="165" spans="1:9" x14ac:dyDescent="0.3">
      <c r="A165" s="51">
        <v>40863.873</v>
      </c>
      <c r="B165" s="51">
        <v>11896.19011</v>
      </c>
      <c r="C165" s="52">
        <v>6593.3879999999999</v>
      </c>
      <c r="D165" s="52">
        <v>1687.8581449999999</v>
      </c>
      <c r="E165" s="52">
        <v>5000</v>
      </c>
      <c r="F165" s="52">
        <v>6779.6610170000004</v>
      </c>
      <c r="G165" s="52">
        <v>0</v>
      </c>
      <c r="H165" s="52">
        <v>818</v>
      </c>
      <c r="I165" s="52">
        <v>330</v>
      </c>
    </row>
    <row r="166" spans="1:9" x14ac:dyDescent="0.3">
      <c r="A166" s="51">
        <v>40529.981</v>
      </c>
      <c r="B166" s="51">
        <v>11880.34398</v>
      </c>
      <c r="C166" s="52">
        <v>6426.7089999999998</v>
      </c>
      <c r="D166" s="52">
        <v>1687.8581449999999</v>
      </c>
      <c r="E166" s="52">
        <v>5000</v>
      </c>
      <c r="F166" s="52">
        <v>6779.6610170000004</v>
      </c>
      <c r="G166" s="52">
        <v>0</v>
      </c>
      <c r="H166" s="52">
        <v>818</v>
      </c>
      <c r="I166" s="52">
        <v>330</v>
      </c>
    </row>
    <row r="167" spans="1:9" x14ac:dyDescent="0.3">
      <c r="A167" s="51">
        <v>39225.506000000001</v>
      </c>
      <c r="B167" s="51">
        <v>11864.49785</v>
      </c>
      <c r="C167" s="52">
        <v>6037.9189999999999</v>
      </c>
      <c r="D167" s="52">
        <v>1687.8581449999999</v>
      </c>
      <c r="E167" s="52">
        <v>5000</v>
      </c>
      <c r="F167" s="52">
        <v>6779.6610170000004</v>
      </c>
      <c r="G167" s="52">
        <v>0</v>
      </c>
      <c r="H167" s="52">
        <v>818</v>
      </c>
      <c r="I167" s="52">
        <v>330</v>
      </c>
    </row>
    <row r="168" spans="1:9" x14ac:dyDescent="0.3">
      <c r="A168" s="51">
        <v>37244.283000000003</v>
      </c>
      <c r="B168" s="51">
        <v>11832.805579999998</v>
      </c>
      <c r="C168" s="52">
        <v>6241.08</v>
      </c>
      <c r="D168" s="52">
        <v>1687.8581449999999</v>
      </c>
      <c r="E168" s="52">
        <v>5000</v>
      </c>
      <c r="F168" s="52">
        <v>6779.6610170000004</v>
      </c>
      <c r="G168" s="52">
        <v>0</v>
      </c>
      <c r="H168" s="52">
        <v>818</v>
      </c>
      <c r="I168" s="52">
        <v>330</v>
      </c>
    </row>
    <row r="169" spans="1:9" x14ac:dyDescent="0.3">
      <c r="A169" s="51">
        <v>34857.546000000002</v>
      </c>
      <c r="B169" s="51">
        <v>11832.805579999998</v>
      </c>
      <c r="C169" s="52">
        <v>5886.9840000000004</v>
      </c>
      <c r="D169" s="52">
        <v>1687.8581449999999</v>
      </c>
      <c r="E169" s="52">
        <v>5000</v>
      </c>
      <c r="F169" s="52">
        <v>6779.6610170000004</v>
      </c>
      <c r="G169" s="52">
        <v>0</v>
      </c>
      <c r="H169" s="52">
        <v>818</v>
      </c>
      <c r="I169" s="52">
        <v>330</v>
      </c>
    </row>
    <row r="170" spans="1:9" x14ac:dyDescent="0.3">
      <c r="E170" s="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2D050"/>
  </sheetPr>
  <dimension ref="A1:O172"/>
  <sheetViews>
    <sheetView topLeftCell="H1" zoomScale="85" zoomScaleNormal="85" workbookViewId="0">
      <selection activeCell="L5" sqref="L5"/>
    </sheetView>
  </sheetViews>
  <sheetFormatPr baseColWidth="10" defaultRowHeight="14" x14ac:dyDescent="0.3"/>
  <cols>
    <col min="1" max="2" width="20.26953125" style="11" bestFit="1" customWidth="1"/>
    <col min="3" max="4" width="21.1796875" style="11" bestFit="1" customWidth="1"/>
    <col min="5" max="6" width="20.26953125" style="11" bestFit="1" customWidth="1"/>
    <col min="7" max="7" width="20.453125" style="11" customWidth="1"/>
    <col min="8" max="8" width="21.08984375" style="11" bestFit="1" customWidth="1"/>
    <col min="9" max="9" width="27.1796875" style="11" customWidth="1"/>
    <col min="10" max="10" width="25.1796875" style="11" bestFit="1" customWidth="1"/>
    <col min="11" max="11" width="21.26953125" style="11" customWidth="1"/>
    <col min="12" max="12" width="19.453125" style="11" customWidth="1"/>
    <col min="13" max="15" width="21.6328125" style="11" bestFit="1" customWidth="1"/>
    <col min="16" max="16384" width="10.90625" style="11"/>
  </cols>
  <sheetData>
    <row r="1" spans="1:15" s="43" customFormat="1" x14ac:dyDescent="0.3">
      <c r="A1" s="40" t="s">
        <v>66</v>
      </c>
      <c r="B1" s="40" t="s">
        <v>67</v>
      </c>
      <c r="C1" s="40" t="s">
        <v>142</v>
      </c>
      <c r="D1" s="40" t="s">
        <v>141</v>
      </c>
      <c r="E1" s="37" t="s">
        <v>69</v>
      </c>
      <c r="F1" s="37" t="s">
        <v>68</v>
      </c>
      <c r="G1" s="37" t="s">
        <v>139</v>
      </c>
      <c r="H1" s="41" t="s">
        <v>140</v>
      </c>
      <c r="I1" s="53" t="s">
        <v>149</v>
      </c>
      <c r="J1" s="53" t="s">
        <v>148</v>
      </c>
      <c r="K1" s="42" t="s">
        <v>132</v>
      </c>
      <c r="L1" s="42" t="s">
        <v>138</v>
      </c>
      <c r="M1" s="42" t="s">
        <v>134</v>
      </c>
      <c r="N1" s="42" t="s">
        <v>144</v>
      </c>
      <c r="O1" s="42" t="s">
        <v>143</v>
      </c>
    </row>
    <row r="2" spans="1:15" x14ac:dyDescent="0.3">
      <c r="A2" s="36">
        <v>0</v>
      </c>
      <c r="B2" s="36">
        <v>0.27513821599999999</v>
      </c>
      <c r="C2" s="36">
        <v>0.32070481809153373</v>
      </c>
      <c r="D2" s="46">
        <v>0</v>
      </c>
      <c r="E2" s="36">
        <v>0</v>
      </c>
      <c r="F2" s="36">
        <v>0.231355068</v>
      </c>
      <c r="G2" s="36">
        <v>0.10459032585279714</v>
      </c>
      <c r="H2" s="11">
        <v>0</v>
      </c>
      <c r="I2" s="54">
        <v>0.77362125528354786</v>
      </c>
      <c r="J2" s="54">
        <v>1</v>
      </c>
      <c r="K2" s="44">
        <v>1</v>
      </c>
      <c r="L2" s="45">
        <v>0</v>
      </c>
      <c r="M2" s="45">
        <v>1</v>
      </c>
      <c r="N2" s="45">
        <v>1240</v>
      </c>
      <c r="O2" s="45">
        <v>330</v>
      </c>
    </row>
    <row r="3" spans="1:15" x14ac:dyDescent="0.3">
      <c r="A3" s="36">
        <v>0</v>
      </c>
      <c r="B3" s="36">
        <v>0.29443187700000001</v>
      </c>
      <c r="C3" s="36">
        <v>0.34319376975837423</v>
      </c>
      <c r="D3" s="46">
        <v>0</v>
      </c>
      <c r="E3" s="36">
        <v>0</v>
      </c>
      <c r="F3" s="36">
        <v>0.24427178299999999</v>
      </c>
      <c r="G3" s="36">
        <v>9.6099798406588527E-2</v>
      </c>
      <c r="H3" s="11">
        <v>0</v>
      </c>
      <c r="I3" s="54">
        <v>0.77362125528354786</v>
      </c>
      <c r="J3" s="54">
        <v>1</v>
      </c>
      <c r="K3" s="44">
        <v>1</v>
      </c>
      <c r="L3" s="45">
        <v>0</v>
      </c>
      <c r="M3" s="45">
        <v>1</v>
      </c>
      <c r="N3" s="45">
        <v>1240</v>
      </c>
      <c r="O3" s="45">
        <v>330</v>
      </c>
    </row>
    <row r="4" spans="1:15" x14ac:dyDescent="0.3">
      <c r="A4" s="36">
        <v>0</v>
      </c>
      <c r="B4" s="36">
        <v>0.29945537999999999</v>
      </c>
      <c r="C4" s="36">
        <v>0.34904923265705523</v>
      </c>
      <c r="D4" s="46">
        <v>0</v>
      </c>
      <c r="E4" s="36">
        <v>0</v>
      </c>
      <c r="F4" s="36">
        <v>0.24361559799999999</v>
      </c>
      <c r="G4" s="36">
        <v>9.0471182387891369E-2</v>
      </c>
      <c r="H4" s="11">
        <v>0</v>
      </c>
      <c r="I4" s="54">
        <v>0.77362125528354786</v>
      </c>
      <c r="J4" s="54">
        <v>1</v>
      </c>
      <c r="K4" s="44">
        <v>1</v>
      </c>
      <c r="L4" s="45">
        <v>0</v>
      </c>
      <c r="M4" s="45">
        <v>1</v>
      </c>
      <c r="N4" s="45">
        <v>1240</v>
      </c>
      <c r="O4" s="45">
        <v>330</v>
      </c>
    </row>
    <row r="5" spans="1:15" x14ac:dyDescent="0.3">
      <c r="A5" s="36">
        <v>0</v>
      </c>
      <c r="B5" s="36">
        <v>0.30697123399999998</v>
      </c>
      <c r="C5" s="36">
        <v>0.3578098135204294</v>
      </c>
      <c r="D5" s="46">
        <v>0</v>
      </c>
      <c r="E5" s="36">
        <v>0</v>
      </c>
      <c r="F5" s="36">
        <v>0.21310356</v>
      </c>
      <c r="G5" s="36">
        <v>8.519956391452739E-2</v>
      </c>
      <c r="H5" s="11">
        <v>0</v>
      </c>
      <c r="I5" s="54">
        <v>0.77362125528354786</v>
      </c>
      <c r="J5" s="54">
        <v>1</v>
      </c>
      <c r="K5" s="44">
        <v>1</v>
      </c>
      <c r="L5" s="45">
        <v>0</v>
      </c>
      <c r="M5" s="45">
        <v>1</v>
      </c>
      <c r="N5" s="45">
        <v>1240</v>
      </c>
      <c r="O5" s="45">
        <v>330</v>
      </c>
    </row>
    <row r="6" spans="1:15" x14ac:dyDescent="0.3">
      <c r="A6" s="36">
        <v>0</v>
      </c>
      <c r="B6" s="36">
        <v>0.32181367900000002</v>
      </c>
      <c r="C6" s="36">
        <v>0.37511036773990797</v>
      </c>
      <c r="D6" s="46">
        <v>0</v>
      </c>
      <c r="E6" s="36">
        <v>0</v>
      </c>
      <c r="F6" s="36">
        <v>0.20053448600000001</v>
      </c>
      <c r="G6" s="36">
        <v>8.1436625942127916E-2</v>
      </c>
      <c r="H6" s="11">
        <v>0</v>
      </c>
      <c r="I6" s="54">
        <v>0.77362125528354786</v>
      </c>
      <c r="J6" s="54">
        <v>1</v>
      </c>
      <c r="K6" s="44">
        <v>1</v>
      </c>
      <c r="L6" s="45">
        <v>0</v>
      </c>
      <c r="M6" s="45">
        <v>1</v>
      </c>
      <c r="N6" s="45">
        <v>1240</v>
      </c>
      <c r="O6" s="45">
        <v>330</v>
      </c>
    </row>
    <row r="7" spans="1:15" x14ac:dyDescent="0.3">
      <c r="A7" s="36">
        <v>0</v>
      </c>
      <c r="B7" s="36">
        <v>0.323743155</v>
      </c>
      <c r="C7" s="36">
        <v>0.37735939100751537</v>
      </c>
      <c r="D7" s="46">
        <v>0</v>
      </c>
      <c r="E7" s="36">
        <v>0</v>
      </c>
      <c r="F7" s="36">
        <v>0.209092115</v>
      </c>
      <c r="G7" s="36">
        <v>7.9330834267695508E-2</v>
      </c>
      <c r="H7" s="11">
        <v>0</v>
      </c>
      <c r="I7" s="54">
        <v>0.77362125528354786</v>
      </c>
      <c r="J7" s="54">
        <v>1</v>
      </c>
      <c r="K7" s="44">
        <v>1</v>
      </c>
      <c r="L7" s="45">
        <v>0</v>
      </c>
      <c r="M7" s="45">
        <v>1</v>
      </c>
      <c r="N7" s="45">
        <v>1240</v>
      </c>
      <c r="O7" s="45">
        <v>330</v>
      </c>
    </row>
    <row r="8" spans="1:15" x14ac:dyDescent="0.3">
      <c r="A8" s="36">
        <v>0</v>
      </c>
      <c r="B8" s="36">
        <v>0.30273460200000002</v>
      </c>
      <c r="C8" s="36">
        <v>0.35287153807969324</v>
      </c>
      <c r="D8" s="46">
        <v>0</v>
      </c>
      <c r="E8" s="36">
        <v>0</v>
      </c>
      <c r="F8" s="36">
        <v>0.21624348900000001</v>
      </c>
      <c r="G8" s="36">
        <v>7.6747302668941975E-2</v>
      </c>
      <c r="H8" s="11">
        <v>0</v>
      </c>
      <c r="I8" s="54">
        <v>0.77362125528354786</v>
      </c>
      <c r="J8" s="54">
        <v>1</v>
      </c>
      <c r="K8" s="44">
        <v>1</v>
      </c>
      <c r="L8" s="45">
        <v>0</v>
      </c>
      <c r="M8" s="45">
        <v>1</v>
      </c>
      <c r="N8" s="45">
        <v>1240</v>
      </c>
      <c r="O8" s="45">
        <v>330</v>
      </c>
    </row>
    <row r="9" spans="1:15" x14ac:dyDescent="0.3">
      <c r="A9" s="36">
        <v>0</v>
      </c>
      <c r="B9" s="36">
        <v>0.24533328800000001</v>
      </c>
      <c r="C9" s="36">
        <v>0.28596379173963193</v>
      </c>
      <c r="D9" s="46">
        <v>0</v>
      </c>
      <c r="E9" s="36">
        <v>0</v>
      </c>
      <c r="F9" s="36">
        <v>0.23473575999999999</v>
      </c>
      <c r="G9" s="36">
        <v>7.707484609585992E-2</v>
      </c>
      <c r="H9" s="11">
        <v>0</v>
      </c>
      <c r="I9" s="54">
        <v>0.77362125528354786</v>
      </c>
      <c r="J9" s="54">
        <v>1</v>
      </c>
      <c r="K9" s="44">
        <v>1</v>
      </c>
      <c r="L9" s="45">
        <v>0</v>
      </c>
      <c r="M9" s="45">
        <v>1</v>
      </c>
      <c r="N9" s="45">
        <v>1240</v>
      </c>
      <c r="O9" s="45">
        <v>330</v>
      </c>
    </row>
    <row r="10" spans="1:15" x14ac:dyDescent="0.3">
      <c r="A10" s="36">
        <v>9.4880399999999997E-3</v>
      </c>
      <c r="B10" s="36">
        <v>0.19145563500000001</v>
      </c>
      <c r="C10" s="36">
        <v>0.2342226597032209</v>
      </c>
      <c r="D10" s="46">
        <v>0</v>
      </c>
      <c r="E10" s="38">
        <v>2.0000000000000002E-5</v>
      </c>
      <c r="F10" s="36">
        <v>0.24991801699999999</v>
      </c>
      <c r="G10" s="36">
        <v>7.7038908653806207E-2</v>
      </c>
      <c r="H10" s="11">
        <v>0</v>
      </c>
      <c r="I10" s="54">
        <v>0.77362125528354786</v>
      </c>
      <c r="J10" s="54">
        <v>1</v>
      </c>
      <c r="K10" s="44">
        <v>1</v>
      </c>
      <c r="L10" s="45">
        <v>0</v>
      </c>
      <c r="M10" s="45">
        <v>1</v>
      </c>
      <c r="N10" s="45">
        <v>1240</v>
      </c>
      <c r="O10" s="45">
        <v>330</v>
      </c>
    </row>
    <row r="11" spans="1:15" x14ac:dyDescent="0.3">
      <c r="A11" s="36">
        <v>0.25333195600000002</v>
      </c>
      <c r="B11" s="36">
        <v>0.16467230399999999</v>
      </c>
      <c r="C11" s="36">
        <v>0.48723140723128838</v>
      </c>
      <c r="D11" s="46">
        <v>0</v>
      </c>
      <c r="E11" s="36">
        <v>0.11114640000000001</v>
      </c>
      <c r="F11" s="36">
        <v>0.22837497200000001</v>
      </c>
      <c r="G11" s="36">
        <v>0.17921139968660038</v>
      </c>
      <c r="H11" s="11">
        <v>0</v>
      </c>
      <c r="I11" s="54">
        <v>0.77362125528354786</v>
      </c>
      <c r="J11" s="54">
        <v>1</v>
      </c>
      <c r="K11" s="44">
        <v>1</v>
      </c>
      <c r="L11" s="45">
        <v>0</v>
      </c>
      <c r="M11" s="45">
        <v>1</v>
      </c>
      <c r="N11" s="45">
        <v>1240</v>
      </c>
      <c r="O11" s="45">
        <v>330</v>
      </c>
    </row>
    <row r="12" spans="1:15" x14ac:dyDescent="0.3">
      <c r="A12" s="36">
        <v>0.61809580500000005</v>
      </c>
      <c r="B12" s="36">
        <v>0.15553496</v>
      </c>
      <c r="C12" s="36">
        <v>0.90175446132622705</v>
      </c>
      <c r="D12" s="46">
        <v>0</v>
      </c>
      <c r="E12" s="36">
        <v>0.40678760000000003</v>
      </c>
      <c r="F12" s="36">
        <v>0.20019468400000001</v>
      </c>
      <c r="G12" s="36">
        <v>0.45094925511292477</v>
      </c>
      <c r="H12" s="11">
        <v>0</v>
      </c>
      <c r="I12" s="54">
        <v>0</v>
      </c>
      <c r="J12" s="54">
        <v>1</v>
      </c>
      <c r="K12" s="44">
        <v>0</v>
      </c>
      <c r="L12" s="45">
        <v>0</v>
      </c>
      <c r="M12" s="45">
        <v>1</v>
      </c>
      <c r="N12" s="45">
        <v>195.1</v>
      </c>
      <c r="O12" s="45">
        <v>330</v>
      </c>
    </row>
    <row r="13" spans="1:15" x14ac:dyDescent="0.3">
      <c r="A13" s="36">
        <v>0.82067192099999997</v>
      </c>
      <c r="B13" s="36">
        <v>0.16481443000000001</v>
      </c>
      <c r="C13" s="36">
        <v>1</v>
      </c>
      <c r="D13" s="46">
        <v>0.11169860020390342</v>
      </c>
      <c r="E13" s="36">
        <v>0.69209319999999996</v>
      </c>
      <c r="F13" s="36">
        <v>0.21262310700000001</v>
      </c>
      <c r="G13" s="36">
        <v>0.71574828134411639</v>
      </c>
      <c r="H13" s="11">
        <v>0</v>
      </c>
      <c r="I13" s="54">
        <v>0</v>
      </c>
      <c r="J13" s="54">
        <v>1</v>
      </c>
      <c r="K13" s="44">
        <v>0</v>
      </c>
      <c r="L13" s="45">
        <v>0</v>
      </c>
      <c r="M13" s="45">
        <v>0.97923636659023339</v>
      </c>
      <c r="N13" s="45">
        <v>0</v>
      </c>
      <c r="O13" s="45">
        <v>0</v>
      </c>
    </row>
    <row r="14" spans="1:15" x14ac:dyDescent="0.3">
      <c r="A14" s="36">
        <v>0.90059444</v>
      </c>
      <c r="B14" s="36">
        <v>0.189962678</v>
      </c>
      <c r="C14" s="36">
        <v>1</v>
      </c>
      <c r="D14" s="46">
        <v>0.20369786457629394</v>
      </c>
      <c r="E14" s="36">
        <v>0.87063279999999998</v>
      </c>
      <c r="F14" s="36">
        <v>0.23684482800000001</v>
      </c>
      <c r="G14" s="36">
        <v>0.88176991006855621</v>
      </c>
      <c r="H14" s="11">
        <v>0</v>
      </c>
      <c r="I14" s="54">
        <v>0</v>
      </c>
      <c r="J14" s="54">
        <v>1</v>
      </c>
      <c r="K14" s="44">
        <v>0</v>
      </c>
      <c r="L14" s="45">
        <v>0</v>
      </c>
      <c r="M14" s="45">
        <v>0.32499278940606868</v>
      </c>
      <c r="N14" s="45">
        <v>0</v>
      </c>
      <c r="O14" s="45">
        <v>0</v>
      </c>
    </row>
    <row r="15" spans="1:15" x14ac:dyDescent="0.3">
      <c r="A15" s="36">
        <v>0.90052196299999998</v>
      </c>
      <c r="B15" s="36">
        <v>0.20713524</v>
      </c>
      <c r="C15" s="36">
        <v>1</v>
      </c>
      <c r="D15" s="46">
        <v>0.21867058520662241</v>
      </c>
      <c r="E15" s="36">
        <v>0.92932879999999995</v>
      </c>
      <c r="F15" s="36">
        <v>0.27357385499999998</v>
      </c>
      <c r="G15" s="36">
        <v>0.94061033319335208</v>
      </c>
      <c r="H15" s="11">
        <v>0</v>
      </c>
      <c r="I15" s="54">
        <v>0</v>
      </c>
      <c r="J15" s="54">
        <v>1</v>
      </c>
      <c r="K15" s="44">
        <v>0</v>
      </c>
      <c r="L15" s="45">
        <v>0</v>
      </c>
      <c r="M15" s="45">
        <v>0.48769743270288041</v>
      </c>
      <c r="N15" s="45">
        <v>0</v>
      </c>
      <c r="O15" s="45">
        <v>0</v>
      </c>
    </row>
    <row r="16" spans="1:15" x14ac:dyDescent="0.3">
      <c r="A16" s="36">
        <v>0.82937190999999999</v>
      </c>
      <c r="B16" s="36">
        <v>0.21409618999999999</v>
      </c>
      <c r="C16" s="36">
        <v>1</v>
      </c>
      <c r="D16" s="46">
        <v>0.16246703377805433</v>
      </c>
      <c r="E16" s="36">
        <v>0.86480080000000004</v>
      </c>
      <c r="F16" s="36">
        <v>0.290772739</v>
      </c>
      <c r="G16" s="36">
        <v>0.88691653607597576</v>
      </c>
      <c r="H16" s="11">
        <v>0</v>
      </c>
      <c r="I16" s="54">
        <v>0</v>
      </c>
      <c r="J16" s="54">
        <v>1</v>
      </c>
      <c r="K16" s="44">
        <v>0</v>
      </c>
      <c r="L16" s="45">
        <v>0</v>
      </c>
      <c r="M16" s="45">
        <v>0.97923636659023339</v>
      </c>
      <c r="N16" s="45">
        <v>0</v>
      </c>
      <c r="O16" s="45">
        <v>0</v>
      </c>
    </row>
    <row r="17" spans="1:15" x14ac:dyDescent="0.3">
      <c r="A17" s="36">
        <v>0.70370061399999995</v>
      </c>
      <c r="B17" s="36">
        <v>0.214720357</v>
      </c>
      <c r="C17" s="36">
        <v>1</v>
      </c>
      <c r="D17" s="46">
        <v>5.2976599774851314E-2</v>
      </c>
      <c r="E17" s="36">
        <v>0.69269080000000005</v>
      </c>
      <c r="F17" s="36">
        <v>0.25417760499999997</v>
      </c>
      <c r="G17" s="36">
        <v>0.73182482926695336</v>
      </c>
      <c r="H17" s="11">
        <v>0</v>
      </c>
      <c r="I17" s="54">
        <v>0</v>
      </c>
      <c r="J17" s="54">
        <v>1</v>
      </c>
      <c r="K17" s="44">
        <v>0</v>
      </c>
      <c r="L17" s="45">
        <v>0</v>
      </c>
      <c r="M17" s="45">
        <v>1</v>
      </c>
      <c r="N17" s="45">
        <v>195.1</v>
      </c>
      <c r="O17" s="45">
        <v>0</v>
      </c>
    </row>
    <row r="18" spans="1:15" x14ac:dyDescent="0.3">
      <c r="A18" s="36">
        <v>0.458227365</v>
      </c>
      <c r="B18" s="36">
        <v>0.20648649199999999</v>
      </c>
      <c r="C18" s="36">
        <v>0.77479944331727002</v>
      </c>
      <c r="D18" s="46">
        <v>0</v>
      </c>
      <c r="E18" s="36">
        <v>0.44541520000000001</v>
      </c>
      <c r="F18" s="36">
        <v>0.18531746800000001</v>
      </c>
      <c r="G18" s="36">
        <v>0.50303042582015134</v>
      </c>
      <c r="H18" s="11">
        <v>0</v>
      </c>
      <c r="I18" s="54">
        <v>0</v>
      </c>
      <c r="J18" s="54">
        <v>1</v>
      </c>
      <c r="K18" s="44">
        <v>0</v>
      </c>
      <c r="L18" s="45">
        <v>0</v>
      </c>
      <c r="M18" s="45">
        <v>1</v>
      </c>
      <c r="N18" s="45">
        <v>1240</v>
      </c>
      <c r="O18" s="45">
        <v>330</v>
      </c>
    </row>
    <row r="19" spans="1:15" x14ac:dyDescent="0.3">
      <c r="A19" s="36">
        <v>0.106881658</v>
      </c>
      <c r="B19" s="36">
        <v>0.17191646599999999</v>
      </c>
      <c r="C19" s="36">
        <v>0.32497085625386501</v>
      </c>
      <c r="D19" s="46">
        <v>0</v>
      </c>
      <c r="E19" s="36">
        <v>0.17363880000000001</v>
      </c>
      <c r="F19" s="36">
        <v>0.15156096499999999</v>
      </c>
      <c r="G19" s="36">
        <v>0.25609828499925802</v>
      </c>
      <c r="H19" s="11">
        <v>0</v>
      </c>
      <c r="I19" s="54">
        <v>0.77362125528354786</v>
      </c>
      <c r="J19" s="54">
        <v>1</v>
      </c>
      <c r="K19" s="44">
        <v>1</v>
      </c>
      <c r="L19" s="45">
        <v>0</v>
      </c>
      <c r="M19" s="45">
        <v>1</v>
      </c>
      <c r="N19" s="45">
        <v>1240</v>
      </c>
      <c r="O19" s="45">
        <v>330</v>
      </c>
    </row>
    <row r="20" spans="1:15" x14ac:dyDescent="0.3">
      <c r="A20" s="36">
        <v>8.2300000000000008E-6</v>
      </c>
      <c r="B20" s="36">
        <v>0.158973279</v>
      </c>
      <c r="C20" s="36">
        <v>0.18531099265309814</v>
      </c>
      <c r="D20" s="46">
        <v>0</v>
      </c>
      <c r="E20" s="36">
        <v>2.1651999999999999E-3</v>
      </c>
      <c r="F20" s="36">
        <v>0.13066192300000001</v>
      </c>
      <c r="G20" s="36">
        <v>0.10460849959667608</v>
      </c>
      <c r="H20" s="11">
        <v>0</v>
      </c>
      <c r="I20" s="54">
        <v>0.77362125528354786</v>
      </c>
      <c r="J20" s="54">
        <v>1</v>
      </c>
      <c r="K20" s="44">
        <v>1</v>
      </c>
      <c r="L20" s="45">
        <v>0</v>
      </c>
      <c r="M20" s="45">
        <v>1</v>
      </c>
      <c r="N20" s="45">
        <v>1240</v>
      </c>
      <c r="O20" s="45">
        <v>330</v>
      </c>
    </row>
    <row r="21" spans="1:15" x14ac:dyDescent="0.3">
      <c r="A21" s="36">
        <v>0</v>
      </c>
      <c r="B21" s="36">
        <v>0.15493874299999999</v>
      </c>
      <c r="C21" s="36">
        <v>0.18059869003855825</v>
      </c>
      <c r="D21" s="46">
        <v>0</v>
      </c>
      <c r="E21" s="36">
        <v>0</v>
      </c>
      <c r="F21" s="36">
        <v>0.13792420799999999</v>
      </c>
      <c r="G21" s="36">
        <v>0.10872006536904585</v>
      </c>
      <c r="H21" s="11">
        <v>0</v>
      </c>
      <c r="I21" s="54">
        <v>0.77362125528354786</v>
      </c>
      <c r="J21" s="54">
        <v>1</v>
      </c>
      <c r="K21" s="44">
        <v>1</v>
      </c>
      <c r="L21" s="45">
        <v>0</v>
      </c>
      <c r="M21" s="45">
        <v>1</v>
      </c>
      <c r="N21" s="45">
        <v>1240</v>
      </c>
      <c r="O21" s="45">
        <v>330</v>
      </c>
    </row>
    <row r="22" spans="1:15" x14ac:dyDescent="0.3">
      <c r="A22" s="36">
        <v>0</v>
      </c>
      <c r="B22" s="36">
        <v>0.15646373499999999</v>
      </c>
      <c r="C22" s="36">
        <v>0.1823762412964724</v>
      </c>
      <c r="D22" s="46">
        <v>0</v>
      </c>
      <c r="E22" s="36">
        <v>0</v>
      </c>
      <c r="F22" s="36">
        <v>0.142036675</v>
      </c>
      <c r="G22" s="36">
        <v>0.11190486128357323</v>
      </c>
      <c r="H22" s="11">
        <v>0</v>
      </c>
      <c r="I22" s="54">
        <v>0.77362125528354786</v>
      </c>
      <c r="J22" s="54">
        <v>1</v>
      </c>
      <c r="K22" s="44">
        <v>1</v>
      </c>
      <c r="L22" s="45">
        <v>0</v>
      </c>
      <c r="M22" s="45">
        <v>1</v>
      </c>
      <c r="N22" s="45">
        <v>1240</v>
      </c>
      <c r="O22" s="45">
        <v>330</v>
      </c>
    </row>
    <row r="23" spans="1:15" x14ac:dyDescent="0.3">
      <c r="A23" s="36">
        <v>0</v>
      </c>
      <c r="B23" s="36">
        <v>0.161745637</v>
      </c>
      <c r="C23" s="36">
        <v>0.18853289755714725</v>
      </c>
      <c r="D23" s="46">
        <v>0</v>
      </c>
      <c r="E23" s="36">
        <v>0</v>
      </c>
      <c r="F23" s="36">
        <v>0.16612885499999999</v>
      </c>
      <c r="G23" s="36">
        <v>0.11391570460454074</v>
      </c>
      <c r="H23" s="11">
        <v>0</v>
      </c>
      <c r="I23" s="54">
        <v>0.77362125528354786</v>
      </c>
      <c r="J23" s="54">
        <v>1</v>
      </c>
      <c r="K23" s="44">
        <v>1</v>
      </c>
      <c r="L23" s="45">
        <v>0</v>
      </c>
      <c r="M23" s="45">
        <v>1</v>
      </c>
      <c r="N23" s="45">
        <v>1240</v>
      </c>
      <c r="O23" s="45">
        <v>330</v>
      </c>
    </row>
    <row r="24" spans="1:15" x14ac:dyDescent="0.3">
      <c r="A24" s="36">
        <v>0</v>
      </c>
      <c r="B24" s="36">
        <v>0.172932218</v>
      </c>
      <c r="C24" s="36">
        <v>0.20157212735527608</v>
      </c>
      <c r="D24" s="46">
        <v>0</v>
      </c>
      <c r="E24" s="36">
        <v>0</v>
      </c>
      <c r="F24" s="36">
        <v>0.17007567200000001</v>
      </c>
      <c r="G24" s="36">
        <v>0.10984830653628136</v>
      </c>
      <c r="H24" s="11">
        <v>0</v>
      </c>
      <c r="I24" s="54">
        <v>0.77362125528354786</v>
      </c>
      <c r="J24" s="54">
        <v>1</v>
      </c>
      <c r="K24" s="44">
        <v>1</v>
      </c>
      <c r="L24" s="45">
        <v>0</v>
      </c>
      <c r="M24" s="45">
        <v>1</v>
      </c>
      <c r="N24" s="45">
        <v>1240</v>
      </c>
      <c r="O24" s="45">
        <v>330</v>
      </c>
    </row>
    <row r="25" spans="1:15" x14ac:dyDescent="0.3">
      <c r="A25" s="36">
        <v>0</v>
      </c>
      <c r="B25" s="36">
        <v>0.18310457299999999</v>
      </c>
      <c r="C25" s="36">
        <v>0.21342916163886502</v>
      </c>
      <c r="D25" s="46">
        <v>0</v>
      </c>
      <c r="E25" s="36">
        <v>0</v>
      </c>
      <c r="F25" s="36">
        <v>0.189750056</v>
      </c>
      <c r="G25" s="36">
        <v>0.1043831912693278</v>
      </c>
      <c r="H25" s="11">
        <v>0</v>
      </c>
      <c r="I25" s="54">
        <v>0.77362125528354786</v>
      </c>
      <c r="J25" s="54">
        <v>1</v>
      </c>
      <c r="K25" s="44">
        <v>1</v>
      </c>
      <c r="L25" s="45">
        <v>0</v>
      </c>
      <c r="M25" s="45">
        <v>1</v>
      </c>
      <c r="N25" s="45">
        <v>1240</v>
      </c>
      <c r="O25" s="45">
        <v>330</v>
      </c>
    </row>
    <row r="26" spans="1:15" x14ac:dyDescent="0.3">
      <c r="A26" s="36">
        <v>0</v>
      </c>
      <c r="B26" s="36">
        <v>0.191308168</v>
      </c>
      <c r="C26" s="36">
        <v>0.22299138269423313</v>
      </c>
      <c r="D26" s="46">
        <v>0</v>
      </c>
      <c r="E26" s="36">
        <v>0</v>
      </c>
      <c r="F26" s="36">
        <v>0.207967875</v>
      </c>
      <c r="G26" s="36">
        <v>9.7894825739723995E-2</v>
      </c>
      <c r="H26" s="11">
        <v>0</v>
      </c>
      <c r="I26" s="54">
        <v>0.83886932004309223</v>
      </c>
      <c r="J26" s="54">
        <v>1</v>
      </c>
      <c r="K26" s="44">
        <v>1</v>
      </c>
      <c r="L26" s="45">
        <v>0</v>
      </c>
      <c r="M26" s="45">
        <v>1</v>
      </c>
      <c r="N26" s="45">
        <v>1240</v>
      </c>
      <c r="O26" s="45">
        <v>330</v>
      </c>
    </row>
    <row r="27" spans="1:15" x14ac:dyDescent="0.3">
      <c r="A27" s="36">
        <v>0</v>
      </c>
      <c r="B27" s="36">
        <v>0.18462990100000001</v>
      </c>
      <c r="C27" s="36">
        <v>0.21520710454291414</v>
      </c>
      <c r="D27" s="46">
        <v>0</v>
      </c>
      <c r="E27" s="36">
        <v>0</v>
      </c>
      <c r="F27" s="36">
        <v>0.235890868</v>
      </c>
      <c r="G27" s="36">
        <v>9.2014504440124642E-2</v>
      </c>
      <c r="H27" s="11">
        <v>0</v>
      </c>
      <c r="I27" s="54">
        <v>0.83886932004309223</v>
      </c>
      <c r="J27" s="54">
        <v>1</v>
      </c>
      <c r="K27" s="44">
        <v>1</v>
      </c>
      <c r="L27" s="45">
        <v>0</v>
      </c>
      <c r="M27" s="45">
        <v>1</v>
      </c>
      <c r="N27" s="45">
        <v>1240</v>
      </c>
      <c r="O27" s="45">
        <v>330</v>
      </c>
    </row>
    <row r="28" spans="1:15" x14ac:dyDescent="0.3">
      <c r="A28" s="36">
        <v>0</v>
      </c>
      <c r="B28" s="36">
        <v>0.175203316</v>
      </c>
      <c r="C28" s="36">
        <v>0.20421934983693249</v>
      </c>
      <c r="D28" s="46">
        <v>0</v>
      </c>
      <c r="E28" s="36">
        <v>0</v>
      </c>
      <c r="F28" s="36">
        <v>0.24929546599999999</v>
      </c>
      <c r="G28" s="36">
        <v>8.5238154529455407E-2</v>
      </c>
      <c r="H28" s="11">
        <v>0</v>
      </c>
      <c r="I28" s="54">
        <v>0.83886932004309223</v>
      </c>
      <c r="J28" s="54">
        <v>1</v>
      </c>
      <c r="K28" s="44">
        <v>1</v>
      </c>
      <c r="L28" s="45">
        <v>0</v>
      </c>
      <c r="M28" s="45">
        <v>1</v>
      </c>
      <c r="N28" s="45">
        <v>1240</v>
      </c>
      <c r="O28" s="45">
        <v>330</v>
      </c>
    </row>
    <row r="29" spans="1:15" x14ac:dyDescent="0.3">
      <c r="A29" s="36">
        <v>0</v>
      </c>
      <c r="B29" s="36">
        <v>0.164087805</v>
      </c>
      <c r="C29" s="36">
        <v>0.1912629601900307</v>
      </c>
      <c r="D29" s="46">
        <v>0</v>
      </c>
      <c r="E29" s="36">
        <v>0</v>
      </c>
      <c r="F29" s="36">
        <v>0.24791831</v>
      </c>
      <c r="G29" s="36">
        <v>7.9252758474551127E-2</v>
      </c>
      <c r="H29" s="11">
        <v>0</v>
      </c>
      <c r="I29" s="54">
        <v>0.83886932004309223</v>
      </c>
      <c r="J29" s="54">
        <v>1</v>
      </c>
      <c r="K29" s="44">
        <v>1</v>
      </c>
      <c r="L29" s="45">
        <v>0</v>
      </c>
      <c r="M29" s="45">
        <v>1</v>
      </c>
      <c r="N29" s="45">
        <v>1240</v>
      </c>
      <c r="O29" s="45">
        <v>330</v>
      </c>
    </row>
    <row r="30" spans="1:15" x14ac:dyDescent="0.3">
      <c r="A30" s="36">
        <v>0</v>
      </c>
      <c r="B30" s="36">
        <v>0.15585540000000001</v>
      </c>
      <c r="C30" s="36">
        <v>0.18166715780981596</v>
      </c>
      <c r="D30" s="46">
        <v>0</v>
      </c>
      <c r="E30" s="36">
        <v>0</v>
      </c>
      <c r="F30" s="36">
        <v>0.25390801499999999</v>
      </c>
      <c r="G30" s="36">
        <v>7.4230829166048368E-2</v>
      </c>
      <c r="H30" s="11">
        <v>0</v>
      </c>
      <c r="I30" s="54">
        <v>0.83886932004309223</v>
      </c>
      <c r="J30" s="54">
        <v>1</v>
      </c>
      <c r="K30" s="44">
        <v>1</v>
      </c>
      <c r="L30" s="45">
        <v>0</v>
      </c>
      <c r="M30" s="45">
        <v>1</v>
      </c>
      <c r="N30" s="45">
        <v>1240</v>
      </c>
      <c r="O30" s="45">
        <v>330</v>
      </c>
    </row>
    <row r="31" spans="1:15" x14ac:dyDescent="0.3">
      <c r="A31" s="36">
        <v>0</v>
      </c>
      <c r="B31" s="36">
        <v>0.148141731</v>
      </c>
      <c r="C31" s="36">
        <v>0.17267600111254602</v>
      </c>
      <c r="D31" s="46">
        <v>0</v>
      </c>
      <c r="E31" s="36">
        <v>0</v>
      </c>
      <c r="F31" s="36">
        <v>0.231294791</v>
      </c>
      <c r="G31" s="36">
        <v>6.8519858705149136E-2</v>
      </c>
      <c r="H31" s="11">
        <v>0</v>
      </c>
      <c r="I31" s="54">
        <v>0.83886932004309223</v>
      </c>
      <c r="J31" s="54">
        <v>1</v>
      </c>
      <c r="K31" s="44">
        <v>1</v>
      </c>
      <c r="L31" s="45">
        <v>0</v>
      </c>
      <c r="M31" s="45">
        <v>1</v>
      </c>
      <c r="N31" s="45">
        <v>1240</v>
      </c>
      <c r="O31" s="45">
        <v>330</v>
      </c>
    </row>
    <row r="32" spans="1:15" x14ac:dyDescent="0.3">
      <c r="A32" s="36">
        <v>0</v>
      </c>
      <c r="B32" s="36">
        <v>0.133788193</v>
      </c>
      <c r="C32" s="36">
        <v>0.15594532349101228</v>
      </c>
      <c r="D32" s="46">
        <v>0</v>
      </c>
      <c r="E32" s="36">
        <v>0</v>
      </c>
      <c r="F32" s="36">
        <v>0.21932707000000001</v>
      </c>
      <c r="G32" s="36">
        <v>6.6121519590443684E-2</v>
      </c>
      <c r="H32" s="11">
        <v>0</v>
      </c>
      <c r="I32" s="54">
        <v>0.83886932004309223</v>
      </c>
      <c r="J32" s="54">
        <v>1</v>
      </c>
      <c r="K32" s="44">
        <v>1</v>
      </c>
      <c r="L32" s="45">
        <v>0</v>
      </c>
      <c r="M32" s="45">
        <v>1</v>
      </c>
      <c r="N32" s="45">
        <v>1240</v>
      </c>
      <c r="O32" s="45">
        <v>330</v>
      </c>
    </row>
    <row r="33" spans="1:15" x14ac:dyDescent="0.3">
      <c r="A33" s="36">
        <v>0</v>
      </c>
      <c r="B33" s="36">
        <v>0.115257552</v>
      </c>
      <c r="C33" s="36">
        <v>0.13434575823460124</v>
      </c>
      <c r="D33" s="46">
        <v>0</v>
      </c>
      <c r="E33" s="36">
        <v>0</v>
      </c>
      <c r="F33" s="36">
        <v>0.221008696</v>
      </c>
      <c r="G33" s="36">
        <v>6.8034689642973739E-2</v>
      </c>
      <c r="H33" s="11">
        <v>0</v>
      </c>
      <c r="I33" s="54">
        <v>0.83886932004309223</v>
      </c>
      <c r="J33" s="54">
        <v>1</v>
      </c>
      <c r="K33" s="44">
        <v>1</v>
      </c>
      <c r="L33" s="45">
        <v>0</v>
      </c>
      <c r="M33" s="45">
        <v>1</v>
      </c>
      <c r="N33" s="45">
        <v>1240</v>
      </c>
      <c r="O33" s="45">
        <v>330</v>
      </c>
    </row>
    <row r="34" spans="1:15" x14ac:dyDescent="0.3">
      <c r="A34" s="36">
        <v>7.9333939999999999E-3</v>
      </c>
      <c r="B34" s="36">
        <v>0.113440635</v>
      </c>
      <c r="C34" s="36">
        <v>0.14147520637947852</v>
      </c>
      <c r="D34" s="46">
        <v>0</v>
      </c>
      <c r="E34" s="38">
        <v>1.4800000000000001E-5</v>
      </c>
      <c r="F34" s="36">
        <v>0.23509508200000001</v>
      </c>
      <c r="G34" s="36">
        <v>7.0901234568630359E-2</v>
      </c>
      <c r="H34" s="11">
        <v>0</v>
      </c>
      <c r="I34" s="54">
        <v>0.83886932004309223</v>
      </c>
      <c r="J34" s="54">
        <v>1</v>
      </c>
      <c r="K34" s="44">
        <v>1</v>
      </c>
      <c r="L34" s="45">
        <v>0</v>
      </c>
      <c r="M34" s="45">
        <v>1</v>
      </c>
      <c r="N34" s="45">
        <v>1240</v>
      </c>
      <c r="O34" s="45">
        <v>330</v>
      </c>
    </row>
    <row r="35" spans="1:15" x14ac:dyDescent="0.3">
      <c r="A35" s="36">
        <v>0.219832848</v>
      </c>
      <c r="B35" s="36">
        <v>0.103052199</v>
      </c>
      <c r="C35" s="36">
        <v>0.37635916874088954</v>
      </c>
      <c r="D35" s="46">
        <v>0</v>
      </c>
      <c r="E35" s="36">
        <v>0.1031792</v>
      </c>
      <c r="F35" s="36">
        <v>0.26235456600000001</v>
      </c>
      <c r="G35" s="36">
        <v>0.16883210920967504</v>
      </c>
      <c r="H35" s="11">
        <v>0</v>
      </c>
      <c r="I35" s="54">
        <v>0.83886932004309223</v>
      </c>
      <c r="J35" s="54">
        <v>1</v>
      </c>
      <c r="K35" s="44">
        <v>1</v>
      </c>
      <c r="L35" s="45">
        <v>0</v>
      </c>
      <c r="M35" s="45">
        <v>1</v>
      </c>
      <c r="N35" s="45">
        <v>1240</v>
      </c>
      <c r="O35" s="45">
        <v>330</v>
      </c>
    </row>
    <row r="36" spans="1:15" x14ac:dyDescent="0.3">
      <c r="A36" s="36">
        <v>0.55434557600000001</v>
      </c>
      <c r="B36" s="36">
        <v>8.6513140000000002E-2</v>
      </c>
      <c r="C36" s="36">
        <v>0.74699356899644176</v>
      </c>
      <c r="D36" s="46">
        <v>0</v>
      </c>
      <c r="E36" s="36">
        <v>0.38548080000000001</v>
      </c>
      <c r="F36" s="36">
        <v>0.25087034699999999</v>
      </c>
      <c r="G36" s="36">
        <v>0.4294760421261315</v>
      </c>
      <c r="H36" s="11">
        <v>0</v>
      </c>
      <c r="I36" s="54">
        <v>0.78977169096992472</v>
      </c>
      <c r="J36" s="54">
        <v>1</v>
      </c>
      <c r="K36" s="44">
        <v>1</v>
      </c>
      <c r="L36" s="45">
        <v>0</v>
      </c>
      <c r="M36" s="45">
        <v>1</v>
      </c>
      <c r="N36" s="45">
        <v>1240</v>
      </c>
      <c r="O36" s="45">
        <v>330</v>
      </c>
    </row>
    <row r="37" spans="1:15" x14ac:dyDescent="0.3">
      <c r="A37" s="36">
        <v>0.75789682000000003</v>
      </c>
      <c r="B37" s="36">
        <v>8.1672468999999998E-2</v>
      </c>
      <c r="C37" s="36">
        <v>0.97861329486843562</v>
      </c>
      <c r="D37" s="46">
        <v>0</v>
      </c>
      <c r="E37" s="36">
        <v>0.66305159999999996</v>
      </c>
      <c r="F37" s="36">
        <v>0.19917035199999999</v>
      </c>
      <c r="G37" s="36">
        <v>0.68106644409675032</v>
      </c>
      <c r="H37" s="11">
        <v>0</v>
      </c>
      <c r="I37" s="54">
        <v>0</v>
      </c>
      <c r="J37" s="54">
        <v>1</v>
      </c>
      <c r="K37" s="44">
        <v>0</v>
      </c>
      <c r="L37" s="45">
        <v>0</v>
      </c>
      <c r="M37" s="45">
        <v>1</v>
      </c>
      <c r="N37" s="45">
        <v>194.64011808999999</v>
      </c>
      <c r="O37" s="45">
        <v>330</v>
      </c>
    </row>
    <row r="38" spans="1:15" x14ac:dyDescent="0.3">
      <c r="A38" s="36">
        <v>0.87286365799999999</v>
      </c>
      <c r="B38" s="36">
        <v>8.7381510999999995E-2</v>
      </c>
      <c r="C38" s="36">
        <v>1</v>
      </c>
      <c r="D38" s="46">
        <v>8.9597589216807119E-2</v>
      </c>
      <c r="E38" s="36">
        <v>0.85770120000000005</v>
      </c>
      <c r="F38" s="36">
        <v>0.13528069400000001</v>
      </c>
      <c r="G38" s="36">
        <v>0.85178789699154178</v>
      </c>
      <c r="H38" s="11">
        <v>0</v>
      </c>
      <c r="I38" s="54">
        <v>0</v>
      </c>
      <c r="J38" s="54">
        <v>1</v>
      </c>
      <c r="K38" s="44">
        <v>0</v>
      </c>
      <c r="L38" s="45">
        <v>0</v>
      </c>
      <c r="M38" s="45">
        <v>0.45244581614125873</v>
      </c>
      <c r="N38" s="45">
        <v>0</v>
      </c>
      <c r="O38" s="45">
        <v>129.57841562999999</v>
      </c>
    </row>
    <row r="39" spans="1:15" x14ac:dyDescent="0.3">
      <c r="A39" s="36">
        <v>0.90580659200000002</v>
      </c>
      <c r="B39" s="36">
        <v>8.9404032999999994E-2</v>
      </c>
      <c r="C39" s="36">
        <v>1</v>
      </c>
      <c r="D39" s="46">
        <v>0.12021310980632743</v>
      </c>
      <c r="E39" s="36">
        <v>0.93583479999999997</v>
      </c>
      <c r="F39" s="36">
        <v>9.0309238999999999E-2</v>
      </c>
      <c r="G39" s="36">
        <v>0.91594941120730078</v>
      </c>
      <c r="H39" s="11">
        <v>0</v>
      </c>
      <c r="I39" s="54">
        <v>0</v>
      </c>
      <c r="J39" s="54">
        <v>1</v>
      </c>
      <c r="K39" s="44">
        <v>0.204938505864</v>
      </c>
      <c r="L39" s="45">
        <v>0</v>
      </c>
      <c r="M39" s="45">
        <v>0.96052432728201087</v>
      </c>
      <c r="N39" s="45">
        <v>0</v>
      </c>
      <c r="O39" s="45">
        <v>330</v>
      </c>
    </row>
    <row r="40" spans="1:15" x14ac:dyDescent="0.3">
      <c r="A40" s="36">
        <v>0.86813232600000001</v>
      </c>
      <c r="B40" s="36">
        <v>8.3889897000000005E-2</v>
      </c>
      <c r="C40" s="36">
        <v>1</v>
      </c>
      <c r="D40" s="46">
        <v>8.2397632420319056E-2</v>
      </c>
      <c r="E40" s="36">
        <v>0.88760559999999999</v>
      </c>
      <c r="F40" s="36">
        <v>8.8416000999999994E-2</v>
      </c>
      <c r="G40" s="36">
        <v>0.86852362447751885</v>
      </c>
      <c r="H40" s="11">
        <v>0</v>
      </c>
      <c r="I40" s="54">
        <v>0</v>
      </c>
      <c r="J40" s="54">
        <v>1</v>
      </c>
      <c r="K40" s="44">
        <v>0.40402203442199996</v>
      </c>
      <c r="L40" s="45">
        <v>0</v>
      </c>
      <c r="M40" s="45">
        <v>1</v>
      </c>
      <c r="N40" s="45">
        <v>984.02762299999995</v>
      </c>
      <c r="O40" s="45">
        <v>330</v>
      </c>
    </row>
    <row r="41" spans="1:15" x14ac:dyDescent="0.3">
      <c r="A41" s="36">
        <v>0.73682766</v>
      </c>
      <c r="B41" s="36">
        <v>7.8523670000000004E-2</v>
      </c>
      <c r="C41" s="36">
        <v>0.9503845149898773</v>
      </c>
      <c r="D41" s="46">
        <v>0</v>
      </c>
      <c r="E41" s="36">
        <v>0.71697880000000003</v>
      </c>
      <c r="F41" s="36">
        <v>0.109440445</v>
      </c>
      <c r="G41" s="36">
        <v>0.71125098950140964</v>
      </c>
      <c r="H41" s="11">
        <v>0</v>
      </c>
      <c r="I41" s="54">
        <v>0</v>
      </c>
      <c r="J41" s="54">
        <v>1</v>
      </c>
      <c r="K41" s="44">
        <v>0.73645597202000002</v>
      </c>
      <c r="L41" s="45">
        <v>0</v>
      </c>
      <c r="M41" s="45">
        <v>1</v>
      </c>
      <c r="N41" s="45">
        <v>1240</v>
      </c>
      <c r="O41" s="45">
        <v>330</v>
      </c>
    </row>
    <row r="42" spans="1:15" x14ac:dyDescent="0.3">
      <c r="A42" s="36">
        <v>0.476664702</v>
      </c>
      <c r="B42" s="36">
        <v>7.2706811999999996E-2</v>
      </c>
      <c r="C42" s="36">
        <v>0.64035485154865035</v>
      </c>
      <c r="D42" s="46">
        <v>0</v>
      </c>
      <c r="E42" s="36">
        <v>0.46741559999999999</v>
      </c>
      <c r="F42" s="36">
        <v>0.19130698099999999</v>
      </c>
      <c r="G42" s="36">
        <v>0.49063856106603354</v>
      </c>
      <c r="H42" s="11">
        <v>0</v>
      </c>
      <c r="I42" s="54">
        <v>0.83886932004309223</v>
      </c>
      <c r="J42" s="54">
        <v>1</v>
      </c>
      <c r="K42" s="44">
        <v>1</v>
      </c>
      <c r="L42" s="45">
        <v>0</v>
      </c>
      <c r="M42" s="45">
        <v>1</v>
      </c>
      <c r="N42" s="45">
        <v>1240</v>
      </c>
      <c r="O42" s="45">
        <v>330</v>
      </c>
    </row>
    <row r="43" spans="1:15" x14ac:dyDescent="0.3">
      <c r="A43" s="36">
        <v>0.111706449</v>
      </c>
      <c r="B43" s="36">
        <v>7.3486639000000006E-2</v>
      </c>
      <c r="C43" s="36">
        <v>0.21586356291141107</v>
      </c>
      <c r="D43" s="46">
        <v>0</v>
      </c>
      <c r="E43" s="36">
        <v>0.1857384</v>
      </c>
      <c r="F43" s="36">
        <v>0.313722263</v>
      </c>
      <c r="G43" s="36">
        <v>0.24945497940080133</v>
      </c>
      <c r="H43" s="11">
        <v>0</v>
      </c>
      <c r="I43" s="54">
        <v>0.83886932004309223</v>
      </c>
      <c r="J43" s="54">
        <v>1</v>
      </c>
      <c r="K43" s="44">
        <v>1</v>
      </c>
      <c r="L43" s="45">
        <v>0</v>
      </c>
      <c r="M43" s="45">
        <v>1</v>
      </c>
      <c r="N43" s="45">
        <v>1240</v>
      </c>
      <c r="O43" s="45">
        <v>330</v>
      </c>
    </row>
    <row r="44" spans="1:15" x14ac:dyDescent="0.3">
      <c r="A44" s="36">
        <v>1.6500000000000001E-5</v>
      </c>
      <c r="B44" s="36">
        <v>0.115611123</v>
      </c>
      <c r="C44" s="36">
        <v>0.13477711798702452</v>
      </c>
      <c r="D44" s="46">
        <v>0</v>
      </c>
      <c r="E44" s="36">
        <v>3.0696E-3</v>
      </c>
      <c r="F44" s="36">
        <v>0.40253363399999997</v>
      </c>
      <c r="G44" s="36">
        <v>0.1020421906389672</v>
      </c>
      <c r="H44" s="11">
        <v>0</v>
      </c>
      <c r="I44" s="54">
        <v>0.83886932004309223</v>
      </c>
      <c r="J44" s="54">
        <v>1</v>
      </c>
      <c r="K44" s="44">
        <v>1</v>
      </c>
      <c r="L44" s="45">
        <v>0</v>
      </c>
      <c r="M44" s="45">
        <v>1</v>
      </c>
      <c r="N44" s="45">
        <v>1240</v>
      </c>
      <c r="O44" s="45">
        <v>330</v>
      </c>
    </row>
    <row r="45" spans="1:15" x14ac:dyDescent="0.3">
      <c r="A45" s="36">
        <v>0</v>
      </c>
      <c r="B45" s="36">
        <v>0.13827661499999999</v>
      </c>
      <c r="C45" s="36">
        <v>0.16117708875414108</v>
      </c>
      <c r="D45" s="46">
        <v>0</v>
      </c>
      <c r="E45" s="36">
        <v>0</v>
      </c>
      <c r="F45" s="36">
        <v>0.45652726999999999</v>
      </c>
      <c r="G45" s="36">
        <v>0.11529016369639412</v>
      </c>
      <c r="H45" s="11">
        <v>0</v>
      </c>
      <c r="I45" s="54">
        <v>0.83886932004309223</v>
      </c>
      <c r="J45" s="54">
        <v>1</v>
      </c>
      <c r="K45" s="44">
        <v>1</v>
      </c>
      <c r="L45" s="45">
        <v>0</v>
      </c>
      <c r="M45" s="45">
        <v>1</v>
      </c>
      <c r="N45" s="45">
        <v>1240</v>
      </c>
      <c r="O45" s="45">
        <v>330</v>
      </c>
    </row>
    <row r="46" spans="1:15" x14ac:dyDescent="0.3">
      <c r="A46" s="36">
        <v>0</v>
      </c>
      <c r="B46" s="36">
        <v>0.13061771899999999</v>
      </c>
      <c r="C46" s="36">
        <v>0.15224977620493865</v>
      </c>
      <c r="D46" s="46">
        <v>0</v>
      </c>
      <c r="E46" s="36">
        <v>0</v>
      </c>
      <c r="F46" s="36">
        <v>0.47166936100000001</v>
      </c>
      <c r="G46" s="36">
        <v>0.12076607667369046</v>
      </c>
      <c r="H46" s="11">
        <v>0</v>
      </c>
      <c r="I46" s="54">
        <v>0.83886932004309223</v>
      </c>
      <c r="J46" s="54">
        <v>1</v>
      </c>
      <c r="K46" s="44">
        <v>1</v>
      </c>
      <c r="L46" s="45">
        <v>0</v>
      </c>
      <c r="M46" s="45">
        <v>1</v>
      </c>
      <c r="N46" s="45">
        <v>1240</v>
      </c>
      <c r="O46" s="45">
        <v>330</v>
      </c>
    </row>
    <row r="47" spans="1:15" x14ac:dyDescent="0.3">
      <c r="A47" s="36">
        <v>0</v>
      </c>
      <c r="B47" s="36">
        <v>0.11403063400000001</v>
      </c>
      <c r="C47" s="36">
        <v>0.1329156460541718</v>
      </c>
      <c r="D47" s="46">
        <v>0</v>
      </c>
      <c r="E47" s="36">
        <v>0</v>
      </c>
      <c r="F47" s="36">
        <v>0.49320202699999999</v>
      </c>
      <c r="G47" s="36">
        <v>0.12176602135598753</v>
      </c>
      <c r="H47" s="11">
        <v>0</v>
      </c>
      <c r="I47" s="54">
        <v>0.83886932004309223</v>
      </c>
      <c r="J47" s="54">
        <v>1</v>
      </c>
      <c r="K47" s="44">
        <v>1</v>
      </c>
      <c r="L47" s="45">
        <v>0</v>
      </c>
      <c r="M47" s="45">
        <v>1</v>
      </c>
      <c r="N47" s="45">
        <v>1240</v>
      </c>
      <c r="O47" s="45">
        <v>330</v>
      </c>
    </row>
    <row r="48" spans="1:15" x14ac:dyDescent="0.3">
      <c r="A48" s="36">
        <v>0</v>
      </c>
      <c r="B48" s="36">
        <v>0.107394823</v>
      </c>
      <c r="C48" s="36">
        <v>0.12518085518947852</v>
      </c>
      <c r="D48" s="46">
        <v>0</v>
      </c>
      <c r="E48" s="36">
        <v>0</v>
      </c>
      <c r="F48" s="36">
        <v>0.54198934799999998</v>
      </c>
      <c r="G48" s="36">
        <v>0.12298570986674581</v>
      </c>
      <c r="H48" s="11">
        <v>0</v>
      </c>
      <c r="I48" s="54">
        <v>0.83886932004309223</v>
      </c>
      <c r="J48" s="54">
        <v>1</v>
      </c>
      <c r="K48" s="44">
        <v>1</v>
      </c>
      <c r="L48" s="45">
        <v>0</v>
      </c>
      <c r="M48" s="45">
        <v>1</v>
      </c>
      <c r="N48" s="45">
        <v>1240</v>
      </c>
      <c r="O48" s="45">
        <v>330</v>
      </c>
    </row>
    <row r="49" spans="1:15" x14ac:dyDescent="0.3">
      <c r="A49" s="36">
        <v>0</v>
      </c>
      <c r="B49" s="36">
        <v>0.103424957</v>
      </c>
      <c r="C49" s="36">
        <v>0.12055352579886504</v>
      </c>
      <c r="D49" s="46">
        <v>0</v>
      </c>
      <c r="E49" s="36">
        <v>0</v>
      </c>
      <c r="F49" s="36">
        <v>0.55967809000000002</v>
      </c>
      <c r="G49" s="36">
        <v>0.11759107197358661</v>
      </c>
      <c r="H49" s="11">
        <v>0</v>
      </c>
      <c r="I49" s="54">
        <v>0.83886932004309223</v>
      </c>
      <c r="J49" s="54">
        <v>1</v>
      </c>
      <c r="K49" s="44">
        <v>1</v>
      </c>
      <c r="L49" s="45">
        <v>0</v>
      </c>
      <c r="M49" s="45">
        <v>1</v>
      </c>
      <c r="N49" s="45">
        <v>1240</v>
      </c>
      <c r="O49" s="45">
        <v>330</v>
      </c>
    </row>
    <row r="50" spans="1:15" x14ac:dyDescent="0.3">
      <c r="A50" s="36">
        <v>0</v>
      </c>
      <c r="B50" s="36">
        <v>0.107749769</v>
      </c>
      <c r="C50" s="36">
        <v>0.12559458503776072</v>
      </c>
      <c r="D50" s="46">
        <v>0</v>
      </c>
      <c r="E50" s="36">
        <v>0</v>
      </c>
      <c r="F50" s="36">
        <v>0.55800049299999999</v>
      </c>
      <c r="G50" s="36">
        <v>0.11309323699094821</v>
      </c>
      <c r="H50" s="11">
        <v>0</v>
      </c>
      <c r="I50" s="54">
        <v>0.83005541447393671</v>
      </c>
      <c r="J50" s="54">
        <v>1</v>
      </c>
      <c r="K50" s="44">
        <v>1</v>
      </c>
      <c r="L50" s="45">
        <v>0</v>
      </c>
      <c r="M50" s="45">
        <v>1</v>
      </c>
      <c r="N50" s="45">
        <v>1240</v>
      </c>
      <c r="O50" s="45">
        <v>330</v>
      </c>
    </row>
    <row r="51" spans="1:15" x14ac:dyDescent="0.3">
      <c r="A51" s="36">
        <v>0</v>
      </c>
      <c r="B51" s="36">
        <v>0.111496518</v>
      </c>
      <c r="C51" s="36">
        <v>0.12996184624177914</v>
      </c>
      <c r="D51" s="46">
        <v>0</v>
      </c>
      <c r="E51" s="36">
        <v>0</v>
      </c>
      <c r="F51" s="36">
        <v>0.58219734999999995</v>
      </c>
      <c r="G51" s="36">
        <v>0.11207257960083099</v>
      </c>
      <c r="H51" s="11">
        <v>0</v>
      </c>
      <c r="I51" s="54">
        <v>0.83005541447393671</v>
      </c>
      <c r="J51" s="54">
        <v>1</v>
      </c>
      <c r="K51" s="44">
        <v>1</v>
      </c>
      <c r="L51" s="45">
        <v>0</v>
      </c>
      <c r="M51" s="45">
        <v>1</v>
      </c>
      <c r="N51" s="45">
        <v>1240</v>
      </c>
      <c r="O51" s="45">
        <v>330</v>
      </c>
    </row>
    <row r="52" spans="1:15" x14ac:dyDescent="0.3">
      <c r="A52" s="36">
        <v>0</v>
      </c>
      <c r="B52" s="36">
        <v>0.11350845499999999</v>
      </c>
      <c r="C52" s="36">
        <v>0.13230698716395706</v>
      </c>
      <c r="D52" s="46">
        <v>0</v>
      </c>
      <c r="E52" s="36">
        <v>0</v>
      </c>
      <c r="F52" s="36">
        <v>0.60079771199999998</v>
      </c>
      <c r="G52" s="36">
        <v>0.11605561479566702</v>
      </c>
      <c r="H52" s="11">
        <v>0</v>
      </c>
      <c r="I52" s="54">
        <v>0.83005541447393671</v>
      </c>
      <c r="J52" s="54">
        <v>1</v>
      </c>
      <c r="K52" s="44">
        <v>1</v>
      </c>
      <c r="L52" s="45">
        <v>0</v>
      </c>
      <c r="M52" s="45">
        <v>1</v>
      </c>
      <c r="N52" s="45">
        <v>1240</v>
      </c>
      <c r="O52" s="45">
        <v>330</v>
      </c>
    </row>
    <row r="53" spans="1:15" x14ac:dyDescent="0.3">
      <c r="A53" s="36">
        <v>0</v>
      </c>
      <c r="B53" s="36">
        <v>0.10916308</v>
      </c>
      <c r="C53" s="36">
        <v>0.12724195941472391</v>
      </c>
      <c r="D53" s="46">
        <v>0</v>
      </c>
      <c r="E53" s="36">
        <v>0</v>
      </c>
      <c r="F53" s="36">
        <v>0.62124931800000005</v>
      </c>
      <c r="G53" s="36">
        <v>0.1183865675577979</v>
      </c>
      <c r="H53" s="11">
        <v>0</v>
      </c>
      <c r="I53" s="54">
        <v>0.83005541447393671</v>
      </c>
      <c r="J53" s="54">
        <v>1</v>
      </c>
      <c r="K53" s="44">
        <v>1</v>
      </c>
      <c r="L53" s="45">
        <v>0</v>
      </c>
      <c r="M53" s="45">
        <v>1</v>
      </c>
      <c r="N53" s="45">
        <v>1240</v>
      </c>
      <c r="O53" s="45">
        <v>330</v>
      </c>
    </row>
    <row r="54" spans="1:15" x14ac:dyDescent="0.3">
      <c r="A54" s="36">
        <v>0</v>
      </c>
      <c r="B54" s="36">
        <v>0.104742366</v>
      </c>
      <c r="C54" s="36">
        <v>0.1220891155102454</v>
      </c>
      <c r="D54" s="46">
        <v>0</v>
      </c>
      <c r="E54" s="36">
        <v>0</v>
      </c>
      <c r="F54" s="36">
        <v>0.62616103099999998</v>
      </c>
      <c r="G54" s="36">
        <v>0.11942170257367561</v>
      </c>
      <c r="H54" s="11">
        <v>0</v>
      </c>
      <c r="I54" s="54">
        <v>0.83005541447393671</v>
      </c>
      <c r="J54" s="54">
        <v>1</v>
      </c>
      <c r="K54" s="44">
        <v>1</v>
      </c>
      <c r="L54" s="45">
        <v>0</v>
      </c>
      <c r="M54" s="45">
        <v>1</v>
      </c>
      <c r="N54" s="45">
        <v>1240</v>
      </c>
      <c r="O54" s="45">
        <v>330</v>
      </c>
    </row>
    <row r="55" spans="1:15" x14ac:dyDescent="0.3">
      <c r="A55" s="36">
        <v>0</v>
      </c>
      <c r="B55" s="36">
        <v>0.10133547399999999</v>
      </c>
      <c r="C55" s="36">
        <v>0.11811799621245397</v>
      </c>
      <c r="D55" s="46">
        <v>0</v>
      </c>
      <c r="E55" s="36">
        <v>0</v>
      </c>
      <c r="F55" s="36">
        <v>0.668107334</v>
      </c>
      <c r="G55" s="36">
        <v>0.12108407562635407</v>
      </c>
      <c r="H55" s="11">
        <v>0</v>
      </c>
      <c r="I55" s="54">
        <v>0.83005541447393671</v>
      </c>
      <c r="J55" s="54">
        <v>1</v>
      </c>
      <c r="K55" s="44">
        <v>1</v>
      </c>
      <c r="L55" s="45">
        <v>1.0057257668049571E-2</v>
      </c>
      <c r="M55" s="45">
        <v>1</v>
      </c>
      <c r="N55" s="45">
        <v>1240</v>
      </c>
      <c r="O55" s="45">
        <v>330</v>
      </c>
    </row>
    <row r="56" spans="1:15" x14ac:dyDescent="0.3">
      <c r="A56" s="36">
        <v>0</v>
      </c>
      <c r="B56" s="36">
        <v>9.3626618999999994E-2</v>
      </c>
      <c r="C56" s="36">
        <v>0.10913245077855828</v>
      </c>
      <c r="D56" s="46">
        <v>0</v>
      </c>
      <c r="E56" s="36">
        <v>0</v>
      </c>
      <c r="F56" s="36">
        <v>0.69437964299999999</v>
      </c>
      <c r="G56" s="36">
        <v>0.11921791243092446</v>
      </c>
      <c r="H56" s="11">
        <v>0</v>
      </c>
      <c r="I56" s="54">
        <v>0.83005541447393671</v>
      </c>
      <c r="J56" s="54">
        <v>1</v>
      </c>
      <c r="K56" s="44">
        <v>1</v>
      </c>
      <c r="L56" s="45">
        <v>0</v>
      </c>
      <c r="M56" s="45">
        <v>1</v>
      </c>
      <c r="N56" s="45">
        <v>1240</v>
      </c>
      <c r="O56" s="45">
        <v>55.778239650000003</v>
      </c>
    </row>
    <row r="57" spans="1:15" x14ac:dyDescent="0.3">
      <c r="A57" s="36">
        <v>0</v>
      </c>
      <c r="B57" s="36">
        <v>8.0518063000000001E-2</v>
      </c>
      <c r="C57" s="36">
        <v>9.3852940979662569E-2</v>
      </c>
      <c r="D57" s="46">
        <v>0</v>
      </c>
      <c r="E57" s="36">
        <v>0</v>
      </c>
      <c r="F57" s="36">
        <v>0.703386803</v>
      </c>
      <c r="G57" s="36">
        <v>0.11391848176910521</v>
      </c>
      <c r="H57" s="11">
        <v>0</v>
      </c>
      <c r="I57" s="54">
        <v>0.83005541447393671</v>
      </c>
      <c r="J57" s="54">
        <v>1</v>
      </c>
      <c r="K57" s="44">
        <v>1</v>
      </c>
      <c r="L57" s="45">
        <v>0</v>
      </c>
      <c r="M57" s="45">
        <v>1</v>
      </c>
      <c r="N57" s="45">
        <v>1240</v>
      </c>
      <c r="O57" s="45">
        <v>330</v>
      </c>
    </row>
    <row r="58" spans="1:15" x14ac:dyDescent="0.3">
      <c r="A58" s="36">
        <v>1.0129816E-2</v>
      </c>
      <c r="B58" s="36">
        <v>7.7173868000000007E-2</v>
      </c>
      <c r="C58" s="36">
        <v>0.10176235240233131</v>
      </c>
      <c r="D58" s="46">
        <v>0</v>
      </c>
      <c r="E58" s="36">
        <v>0</v>
      </c>
      <c r="F58" s="36">
        <v>0.67987870699999997</v>
      </c>
      <c r="G58" s="36">
        <v>0.10583036785991987</v>
      </c>
      <c r="H58" s="11">
        <v>0</v>
      </c>
      <c r="I58" s="54">
        <v>0.83005541447393671</v>
      </c>
      <c r="J58" s="54">
        <v>1</v>
      </c>
      <c r="K58" s="44">
        <v>1</v>
      </c>
      <c r="L58" s="45">
        <v>0</v>
      </c>
      <c r="M58" s="45">
        <v>1</v>
      </c>
      <c r="N58" s="45">
        <v>1240</v>
      </c>
      <c r="O58" s="45">
        <v>330</v>
      </c>
    </row>
    <row r="59" spans="1:15" x14ac:dyDescent="0.3">
      <c r="A59" s="36">
        <v>0.24075664299999999</v>
      </c>
      <c r="B59" s="36">
        <v>6.3607421999999997E-2</v>
      </c>
      <c r="C59" s="36">
        <v>0.35477086214524534</v>
      </c>
      <c r="D59" s="46">
        <v>0</v>
      </c>
      <c r="E59" s="36">
        <v>8.9202799999999999E-2</v>
      </c>
      <c r="F59" s="36">
        <v>0.64580971799999998</v>
      </c>
      <c r="G59" s="36">
        <v>0.17988008701172278</v>
      </c>
      <c r="H59" s="11">
        <v>0</v>
      </c>
      <c r="I59" s="54">
        <v>0.83005541447393671</v>
      </c>
      <c r="J59" s="54">
        <v>1</v>
      </c>
      <c r="K59" s="44">
        <v>1</v>
      </c>
      <c r="L59" s="45">
        <v>0</v>
      </c>
      <c r="M59" s="45">
        <v>1</v>
      </c>
      <c r="N59" s="45">
        <v>1240</v>
      </c>
      <c r="O59" s="45">
        <v>330</v>
      </c>
    </row>
    <row r="60" spans="1:15" x14ac:dyDescent="0.3">
      <c r="A60" s="36">
        <v>0.57076075199999998</v>
      </c>
      <c r="B60" s="36">
        <v>3.2033387000000003E-2</v>
      </c>
      <c r="C60" s="36">
        <v>0.70262498429021469</v>
      </c>
      <c r="D60" s="46">
        <v>0</v>
      </c>
      <c r="E60" s="36">
        <v>0.3505376</v>
      </c>
      <c r="F60" s="36">
        <v>0.62409871299999997</v>
      </c>
      <c r="G60" s="36">
        <v>0.41367958513310582</v>
      </c>
      <c r="H60" s="11">
        <v>0</v>
      </c>
      <c r="I60" s="54">
        <v>0.83005541447393671</v>
      </c>
      <c r="J60" s="54">
        <v>1</v>
      </c>
      <c r="K60" s="44">
        <v>1</v>
      </c>
      <c r="L60" s="45">
        <v>0</v>
      </c>
      <c r="M60" s="45">
        <v>1</v>
      </c>
      <c r="N60" s="45">
        <v>1240</v>
      </c>
      <c r="O60" s="45">
        <v>330</v>
      </c>
    </row>
    <row r="61" spans="1:15" x14ac:dyDescent="0.3">
      <c r="A61" s="36">
        <v>0.76406692799999998</v>
      </c>
      <c r="B61" s="36">
        <v>1.5442123E-2</v>
      </c>
      <c r="C61" s="36">
        <v>0.90860627082665635</v>
      </c>
      <c r="D61" s="46">
        <v>0</v>
      </c>
      <c r="E61" s="36">
        <v>0.61692760000000002</v>
      </c>
      <c r="F61" s="36">
        <v>0.57198777899999997</v>
      </c>
      <c r="G61" s="36">
        <v>0.65317095511292478</v>
      </c>
      <c r="H61" s="11">
        <v>0</v>
      </c>
      <c r="I61" s="54">
        <v>0</v>
      </c>
      <c r="J61" s="54">
        <v>1</v>
      </c>
      <c r="K61" s="44">
        <v>1</v>
      </c>
      <c r="L61" s="45">
        <v>0</v>
      </c>
      <c r="M61" s="45">
        <v>1</v>
      </c>
      <c r="N61" s="45">
        <v>1240</v>
      </c>
      <c r="O61" s="45">
        <v>330</v>
      </c>
    </row>
    <row r="62" spans="1:15" x14ac:dyDescent="0.3">
      <c r="A62" s="36">
        <v>0.86059442200000003</v>
      </c>
      <c r="B62" s="36">
        <v>1.1414298999999999E-2</v>
      </c>
      <c r="C62" s="36">
        <v>1</v>
      </c>
      <c r="D62" s="46">
        <v>1.2338342533734271E-2</v>
      </c>
      <c r="E62" s="36">
        <v>0.80390839999999997</v>
      </c>
      <c r="F62" s="36">
        <v>0.53693294999999996</v>
      </c>
      <c r="G62" s="36">
        <v>0.81956640960973448</v>
      </c>
      <c r="H62" s="11">
        <v>0</v>
      </c>
      <c r="I62" s="54">
        <v>0</v>
      </c>
      <c r="J62" s="54">
        <v>1</v>
      </c>
      <c r="K62" s="44">
        <v>1</v>
      </c>
      <c r="L62" s="45">
        <v>0</v>
      </c>
      <c r="M62" s="45">
        <v>1</v>
      </c>
      <c r="N62" s="45">
        <v>1231.96830185</v>
      </c>
      <c r="O62" s="45">
        <v>330</v>
      </c>
    </row>
    <row r="63" spans="1:15" x14ac:dyDescent="0.3">
      <c r="A63" s="36">
        <v>0.87515930900000005</v>
      </c>
      <c r="B63" s="36">
        <v>1.0335405000000001E-2</v>
      </c>
      <c r="C63" s="36">
        <v>1</v>
      </c>
      <c r="D63" s="46">
        <v>2.414658825950524E-2</v>
      </c>
      <c r="E63" s="36">
        <v>0.87806479999999998</v>
      </c>
      <c r="F63" s="36">
        <v>0.50912878100000003</v>
      </c>
      <c r="G63" s="36">
        <v>0.88616368332156104</v>
      </c>
      <c r="H63" s="11">
        <v>0</v>
      </c>
      <c r="I63" s="54">
        <v>0</v>
      </c>
      <c r="J63" s="54">
        <v>1</v>
      </c>
      <c r="K63" s="44">
        <v>1</v>
      </c>
      <c r="L63" s="45">
        <v>0</v>
      </c>
      <c r="M63" s="45">
        <v>1</v>
      </c>
      <c r="N63" s="45">
        <v>880.96992571999999</v>
      </c>
      <c r="O63" s="45">
        <v>330</v>
      </c>
    </row>
    <row r="64" spans="1:15" x14ac:dyDescent="0.3">
      <c r="A64" s="36">
        <v>0.81846577700000001</v>
      </c>
      <c r="B64" s="36">
        <v>1.0208371000000001E-2</v>
      </c>
      <c r="C64" s="36">
        <v>0.96591377146785284</v>
      </c>
      <c r="D64" s="46">
        <v>0</v>
      </c>
      <c r="E64" s="36">
        <v>0.83024439999999999</v>
      </c>
      <c r="F64" s="36">
        <v>0.48730130500000002</v>
      </c>
      <c r="G64" s="36">
        <v>0.8449269973645942</v>
      </c>
      <c r="H64" s="11">
        <v>0</v>
      </c>
      <c r="I64" s="54">
        <v>0</v>
      </c>
      <c r="J64" s="54">
        <v>1</v>
      </c>
      <c r="K64" s="44">
        <v>1</v>
      </c>
      <c r="L64" s="45">
        <v>0</v>
      </c>
      <c r="M64" s="45">
        <v>1</v>
      </c>
      <c r="N64" s="45">
        <v>1240</v>
      </c>
      <c r="O64" s="45">
        <v>330</v>
      </c>
    </row>
    <row r="65" spans="1:15" x14ac:dyDescent="0.3">
      <c r="A65" s="36">
        <v>0.68812325699999999</v>
      </c>
      <c r="B65" s="36">
        <v>1.1060390999999999E-2</v>
      </c>
      <c r="C65" s="36">
        <v>0.81497789694331291</v>
      </c>
      <c r="D65" s="46">
        <v>0</v>
      </c>
      <c r="E65" s="36">
        <v>0.67385320000000004</v>
      </c>
      <c r="F65" s="36">
        <v>0.44490525199999997</v>
      </c>
      <c r="G65" s="36">
        <v>0.7082887352200623</v>
      </c>
      <c r="H65" s="11">
        <v>0</v>
      </c>
      <c r="I65" s="54">
        <v>0</v>
      </c>
      <c r="J65" s="54">
        <v>1</v>
      </c>
      <c r="K65" s="44">
        <v>1</v>
      </c>
      <c r="L65" s="45">
        <v>0</v>
      </c>
      <c r="M65" s="45">
        <v>1</v>
      </c>
      <c r="N65" s="45">
        <v>1240</v>
      </c>
      <c r="O65" s="45">
        <v>330</v>
      </c>
    </row>
    <row r="66" spans="1:15" x14ac:dyDescent="0.3">
      <c r="A66" s="36">
        <v>0.44111408699999999</v>
      </c>
      <c r="B66" s="36">
        <v>9.8989430000000003E-3</v>
      </c>
      <c r="C66" s="36">
        <v>0.52570687506042957</v>
      </c>
      <c r="D66" s="46">
        <v>0</v>
      </c>
      <c r="E66" s="36">
        <v>0.44417640000000003</v>
      </c>
      <c r="F66" s="36">
        <v>0.40203759700000002</v>
      </c>
      <c r="G66" s="36">
        <v>0.50347388227155365</v>
      </c>
      <c r="H66" s="11">
        <v>0</v>
      </c>
      <c r="I66" s="54">
        <v>0.83005541447393671</v>
      </c>
      <c r="J66" s="54">
        <v>1</v>
      </c>
      <c r="K66" s="44">
        <v>1</v>
      </c>
      <c r="L66" s="45">
        <v>0</v>
      </c>
      <c r="M66" s="45">
        <v>1</v>
      </c>
      <c r="N66" s="45">
        <v>1240</v>
      </c>
      <c r="O66" s="45">
        <v>330</v>
      </c>
    </row>
    <row r="67" spans="1:15" x14ac:dyDescent="0.3">
      <c r="A67" s="36">
        <v>0.10632327599999999</v>
      </c>
      <c r="B67" s="36">
        <v>1.7780221999999998E-2</v>
      </c>
      <c r="C67" s="36">
        <v>0.14465671228533741</v>
      </c>
      <c r="D67" s="46">
        <v>0</v>
      </c>
      <c r="E67" s="36">
        <v>0.18338280000000001</v>
      </c>
      <c r="F67" s="36">
        <v>0.41274400300000003</v>
      </c>
      <c r="G67" s="36">
        <v>0.27169370674907256</v>
      </c>
      <c r="H67" s="11">
        <v>0</v>
      </c>
      <c r="I67" s="54">
        <v>0.83005541447393671</v>
      </c>
      <c r="J67" s="54">
        <v>1</v>
      </c>
      <c r="K67" s="44">
        <v>1</v>
      </c>
      <c r="L67" s="45">
        <v>0</v>
      </c>
      <c r="M67" s="45">
        <v>1</v>
      </c>
      <c r="N67" s="45">
        <v>1240</v>
      </c>
      <c r="O67" s="45">
        <v>330</v>
      </c>
    </row>
    <row r="68" spans="1:15" x14ac:dyDescent="0.3">
      <c r="A68" s="36">
        <v>3.8399999999999998E-5</v>
      </c>
      <c r="B68" s="36">
        <v>3.2348742999999999E-2</v>
      </c>
      <c r="C68" s="36">
        <v>3.7750891007883439E-2</v>
      </c>
      <c r="D68" s="46">
        <v>0</v>
      </c>
      <c r="E68" s="36">
        <v>4.2599999999999999E-3</v>
      </c>
      <c r="F68" s="36">
        <v>0.430525885</v>
      </c>
      <c r="G68" s="36">
        <v>0.11658670972251074</v>
      </c>
      <c r="H68" s="11">
        <v>0</v>
      </c>
      <c r="I68" s="54">
        <v>0.83005541447393671</v>
      </c>
      <c r="J68" s="54">
        <v>1</v>
      </c>
      <c r="K68" s="44">
        <v>1</v>
      </c>
      <c r="L68" s="45">
        <v>0</v>
      </c>
      <c r="M68" s="45">
        <v>0.58114907585672515</v>
      </c>
      <c r="N68" s="45">
        <v>1240</v>
      </c>
      <c r="O68" s="45">
        <v>330</v>
      </c>
    </row>
    <row r="69" spans="1:15" x14ac:dyDescent="0.3">
      <c r="A69" s="36">
        <v>0</v>
      </c>
      <c r="B69" s="36">
        <v>3.3034015999999999E-2</v>
      </c>
      <c r="C69" s="36">
        <v>3.8504894907484662E-2</v>
      </c>
      <c r="D69" s="46">
        <v>0</v>
      </c>
      <c r="E69" s="36">
        <v>0</v>
      </c>
      <c r="F69" s="36">
        <v>0.46852065799999998</v>
      </c>
      <c r="G69" s="36">
        <v>0.12157653370411041</v>
      </c>
      <c r="H69" s="11">
        <v>0</v>
      </c>
      <c r="I69" s="54">
        <v>0.83005541447393671</v>
      </c>
      <c r="J69" s="54">
        <v>1</v>
      </c>
      <c r="K69" s="44">
        <v>1</v>
      </c>
      <c r="L69" s="45">
        <v>0</v>
      </c>
      <c r="M69" s="45">
        <v>0.62393142958875658</v>
      </c>
      <c r="N69" s="45">
        <v>1240</v>
      </c>
      <c r="O69" s="45">
        <v>330</v>
      </c>
    </row>
    <row r="70" spans="1:15" x14ac:dyDescent="0.3">
      <c r="A70" s="36">
        <v>0</v>
      </c>
      <c r="B70" s="36">
        <v>2.1762911999999999E-2</v>
      </c>
      <c r="C70" s="36">
        <v>2.53671439597546E-2</v>
      </c>
      <c r="D70" s="46">
        <v>0</v>
      </c>
      <c r="E70" s="36">
        <v>0</v>
      </c>
      <c r="F70" s="36">
        <v>0.47032052600000002</v>
      </c>
      <c r="G70" s="36">
        <v>0.12203718194301827</v>
      </c>
      <c r="H70" s="11">
        <v>0</v>
      </c>
      <c r="I70" s="54">
        <v>0.83005541447393671</v>
      </c>
      <c r="J70" s="54">
        <v>1</v>
      </c>
      <c r="K70" s="44">
        <v>1</v>
      </c>
      <c r="L70" s="45">
        <v>2.5834481454281241E-2</v>
      </c>
      <c r="M70" s="45">
        <v>1</v>
      </c>
      <c r="N70" s="45">
        <v>1240</v>
      </c>
      <c r="O70" s="45">
        <v>330</v>
      </c>
    </row>
    <row r="71" spans="1:15" x14ac:dyDescent="0.3">
      <c r="A71" s="36">
        <v>0</v>
      </c>
      <c r="B71" s="36">
        <v>1.7486972E-2</v>
      </c>
      <c r="C71" s="36">
        <v>2.0383050583680982E-2</v>
      </c>
      <c r="D71" s="46">
        <v>0</v>
      </c>
      <c r="E71" s="36">
        <v>0</v>
      </c>
      <c r="F71" s="36">
        <v>0.434396636</v>
      </c>
      <c r="G71" s="36">
        <v>0.11404656153494583</v>
      </c>
      <c r="H71" s="11">
        <v>0</v>
      </c>
      <c r="I71" s="54">
        <v>0.83005541447393671</v>
      </c>
      <c r="J71" s="54">
        <v>1</v>
      </c>
      <c r="K71" s="44">
        <v>1</v>
      </c>
      <c r="L71" s="45">
        <v>0.1798893988699258</v>
      </c>
      <c r="M71" s="45">
        <v>1</v>
      </c>
      <c r="N71" s="45">
        <v>1240</v>
      </c>
      <c r="O71" s="45">
        <v>330</v>
      </c>
    </row>
    <row r="72" spans="1:15" x14ac:dyDescent="0.3">
      <c r="A72" s="36">
        <v>0</v>
      </c>
      <c r="B72" s="36">
        <v>1.8721867E-2</v>
      </c>
      <c r="C72" s="36">
        <v>2.182246086297546E-2</v>
      </c>
      <c r="D72" s="46">
        <v>0</v>
      </c>
      <c r="E72" s="36">
        <v>0</v>
      </c>
      <c r="F72" s="36">
        <v>0.41418176400000001</v>
      </c>
      <c r="G72" s="36">
        <v>0.10923232726309541</v>
      </c>
      <c r="H72" s="11">
        <v>0</v>
      </c>
      <c r="I72" s="54">
        <v>0.83005541447393671</v>
      </c>
      <c r="J72" s="54">
        <v>1</v>
      </c>
      <c r="K72" s="44">
        <v>1</v>
      </c>
      <c r="L72" s="45">
        <v>0.33394431628704541</v>
      </c>
      <c r="M72" s="45">
        <v>1</v>
      </c>
      <c r="N72" s="45">
        <v>1240</v>
      </c>
      <c r="O72" s="45">
        <v>330</v>
      </c>
    </row>
    <row r="73" spans="1:15" x14ac:dyDescent="0.3">
      <c r="A73" s="36">
        <v>0</v>
      </c>
      <c r="B73" s="36">
        <v>1.9438409E-2</v>
      </c>
      <c r="C73" s="36">
        <v>2.2657671889294476E-2</v>
      </c>
      <c r="D73" s="46">
        <v>0</v>
      </c>
      <c r="E73" s="36">
        <v>0</v>
      </c>
      <c r="F73" s="36">
        <v>0.442272624</v>
      </c>
      <c r="G73" s="36">
        <v>0.10407688121472028</v>
      </c>
      <c r="H73" s="11">
        <v>0</v>
      </c>
      <c r="I73" s="54">
        <v>1.0491679074103448</v>
      </c>
      <c r="J73" s="54">
        <v>1</v>
      </c>
      <c r="K73" s="44">
        <v>1</v>
      </c>
      <c r="L73" s="45">
        <v>0.29240005938043201</v>
      </c>
      <c r="M73" s="45">
        <v>1</v>
      </c>
      <c r="N73" s="45">
        <v>1240</v>
      </c>
      <c r="O73" s="45">
        <v>330</v>
      </c>
    </row>
    <row r="74" spans="1:15" x14ac:dyDescent="0.3">
      <c r="A74" s="36">
        <v>0</v>
      </c>
      <c r="B74" s="36">
        <v>2.2797543E-2</v>
      </c>
      <c r="C74" s="36">
        <v>2.6573123817699388E-2</v>
      </c>
      <c r="D74" s="46">
        <v>0</v>
      </c>
      <c r="E74" s="36">
        <v>0</v>
      </c>
      <c r="F74" s="36">
        <v>0.45234127600000001</v>
      </c>
      <c r="G74" s="36">
        <v>0.10053002823475292</v>
      </c>
      <c r="H74" s="11">
        <v>0</v>
      </c>
      <c r="I74" s="54">
        <v>1.0491679074103448</v>
      </c>
      <c r="J74" s="54">
        <v>1</v>
      </c>
      <c r="K74" s="44">
        <v>1</v>
      </c>
      <c r="L74" s="45">
        <v>0.27429636860559276</v>
      </c>
      <c r="M74" s="45">
        <v>1</v>
      </c>
      <c r="N74" s="45">
        <v>1240</v>
      </c>
      <c r="O74" s="45">
        <v>330</v>
      </c>
    </row>
    <row r="75" spans="1:15" x14ac:dyDescent="0.3">
      <c r="A75" s="36">
        <v>0</v>
      </c>
      <c r="B75" s="36">
        <v>2.6731528000000001E-2</v>
      </c>
      <c r="C75" s="36">
        <v>3.1158629830429448E-2</v>
      </c>
      <c r="D75" s="46">
        <v>0</v>
      </c>
      <c r="E75" s="36">
        <v>0</v>
      </c>
      <c r="F75" s="36">
        <v>0.43515850099999998</v>
      </c>
      <c r="G75" s="36">
        <v>9.4340097543255674E-2</v>
      </c>
      <c r="H75" s="11">
        <v>0</v>
      </c>
      <c r="I75" s="54">
        <v>1.0491679074103448</v>
      </c>
      <c r="J75" s="54">
        <v>1</v>
      </c>
      <c r="K75" s="44">
        <v>1</v>
      </c>
      <c r="L75" s="45">
        <v>0.26737792093064466</v>
      </c>
      <c r="M75" s="45">
        <v>1</v>
      </c>
      <c r="N75" s="45">
        <v>1240</v>
      </c>
      <c r="O75" s="45">
        <v>330</v>
      </c>
    </row>
    <row r="76" spans="1:15" x14ac:dyDescent="0.3">
      <c r="A76" s="36">
        <v>0</v>
      </c>
      <c r="B76" s="36">
        <v>3.2651092999999999E-2</v>
      </c>
      <c r="C76" s="36">
        <v>3.8058554690398767E-2</v>
      </c>
      <c r="D76" s="46">
        <v>0</v>
      </c>
      <c r="E76" s="36">
        <v>0</v>
      </c>
      <c r="F76" s="36">
        <v>0.437757654</v>
      </c>
      <c r="G76" s="36">
        <v>9.3465996021071376E-2</v>
      </c>
      <c r="H76" s="11">
        <v>0</v>
      </c>
      <c r="I76" s="54">
        <v>1.0491679074103448</v>
      </c>
      <c r="J76" s="54">
        <v>1</v>
      </c>
      <c r="K76" s="44">
        <v>1</v>
      </c>
      <c r="L76" s="45">
        <v>0.24505473993081206</v>
      </c>
      <c r="M76" s="45">
        <v>1</v>
      </c>
      <c r="N76" s="45">
        <v>1240</v>
      </c>
      <c r="O76" s="45">
        <v>330</v>
      </c>
    </row>
    <row r="77" spans="1:15" x14ac:dyDescent="0.3">
      <c r="A77" s="36">
        <v>0</v>
      </c>
      <c r="B77" s="36">
        <v>4.0581737999999999E-2</v>
      </c>
      <c r="C77" s="36">
        <v>4.7302621541779138E-2</v>
      </c>
      <c r="D77" s="46">
        <v>0</v>
      </c>
      <c r="E77" s="36">
        <v>0</v>
      </c>
      <c r="F77" s="36">
        <v>0.45019028300000002</v>
      </c>
      <c r="G77" s="36">
        <v>9.4142161868526489E-2</v>
      </c>
      <c r="H77" s="11">
        <v>0</v>
      </c>
      <c r="I77" s="54">
        <v>1.0491679074103448</v>
      </c>
      <c r="J77" s="54">
        <v>1</v>
      </c>
      <c r="K77" s="44">
        <v>1</v>
      </c>
      <c r="L77" s="45">
        <v>0.21254024555605594</v>
      </c>
      <c r="M77" s="45">
        <v>1</v>
      </c>
      <c r="N77" s="45">
        <v>1240</v>
      </c>
      <c r="O77" s="45">
        <v>330</v>
      </c>
    </row>
    <row r="78" spans="1:15" x14ac:dyDescent="0.3">
      <c r="A78" s="36">
        <v>0</v>
      </c>
      <c r="B78" s="36">
        <v>5.0982284000000003E-2</v>
      </c>
      <c r="C78" s="36">
        <v>5.9425638334846632E-2</v>
      </c>
      <c r="D78" s="46">
        <v>0</v>
      </c>
      <c r="E78" s="36">
        <v>0</v>
      </c>
      <c r="F78" s="36">
        <v>0.43919060599999998</v>
      </c>
      <c r="G78" s="36">
        <v>9.712807023208192E-2</v>
      </c>
      <c r="H78" s="11">
        <v>0</v>
      </c>
      <c r="I78" s="54">
        <v>1.0491679074103448</v>
      </c>
      <c r="J78" s="54">
        <v>1</v>
      </c>
      <c r="K78" s="44">
        <v>1</v>
      </c>
      <c r="L78" s="45">
        <v>0.16932165003848007</v>
      </c>
      <c r="M78" s="45">
        <v>1</v>
      </c>
      <c r="N78" s="45">
        <v>1240</v>
      </c>
      <c r="O78" s="45">
        <v>330</v>
      </c>
    </row>
    <row r="79" spans="1:15" x14ac:dyDescent="0.3">
      <c r="A79" s="36">
        <v>0</v>
      </c>
      <c r="B79" s="36">
        <v>5.9373763000000003E-2</v>
      </c>
      <c r="C79" s="36">
        <v>6.9206859516472388E-2</v>
      </c>
      <c r="D79" s="46">
        <v>0</v>
      </c>
      <c r="E79" s="36">
        <v>0</v>
      </c>
      <c r="F79" s="36">
        <v>0.428092158</v>
      </c>
      <c r="G79" s="36">
        <v>0.10142727758302419</v>
      </c>
      <c r="H79" s="11">
        <v>0</v>
      </c>
      <c r="I79" s="54">
        <v>1.0491679074103448</v>
      </c>
      <c r="J79" s="54">
        <v>1</v>
      </c>
      <c r="K79" s="44">
        <v>1</v>
      </c>
      <c r="L79" s="45">
        <v>4.1559052109463306E-2</v>
      </c>
      <c r="M79" s="45">
        <v>1</v>
      </c>
      <c r="N79" s="45">
        <v>1240</v>
      </c>
      <c r="O79" s="45">
        <v>330</v>
      </c>
    </row>
    <row r="80" spans="1:15" x14ac:dyDescent="0.3">
      <c r="A80" s="36">
        <v>0</v>
      </c>
      <c r="B80" s="36">
        <v>6.6060953000000006E-2</v>
      </c>
      <c r="C80" s="36">
        <v>7.700153843702455E-2</v>
      </c>
      <c r="D80" s="46">
        <v>0</v>
      </c>
      <c r="E80" s="36">
        <v>0</v>
      </c>
      <c r="F80" s="36">
        <v>0.416221964</v>
      </c>
      <c r="G80" s="36">
        <v>0.10650952346134442</v>
      </c>
      <c r="H80" s="11">
        <v>0</v>
      </c>
      <c r="I80" s="54">
        <v>1.0491679074103448</v>
      </c>
      <c r="J80" s="54">
        <v>1</v>
      </c>
      <c r="K80" s="44">
        <v>1</v>
      </c>
      <c r="L80" s="45">
        <v>0</v>
      </c>
      <c r="M80" s="45">
        <v>1</v>
      </c>
      <c r="N80" s="45">
        <v>1240</v>
      </c>
      <c r="O80" s="45">
        <v>330</v>
      </c>
    </row>
    <row r="81" spans="1:15" x14ac:dyDescent="0.3">
      <c r="A81" s="36">
        <v>0</v>
      </c>
      <c r="B81" s="36">
        <v>6.9969826999999998E-2</v>
      </c>
      <c r="C81" s="36">
        <v>8.1557774729233132E-2</v>
      </c>
      <c r="D81" s="46">
        <v>0</v>
      </c>
      <c r="E81" s="36">
        <v>0</v>
      </c>
      <c r="F81" s="36">
        <v>0.39057711099999998</v>
      </c>
      <c r="G81" s="36">
        <v>0.10783352593025672</v>
      </c>
      <c r="H81" s="11">
        <v>0</v>
      </c>
      <c r="I81" s="54">
        <v>1.0491679074103448</v>
      </c>
      <c r="J81" s="54">
        <v>1</v>
      </c>
      <c r="K81" s="44">
        <v>1</v>
      </c>
      <c r="L81" s="45">
        <v>0</v>
      </c>
      <c r="M81" s="45">
        <v>1</v>
      </c>
      <c r="N81" s="45">
        <v>1240</v>
      </c>
      <c r="O81" s="45">
        <v>330</v>
      </c>
    </row>
    <row r="82" spans="1:15" x14ac:dyDescent="0.3">
      <c r="A82" s="36">
        <v>6.8601549999999997E-3</v>
      </c>
      <c r="B82" s="36">
        <v>7.8754295000000002E-2</v>
      </c>
      <c r="C82" s="36">
        <v>9.979335845245399E-2</v>
      </c>
      <c r="D82" s="46">
        <v>0</v>
      </c>
      <c r="E82" s="36">
        <v>0</v>
      </c>
      <c r="F82" s="36">
        <v>0.36758099500000002</v>
      </c>
      <c r="G82" s="36">
        <v>0.11039642633773555</v>
      </c>
      <c r="H82" s="11">
        <v>0</v>
      </c>
      <c r="I82" s="54">
        <v>1.0491679074103448</v>
      </c>
      <c r="J82" s="54">
        <v>1</v>
      </c>
      <c r="K82" s="44">
        <v>1</v>
      </c>
      <c r="L82" s="45">
        <v>0</v>
      </c>
      <c r="M82" s="45">
        <v>1</v>
      </c>
      <c r="N82" s="45">
        <v>1240</v>
      </c>
      <c r="O82" s="45">
        <v>330</v>
      </c>
    </row>
    <row r="83" spans="1:15" x14ac:dyDescent="0.3">
      <c r="A83" s="36">
        <v>0.14890668700000001</v>
      </c>
      <c r="B83" s="36">
        <v>9.0938508000000001E-2</v>
      </c>
      <c r="C83" s="36">
        <v>0.27956679646641103</v>
      </c>
      <c r="D83" s="46">
        <v>0</v>
      </c>
      <c r="E83" s="36">
        <v>5.4740400000000002E-2</v>
      </c>
      <c r="F83" s="36">
        <v>0.30572628600000001</v>
      </c>
      <c r="G83" s="36">
        <v>0.16014798779106693</v>
      </c>
      <c r="H83" s="11">
        <v>0</v>
      </c>
      <c r="I83" s="54">
        <v>1.0491679074103448</v>
      </c>
      <c r="J83" s="54">
        <v>1</v>
      </c>
      <c r="K83" s="44">
        <v>1</v>
      </c>
      <c r="L83" s="45">
        <v>0</v>
      </c>
      <c r="M83" s="45">
        <v>1</v>
      </c>
      <c r="N83" s="45">
        <v>1240</v>
      </c>
      <c r="O83" s="45">
        <v>330</v>
      </c>
    </row>
    <row r="84" spans="1:15" x14ac:dyDescent="0.3">
      <c r="A84" s="36">
        <v>0.36346963500000001</v>
      </c>
      <c r="B84" s="36">
        <v>0.100598005</v>
      </c>
      <c r="C84" s="36">
        <v>0.54092350467361971</v>
      </c>
      <c r="D84" s="46">
        <v>0</v>
      </c>
      <c r="E84" s="36">
        <v>0.22504640000000001</v>
      </c>
      <c r="F84" s="36">
        <v>0.26020889800000002</v>
      </c>
      <c r="G84" s="36">
        <v>0.3162349570888856</v>
      </c>
      <c r="H84" s="11">
        <v>0</v>
      </c>
      <c r="I84" s="54">
        <v>1.0491679074103448</v>
      </c>
      <c r="J84" s="54">
        <v>1</v>
      </c>
      <c r="K84" s="44">
        <v>1</v>
      </c>
      <c r="L84" s="45">
        <v>0</v>
      </c>
      <c r="M84" s="45">
        <v>1</v>
      </c>
      <c r="N84" s="45">
        <v>1240</v>
      </c>
      <c r="O84" s="45">
        <v>330</v>
      </c>
    </row>
    <row r="85" spans="1:15" x14ac:dyDescent="0.3">
      <c r="A85" s="36">
        <v>0.52272643299999999</v>
      </c>
      <c r="B85" s="36">
        <v>0.11549854399999999</v>
      </c>
      <c r="C85" s="36">
        <v>0.74392364727064408</v>
      </c>
      <c r="D85" s="46">
        <v>0</v>
      </c>
      <c r="E85" s="36">
        <v>0.4071168</v>
      </c>
      <c r="F85" s="36">
        <v>0.219158145</v>
      </c>
      <c r="G85" s="36">
        <v>0.48194535932482563</v>
      </c>
      <c r="H85" s="11">
        <v>0</v>
      </c>
      <c r="I85" s="54">
        <v>0</v>
      </c>
      <c r="J85" s="54">
        <v>1</v>
      </c>
      <c r="K85" s="44">
        <v>0</v>
      </c>
      <c r="L85" s="45">
        <v>0</v>
      </c>
      <c r="M85" s="45">
        <v>1</v>
      </c>
      <c r="N85" s="45">
        <v>1240</v>
      </c>
      <c r="O85" s="45">
        <v>330</v>
      </c>
    </row>
    <row r="86" spans="1:15" x14ac:dyDescent="0.3">
      <c r="A86" s="36">
        <v>0.62047013699999998</v>
      </c>
      <c r="B86" s="36">
        <v>0.13827719199999999</v>
      </c>
      <c r="C86" s="36">
        <v>0.88440612744389568</v>
      </c>
      <c r="D86" s="46">
        <v>0</v>
      </c>
      <c r="E86" s="36">
        <v>0.5497476</v>
      </c>
      <c r="F86" s="36">
        <v>0.20642691799999999</v>
      </c>
      <c r="G86" s="36">
        <v>0.61537316962190236</v>
      </c>
      <c r="H86" s="11">
        <v>0</v>
      </c>
      <c r="I86" s="54">
        <v>0</v>
      </c>
      <c r="J86" s="54">
        <v>1</v>
      </c>
      <c r="K86" s="44">
        <v>0</v>
      </c>
      <c r="L86" s="45">
        <v>0</v>
      </c>
      <c r="M86" s="45">
        <v>1</v>
      </c>
      <c r="N86" s="45">
        <v>987.11730249000004</v>
      </c>
      <c r="O86" s="45">
        <v>330</v>
      </c>
    </row>
    <row r="87" spans="1:15" x14ac:dyDescent="0.3">
      <c r="A87" s="36">
        <v>0.63995515599999997</v>
      </c>
      <c r="B87" s="36">
        <v>0.16269359799999999</v>
      </c>
      <c r="C87" s="36">
        <v>0.93557822095846621</v>
      </c>
      <c r="D87" s="46">
        <v>0</v>
      </c>
      <c r="E87" s="36">
        <v>0.61518240000000002</v>
      </c>
      <c r="F87" s="36">
        <v>0.19712173099999999</v>
      </c>
      <c r="G87" s="36">
        <v>0.69094465229618629</v>
      </c>
      <c r="H87" s="11">
        <v>0</v>
      </c>
      <c r="I87" s="54">
        <v>0</v>
      </c>
      <c r="J87" s="54">
        <v>1</v>
      </c>
      <c r="K87" s="44">
        <v>0</v>
      </c>
      <c r="L87" s="45">
        <v>0</v>
      </c>
      <c r="M87" s="45">
        <v>0.96280895410986711</v>
      </c>
      <c r="N87" s="45">
        <v>0</v>
      </c>
      <c r="O87" s="45">
        <v>330</v>
      </c>
    </row>
    <row r="88" spans="1:15" x14ac:dyDescent="0.3">
      <c r="A88" s="36">
        <v>0.588145633</v>
      </c>
      <c r="B88" s="36">
        <v>0.18848293999999999</v>
      </c>
      <c r="C88" s="36">
        <v>0.90524874679223921</v>
      </c>
      <c r="D88" s="46">
        <v>0</v>
      </c>
      <c r="E88" s="36">
        <v>0.58889519999999995</v>
      </c>
      <c r="F88" s="36">
        <v>0.191929553</v>
      </c>
      <c r="G88" s="36">
        <v>0.691891916312806</v>
      </c>
      <c r="H88" s="11">
        <v>0</v>
      </c>
      <c r="I88" s="54">
        <v>0</v>
      </c>
      <c r="J88" s="54">
        <v>1</v>
      </c>
      <c r="K88" s="44">
        <v>0</v>
      </c>
      <c r="L88" s="45">
        <v>0</v>
      </c>
      <c r="M88" s="45">
        <v>0.58114971051437148</v>
      </c>
      <c r="N88" s="45">
        <v>0</v>
      </c>
      <c r="O88" s="45">
        <v>330</v>
      </c>
    </row>
    <row r="89" spans="1:15" x14ac:dyDescent="0.3">
      <c r="A89" s="36">
        <v>0.49928330100000001</v>
      </c>
      <c r="B89" s="36">
        <v>0.20757709799999999</v>
      </c>
      <c r="C89" s="36">
        <v>0.82392602152150318</v>
      </c>
      <c r="D89" s="46">
        <v>0</v>
      </c>
      <c r="E89" s="36">
        <v>0.44922719999999999</v>
      </c>
      <c r="F89" s="36">
        <v>0.19359531899999999</v>
      </c>
      <c r="G89" s="36">
        <v>0.58857415116871947</v>
      </c>
      <c r="H89" s="11">
        <v>0</v>
      </c>
      <c r="I89" s="54">
        <v>0</v>
      </c>
      <c r="J89" s="54">
        <v>1</v>
      </c>
      <c r="K89" s="44">
        <v>0.62782949274599997</v>
      </c>
      <c r="L89" s="45">
        <v>0</v>
      </c>
      <c r="M89" s="45">
        <v>0.58085371378947137</v>
      </c>
      <c r="N89" s="45">
        <v>0</v>
      </c>
      <c r="O89" s="45">
        <v>330</v>
      </c>
    </row>
    <row r="90" spans="1:15" x14ac:dyDescent="0.3">
      <c r="A90" s="36">
        <v>0.346339126</v>
      </c>
      <c r="B90" s="36">
        <v>0.21244671500000001</v>
      </c>
      <c r="C90" s="36">
        <v>0.65132831816438652</v>
      </c>
      <c r="D90" s="46">
        <v>0</v>
      </c>
      <c r="E90" s="36">
        <v>0.26801999999999998</v>
      </c>
      <c r="F90" s="36">
        <v>0.199729502</v>
      </c>
      <c r="G90" s="36">
        <v>0.44207258242884695</v>
      </c>
      <c r="H90" s="11">
        <v>0</v>
      </c>
      <c r="I90" s="54">
        <v>0</v>
      </c>
      <c r="J90" s="54">
        <v>1</v>
      </c>
      <c r="K90" s="44">
        <v>0</v>
      </c>
      <c r="L90" s="45">
        <v>0</v>
      </c>
      <c r="M90" s="45">
        <v>1</v>
      </c>
      <c r="N90" s="45">
        <v>0</v>
      </c>
      <c r="O90" s="45">
        <v>330</v>
      </c>
    </row>
    <row r="91" spans="1:15" x14ac:dyDescent="0.3">
      <c r="A91" s="36">
        <v>0.10341510299999999</v>
      </c>
      <c r="B91" s="36">
        <v>0.20457370999999999</v>
      </c>
      <c r="C91" s="36">
        <v>0.35899591733702452</v>
      </c>
      <c r="D91" s="46">
        <v>0</v>
      </c>
      <c r="E91" s="36">
        <v>0.1006476</v>
      </c>
      <c r="F91" s="36">
        <v>0.29827052900000001</v>
      </c>
      <c r="G91" s="36">
        <v>0.3250494925828758</v>
      </c>
      <c r="H91" s="11">
        <v>0</v>
      </c>
      <c r="I91" s="54">
        <v>0</v>
      </c>
      <c r="J91" s="54">
        <v>1</v>
      </c>
      <c r="K91" s="44">
        <v>1</v>
      </c>
      <c r="L91" s="45">
        <v>0</v>
      </c>
      <c r="M91" s="45">
        <v>0.87442654348372717</v>
      </c>
      <c r="N91" s="45">
        <v>1240</v>
      </c>
      <c r="O91" s="45">
        <v>330</v>
      </c>
    </row>
    <row r="92" spans="1:15" x14ac:dyDescent="0.3">
      <c r="A92" s="36">
        <v>7.7100000000000004E-5</v>
      </c>
      <c r="B92" s="36">
        <v>0.22267505300000001</v>
      </c>
      <c r="C92" s="36">
        <v>0.25964291600757672</v>
      </c>
      <c r="D92" s="46">
        <v>0</v>
      </c>
      <c r="E92" s="36">
        <v>4.4644000000000003E-3</v>
      </c>
      <c r="F92" s="36">
        <v>0.38407385399999999</v>
      </c>
      <c r="G92" s="36">
        <v>0.27338270578067964</v>
      </c>
      <c r="H92" s="11">
        <v>0</v>
      </c>
      <c r="I92" s="54">
        <v>0</v>
      </c>
      <c r="J92" s="54">
        <v>1</v>
      </c>
      <c r="K92" s="44">
        <v>1</v>
      </c>
      <c r="L92" s="45">
        <v>0</v>
      </c>
      <c r="M92" s="45">
        <v>1</v>
      </c>
      <c r="N92" s="45">
        <v>1240</v>
      </c>
      <c r="O92" s="45">
        <v>330</v>
      </c>
    </row>
    <row r="93" spans="1:15" x14ac:dyDescent="0.3">
      <c r="A93" s="36">
        <v>0</v>
      </c>
      <c r="B93" s="36">
        <v>0.254737767</v>
      </c>
      <c r="C93" s="36">
        <v>0.29692577939365034</v>
      </c>
      <c r="D93" s="46">
        <v>0</v>
      </c>
      <c r="E93" s="36">
        <v>0</v>
      </c>
      <c r="F93" s="36">
        <v>0.433266816</v>
      </c>
      <c r="G93" s="36">
        <v>0.28904426518682297</v>
      </c>
      <c r="H93" s="11">
        <v>0</v>
      </c>
      <c r="I93" s="54">
        <v>0</v>
      </c>
      <c r="J93" s="54">
        <v>1</v>
      </c>
      <c r="K93" s="44">
        <v>1</v>
      </c>
      <c r="L93" s="45">
        <v>0</v>
      </c>
      <c r="M93" s="45">
        <v>1</v>
      </c>
      <c r="N93" s="45">
        <v>1240</v>
      </c>
      <c r="O93" s="45">
        <v>330</v>
      </c>
    </row>
    <row r="94" spans="1:15" x14ac:dyDescent="0.3">
      <c r="A94" s="36">
        <v>0</v>
      </c>
      <c r="B94" s="36">
        <v>0.27501555100000002</v>
      </c>
      <c r="C94" s="36">
        <v>0.32056183811193256</v>
      </c>
      <c r="D94" s="46">
        <v>0</v>
      </c>
      <c r="E94" s="36">
        <v>0</v>
      </c>
      <c r="F94" s="36">
        <v>0.46246677899999999</v>
      </c>
      <c r="G94" s="36">
        <v>0.31937469637720728</v>
      </c>
      <c r="H94" s="11">
        <v>0</v>
      </c>
      <c r="I94" s="54">
        <v>0</v>
      </c>
      <c r="J94" s="54">
        <v>1</v>
      </c>
      <c r="K94" s="44">
        <v>1</v>
      </c>
      <c r="L94" s="45">
        <v>0</v>
      </c>
      <c r="M94" s="45">
        <v>1</v>
      </c>
      <c r="N94" s="45">
        <v>1240</v>
      </c>
      <c r="O94" s="45">
        <v>330</v>
      </c>
    </row>
    <row r="95" spans="1:15" x14ac:dyDescent="0.3">
      <c r="A95" s="36">
        <v>0</v>
      </c>
      <c r="B95" s="36">
        <v>0.28818690899999999</v>
      </c>
      <c r="C95" s="36">
        <v>0.33591455076966253</v>
      </c>
      <c r="D95" s="46">
        <v>0</v>
      </c>
      <c r="E95" s="36">
        <v>0</v>
      </c>
      <c r="F95" s="36">
        <v>0.45493865900000002</v>
      </c>
      <c r="G95" s="36">
        <v>0.36329312911648609</v>
      </c>
      <c r="H95" s="11">
        <v>0</v>
      </c>
      <c r="I95" s="54">
        <v>0</v>
      </c>
      <c r="J95" s="54">
        <v>1</v>
      </c>
      <c r="K95" s="44">
        <v>1</v>
      </c>
      <c r="L95" s="45">
        <v>0</v>
      </c>
      <c r="M95" s="45">
        <v>1</v>
      </c>
      <c r="N95" s="45">
        <v>1240</v>
      </c>
      <c r="O95" s="45">
        <v>330</v>
      </c>
    </row>
    <row r="96" spans="1:15" x14ac:dyDescent="0.3">
      <c r="A96" s="36">
        <v>0</v>
      </c>
      <c r="B96" s="36">
        <v>0.31947301099999997</v>
      </c>
      <c r="C96" s="36">
        <v>0.37238205352726989</v>
      </c>
      <c r="D96" s="46">
        <v>0</v>
      </c>
      <c r="E96" s="36">
        <v>0</v>
      </c>
      <c r="F96" s="36">
        <v>0.42993732000000001</v>
      </c>
      <c r="G96" s="36">
        <v>0.38648346597418021</v>
      </c>
      <c r="H96" s="11">
        <v>0</v>
      </c>
      <c r="I96" s="54">
        <v>0</v>
      </c>
      <c r="J96" s="54">
        <v>1</v>
      </c>
      <c r="K96" s="44">
        <v>0.14925558578000001</v>
      </c>
      <c r="L96" s="45">
        <v>0</v>
      </c>
      <c r="M96" s="45">
        <v>1</v>
      </c>
      <c r="N96" s="45">
        <v>194.64011808999999</v>
      </c>
      <c r="O96" s="45">
        <v>330</v>
      </c>
    </row>
    <row r="97" spans="1:15" x14ac:dyDescent="0.3">
      <c r="A97" s="36">
        <v>0</v>
      </c>
      <c r="B97" s="36">
        <v>0.353982937</v>
      </c>
      <c r="C97" s="36">
        <v>0.41260728905101229</v>
      </c>
      <c r="D97" s="46">
        <v>0</v>
      </c>
      <c r="E97" s="36">
        <v>0</v>
      </c>
      <c r="F97" s="36">
        <v>0.33522970699999999</v>
      </c>
      <c r="G97" s="36">
        <v>0.39477331616827416</v>
      </c>
      <c r="H97" s="11">
        <v>0</v>
      </c>
      <c r="I97" s="54">
        <v>0</v>
      </c>
      <c r="J97" s="54">
        <v>1</v>
      </c>
      <c r="K97" s="44">
        <v>0</v>
      </c>
      <c r="L97" s="45">
        <v>0</v>
      </c>
      <c r="M97" s="45">
        <v>0.45274181287259513</v>
      </c>
      <c r="N97" s="45">
        <v>0</v>
      </c>
      <c r="O97" s="45">
        <v>128.65667970999999</v>
      </c>
    </row>
    <row r="98" spans="1:15" x14ac:dyDescent="0.3">
      <c r="A98" s="36">
        <v>0</v>
      </c>
      <c r="B98" s="36">
        <v>0.36701989000000002</v>
      </c>
      <c r="C98" s="36">
        <v>0.42780333742668714</v>
      </c>
      <c r="D98" s="46">
        <v>0</v>
      </c>
      <c r="E98" s="36">
        <v>0</v>
      </c>
      <c r="F98" s="36">
        <v>0.203586559</v>
      </c>
      <c r="G98" s="36">
        <v>0.39723248950081613</v>
      </c>
      <c r="H98" s="11">
        <v>0</v>
      </c>
      <c r="I98" s="54">
        <v>0</v>
      </c>
      <c r="J98" s="54">
        <v>1</v>
      </c>
      <c r="K98" s="44">
        <v>0</v>
      </c>
      <c r="L98" s="45">
        <v>0</v>
      </c>
      <c r="M98" s="45">
        <v>0.58233433207805452</v>
      </c>
      <c r="N98" s="45">
        <v>0</v>
      </c>
      <c r="O98" s="45">
        <v>330</v>
      </c>
    </row>
    <row r="99" spans="1:15" x14ac:dyDescent="0.3">
      <c r="A99" s="36">
        <v>0</v>
      </c>
      <c r="B99" s="36">
        <v>0.342508282</v>
      </c>
      <c r="C99" s="36">
        <v>0.39923227631036806</v>
      </c>
      <c r="D99" s="46">
        <v>0</v>
      </c>
      <c r="E99" s="36">
        <v>0</v>
      </c>
      <c r="F99" s="36">
        <v>0.12626482999999999</v>
      </c>
      <c r="G99" s="36">
        <v>0.40193977309541473</v>
      </c>
      <c r="H99" s="11">
        <v>0</v>
      </c>
      <c r="I99" s="54">
        <v>0</v>
      </c>
      <c r="J99" s="54">
        <v>1</v>
      </c>
      <c r="K99" s="44">
        <v>0</v>
      </c>
      <c r="L99" s="45">
        <v>0</v>
      </c>
      <c r="M99" s="45">
        <v>0.58233433207805452</v>
      </c>
      <c r="N99" s="45">
        <v>0</v>
      </c>
      <c r="O99" s="45">
        <v>330</v>
      </c>
    </row>
    <row r="100" spans="1:15" x14ac:dyDescent="0.3">
      <c r="A100" s="36">
        <v>0</v>
      </c>
      <c r="B100" s="36">
        <v>0.33470191500000002</v>
      </c>
      <c r="C100" s="36">
        <v>0.39013306957315952</v>
      </c>
      <c r="D100" s="46">
        <v>0</v>
      </c>
      <c r="E100" s="36">
        <v>0</v>
      </c>
      <c r="F100" s="36">
        <v>0.10752729</v>
      </c>
      <c r="G100" s="36">
        <v>0.40435105513429287</v>
      </c>
      <c r="H100" s="11">
        <v>0</v>
      </c>
      <c r="I100" s="54">
        <v>0</v>
      </c>
      <c r="J100" s="54">
        <v>1</v>
      </c>
      <c r="K100" s="44">
        <v>0</v>
      </c>
      <c r="L100" s="45">
        <v>0</v>
      </c>
      <c r="M100" s="45">
        <v>0.43258373855327792</v>
      </c>
      <c r="N100" s="45">
        <v>0</v>
      </c>
      <c r="O100" s="45">
        <v>97.336652130000004</v>
      </c>
    </row>
    <row r="101" spans="1:15" x14ac:dyDescent="0.3">
      <c r="A101" s="36">
        <v>0</v>
      </c>
      <c r="B101" s="36">
        <v>0.35738882900000002</v>
      </c>
      <c r="C101" s="36">
        <v>0.41657724273530677</v>
      </c>
      <c r="D101" s="46">
        <v>0</v>
      </c>
      <c r="E101" s="36">
        <v>0</v>
      </c>
      <c r="F101" s="36">
        <v>8.8586193999999993E-2</v>
      </c>
      <c r="G101" s="36">
        <v>0.39393186500311622</v>
      </c>
      <c r="H101" s="11">
        <v>0</v>
      </c>
      <c r="I101" s="54">
        <v>0</v>
      </c>
      <c r="J101" s="54">
        <v>1</v>
      </c>
      <c r="K101" s="44">
        <v>0</v>
      </c>
      <c r="L101" s="45">
        <v>0</v>
      </c>
      <c r="M101" s="45">
        <v>0.36993432874453297</v>
      </c>
      <c r="N101" s="45">
        <v>0</v>
      </c>
      <c r="O101" s="45">
        <v>0</v>
      </c>
    </row>
    <row r="102" spans="1:15" x14ac:dyDescent="0.3">
      <c r="A102" s="36">
        <v>0</v>
      </c>
      <c r="B102" s="36">
        <v>0.41485719700000001</v>
      </c>
      <c r="C102" s="36">
        <v>0.48356314812279144</v>
      </c>
      <c r="D102" s="46">
        <v>0</v>
      </c>
      <c r="E102" s="36">
        <v>0</v>
      </c>
      <c r="F102" s="36">
        <v>7.3950930999999998E-2</v>
      </c>
      <c r="G102" s="36">
        <v>0.37934732127971504</v>
      </c>
      <c r="H102" s="11">
        <v>0</v>
      </c>
      <c r="I102" s="54">
        <v>0</v>
      </c>
      <c r="J102" s="54">
        <v>1</v>
      </c>
      <c r="K102" s="44">
        <v>0</v>
      </c>
      <c r="L102" s="45">
        <v>0</v>
      </c>
      <c r="M102" s="45">
        <v>0.58203833535315441</v>
      </c>
      <c r="N102" s="45">
        <v>0</v>
      </c>
      <c r="O102" s="45">
        <v>330</v>
      </c>
    </row>
    <row r="103" spans="1:15" x14ac:dyDescent="0.3">
      <c r="A103" s="36">
        <v>0</v>
      </c>
      <c r="B103" s="36">
        <v>0.47076277500000002</v>
      </c>
      <c r="C103" s="36">
        <v>0.54872744439340493</v>
      </c>
      <c r="D103" s="46">
        <v>0</v>
      </c>
      <c r="E103" s="36">
        <v>0</v>
      </c>
      <c r="F103" s="36">
        <v>6.5380405000000003E-2</v>
      </c>
      <c r="G103" s="36">
        <v>0.37455350769253604</v>
      </c>
      <c r="H103" s="11">
        <v>0</v>
      </c>
      <c r="I103" s="54">
        <v>0</v>
      </c>
      <c r="J103" s="54">
        <v>1</v>
      </c>
      <c r="K103" s="44">
        <v>0</v>
      </c>
      <c r="L103" s="45">
        <v>0</v>
      </c>
      <c r="M103" s="45">
        <v>0.58144634189691791</v>
      </c>
      <c r="N103" s="45">
        <v>0</v>
      </c>
      <c r="O103" s="45">
        <v>330</v>
      </c>
    </row>
    <row r="104" spans="1:15" x14ac:dyDescent="0.3">
      <c r="A104" s="36">
        <v>0</v>
      </c>
      <c r="B104" s="36">
        <v>0.49756946400000002</v>
      </c>
      <c r="C104" s="36">
        <v>0.57997368289987727</v>
      </c>
      <c r="D104" s="46">
        <v>0</v>
      </c>
      <c r="E104" s="36">
        <v>0</v>
      </c>
      <c r="F104" s="36">
        <v>6.5133287999999998E-2</v>
      </c>
      <c r="G104" s="36">
        <v>0.37719064248879658</v>
      </c>
      <c r="H104" s="11">
        <v>0</v>
      </c>
      <c r="I104" s="54">
        <v>0</v>
      </c>
      <c r="J104" s="54">
        <v>1</v>
      </c>
      <c r="K104" s="44">
        <v>0</v>
      </c>
      <c r="L104" s="45">
        <v>0</v>
      </c>
      <c r="M104" s="45">
        <v>0.36875034183849625</v>
      </c>
      <c r="N104" s="45">
        <v>0</v>
      </c>
      <c r="O104" s="45">
        <v>0</v>
      </c>
    </row>
    <row r="105" spans="1:15" x14ac:dyDescent="0.3">
      <c r="A105" s="36">
        <v>0</v>
      </c>
      <c r="B105" s="36">
        <v>0.51359013099999995</v>
      </c>
      <c r="C105" s="36">
        <v>0.59864758858493861</v>
      </c>
      <c r="D105" s="46">
        <v>0</v>
      </c>
      <c r="E105" s="36">
        <v>0</v>
      </c>
      <c r="F105" s="36">
        <v>6.3689152999999998E-2</v>
      </c>
      <c r="G105" s="36">
        <v>0.36183307578453777</v>
      </c>
      <c r="H105" s="11">
        <v>0</v>
      </c>
      <c r="I105" s="54">
        <v>0</v>
      </c>
      <c r="J105" s="54">
        <v>1</v>
      </c>
      <c r="K105" s="44">
        <v>0</v>
      </c>
      <c r="L105" s="45">
        <v>0</v>
      </c>
      <c r="M105" s="45">
        <v>0.3684543451135962</v>
      </c>
      <c r="N105" s="45">
        <v>0</v>
      </c>
      <c r="O105" s="45">
        <v>0</v>
      </c>
    </row>
    <row r="106" spans="1:15" x14ac:dyDescent="0.3">
      <c r="A106" s="36">
        <v>5.0014889999999996E-3</v>
      </c>
      <c r="B106" s="36">
        <v>0.54317550699999995</v>
      </c>
      <c r="C106" s="36">
        <v>0.63896250524552145</v>
      </c>
      <c r="D106" s="46">
        <v>0</v>
      </c>
      <c r="E106" s="36">
        <v>0</v>
      </c>
      <c r="F106" s="36">
        <v>5.3750457000000001E-2</v>
      </c>
      <c r="G106" s="36">
        <v>0.33695295803650388</v>
      </c>
      <c r="H106" s="11">
        <v>0</v>
      </c>
      <c r="I106" s="54">
        <v>0</v>
      </c>
      <c r="J106" s="54">
        <v>1</v>
      </c>
      <c r="K106" s="44">
        <v>0</v>
      </c>
      <c r="L106" s="45">
        <v>0</v>
      </c>
      <c r="M106" s="45">
        <v>0.3684543451135962</v>
      </c>
      <c r="N106" s="45">
        <v>0</v>
      </c>
      <c r="O106" s="45">
        <v>0</v>
      </c>
    </row>
    <row r="107" spans="1:15" x14ac:dyDescent="0.3">
      <c r="A107" s="36">
        <v>0.13470918700000001</v>
      </c>
      <c r="B107" s="36">
        <v>0.57570690099999999</v>
      </c>
      <c r="C107" s="36">
        <v>0.82807058061079741</v>
      </c>
      <c r="D107" s="46">
        <v>0</v>
      </c>
      <c r="E107" s="36">
        <v>7.8178399999999995E-2</v>
      </c>
      <c r="F107" s="36">
        <v>4.8695901E-2</v>
      </c>
      <c r="G107" s="36">
        <v>0.38874320193411488</v>
      </c>
      <c r="H107" s="11">
        <v>0</v>
      </c>
      <c r="I107" s="54">
        <v>0</v>
      </c>
      <c r="J107" s="54">
        <v>1</v>
      </c>
      <c r="K107" s="44">
        <v>0</v>
      </c>
      <c r="L107" s="45">
        <v>0</v>
      </c>
      <c r="M107" s="45">
        <v>0.15605434178007468</v>
      </c>
      <c r="N107" s="45">
        <v>0</v>
      </c>
      <c r="O107" s="45">
        <v>0</v>
      </c>
    </row>
    <row r="108" spans="1:15" x14ac:dyDescent="0.3">
      <c r="A108" s="36">
        <v>0.38300015199999998</v>
      </c>
      <c r="B108" s="36">
        <v>0.61551767300000004</v>
      </c>
      <c r="C108" s="36">
        <v>1</v>
      </c>
      <c r="D108" s="46">
        <v>0.12310887211795472</v>
      </c>
      <c r="E108" s="36">
        <v>0.31980360000000002</v>
      </c>
      <c r="F108" s="36">
        <v>3.6469240999999999E-2</v>
      </c>
      <c r="G108" s="36">
        <v>0.59005906231696093</v>
      </c>
      <c r="H108" s="11">
        <v>0</v>
      </c>
      <c r="I108" s="54">
        <v>0</v>
      </c>
      <c r="J108" s="54">
        <v>1</v>
      </c>
      <c r="K108" s="44">
        <v>0</v>
      </c>
      <c r="L108" s="45">
        <v>0</v>
      </c>
      <c r="M108" s="45">
        <v>0.15605434178007468</v>
      </c>
      <c r="N108" s="45">
        <v>0</v>
      </c>
      <c r="O108" s="45">
        <v>0</v>
      </c>
    </row>
    <row r="109" spans="1:15" x14ac:dyDescent="0.3">
      <c r="A109" s="36">
        <v>0.58491644200000004</v>
      </c>
      <c r="B109" s="36">
        <v>0.64408793200000003</v>
      </c>
      <c r="C109" s="36">
        <v>1</v>
      </c>
      <c r="D109" s="46">
        <v>0.32492136060707877</v>
      </c>
      <c r="E109" s="36">
        <v>0.57482520000000004</v>
      </c>
      <c r="F109" s="36">
        <v>2.6071022999999999E-2</v>
      </c>
      <c r="G109" s="36">
        <v>0.80423682013236386</v>
      </c>
      <c r="H109" s="11">
        <v>0</v>
      </c>
      <c r="I109" s="54">
        <v>0</v>
      </c>
      <c r="J109" s="54">
        <v>1</v>
      </c>
      <c r="K109" s="44">
        <v>0</v>
      </c>
      <c r="L109" s="45">
        <v>0</v>
      </c>
      <c r="M109" s="45">
        <v>0.15635033850497476</v>
      </c>
      <c r="N109" s="45">
        <v>0</v>
      </c>
      <c r="O109" s="45">
        <v>0</v>
      </c>
    </row>
    <row r="110" spans="1:15" x14ac:dyDescent="0.3">
      <c r="A110" s="36">
        <v>0.72836839600000003</v>
      </c>
      <c r="B110" s="36">
        <v>0.67036331400000004</v>
      </c>
      <c r="C110" s="36">
        <v>1</v>
      </c>
      <c r="D110" s="46">
        <v>0.47353348652679855</v>
      </c>
      <c r="E110" s="36">
        <v>0.74877159999999998</v>
      </c>
      <c r="F110" s="36">
        <v>1.8317462999999999E-2</v>
      </c>
      <c r="G110" s="36">
        <v>0.94993070514646094</v>
      </c>
      <c r="H110" s="11">
        <v>0</v>
      </c>
      <c r="I110" s="54">
        <v>0</v>
      </c>
      <c r="J110" s="54">
        <v>1</v>
      </c>
      <c r="K110" s="44">
        <v>0</v>
      </c>
      <c r="L110" s="45">
        <v>0</v>
      </c>
      <c r="M110" s="45">
        <v>0.15664633522987487</v>
      </c>
      <c r="N110" s="45">
        <v>0</v>
      </c>
      <c r="O110" s="45">
        <v>0</v>
      </c>
    </row>
    <row r="111" spans="1:15" x14ac:dyDescent="0.3">
      <c r="A111" s="36">
        <v>0.79454962699999998</v>
      </c>
      <c r="B111" s="36">
        <v>0.68859970000000004</v>
      </c>
      <c r="C111" s="36">
        <v>1</v>
      </c>
      <c r="D111" s="46">
        <v>0.54744899019938698</v>
      </c>
      <c r="E111" s="36">
        <v>0.81600919999999999</v>
      </c>
      <c r="F111" s="36">
        <v>1.1744621E-2</v>
      </c>
      <c r="G111" s="36">
        <v>1</v>
      </c>
      <c r="H111" s="11">
        <v>1.2947126319706735E-2</v>
      </c>
      <c r="I111" s="54">
        <v>0</v>
      </c>
      <c r="J111" s="54">
        <v>1</v>
      </c>
      <c r="K111" s="44">
        <v>0</v>
      </c>
      <c r="L111" s="45">
        <v>0</v>
      </c>
      <c r="M111" s="45">
        <v>0.15664633522987487</v>
      </c>
      <c r="N111" s="45">
        <v>0</v>
      </c>
      <c r="O111" s="45">
        <v>0</v>
      </c>
    </row>
    <row r="112" spans="1:15" x14ac:dyDescent="0.3">
      <c r="A112" s="36">
        <v>0.78169858299999995</v>
      </c>
      <c r="B112" s="36">
        <v>0.69667436500000002</v>
      </c>
      <c r="C112" s="36">
        <v>1</v>
      </c>
      <c r="D112" s="46">
        <v>0.54326682453228248</v>
      </c>
      <c r="E112" s="36">
        <v>0.76844000000000001</v>
      </c>
      <c r="F112" s="36">
        <v>1.0696641999999999E-2</v>
      </c>
      <c r="G112" s="36">
        <v>0.96232817523341752</v>
      </c>
      <c r="H112" s="11">
        <v>0</v>
      </c>
      <c r="I112" s="54">
        <v>0</v>
      </c>
      <c r="J112" s="54">
        <v>1</v>
      </c>
      <c r="K112" s="44">
        <v>0</v>
      </c>
      <c r="L112" s="45">
        <v>0</v>
      </c>
      <c r="M112" s="45">
        <v>0.15635033850497476</v>
      </c>
      <c r="N112" s="45">
        <v>0</v>
      </c>
      <c r="O112" s="45">
        <v>0</v>
      </c>
    </row>
    <row r="113" spans="1:15" x14ac:dyDescent="0.3">
      <c r="A113" s="36">
        <v>0.65610926199999997</v>
      </c>
      <c r="B113" s="36">
        <v>0.68744846599999998</v>
      </c>
      <c r="C113" s="36">
        <v>1</v>
      </c>
      <c r="D113" s="46">
        <v>0.42522351505304395</v>
      </c>
      <c r="E113" s="36">
        <v>0.61194559999999998</v>
      </c>
      <c r="F113" s="36">
        <v>9.5392069999999992E-3</v>
      </c>
      <c r="G113" s="36">
        <v>0.81669089114527371</v>
      </c>
      <c r="H113" s="11">
        <v>0</v>
      </c>
      <c r="I113" s="54">
        <v>0</v>
      </c>
      <c r="J113" s="54">
        <v>1</v>
      </c>
      <c r="K113" s="44">
        <v>0</v>
      </c>
      <c r="L113" s="45">
        <v>0</v>
      </c>
      <c r="M113" s="45">
        <v>0.15605434178007468</v>
      </c>
      <c r="N113" s="45">
        <v>0</v>
      </c>
      <c r="O113" s="45">
        <v>0</v>
      </c>
    </row>
    <row r="114" spans="1:15" x14ac:dyDescent="0.3">
      <c r="A114" s="36">
        <v>0.42836328400000001</v>
      </c>
      <c r="B114" s="36">
        <v>0.67320856200000001</v>
      </c>
      <c r="C114" s="36">
        <v>1</v>
      </c>
      <c r="D114" s="46">
        <v>0.21334228711355374</v>
      </c>
      <c r="E114" s="36">
        <v>0.39172639999999997</v>
      </c>
      <c r="F114" s="36">
        <v>1.4732021E-2</v>
      </c>
      <c r="G114" s="36">
        <v>0.61136237513191871</v>
      </c>
      <c r="H114" s="11">
        <v>0</v>
      </c>
      <c r="I114" s="54">
        <v>0</v>
      </c>
      <c r="J114" s="54">
        <v>1</v>
      </c>
      <c r="K114" s="44">
        <v>0</v>
      </c>
      <c r="L114" s="45">
        <v>0</v>
      </c>
      <c r="M114" s="45">
        <v>0.15605434178007468</v>
      </c>
      <c r="N114" s="45">
        <v>0</v>
      </c>
      <c r="O114" s="45">
        <v>0</v>
      </c>
    </row>
    <row r="115" spans="1:15" x14ac:dyDescent="0.3">
      <c r="A115" s="36">
        <v>0.11466275500000001</v>
      </c>
      <c r="B115" s="36">
        <v>0.61049664199999998</v>
      </c>
      <c r="C115" s="36">
        <v>0.8452555805706442</v>
      </c>
      <c r="D115" s="46">
        <v>0</v>
      </c>
      <c r="E115" s="36">
        <v>0.15684119999999999</v>
      </c>
      <c r="F115" s="36">
        <v>2.9396372E-2</v>
      </c>
      <c r="G115" s="36">
        <v>0.39376936384745509</v>
      </c>
      <c r="H115" s="11">
        <v>0</v>
      </c>
      <c r="I115" s="54">
        <v>0</v>
      </c>
      <c r="J115" s="54">
        <v>1</v>
      </c>
      <c r="K115" s="44">
        <v>0</v>
      </c>
      <c r="L115" s="45">
        <v>0</v>
      </c>
      <c r="M115" s="45">
        <v>0.3684543451135962</v>
      </c>
      <c r="N115" s="45">
        <v>0</v>
      </c>
      <c r="O115" s="45">
        <v>0</v>
      </c>
    </row>
    <row r="116" spans="1:15" x14ac:dyDescent="0.3">
      <c r="A116" s="36">
        <v>1.35544E-4</v>
      </c>
      <c r="B116" s="36">
        <v>0.53394372199999995</v>
      </c>
      <c r="C116" s="36">
        <v>0.62253000088141097</v>
      </c>
      <c r="D116" s="46">
        <v>0</v>
      </c>
      <c r="E116" s="36">
        <v>6.7479999999999997E-3</v>
      </c>
      <c r="F116" s="36">
        <v>4.3483551000000002E-2</v>
      </c>
      <c r="G116" s="36">
        <v>0.24944872624187564</v>
      </c>
      <c r="H116" s="11">
        <v>0</v>
      </c>
      <c r="I116" s="54">
        <v>0</v>
      </c>
      <c r="J116" s="54">
        <v>1</v>
      </c>
      <c r="K116" s="44">
        <v>0</v>
      </c>
      <c r="L116" s="45">
        <v>0</v>
      </c>
      <c r="M116" s="45">
        <v>0.36875034183849625</v>
      </c>
      <c r="N116" s="45">
        <v>0</v>
      </c>
      <c r="O116" s="45">
        <v>0</v>
      </c>
    </row>
    <row r="117" spans="1:15" x14ac:dyDescent="0.3">
      <c r="A117" s="36">
        <v>0</v>
      </c>
      <c r="B117" s="36">
        <v>0.48341007800000002</v>
      </c>
      <c r="C117" s="36">
        <v>0.56346931147000001</v>
      </c>
      <c r="D117" s="46">
        <v>0</v>
      </c>
      <c r="E117" s="36">
        <v>0</v>
      </c>
      <c r="F117" s="36">
        <v>4.9958465000000001E-2</v>
      </c>
      <c r="G117" s="36">
        <v>0.22885969266953554</v>
      </c>
      <c r="H117" s="11">
        <v>0</v>
      </c>
      <c r="I117" s="54">
        <v>0</v>
      </c>
      <c r="J117" s="54">
        <v>1</v>
      </c>
      <c r="K117" s="44">
        <v>0</v>
      </c>
      <c r="L117" s="45">
        <v>0</v>
      </c>
      <c r="M117" s="45">
        <v>0.58144634189691791</v>
      </c>
      <c r="N117" s="45">
        <v>0</v>
      </c>
      <c r="O117" s="45">
        <v>330</v>
      </c>
    </row>
    <row r="118" spans="1:15" x14ac:dyDescent="0.3">
      <c r="A118" s="36">
        <v>0</v>
      </c>
      <c r="B118" s="36">
        <v>0.46995061100000002</v>
      </c>
      <c r="C118" s="36">
        <v>0.54778077507328216</v>
      </c>
      <c r="D118" s="46">
        <v>0</v>
      </c>
      <c r="E118" s="36">
        <v>0</v>
      </c>
      <c r="F118" s="36">
        <v>4.8439449000000002E-2</v>
      </c>
      <c r="G118" s="36">
        <v>0.21291006098916754</v>
      </c>
      <c r="H118" s="11">
        <v>0</v>
      </c>
      <c r="I118" s="54">
        <v>0</v>
      </c>
      <c r="J118" s="54">
        <v>1</v>
      </c>
      <c r="K118" s="44">
        <v>0</v>
      </c>
      <c r="L118" s="45">
        <v>0</v>
      </c>
      <c r="M118" s="45">
        <v>0.58174233862181801</v>
      </c>
      <c r="N118" s="45">
        <v>0</v>
      </c>
      <c r="O118" s="45">
        <v>330</v>
      </c>
    </row>
    <row r="119" spans="1:15" x14ac:dyDescent="0.3">
      <c r="A119" s="36">
        <v>0</v>
      </c>
      <c r="B119" s="36">
        <v>0.47026385700000001</v>
      </c>
      <c r="C119" s="36">
        <v>0.54814589883874232</v>
      </c>
      <c r="D119" s="46">
        <v>0</v>
      </c>
      <c r="E119" s="36">
        <v>0</v>
      </c>
      <c r="F119" s="36">
        <v>4.7261485999999998E-2</v>
      </c>
      <c r="G119" s="36">
        <v>0.19269104318801009</v>
      </c>
      <c r="H119" s="11">
        <v>0</v>
      </c>
      <c r="I119" s="54">
        <v>0</v>
      </c>
      <c r="J119" s="54">
        <v>1</v>
      </c>
      <c r="K119" s="44">
        <v>0</v>
      </c>
      <c r="L119" s="45">
        <v>0</v>
      </c>
      <c r="M119" s="45">
        <v>0.36963833201963286</v>
      </c>
      <c r="N119" s="45">
        <v>0</v>
      </c>
      <c r="O119" s="45">
        <v>0</v>
      </c>
    </row>
    <row r="120" spans="1:15" x14ac:dyDescent="0.3">
      <c r="A120" s="36">
        <v>0</v>
      </c>
      <c r="B120" s="36">
        <v>0.469347454</v>
      </c>
      <c r="C120" s="36">
        <v>0.54707772713331282</v>
      </c>
      <c r="D120" s="46">
        <v>0</v>
      </c>
      <c r="E120" s="36">
        <v>0</v>
      </c>
      <c r="F120" s="36">
        <v>4.5927082000000001E-2</v>
      </c>
      <c r="G120" s="36">
        <v>0.16659630499599345</v>
      </c>
      <c r="H120" s="11">
        <v>0</v>
      </c>
      <c r="I120" s="54">
        <v>0</v>
      </c>
      <c r="J120" s="54">
        <v>1</v>
      </c>
      <c r="K120" s="44">
        <v>0</v>
      </c>
      <c r="L120" s="45">
        <v>0</v>
      </c>
      <c r="M120" s="45">
        <v>0.58233433207805452</v>
      </c>
      <c r="N120" s="45">
        <v>0</v>
      </c>
      <c r="O120" s="45">
        <v>330</v>
      </c>
    </row>
    <row r="121" spans="1:15" x14ac:dyDescent="0.3">
      <c r="A121" s="36">
        <v>0</v>
      </c>
      <c r="B121" s="36">
        <v>0.47874165400000002</v>
      </c>
      <c r="C121" s="36">
        <v>0.55802773344619627</v>
      </c>
      <c r="D121" s="46">
        <v>0</v>
      </c>
      <c r="E121" s="36">
        <v>0</v>
      </c>
      <c r="F121" s="36">
        <v>4.8277766999999999E-2</v>
      </c>
      <c r="G121" s="36">
        <v>0.14411261575129841</v>
      </c>
      <c r="H121" s="11">
        <v>0</v>
      </c>
      <c r="I121" s="54">
        <v>0</v>
      </c>
      <c r="J121" s="54">
        <v>1</v>
      </c>
      <c r="K121" s="44">
        <v>0</v>
      </c>
      <c r="L121" s="45">
        <v>0</v>
      </c>
      <c r="M121" s="45">
        <v>0.36993432874453297</v>
      </c>
      <c r="N121" s="45">
        <v>0</v>
      </c>
      <c r="O121" s="45">
        <v>0</v>
      </c>
    </row>
    <row r="122" spans="1:15" x14ac:dyDescent="0.3">
      <c r="A122" s="36">
        <v>0</v>
      </c>
      <c r="B122" s="36">
        <v>0.49302268599999999</v>
      </c>
      <c r="C122" s="36">
        <v>0.57467389709552152</v>
      </c>
      <c r="D122" s="46">
        <v>0</v>
      </c>
      <c r="E122" s="36">
        <v>0</v>
      </c>
      <c r="F122" s="36">
        <v>5.5345301E-2</v>
      </c>
      <c r="G122" s="36">
        <v>0.12256720288084286</v>
      </c>
      <c r="H122" s="11">
        <v>0</v>
      </c>
      <c r="I122" s="54">
        <v>0</v>
      </c>
      <c r="J122" s="54">
        <v>1</v>
      </c>
      <c r="K122" s="44">
        <v>0</v>
      </c>
      <c r="L122" s="45">
        <v>0</v>
      </c>
      <c r="M122" s="45">
        <v>0.15758813974523786</v>
      </c>
      <c r="N122" s="45">
        <v>0</v>
      </c>
      <c r="O122" s="45">
        <v>0</v>
      </c>
    </row>
    <row r="123" spans="1:15" x14ac:dyDescent="0.3">
      <c r="A123" s="36">
        <v>0</v>
      </c>
      <c r="B123" s="36">
        <v>0.493862256</v>
      </c>
      <c r="C123" s="36">
        <v>0.57565251121914107</v>
      </c>
      <c r="D123" s="46">
        <v>0</v>
      </c>
      <c r="E123" s="36">
        <v>0</v>
      </c>
      <c r="F123" s="36">
        <v>6.0449507E-2</v>
      </c>
      <c r="G123" s="36">
        <v>0.10278822083662265</v>
      </c>
      <c r="H123" s="11">
        <v>0</v>
      </c>
      <c r="I123" s="54">
        <v>0</v>
      </c>
      <c r="J123" s="54">
        <v>1</v>
      </c>
      <c r="K123" s="44">
        <v>0</v>
      </c>
      <c r="L123" s="45">
        <v>0</v>
      </c>
      <c r="M123" s="45">
        <v>0.18151701415551796</v>
      </c>
      <c r="N123" s="45">
        <v>0</v>
      </c>
      <c r="O123" s="45">
        <v>0</v>
      </c>
    </row>
    <row r="124" spans="1:15" x14ac:dyDescent="0.3">
      <c r="A124" s="36">
        <v>0</v>
      </c>
      <c r="B124" s="36">
        <v>0.48728855799999998</v>
      </c>
      <c r="C124" s="36">
        <v>0.56799012010558281</v>
      </c>
      <c r="D124" s="46">
        <v>0</v>
      </c>
      <c r="E124" s="36">
        <v>0</v>
      </c>
      <c r="F124" s="36">
        <v>7.5065536000000002E-2</v>
      </c>
      <c r="G124" s="36">
        <v>8.9796371582430631E-2</v>
      </c>
      <c r="H124" s="11">
        <v>0</v>
      </c>
      <c r="I124" s="54">
        <v>0</v>
      </c>
      <c r="J124" s="54">
        <v>1</v>
      </c>
      <c r="K124" s="44">
        <v>0</v>
      </c>
      <c r="L124" s="45">
        <v>0</v>
      </c>
      <c r="M124" s="45">
        <v>0.36998814307875938</v>
      </c>
      <c r="N124" s="45">
        <v>0</v>
      </c>
      <c r="O124" s="45">
        <v>0</v>
      </c>
    </row>
    <row r="125" spans="1:15" x14ac:dyDescent="0.3">
      <c r="A125" s="36">
        <v>0</v>
      </c>
      <c r="B125" s="36">
        <v>0.486031353</v>
      </c>
      <c r="C125" s="36">
        <v>0.56652470498917173</v>
      </c>
      <c r="D125" s="46">
        <v>0</v>
      </c>
      <c r="E125" s="36">
        <v>0</v>
      </c>
      <c r="F125" s="36">
        <v>9.2767712000000002E-2</v>
      </c>
      <c r="G125" s="36">
        <v>8.1837162946728007E-2</v>
      </c>
      <c r="H125" s="11">
        <v>0</v>
      </c>
      <c r="I125" s="54">
        <v>0</v>
      </c>
      <c r="J125" s="54">
        <v>1</v>
      </c>
      <c r="K125" s="44">
        <v>0</v>
      </c>
      <c r="L125" s="45">
        <v>0</v>
      </c>
      <c r="M125" s="45">
        <v>0.15758813974523786</v>
      </c>
      <c r="N125" s="45">
        <v>0</v>
      </c>
      <c r="O125" s="45">
        <v>0</v>
      </c>
    </row>
    <row r="126" spans="1:15" x14ac:dyDescent="0.3">
      <c r="A126" s="36">
        <v>0</v>
      </c>
      <c r="B126" s="36">
        <v>0.48435212300000002</v>
      </c>
      <c r="C126" s="36">
        <v>0.56456737183671779</v>
      </c>
      <c r="D126" s="46">
        <v>0</v>
      </c>
      <c r="E126" s="36">
        <v>0</v>
      </c>
      <c r="F126" s="36">
        <v>0.116973836</v>
      </c>
      <c r="G126" s="36">
        <v>7.9417057298412225E-2</v>
      </c>
      <c r="H126" s="11">
        <v>0</v>
      </c>
      <c r="I126" s="54">
        <v>0</v>
      </c>
      <c r="J126" s="54">
        <v>1</v>
      </c>
      <c r="K126" s="44">
        <v>0</v>
      </c>
      <c r="L126" s="45">
        <v>0</v>
      </c>
      <c r="M126" s="45">
        <v>0.15699101644917537</v>
      </c>
      <c r="N126" s="45">
        <v>0</v>
      </c>
      <c r="O126" s="45">
        <v>0</v>
      </c>
    </row>
    <row r="127" spans="1:15" x14ac:dyDescent="0.3">
      <c r="A127" s="36">
        <v>0</v>
      </c>
      <c r="B127" s="36">
        <v>0.478839827</v>
      </c>
      <c r="C127" s="36">
        <v>0.55814216522003068</v>
      </c>
      <c r="D127" s="46">
        <v>0</v>
      </c>
      <c r="E127" s="36">
        <v>0</v>
      </c>
      <c r="F127" s="36">
        <v>0.13659716699999999</v>
      </c>
      <c r="G127" s="36">
        <v>8.3844245733491612E-2</v>
      </c>
      <c r="H127" s="11">
        <v>0</v>
      </c>
      <c r="I127" s="54">
        <v>0</v>
      </c>
      <c r="J127" s="54">
        <v>1</v>
      </c>
      <c r="K127" s="44">
        <v>0</v>
      </c>
      <c r="L127" s="45">
        <v>0</v>
      </c>
      <c r="M127" s="45">
        <v>0.15639389315954927</v>
      </c>
      <c r="N127" s="45">
        <v>0</v>
      </c>
      <c r="O127" s="45">
        <v>0</v>
      </c>
    </row>
    <row r="128" spans="1:15" x14ac:dyDescent="0.3">
      <c r="A128" s="36">
        <v>0</v>
      </c>
      <c r="B128" s="36">
        <v>0.47275232099999998</v>
      </c>
      <c r="C128" s="36">
        <v>0.55104648606377293</v>
      </c>
      <c r="D128" s="46">
        <v>0</v>
      </c>
      <c r="E128" s="36">
        <v>0</v>
      </c>
      <c r="F128" s="36">
        <v>0.14696115800000001</v>
      </c>
      <c r="G128" s="36">
        <v>8.4606672030271557E-2</v>
      </c>
      <c r="H128" s="11">
        <v>0</v>
      </c>
      <c r="I128" s="54">
        <v>0</v>
      </c>
      <c r="J128" s="54">
        <v>1</v>
      </c>
      <c r="K128" s="44">
        <v>0</v>
      </c>
      <c r="L128" s="45">
        <v>0</v>
      </c>
      <c r="M128" s="45">
        <v>0.156095331511518</v>
      </c>
      <c r="N128" s="45">
        <v>0</v>
      </c>
      <c r="O128" s="45">
        <v>0</v>
      </c>
    </row>
    <row r="129" spans="1:15" x14ac:dyDescent="0.3">
      <c r="A129" s="36">
        <v>0</v>
      </c>
      <c r="B129" s="36">
        <v>0.45748428800000002</v>
      </c>
      <c r="C129" s="36">
        <v>0.53324986072736202</v>
      </c>
      <c r="D129" s="46">
        <v>0</v>
      </c>
      <c r="E129" s="36">
        <v>0</v>
      </c>
      <c r="F129" s="36">
        <v>0.141617462</v>
      </c>
      <c r="G129" s="36">
        <v>8.2918136260275999E-2</v>
      </c>
      <c r="H129" s="11">
        <v>0</v>
      </c>
      <c r="I129" s="54">
        <v>0</v>
      </c>
      <c r="J129" s="54">
        <v>1</v>
      </c>
      <c r="K129" s="44">
        <v>0</v>
      </c>
      <c r="L129" s="45">
        <v>0</v>
      </c>
      <c r="M129" s="45">
        <v>0.36879389649307076</v>
      </c>
      <c r="N129" s="45">
        <v>0</v>
      </c>
      <c r="O129" s="45">
        <v>0</v>
      </c>
    </row>
    <row r="130" spans="1:15" x14ac:dyDescent="0.3">
      <c r="A130" s="36">
        <v>9.2441820000000001E-3</v>
      </c>
      <c r="B130" s="36">
        <v>0.43651181900000002</v>
      </c>
      <c r="C130" s="36">
        <v>0.51957921110426386</v>
      </c>
      <c r="D130" s="46">
        <v>0</v>
      </c>
      <c r="E130" s="38">
        <v>1.4800000000000001E-5</v>
      </c>
      <c r="F130" s="36">
        <v>0.106674166</v>
      </c>
      <c r="G130" s="36">
        <v>8.1072287473512375E-2</v>
      </c>
      <c r="H130" s="11">
        <v>0</v>
      </c>
      <c r="I130" s="54">
        <v>0</v>
      </c>
      <c r="J130" s="54">
        <v>1</v>
      </c>
      <c r="K130" s="44">
        <v>0</v>
      </c>
      <c r="L130" s="45">
        <v>0</v>
      </c>
      <c r="M130" s="45">
        <v>0.36879389649307076</v>
      </c>
      <c r="N130" s="45">
        <v>0</v>
      </c>
      <c r="O130" s="45">
        <v>0</v>
      </c>
    </row>
    <row r="131" spans="1:15" x14ac:dyDescent="0.3">
      <c r="A131" s="36">
        <v>0.247212235</v>
      </c>
      <c r="B131" s="36">
        <v>0.43123141399999998</v>
      </c>
      <c r="C131" s="36">
        <v>0.79080307418254592</v>
      </c>
      <c r="D131" s="46">
        <v>0</v>
      </c>
      <c r="E131" s="36">
        <v>8.6191199999999996E-2</v>
      </c>
      <c r="F131" s="36">
        <v>5.4148719999999997E-2</v>
      </c>
      <c r="G131" s="36">
        <v>0.16246384433150318</v>
      </c>
      <c r="H131" s="11">
        <v>0</v>
      </c>
      <c r="I131" s="54">
        <v>0</v>
      </c>
      <c r="J131" s="54">
        <v>1</v>
      </c>
      <c r="K131" s="44">
        <v>0</v>
      </c>
      <c r="L131" s="45">
        <v>0</v>
      </c>
      <c r="M131" s="45">
        <v>0.15639389315954927</v>
      </c>
      <c r="N131" s="45">
        <v>0</v>
      </c>
      <c r="O131" s="45">
        <v>0</v>
      </c>
    </row>
    <row r="132" spans="1:15" x14ac:dyDescent="0.3">
      <c r="A132" s="36">
        <v>0.60302879300000001</v>
      </c>
      <c r="B132" s="36">
        <v>0.43856399200000001</v>
      </c>
      <c r="C132" s="36">
        <v>1</v>
      </c>
      <c r="D132" s="46">
        <v>0.16082502044368407</v>
      </c>
      <c r="E132" s="36">
        <v>0.32122400000000001</v>
      </c>
      <c r="F132" s="36">
        <v>2.3289418999999999E-2</v>
      </c>
      <c r="G132" s="36">
        <v>0.38375393635198096</v>
      </c>
      <c r="H132" s="11">
        <v>0</v>
      </c>
      <c r="I132" s="54">
        <v>0</v>
      </c>
      <c r="J132" s="54">
        <v>1</v>
      </c>
      <c r="K132" s="44">
        <v>0</v>
      </c>
      <c r="L132" s="45">
        <v>0</v>
      </c>
      <c r="M132" s="45">
        <v>0.15639389315954927</v>
      </c>
      <c r="N132" s="45">
        <v>0</v>
      </c>
      <c r="O132" s="45">
        <v>0</v>
      </c>
    </row>
    <row r="133" spans="1:15" x14ac:dyDescent="0.3">
      <c r="A133" s="36">
        <v>0.80467710199999998</v>
      </c>
      <c r="B133" s="36">
        <v>0.450905371</v>
      </c>
      <c r="C133" s="36">
        <v>1</v>
      </c>
      <c r="D133" s="46">
        <v>0.348192967222614</v>
      </c>
      <c r="E133" s="36">
        <v>0.55345960000000005</v>
      </c>
      <c r="F133" s="36">
        <v>1.3258752E-2</v>
      </c>
      <c r="G133" s="36">
        <v>0.60546267873393689</v>
      </c>
      <c r="H133" s="11">
        <v>0</v>
      </c>
      <c r="I133" s="54">
        <v>0</v>
      </c>
      <c r="J133" s="54">
        <v>1</v>
      </c>
      <c r="K133" s="44">
        <v>0</v>
      </c>
      <c r="L133" s="45">
        <v>0</v>
      </c>
      <c r="M133" s="45">
        <v>0.156095331511518</v>
      </c>
      <c r="N133" s="45">
        <v>0</v>
      </c>
      <c r="O133" s="45">
        <v>0</v>
      </c>
    </row>
    <row r="134" spans="1:15" x14ac:dyDescent="0.3">
      <c r="A134" s="36">
        <v>0.880454819</v>
      </c>
      <c r="B134" s="36">
        <v>0.47123206899999998</v>
      </c>
      <c r="C134" s="36">
        <v>1</v>
      </c>
      <c r="D134" s="46">
        <v>0.43234135345204838</v>
      </c>
      <c r="E134" s="36">
        <v>0.66131519999999999</v>
      </c>
      <c r="F134" s="36">
        <v>1.0386128999999999E-2</v>
      </c>
      <c r="G134" s="36">
        <v>0.71757748810446631</v>
      </c>
      <c r="H134" s="11">
        <v>0</v>
      </c>
      <c r="I134" s="54">
        <v>0</v>
      </c>
      <c r="J134" s="54">
        <v>1</v>
      </c>
      <c r="K134" s="44">
        <v>0</v>
      </c>
      <c r="L134" s="45">
        <v>0</v>
      </c>
      <c r="M134" s="45">
        <v>0.15639389315954927</v>
      </c>
      <c r="N134" s="45">
        <v>0</v>
      </c>
      <c r="O134" s="45">
        <v>0</v>
      </c>
    </row>
    <row r="135" spans="1:15" x14ac:dyDescent="0.3">
      <c r="A135" s="36">
        <v>0.876464091</v>
      </c>
      <c r="B135" s="36">
        <v>0.47521060700000001</v>
      </c>
      <c r="C135" s="36">
        <v>1</v>
      </c>
      <c r="D135" s="46">
        <v>0.43233067996916924</v>
      </c>
      <c r="E135" s="36">
        <v>0.66344800000000004</v>
      </c>
      <c r="F135" s="36">
        <v>8.1810189999999994E-3</v>
      </c>
      <c r="G135" s="36">
        <v>0.73652962943997624</v>
      </c>
      <c r="H135" s="11">
        <v>0</v>
      </c>
      <c r="I135" s="54">
        <v>0</v>
      </c>
      <c r="J135" s="54">
        <v>1</v>
      </c>
      <c r="K135" s="44">
        <v>0</v>
      </c>
      <c r="L135" s="45">
        <v>0</v>
      </c>
      <c r="M135" s="45">
        <v>0.15639389315954927</v>
      </c>
      <c r="N135" s="45">
        <v>0</v>
      </c>
      <c r="O135" s="45">
        <v>0</v>
      </c>
    </row>
    <row r="136" spans="1:15" x14ac:dyDescent="0.3">
      <c r="A136" s="36">
        <v>0.80679100599999998</v>
      </c>
      <c r="B136" s="36">
        <v>0.46109752100000001</v>
      </c>
      <c r="C136" s="36">
        <v>1</v>
      </c>
      <c r="D136" s="46">
        <v>0.35896806621210664</v>
      </c>
      <c r="E136" s="36">
        <v>0.57237199999999999</v>
      </c>
      <c r="F136" s="36">
        <v>5.0300149999999997E-3</v>
      </c>
      <c r="G136" s="36">
        <v>0.68188764435821336</v>
      </c>
      <c r="H136" s="11">
        <v>0</v>
      </c>
      <c r="I136" s="54">
        <v>0</v>
      </c>
      <c r="J136" s="54">
        <v>1</v>
      </c>
      <c r="K136" s="44">
        <v>0</v>
      </c>
      <c r="L136" s="45">
        <v>0</v>
      </c>
      <c r="M136" s="45">
        <v>0.156095331511518</v>
      </c>
      <c r="N136" s="45">
        <v>0</v>
      </c>
      <c r="O136" s="45">
        <v>0</v>
      </c>
    </row>
    <row r="137" spans="1:15" x14ac:dyDescent="0.3">
      <c r="A137" s="36">
        <v>0.67316280900000003</v>
      </c>
      <c r="B137" s="36">
        <v>0.43415106799999997</v>
      </c>
      <c r="C137" s="36">
        <v>1</v>
      </c>
      <c r="D137" s="46">
        <v>0.21836997124574875</v>
      </c>
      <c r="E137" s="36">
        <v>0.44729239999999998</v>
      </c>
      <c r="F137" s="36">
        <v>2.7232129999999999E-3</v>
      </c>
      <c r="G137" s="36">
        <v>0.61120301438670421</v>
      </c>
      <c r="H137" s="11">
        <v>0</v>
      </c>
      <c r="I137" s="54">
        <v>0</v>
      </c>
      <c r="J137" s="54">
        <v>1</v>
      </c>
      <c r="K137" s="44">
        <v>0</v>
      </c>
      <c r="L137" s="45">
        <v>0</v>
      </c>
      <c r="M137" s="45">
        <v>0.15639389315954927</v>
      </c>
      <c r="N137" s="45">
        <v>0</v>
      </c>
      <c r="O137" s="45">
        <v>0</v>
      </c>
    </row>
    <row r="138" spans="1:15" x14ac:dyDescent="0.3">
      <c r="A138" s="36">
        <v>0.43637483199999999</v>
      </c>
      <c r="B138" s="36">
        <v>0.412526432</v>
      </c>
      <c r="C138" s="36">
        <v>0.98949077088147241</v>
      </c>
      <c r="D138" s="46">
        <v>0</v>
      </c>
      <c r="E138" s="36">
        <v>0.27655960000000002</v>
      </c>
      <c r="F138" s="36">
        <v>2.5477299999999998E-3</v>
      </c>
      <c r="G138" s="36">
        <v>0.493595365310877</v>
      </c>
      <c r="H138" s="11">
        <v>0</v>
      </c>
      <c r="I138" s="54">
        <v>0</v>
      </c>
      <c r="J138" s="54">
        <v>1</v>
      </c>
      <c r="K138" s="44">
        <v>0</v>
      </c>
      <c r="L138" s="45">
        <v>0</v>
      </c>
      <c r="M138" s="45">
        <v>0.15639389315954927</v>
      </c>
      <c r="N138" s="45">
        <v>0</v>
      </c>
      <c r="O138" s="45">
        <v>0</v>
      </c>
    </row>
    <row r="139" spans="1:15" x14ac:dyDescent="0.3">
      <c r="A139" s="36">
        <v>0.111525429</v>
      </c>
      <c r="B139" s="36">
        <v>0.34461741800000001</v>
      </c>
      <c r="C139" s="36">
        <v>0.53168625899242328</v>
      </c>
      <c r="D139" s="46">
        <v>0</v>
      </c>
      <c r="E139" s="36">
        <v>0.1080844</v>
      </c>
      <c r="F139" s="36">
        <v>4.1940969999999999E-3</v>
      </c>
      <c r="G139" s="36">
        <v>0.36842110586259086</v>
      </c>
      <c r="H139" s="11">
        <v>0</v>
      </c>
      <c r="I139" s="54">
        <v>0</v>
      </c>
      <c r="J139" s="54">
        <v>1</v>
      </c>
      <c r="K139" s="44">
        <v>0</v>
      </c>
      <c r="L139" s="45">
        <v>0</v>
      </c>
      <c r="M139" s="45">
        <v>0.30183786306462623</v>
      </c>
      <c r="N139" s="45">
        <v>0</v>
      </c>
      <c r="O139" s="45">
        <v>0</v>
      </c>
    </row>
    <row r="140" spans="1:15" x14ac:dyDescent="0.3">
      <c r="A140" s="36">
        <v>2.3160999999999999E-4</v>
      </c>
      <c r="B140" s="36">
        <v>0.34607711600000002</v>
      </c>
      <c r="C140" s="36">
        <v>0.40366212513110433</v>
      </c>
      <c r="D140" s="46">
        <v>0</v>
      </c>
      <c r="E140" s="36">
        <v>6.8627999999999996E-3</v>
      </c>
      <c r="F140" s="36">
        <v>8.3360640000000007E-3</v>
      </c>
      <c r="G140" s="36">
        <v>0.31159934092684372</v>
      </c>
      <c r="H140" s="11">
        <v>0</v>
      </c>
      <c r="I140" s="54">
        <v>0</v>
      </c>
      <c r="J140" s="54">
        <v>1</v>
      </c>
      <c r="K140" s="44">
        <v>0</v>
      </c>
      <c r="L140" s="45">
        <v>0</v>
      </c>
      <c r="M140" s="45">
        <v>0.156095331511518</v>
      </c>
      <c r="N140" s="45">
        <v>0</v>
      </c>
      <c r="O140" s="45">
        <v>0</v>
      </c>
    </row>
    <row r="141" spans="1:15" x14ac:dyDescent="0.3">
      <c r="A141" s="36">
        <v>0</v>
      </c>
      <c r="B141" s="36">
        <v>0.38436776900000003</v>
      </c>
      <c r="C141" s="36">
        <v>0.44802425933223927</v>
      </c>
      <c r="D141" s="46">
        <v>0</v>
      </c>
      <c r="E141" s="36">
        <v>0</v>
      </c>
      <c r="F141" s="36">
        <v>8.3495459999999994E-3</v>
      </c>
      <c r="G141" s="36">
        <v>0.33690654937438791</v>
      </c>
      <c r="H141" s="11">
        <v>0</v>
      </c>
      <c r="I141" s="54">
        <v>0</v>
      </c>
      <c r="J141" s="54">
        <v>1</v>
      </c>
      <c r="K141" s="44">
        <v>0</v>
      </c>
      <c r="L141" s="45">
        <v>0</v>
      </c>
      <c r="M141" s="45">
        <v>0.36879389649307076</v>
      </c>
      <c r="N141" s="45">
        <v>0</v>
      </c>
      <c r="O141" s="45">
        <v>0</v>
      </c>
    </row>
    <row r="142" spans="1:15" x14ac:dyDescent="0.3">
      <c r="A142" s="36">
        <v>0</v>
      </c>
      <c r="B142" s="36">
        <v>0.41364261899999999</v>
      </c>
      <c r="C142" s="36">
        <v>0.48214741961291413</v>
      </c>
      <c r="D142" s="46">
        <v>0</v>
      </c>
      <c r="E142" s="36">
        <v>0</v>
      </c>
      <c r="F142" s="36">
        <v>6.3382209999999998E-3</v>
      </c>
      <c r="G142" s="36">
        <v>0.36460607819320379</v>
      </c>
      <c r="H142" s="11">
        <v>0</v>
      </c>
      <c r="I142" s="54">
        <v>0</v>
      </c>
      <c r="J142" s="54">
        <v>1</v>
      </c>
      <c r="K142" s="44">
        <v>0</v>
      </c>
      <c r="L142" s="45">
        <v>0</v>
      </c>
      <c r="M142" s="45">
        <v>0.15669245480758048</v>
      </c>
      <c r="N142" s="45">
        <v>0</v>
      </c>
      <c r="O142" s="45">
        <v>0</v>
      </c>
    </row>
    <row r="143" spans="1:15" x14ac:dyDescent="0.3">
      <c r="A143" s="36">
        <v>0</v>
      </c>
      <c r="B143" s="36">
        <v>0.43220439799999999</v>
      </c>
      <c r="C143" s="36">
        <v>0.50378327974239256</v>
      </c>
      <c r="D143" s="46">
        <v>0</v>
      </c>
      <c r="E143" s="36">
        <v>0</v>
      </c>
      <c r="F143" s="36">
        <v>4.4935219999999998E-3</v>
      </c>
      <c r="G143" s="36">
        <v>0.38848806175218881</v>
      </c>
      <c r="H143" s="11">
        <v>0</v>
      </c>
      <c r="I143" s="54">
        <v>0</v>
      </c>
      <c r="J143" s="54">
        <v>1</v>
      </c>
      <c r="K143" s="44">
        <v>0</v>
      </c>
      <c r="L143" s="45">
        <v>0</v>
      </c>
      <c r="M143" s="45">
        <v>0.36939101978269684</v>
      </c>
      <c r="N143" s="45">
        <v>0</v>
      </c>
      <c r="O143" s="45">
        <v>0</v>
      </c>
    </row>
    <row r="144" spans="1:15" x14ac:dyDescent="0.3">
      <c r="A144" s="36">
        <v>0</v>
      </c>
      <c r="B144" s="36">
        <v>0.45847632599999999</v>
      </c>
      <c r="C144" s="36">
        <v>0.53440619360963193</v>
      </c>
      <c r="D144" s="46">
        <v>0</v>
      </c>
      <c r="E144" s="36">
        <v>0</v>
      </c>
      <c r="F144" s="36">
        <v>5.5655720000000004E-3</v>
      </c>
      <c r="G144" s="36">
        <v>0.4113483301451254</v>
      </c>
      <c r="H144" s="11">
        <v>0</v>
      </c>
      <c r="I144" s="54">
        <v>0</v>
      </c>
      <c r="J144" s="54">
        <v>1</v>
      </c>
      <c r="K144" s="44">
        <v>0</v>
      </c>
      <c r="L144" s="45">
        <v>0</v>
      </c>
      <c r="M144" s="45">
        <v>0.15758813974523786</v>
      </c>
      <c r="N144" s="45">
        <v>0</v>
      </c>
      <c r="O144" s="45">
        <v>0</v>
      </c>
    </row>
    <row r="145" spans="1:15" x14ac:dyDescent="0.3">
      <c r="A145" s="36">
        <v>0</v>
      </c>
      <c r="B145" s="36">
        <v>0.48614243400000001</v>
      </c>
      <c r="C145" s="36">
        <v>0.56665418250202459</v>
      </c>
      <c r="D145" s="46">
        <v>0</v>
      </c>
      <c r="E145" s="36">
        <v>0</v>
      </c>
      <c r="F145" s="36">
        <v>6.1054760000000003E-3</v>
      </c>
      <c r="G145" s="36">
        <v>0.4342770062893605</v>
      </c>
      <c r="H145" s="11">
        <v>0</v>
      </c>
      <c r="I145" s="54">
        <v>0</v>
      </c>
      <c r="J145" s="54">
        <v>1</v>
      </c>
      <c r="K145" s="44">
        <v>0</v>
      </c>
      <c r="L145" s="45">
        <v>0</v>
      </c>
      <c r="M145" s="45">
        <v>0.36998814307875938</v>
      </c>
      <c r="N145" s="45">
        <v>0</v>
      </c>
      <c r="O145" s="45">
        <v>0</v>
      </c>
    </row>
    <row r="146" spans="1:15" x14ac:dyDescent="0.3">
      <c r="A146" s="36">
        <v>0</v>
      </c>
      <c r="B146" s="36">
        <v>0.52357058199999995</v>
      </c>
      <c r="C146" s="36">
        <v>0.61028093697601227</v>
      </c>
      <c r="D146" s="46">
        <v>0</v>
      </c>
      <c r="E146" s="36">
        <v>0</v>
      </c>
      <c r="F146" s="36">
        <v>4.779564E-3</v>
      </c>
      <c r="G146" s="36">
        <v>0.45401902715180298</v>
      </c>
      <c r="H146" s="11">
        <v>0</v>
      </c>
      <c r="I146" s="54">
        <v>0</v>
      </c>
      <c r="J146" s="54">
        <v>1</v>
      </c>
      <c r="K146" s="44">
        <v>0</v>
      </c>
      <c r="L146" s="45">
        <v>0</v>
      </c>
      <c r="M146" s="45">
        <v>0.15758877440288419</v>
      </c>
      <c r="N146" s="45">
        <v>0</v>
      </c>
      <c r="O146" s="45">
        <v>0</v>
      </c>
    </row>
    <row r="147" spans="1:15" x14ac:dyDescent="0.3">
      <c r="A147" s="36">
        <v>0</v>
      </c>
      <c r="B147" s="36">
        <v>0.564047148</v>
      </c>
      <c r="C147" s="36">
        <v>0.65746096861509207</v>
      </c>
      <c r="D147" s="46">
        <v>0</v>
      </c>
      <c r="E147" s="36">
        <v>0</v>
      </c>
      <c r="F147" s="36">
        <v>5.3244670000000003E-3</v>
      </c>
      <c r="G147" s="36">
        <v>0.46781759319157146</v>
      </c>
      <c r="H147" s="11">
        <v>0</v>
      </c>
      <c r="I147" s="54">
        <v>0</v>
      </c>
      <c r="J147" s="54">
        <v>1</v>
      </c>
      <c r="K147" s="44">
        <v>0</v>
      </c>
      <c r="L147" s="45">
        <v>0</v>
      </c>
      <c r="M147" s="45">
        <v>0.15758877440288419</v>
      </c>
      <c r="N147" s="45">
        <v>0</v>
      </c>
      <c r="O147" s="45">
        <v>0</v>
      </c>
    </row>
    <row r="148" spans="1:15" x14ac:dyDescent="0.3">
      <c r="A148" s="36">
        <v>0</v>
      </c>
      <c r="B148" s="36">
        <v>0.60432528500000005</v>
      </c>
      <c r="C148" s="36">
        <v>0.70440970873358899</v>
      </c>
      <c r="D148" s="46">
        <v>0</v>
      </c>
      <c r="E148" s="36">
        <v>0</v>
      </c>
      <c r="F148" s="36">
        <v>5.7672899999999996E-3</v>
      </c>
      <c r="G148" s="36">
        <v>0.48282628743136968</v>
      </c>
      <c r="H148" s="11">
        <v>0</v>
      </c>
      <c r="I148" s="54">
        <v>0</v>
      </c>
      <c r="J148" s="54">
        <v>1</v>
      </c>
      <c r="K148" s="44">
        <v>0</v>
      </c>
      <c r="L148" s="45">
        <v>0</v>
      </c>
      <c r="M148" s="45">
        <v>0.15758877440288419</v>
      </c>
      <c r="N148" s="45">
        <v>0</v>
      </c>
      <c r="O148" s="45">
        <v>0</v>
      </c>
    </row>
    <row r="149" spans="1:15" x14ac:dyDescent="0.3">
      <c r="A149" s="36">
        <v>0</v>
      </c>
      <c r="B149" s="36">
        <v>0.64680523499999998</v>
      </c>
      <c r="C149" s="36">
        <v>0.75392491180260734</v>
      </c>
      <c r="D149" s="46">
        <v>0</v>
      </c>
      <c r="E149" s="36">
        <v>0</v>
      </c>
      <c r="F149" s="36">
        <v>7.4155230000000003E-3</v>
      </c>
      <c r="G149" s="36">
        <v>0.4872661157429885</v>
      </c>
      <c r="H149" s="11">
        <v>0</v>
      </c>
      <c r="I149" s="54">
        <v>0</v>
      </c>
      <c r="J149" s="54">
        <v>1</v>
      </c>
      <c r="K149" s="44">
        <v>0</v>
      </c>
      <c r="L149" s="45">
        <v>0</v>
      </c>
      <c r="M149" s="45">
        <v>0.15758877440288419</v>
      </c>
      <c r="N149" s="45">
        <v>0</v>
      </c>
      <c r="O149" s="45">
        <v>0</v>
      </c>
    </row>
    <row r="150" spans="1:15" x14ac:dyDescent="0.3">
      <c r="A150" s="36">
        <v>0</v>
      </c>
      <c r="B150" s="36">
        <v>0.68888568299999997</v>
      </c>
      <c r="C150" s="36">
        <v>0.8029744499483743</v>
      </c>
      <c r="D150" s="46">
        <v>0</v>
      </c>
      <c r="E150" s="36">
        <v>0</v>
      </c>
      <c r="F150" s="36">
        <v>6.7567870000000002E-3</v>
      </c>
      <c r="G150" s="36">
        <v>0.47855559392165009</v>
      </c>
      <c r="H150" s="11">
        <v>0</v>
      </c>
      <c r="I150" s="54">
        <v>0</v>
      </c>
      <c r="J150" s="54">
        <v>1</v>
      </c>
      <c r="K150" s="44">
        <v>0</v>
      </c>
      <c r="L150" s="45">
        <v>0</v>
      </c>
      <c r="M150" s="45">
        <v>0.1569916511068217</v>
      </c>
      <c r="N150" s="45">
        <v>0</v>
      </c>
      <c r="O150" s="45">
        <v>0</v>
      </c>
    </row>
    <row r="151" spans="1:15" x14ac:dyDescent="0.3">
      <c r="A151" s="36">
        <v>0</v>
      </c>
      <c r="B151" s="36">
        <v>0.70893419700000004</v>
      </c>
      <c r="C151" s="36">
        <v>0.82634326846021477</v>
      </c>
      <c r="D151" s="46">
        <v>0</v>
      </c>
      <c r="E151" s="36">
        <v>0</v>
      </c>
      <c r="F151" s="36">
        <v>7.8822000000000007E-3</v>
      </c>
      <c r="G151" s="36">
        <v>0.45816941682000295</v>
      </c>
      <c r="H151" s="11">
        <v>0</v>
      </c>
      <c r="I151" s="54">
        <v>0</v>
      </c>
      <c r="J151" s="54">
        <v>1</v>
      </c>
      <c r="K151" s="44">
        <v>0</v>
      </c>
      <c r="L151" s="45">
        <v>0</v>
      </c>
      <c r="M151" s="45">
        <v>0.15639452781719557</v>
      </c>
      <c r="N151" s="45">
        <v>0</v>
      </c>
      <c r="O151" s="45">
        <v>0</v>
      </c>
    </row>
    <row r="152" spans="1:15" x14ac:dyDescent="0.3">
      <c r="A152" s="36">
        <v>0</v>
      </c>
      <c r="B152" s="36">
        <v>0.69710707999999999</v>
      </c>
      <c r="C152" s="36">
        <v>0.81255742125521468</v>
      </c>
      <c r="D152" s="46">
        <v>0</v>
      </c>
      <c r="E152" s="36">
        <v>0</v>
      </c>
      <c r="F152" s="36">
        <v>9.7945170000000008E-3</v>
      </c>
      <c r="G152" s="36">
        <v>0.46185738923252706</v>
      </c>
      <c r="H152" s="11">
        <v>0</v>
      </c>
      <c r="I152" s="54">
        <v>0</v>
      </c>
      <c r="J152" s="54">
        <v>1</v>
      </c>
      <c r="K152" s="44">
        <v>0</v>
      </c>
      <c r="L152" s="45">
        <v>0</v>
      </c>
      <c r="M152" s="45">
        <v>0.15609596616916432</v>
      </c>
      <c r="N152" s="45">
        <v>0</v>
      </c>
      <c r="O152" s="45">
        <v>0</v>
      </c>
    </row>
    <row r="153" spans="1:15" x14ac:dyDescent="0.3">
      <c r="A153" s="36">
        <v>0</v>
      </c>
      <c r="B153" s="36">
        <v>0.67072794400000002</v>
      </c>
      <c r="C153" s="36">
        <v>0.78180954429619631</v>
      </c>
      <c r="D153" s="46">
        <v>0</v>
      </c>
      <c r="E153" s="36">
        <v>0</v>
      </c>
      <c r="F153" s="36">
        <v>1.2242453E-2</v>
      </c>
      <c r="G153" s="36">
        <v>0.44929821953138449</v>
      </c>
      <c r="H153" s="11">
        <v>0</v>
      </c>
      <c r="I153" s="54">
        <v>0</v>
      </c>
      <c r="J153" s="54">
        <v>1</v>
      </c>
      <c r="K153" s="44">
        <v>0</v>
      </c>
      <c r="L153" s="45">
        <v>0</v>
      </c>
      <c r="M153" s="45">
        <v>0.15639452781719557</v>
      </c>
      <c r="N153" s="45">
        <v>0</v>
      </c>
      <c r="O153" s="45">
        <v>0</v>
      </c>
    </row>
    <row r="154" spans="1:15" x14ac:dyDescent="0.3">
      <c r="A154" s="36">
        <v>2.4648349999999999E-3</v>
      </c>
      <c r="B154" s="36">
        <v>0.63980309599999996</v>
      </c>
      <c r="C154" s="36">
        <v>0.74863616902052144</v>
      </c>
      <c r="D154" s="46">
        <v>0</v>
      </c>
      <c r="E154" s="36">
        <v>0</v>
      </c>
      <c r="F154" s="36">
        <v>1.4765313E-2</v>
      </c>
      <c r="G154" s="36">
        <v>0.40280014776999551</v>
      </c>
      <c r="H154" s="11">
        <v>0</v>
      </c>
      <c r="I154" s="54">
        <v>0</v>
      </c>
      <c r="J154" s="54">
        <v>1</v>
      </c>
      <c r="K154" s="44">
        <v>0</v>
      </c>
      <c r="L154" s="45">
        <v>0</v>
      </c>
      <c r="M154" s="45">
        <v>0.15639452781719557</v>
      </c>
      <c r="N154" s="45">
        <v>0</v>
      </c>
      <c r="O154" s="45">
        <v>0</v>
      </c>
    </row>
    <row r="155" spans="1:15" x14ac:dyDescent="0.3">
      <c r="A155" s="36">
        <v>6.7018863999999997E-2</v>
      </c>
      <c r="B155" s="36">
        <v>0.60584827900000005</v>
      </c>
      <c r="C155" s="36">
        <v>0.7843030235232209</v>
      </c>
      <c r="D155" s="46">
        <v>0</v>
      </c>
      <c r="E155" s="36">
        <v>2.3892799999999999E-2</v>
      </c>
      <c r="F155" s="36">
        <v>1.3564065E-2</v>
      </c>
      <c r="G155" s="36">
        <v>0.37409166075678885</v>
      </c>
      <c r="H155" s="11">
        <v>0</v>
      </c>
      <c r="I155" s="54">
        <v>0</v>
      </c>
      <c r="J155" s="54">
        <v>1</v>
      </c>
      <c r="K155" s="44">
        <v>0</v>
      </c>
      <c r="L155" s="45">
        <v>0</v>
      </c>
      <c r="M155" s="45">
        <v>0.15639452781719557</v>
      </c>
      <c r="N155" s="45">
        <v>0</v>
      </c>
      <c r="O155" s="45">
        <v>0</v>
      </c>
    </row>
    <row r="156" spans="1:15" x14ac:dyDescent="0.3">
      <c r="A156" s="36">
        <v>0.18901900099999999</v>
      </c>
      <c r="B156" s="36">
        <v>0.60256063999999998</v>
      </c>
      <c r="C156" s="36">
        <v>0.92267591344659516</v>
      </c>
      <c r="D156" s="46">
        <v>0</v>
      </c>
      <c r="E156" s="36">
        <v>0.1051248</v>
      </c>
      <c r="F156" s="36">
        <v>1.4959175999999999E-2</v>
      </c>
      <c r="G156" s="36">
        <v>0.39545631109125984</v>
      </c>
      <c r="H156" s="11">
        <v>0</v>
      </c>
      <c r="I156" s="54">
        <v>0</v>
      </c>
      <c r="J156" s="54">
        <v>1</v>
      </c>
      <c r="K156" s="44">
        <v>0</v>
      </c>
      <c r="L156" s="45">
        <v>0</v>
      </c>
      <c r="M156" s="45">
        <v>0.15639452781719557</v>
      </c>
      <c r="N156" s="45">
        <v>0</v>
      </c>
      <c r="O156" s="45">
        <v>0</v>
      </c>
    </row>
    <row r="157" spans="1:15" x14ac:dyDescent="0.3">
      <c r="A157" s="36">
        <v>0.31501452800000002</v>
      </c>
      <c r="B157" s="36">
        <v>0.61838280300000004</v>
      </c>
      <c r="C157" s="36">
        <v>1</v>
      </c>
      <c r="D157" s="46">
        <v>6.6089800927899872E-2</v>
      </c>
      <c r="E157" s="36">
        <v>0.1975316</v>
      </c>
      <c r="F157" s="36">
        <v>2.0590111000000001E-2</v>
      </c>
      <c r="G157" s="36">
        <v>0.43222901928387003</v>
      </c>
      <c r="H157" s="11">
        <v>0</v>
      </c>
      <c r="I157" s="54">
        <v>0</v>
      </c>
      <c r="J157" s="54">
        <v>1</v>
      </c>
      <c r="K157" s="44">
        <v>0</v>
      </c>
      <c r="L157" s="45">
        <v>0</v>
      </c>
      <c r="M157" s="45">
        <v>0.15609596616916432</v>
      </c>
      <c r="N157" s="45">
        <v>0</v>
      </c>
      <c r="O157" s="45">
        <v>0</v>
      </c>
    </row>
    <row r="158" spans="1:15" x14ac:dyDescent="0.3">
      <c r="A158" s="36">
        <v>0.42426403499999998</v>
      </c>
      <c r="B158" s="36">
        <v>0.65846688499999995</v>
      </c>
      <c r="C158" s="36">
        <v>1</v>
      </c>
      <c r="D158" s="46">
        <v>0.19684529768837272</v>
      </c>
      <c r="E158" s="36">
        <v>0.31521519999999997</v>
      </c>
      <c r="F158" s="36">
        <v>2.8362847E-2</v>
      </c>
      <c r="G158" s="36">
        <v>0.51657799270485227</v>
      </c>
      <c r="H158" s="11">
        <v>0</v>
      </c>
      <c r="I158" s="54">
        <v>0</v>
      </c>
      <c r="J158" s="54">
        <v>1</v>
      </c>
      <c r="K158" s="44">
        <v>0</v>
      </c>
      <c r="L158" s="45">
        <v>0</v>
      </c>
      <c r="M158" s="45">
        <v>0.15639452781719557</v>
      </c>
      <c r="N158" s="45">
        <v>0</v>
      </c>
      <c r="O158" s="45">
        <v>0</v>
      </c>
    </row>
    <row r="159" spans="1:15" x14ac:dyDescent="0.3">
      <c r="A159" s="36">
        <v>0.48079174000000002</v>
      </c>
      <c r="B159" s="36">
        <v>0.69550253799999995</v>
      </c>
      <c r="C159" s="36">
        <v>1</v>
      </c>
      <c r="D159" s="46">
        <v>0.27876875131854001</v>
      </c>
      <c r="E159" s="36">
        <v>0.41091280000000002</v>
      </c>
      <c r="F159" s="36">
        <v>2.7896361000000001E-2</v>
      </c>
      <c r="G159" s="36">
        <v>0.60069289200979381</v>
      </c>
      <c r="H159" s="11">
        <v>0</v>
      </c>
      <c r="I159" s="54">
        <v>0</v>
      </c>
      <c r="J159" s="54">
        <v>1</v>
      </c>
      <c r="K159" s="44">
        <v>0</v>
      </c>
      <c r="L159" s="45">
        <v>0</v>
      </c>
      <c r="M159" s="45">
        <v>0.15639452781719557</v>
      </c>
      <c r="N159" s="45">
        <v>0</v>
      </c>
      <c r="O159" s="45">
        <v>0</v>
      </c>
    </row>
    <row r="160" spans="1:15" x14ac:dyDescent="0.3">
      <c r="A160" s="36">
        <v>0.473505854</v>
      </c>
      <c r="B160" s="36">
        <v>0.72059707900000003</v>
      </c>
      <c r="C160" s="36">
        <v>1</v>
      </c>
      <c r="D160" s="46">
        <v>0.29436189112555872</v>
      </c>
      <c r="E160" s="36">
        <v>0.4519648</v>
      </c>
      <c r="F160" s="36">
        <v>2.4776212999999998E-2</v>
      </c>
      <c r="G160" s="36">
        <v>0.64461079759786322</v>
      </c>
      <c r="H160" s="11">
        <v>0</v>
      </c>
      <c r="I160" s="54">
        <v>0</v>
      </c>
      <c r="J160" s="54">
        <v>1</v>
      </c>
      <c r="K160" s="44">
        <v>0</v>
      </c>
      <c r="L160" s="45">
        <v>0</v>
      </c>
      <c r="M160" s="45">
        <v>0.15609596616916432</v>
      </c>
      <c r="N160" s="45">
        <v>0</v>
      </c>
      <c r="O160" s="45">
        <v>0</v>
      </c>
    </row>
    <row r="161" spans="1:15" x14ac:dyDescent="0.3">
      <c r="A161" s="36">
        <v>0.377817921</v>
      </c>
      <c r="B161" s="36">
        <v>0.739312894</v>
      </c>
      <c r="C161" s="36">
        <v>1</v>
      </c>
      <c r="D161" s="46">
        <v>0.22696561682992308</v>
      </c>
      <c r="E161" s="36">
        <v>0.38616879999999998</v>
      </c>
      <c r="F161" s="36">
        <v>2.6833296999999999E-2</v>
      </c>
      <c r="G161" s="36">
        <v>0.59000497674847896</v>
      </c>
      <c r="H161" s="11">
        <v>0</v>
      </c>
      <c r="I161" s="54">
        <v>0</v>
      </c>
      <c r="J161" s="54">
        <v>1</v>
      </c>
      <c r="K161" s="44">
        <v>0</v>
      </c>
      <c r="L161" s="45">
        <v>0</v>
      </c>
      <c r="M161" s="45">
        <v>0.15639452781719557</v>
      </c>
      <c r="N161" s="45">
        <v>0</v>
      </c>
      <c r="O161" s="45">
        <v>0</v>
      </c>
    </row>
    <row r="162" spans="1:15" x14ac:dyDescent="0.3">
      <c r="A162" s="36">
        <v>0.23042142700000001</v>
      </c>
      <c r="B162" s="36">
        <v>0.77701201099999995</v>
      </c>
      <c r="C162" s="36">
        <v>1</v>
      </c>
      <c r="D162" s="46">
        <v>0.13091532353016261</v>
      </c>
      <c r="E162" s="36">
        <v>0.27191399999999999</v>
      </c>
      <c r="F162" s="36">
        <v>3.1570761000000003E-2</v>
      </c>
      <c r="G162" s="36">
        <v>0.48271115095622497</v>
      </c>
      <c r="H162" s="11">
        <v>0</v>
      </c>
      <c r="I162" s="54">
        <v>0</v>
      </c>
      <c r="J162" s="54">
        <v>1</v>
      </c>
      <c r="K162" s="44">
        <v>0</v>
      </c>
      <c r="L162" s="45">
        <v>0</v>
      </c>
      <c r="M162" s="45">
        <v>0.15639452781719557</v>
      </c>
      <c r="N162" s="45">
        <v>0</v>
      </c>
      <c r="O162" s="45">
        <v>0</v>
      </c>
    </row>
    <row r="163" spans="1:15" x14ac:dyDescent="0.3">
      <c r="A163" s="36">
        <v>5.9599909E-2</v>
      </c>
      <c r="B163" s="36">
        <v>0.76608125500000002</v>
      </c>
      <c r="C163" s="36">
        <v>0.9624251089213498</v>
      </c>
      <c r="D163" s="46">
        <v>0</v>
      </c>
      <c r="E163" s="36">
        <v>0.13550319999999999</v>
      </c>
      <c r="F163" s="36">
        <v>3.6470654999999998E-2</v>
      </c>
      <c r="G163" s="36">
        <v>0.12914362781718353</v>
      </c>
      <c r="H163" s="11">
        <v>0</v>
      </c>
      <c r="I163" s="54">
        <v>0</v>
      </c>
      <c r="J163" s="54">
        <v>1</v>
      </c>
      <c r="K163" s="44">
        <v>0</v>
      </c>
      <c r="L163" s="45">
        <v>0</v>
      </c>
      <c r="M163" s="45">
        <v>0.15639452781719557</v>
      </c>
      <c r="N163" s="45">
        <v>0</v>
      </c>
      <c r="O163" s="45">
        <v>0</v>
      </c>
    </row>
    <row r="164" spans="1:15" x14ac:dyDescent="0.3">
      <c r="A164" s="36">
        <v>1.69822E-4</v>
      </c>
      <c r="B164" s="36">
        <v>0.71677553000000005</v>
      </c>
      <c r="C164" s="36">
        <v>0.83568117885423321</v>
      </c>
      <c r="D164" s="46">
        <v>0</v>
      </c>
      <c r="E164" s="36">
        <v>8.5908000000000009E-3</v>
      </c>
      <c r="F164" s="36">
        <v>3.7986382999999999E-2</v>
      </c>
      <c r="G164" s="36">
        <v>1.0749753499332245E-2</v>
      </c>
      <c r="H164" s="11">
        <v>0</v>
      </c>
      <c r="I164" s="54">
        <v>0</v>
      </c>
      <c r="J164" s="54">
        <v>1</v>
      </c>
      <c r="K164" s="44">
        <v>0</v>
      </c>
      <c r="L164" s="45">
        <v>0</v>
      </c>
      <c r="M164" s="45">
        <v>0.15609596616916432</v>
      </c>
      <c r="N164" s="45">
        <v>0</v>
      </c>
      <c r="O164" s="45">
        <v>0</v>
      </c>
    </row>
    <row r="165" spans="1:15" x14ac:dyDescent="0.3">
      <c r="A165" s="36">
        <v>0</v>
      </c>
      <c r="B165" s="36">
        <v>0.69716506300000003</v>
      </c>
      <c r="C165" s="36">
        <v>0.81262500702260732</v>
      </c>
      <c r="D165" s="46">
        <v>0</v>
      </c>
      <c r="E165" s="36">
        <v>0</v>
      </c>
      <c r="F165" s="36">
        <v>4.0044106000000003E-2</v>
      </c>
      <c r="G165" s="36">
        <v>2.8759975224810805E-3</v>
      </c>
      <c r="H165" s="11">
        <v>0</v>
      </c>
      <c r="I165" s="54">
        <v>0</v>
      </c>
      <c r="J165" s="54">
        <v>1</v>
      </c>
      <c r="K165" s="44">
        <v>0</v>
      </c>
      <c r="L165" s="45">
        <v>0</v>
      </c>
      <c r="M165" s="45">
        <v>0.15639452781719557</v>
      </c>
      <c r="N165" s="45">
        <v>0</v>
      </c>
      <c r="O165" s="45">
        <v>0</v>
      </c>
    </row>
    <row r="166" spans="1:15" x14ac:dyDescent="0.3">
      <c r="A166" s="36">
        <v>0</v>
      </c>
      <c r="B166" s="36">
        <v>0.702644457</v>
      </c>
      <c r="C166" s="36">
        <v>0.81901186262401848</v>
      </c>
      <c r="D166" s="46">
        <v>0</v>
      </c>
      <c r="E166" s="36">
        <v>0</v>
      </c>
      <c r="F166" s="36">
        <v>4.3377423999999998E-2</v>
      </c>
      <c r="G166" s="36">
        <v>3.1153989042884698E-3</v>
      </c>
      <c r="H166" s="11">
        <v>0</v>
      </c>
      <c r="I166" s="54">
        <v>0</v>
      </c>
      <c r="J166" s="54">
        <v>1</v>
      </c>
      <c r="K166" s="44">
        <v>0</v>
      </c>
      <c r="L166" s="45">
        <v>0</v>
      </c>
      <c r="M166" s="45">
        <v>0.15669308946522681</v>
      </c>
      <c r="N166" s="45">
        <v>0</v>
      </c>
      <c r="O166" s="45">
        <v>0</v>
      </c>
    </row>
    <row r="167" spans="1:15" x14ac:dyDescent="0.3">
      <c r="A167" s="36">
        <v>0</v>
      </c>
      <c r="B167" s="36">
        <v>0.71687946599999997</v>
      </c>
      <c r="C167" s="36">
        <v>0.83560438124337422</v>
      </c>
      <c r="D167" s="46">
        <v>0</v>
      </c>
      <c r="E167" s="36">
        <v>0</v>
      </c>
      <c r="F167" s="36">
        <v>3.6588979000000001E-2</v>
      </c>
      <c r="G167" s="36">
        <v>2.6278477275560172E-3</v>
      </c>
      <c r="H167" s="11">
        <v>0</v>
      </c>
      <c r="I167" s="54">
        <v>0</v>
      </c>
      <c r="J167" s="54">
        <v>1</v>
      </c>
      <c r="K167" s="44">
        <v>0</v>
      </c>
      <c r="L167" s="45">
        <v>0</v>
      </c>
      <c r="M167" s="45">
        <v>0.1569916511068217</v>
      </c>
      <c r="N167" s="45">
        <v>0</v>
      </c>
      <c r="O167" s="45">
        <v>0</v>
      </c>
    </row>
    <row r="168" spans="1:15" x14ac:dyDescent="0.3">
      <c r="A168" s="36">
        <v>0</v>
      </c>
      <c r="B168" s="36">
        <v>0.73354011799999996</v>
      </c>
      <c r="C168" s="36">
        <v>0.85502426208226989</v>
      </c>
      <c r="D168" s="46">
        <v>0</v>
      </c>
      <c r="E168" s="36">
        <v>0</v>
      </c>
      <c r="F168" s="36">
        <v>3.7629095000000001E-2</v>
      </c>
      <c r="G168" s="36">
        <v>2.7025496334767769E-3</v>
      </c>
      <c r="H168" s="11">
        <v>0</v>
      </c>
      <c r="I168" s="54">
        <v>0</v>
      </c>
      <c r="J168" s="54">
        <v>1</v>
      </c>
      <c r="K168" s="44">
        <v>0</v>
      </c>
      <c r="L168" s="45">
        <v>0</v>
      </c>
      <c r="M168" s="45">
        <v>0.15758877440288419</v>
      </c>
      <c r="N168" s="45">
        <v>0</v>
      </c>
      <c r="O168" s="45">
        <v>0</v>
      </c>
    </row>
    <row r="169" spans="1:15" x14ac:dyDescent="0.3">
      <c r="A169" s="36">
        <v>0</v>
      </c>
      <c r="B169" s="36">
        <v>0.75291925000000004</v>
      </c>
      <c r="C169" s="36">
        <v>0.87761283990030681</v>
      </c>
      <c r="D169" s="46">
        <v>0</v>
      </c>
      <c r="E169" s="36">
        <v>0</v>
      </c>
      <c r="F169" s="36">
        <v>4.4449984999999997E-2</v>
      </c>
      <c r="G169" s="36">
        <v>3.1924310342780829E-3</v>
      </c>
      <c r="H169" s="11">
        <v>0</v>
      </c>
      <c r="I169" s="54">
        <v>0</v>
      </c>
      <c r="J169" s="54">
        <v>1</v>
      </c>
      <c r="K169" s="44">
        <v>0</v>
      </c>
      <c r="L169" s="45">
        <v>0</v>
      </c>
      <c r="M169" s="45">
        <v>0.15758877440288419</v>
      </c>
      <c r="N169" s="45">
        <v>0</v>
      </c>
      <c r="O169" s="45">
        <v>0</v>
      </c>
    </row>
    <row r="170" spans="1:15" x14ac:dyDescent="0.3">
      <c r="A170" s="36">
        <v>0</v>
      </c>
      <c r="B170" s="36">
        <v>0.77290304499999996</v>
      </c>
      <c r="C170" s="36">
        <v>0.90090622107223928</v>
      </c>
      <c r="D170" s="46">
        <v>0</v>
      </c>
      <c r="E170" s="36">
        <v>0</v>
      </c>
      <c r="F170" s="36">
        <v>4.2180932999999997E-2</v>
      </c>
      <c r="G170" s="36">
        <v>3.0294660293812134E-3</v>
      </c>
      <c r="H170" s="11">
        <v>0</v>
      </c>
      <c r="I170" s="55">
        <v>0.6525735857029008</v>
      </c>
      <c r="J170" s="55"/>
      <c r="K170" s="44">
        <v>0.3</v>
      </c>
      <c r="L170" s="45">
        <v>0</v>
      </c>
      <c r="M170" s="45">
        <v>8.4713936843510362E-2</v>
      </c>
      <c r="N170" s="45">
        <v>0</v>
      </c>
      <c r="O170" s="45">
        <v>0</v>
      </c>
    </row>
    <row r="171" spans="1:15" x14ac:dyDescent="0.3">
      <c r="N171" s="48"/>
      <c r="O171" s="48"/>
    </row>
    <row r="172" spans="1:15" x14ac:dyDescent="0.3">
      <c r="N172" s="48"/>
      <c r="O172" s="4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dimension ref="A1:C169"/>
  <sheetViews>
    <sheetView topLeftCell="A148" workbookViewId="0">
      <selection activeCell="B1" sqref="B1:B168"/>
    </sheetView>
  </sheetViews>
  <sheetFormatPr baseColWidth="10" defaultRowHeight="13.5" x14ac:dyDescent="0.25"/>
  <sheetData>
    <row r="1" spans="1:3" x14ac:dyDescent="0.25">
      <c r="A1">
        <v>1</v>
      </c>
      <c r="B1">
        <v>0</v>
      </c>
      <c r="C1">
        <f>B1*0.1</f>
        <v>0</v>
      </c>
    </row>
    <row r="2" spans="1:3" x14ac:dyDescent="0.25">
      <c r="A2">
        <v>1</v>
      </c>
      <c r="B2">
        <v>0</v>
      </c>
      <c r="C2">
        <f t="shared" ref="C2:C65" si="0">B2*0.1</f>
        <v>0</v>
      </c>
    </row>
    <row r="3" spans="1:3" x14ac:dyDescent="0.25">
      <c r="A3">
        <v>1</v>
      </c>
      <c r="B3">
        <v>0</v>
      </c>
      <c r="C3">
        <f t="shared" si="0"/>
        <v>0</v>
      </c>
    </row>
    <row r="4" spans="1:3" x14ac:dyDescent="0.25">
      <c r="A4">
        <v>1</v>
      </c>
      <c r="B4">
        <v>0</v>
      </c>
      <c r="C4">
        <f t="shared" si="0"/>
        <v>0</v>
      </c>
    </row>
    <row r="5" spans="1:3" x14ac:dyDescent="0.25">
      <c r="A5">
        <v>1</v>
      </c>
      <c r="B5">
        <v>0</v>
      </c>
      <c r="C5">
        <f t="shared" si="0"/>
        <v>0</v>
      </c>
    </row>
    <row r="6" spans="1:3" x14ac:dyDescent="0.25">
      <c r="A6">
        <v>1</v>
      </c>
      <c r="B6">
        <v>0</v>
      </c>
      <c r="C6">
        <f t="shared" si="0"/>
        <v>0</v>
      </c>
    </row>
    <row r="7" spans="1:3" x14ac:dyDescent="0.25">
      <c r="A7">
        <v>1</v>
      </c>
      <c r="B7">
        <v>0</v>
      </c>
      <c r="C7">
        <f t="shared" si="0"/>
        <v>0</v>
      </c>
    </row>
    <row r="8" spans="1:3" x14ac:dyDescent="0.25">
      <c r="A8">
        <v>1</v>
      </c>
      <c r="B8">
        <v>0</v>
      </c>
      <c r="C8">
        <f t="shared" si="0"/>
        <v>0</v>
      </c>
    </row>
    <row r="9" spans="1:3" x14ac:dyDescent="0.25">
      <c r="A9">
        <v>1</v>
      </c>
      <c r="B9">
        <v>0</v>
      </c>
      <c r="C9">
        <f t="shared" si="0"/>
        <v>0</v>
      </c>
    </row>
    <row r="10" spans="1:3" x14ac:dyDescent="0.25">
      <c r="A10">
        <v>1</v>
      </c>
      <c r="B10">
        <v>0</v>
      </c>
      <c r="C10">
        <f t="shared" si="0"/>
        <v>0</v>
      </c>
    </row>
    <row r="11" spans="1:3" x14ac:dyDescent="0.25">
      <c r="A11">
        <v>0</v>
      </c>
      <c r="B11">
        <v>578.16100895</v>
      </c>
      <c r="C11">
        <f t="shared" si="0"/>
        <v>57.816100895000005</v>
      </c>
    </row>
    <row r="12" spans="1:3" x14ac:dyDescent="0.25">
      <c r="A12">
        <v>0</v>
      </c>
      <c r="B12">
        <v>5000</v>
      </c>
      <c r="C12">
        <f t="shared" si="0"/>
        <v>500</v>
      </c>
    </row>
    <row r="13" spans="1:3" x14ac:dyDescent="0.25">
      <c r="A13">
        <v>0</v>
      </c>
      <c r="B13">
        <v>5000</v>
      </c>
      <c r="C13">
        <f t="shared" si="0"/>
        <v>500</v>
      </c>
    </row>
    <row r="14" spans="1:3" x14ac:dyDescent="0.25">
      <c r="A14">
        <v>0</v>
      </c>
      <c r="B14">
        <v>5000</v>
      </c>
      <c r="C14">
        <f t="shared" si="0"/>
        <v>500</v>
      </c>
    </row>
    <row r="15" spans="1:3" x14ac:dyDescent="0.25">
      <c r="A15">
        <v>0</v>
      </c>
      <c r="B15">
        <v>5000</v>
      </c>
      <c r="C15">
        <f t="shared" si="0"/>
        <v>500</v>
      </c>
    </row>
    <row r="16" spans="1:3" x14ac:dyDescent="0.25">
      <c r="A16">
        <v>0</v>
      </c>
      <c r="B16">
        <v>5000</v>
      </c>
      <c r="C16">
        <f t="shared" si="0"/>
        <v>500</v>
      </c>
    </row>
    <row r="17" spans="1:3" x14ac:dyDescent="0.25">
      <c r="A17">
        <v>0</v>
      </c>
      <c r="B17">
        <v>0</v>
      </c>
      <c r="C17">
        <f t="shared" si="0"/>
        <v>0</v>
      </c>
    </row>
    <row r="18" spans="1:3" x14ac:dyDescent="0.25">
      <c r="A18">
        <v>1</v>
      </c>
      <c r="B18">
        <v>0</v>
      </c>
      <c r="C18">
        <f t="shared" si="0"/>
        <v>0</v>
      </c>
    </row>
    <row r="19" spans="1:3" x14ac:dyDescent="0.25">
      <c r="A19">
        <v>1</v>
      </c>
      <c r="B19">
        <v>0</v>
      </c>
      <c r="C19">
        <f t="shared" si="0"/>
        <v>0</v>
      </c>
    </row>
    <row r="20" spans="1:3" x14ac:dyDescent="0.25">
      <c r="A20">
        <v>1</v>
      </c>
      <c r="B20">
        <v>0</v>
      </c>
      <c r="C20">
        <f t="shared" si="0"/>
        <v>0</v>
      </c>
    </row>
    <row r="21" spans="1:3" x14ac:dyDescent="0.25">
      <c r="A21">
        <v>1</v>
      </c>
      <c r="B21">
        <v>0</v>
      </c>
      <c r="C21">
        <f t="shared" si="0"/>
        <v>0</v>
      </c>
    </row>
    <row r="22" spans="1:3" x14ac:dyDescent="0.25">
      <c r="A22">
        <v>1</v>
      </c>
      <c r="B22">
        <v>0</v>
      </c>
      <c r="C22">
        <f t="shared" si="0"/>
        <v>0</v>
      </c>
    </row>
    <row r="23" spans="1:3" x14ac:dyDescent="0.25">
      <c r="A23">
        <v>1</v>
      </c>
      <c r="B23">
        <v>0</v>
      </c>
      <c r="C23">
        <f t="shared" si="0"/>
        <v>0</v>
      </c>
    </row>
    <row r="24" spans="1:3" x14ac:dyDescent="0.25">
      <c r="A24">
        <v>1</v>
      </c>
      <c r="B24">
        <v>0</v>
      </c>
      <c r="C24">
        <f t="shared" si="0"/>
        <v>0</v>
      </c>
    </row>
    <row r="25" spans="1:3" x14ac:dyDescent="0.25">
      <c r="A25">
        <v>1</v>
      </c>
      <c r="B25">
        <v>0</v>
      </c>
      <c r="C25">
        <f t="shared" si="0"/>
        <v>0</v>
      </c>
    </row>
    <row r="26" spans="1:3" x14ac:dyDescent="0.25">
      <c r="A26">
        <v>1</v>
      </c>
      <c r="B26">
        <v>0</v>
      </c>
      <c r="C26">
        <f t="shared" si="0"/>
        <v>0</v>
      </c>
    </row>
    <row r="27" spans="1:3" x14ac:dyDescent="0.25">
      <c r="A27">
        <v>1</v>
      </c>
      <c r="B27">
        <v>0</v>
      </c>
      <c r="C27">
        <f t="shared" si="0"/>
        <v>0</v>
      </c>
    </row>
    <row r="28" spans="1:3" x14ac:dyDescent="0.25">
      <c r="A28">
        <v>1</v>
      </c>
      <c r="B28">
        <v>0</v>
      </c>
      <c r="C28">
        <f t="shared" si="0"/>
        <v>0</v>
      </c>
    </row>
    <row r="29" spans="1:3" x14ac:dyDescent="0.25">
      <c r="A29">
        <v>1</v>
      </c>
      <c r="B29">
        <v>0</v>
      </c>
      <c r="C29">
        <f t="shared" si="0"/>
        <v>0</v>
      </c>
    </row>
    <row r="30" spans="1:3" x14ac:dyDescent="0.25">
      <c r="A30">
        <v>1</v>
      </c>
      <c r="B30">
        <v>0</v>
      </c>
      <c r="C30">
        <f t="shared" si="0"/>
        <v>0</v>
      </c>
    </row>
    <row r="31" spans="1:3" x14ac:dyDescent="0.25">
      <c r="A31">
        <v>1</v>
      </c>
      <c r="B31">
        <v>0</v>
      </c>
      <c r="C31">
        <f t="shared" si="0"/>
        <v>0</v>
      </c>
    </row>
    <row r="32" spans="1:3" x14ac:dyDescent="0.25">
      <c r="A32">
        <v>1</v>
      </c>
      <c r="B32">
        <v>0</v>
      </c>
      <c r="C32">
        <f t="shared" si="0"/>
        <v>0</v>
      </c>
    </row>
    <row r="33" spans="1:3" x14ac:dyDescent="0.25">
      <c r="A33">
        <v>1</v>
      </c>
      <c r="B33">
        <v>0</v>
      </c>
      <c r="C33">
        <f t="shared" si="0"/>
        <v>0</v>
      </c>
    </row>
    <row r="34" spans="1:3" x14ac:dyDescent="0.25">
      <c r="A34">
        <v>1</v>
      </c>
      <c r="B34">
        <v>0</v>
      </c>
      <c r="C34">
        <f t="shared" si="0"/>
        <v>0</v>
      </c>
    </row>
    <row r="35" spans="1:3" x14ac:dyDescent="0.25">
      <c r="A35">
        <v>1</v>
      </c>
      <c r="B35">
        <v>0</v>
      </c>
      <c r="C35">
        <f t="shared" si="0"/>
        <v>0</v>
      </c>
    </row>
    <row r="36" spans="1:3" x14ac:dyDescent="0.25">
      <c r="A36">
        <v>0</v>
      </c>
      <c r="B36">
        <v>0</v>
      </c>
      <c r="C36">
        <f t="shared" si="0"/>
        <v>0</v>
      </c>
    </row>
    <row r="37" spans="1:3" x14ac:dyDescent="0.25">
      <c r="A37">
        <v>0</v>
      </c>
      <c r="B37">
        <v>0</v>
      </c>
      <c r="C37">
        <f t="shared" si="0"/>
        <v>0</v>
      </c>
    </row>
    <row r="38" spans="1:3" x14ac:dyDescent="0.25">
      <c r="A38">
        <v>0.204938505864</v>
      </c>
      <c r="B38">
        <v>0</v>
      </c>
      <c r="C38">
        <f t="shared" si="0"/>
        <v>0</v>
      </c>
    </row>
    <row r="39" spans="1:3" x14ac:dyDescent="0.25">
      <c r="A39">
        <v>0.40402203442199996</v>
      </c>
      <c r="B39">
        <v>0</v>
      </c>
      <c r="C39">
        <f t="shared" si="0"/>
        <v>0</v>
      </c>
    </row>
    <row r="40" spans="1:3" x14ac:dyDescent="0.25">
      <c r="A40">
        <v>0.73645597202000002</v>
      </c>
      <c r="B40">
        <v>0</v>
      </c>
      <c r="C40">
        <f t="shared" si="0"/>
        <v>0</v>
      </c>
    </row>
    <row r="41" spans="1:3" x14ac:dyDescent="0.25">
      <c r="A41">
        <v>1</v>
      </c>
      <c r="B41">
        <v>0</v>
      </c>
      <c r="C41">
        <f t="shared" si="0"/>
        <v>0</v>
      </c>
    </row>
    <row r="42" spans="1:3" x14ac:dyDescent="0.25">
      <c r="A42">
        <v>1</v>
      </c>
      <c r="B42">
        <v>0</v>
      </c>
      <c r="C42">
        <f t="shared" si="0"/>
        <v>0</v>
      </c>
    </row>
    <row r="43" spans="1:3" x14ac:dyDescent="0.25">
      <c r="A43">
        <v>1</v>
      </c>
      <c r="B43">
        <v>0</v>
      </c>
      <c r="C43">
        <f t="shared" si="0"/>
        <v>0</v>
      </c>
    </row>
    <row r="44" spans="1:3" x14ac:dyDescent="0.25">
      <c r="A44">
        <v>1</v>
      </c>
      <c r="B44">
        <v>0</v>
      </c>
      <c r="C44">
        <f t="shared" si="0"/>
        <v>0</v>
      </c>
    </row>
    <row r="45" spans="1:3" x14ac:dyDescent="0.25">
      <c r="A45">
        <v>1</v>
      </c>
      <c r="B45">
        <v>0</v>
      </c>
      <c r="C45">
        <f t="shared" si="0"/>
        <v>0</v>
      </c>
    </row>
    <row r="46" spans="1:3" x14ac:dyDescent="0.25">
      <c r="A46">
        <v>1</v>
      </c>
      <c r="B46">
        <v>0</v>
      </c>
      <c r="C46">
        <f t="shared" si="0"/>
        <v>0</v>
      </c>
    </row>
    <row r="47" spans="1:3" x14ac:dyDescent="0.25">
      <c r="A47">
        <v>1</v>
      </c>
      <c r="B47">
        <v>0</v>
      </c>
      <c r="C47">
        <f t="shared" si="0"/>
        <v>0</v>
      </c>
    </row>
    <row r="48" spans="1:3" x14ac:dyDescent="0.25">
      <c r="A48">
        <v>1</v>
      </c>
      <c r="B48">
        <v>0</v>
      </c>
      <c r="C48">
        <f t="shared" si="0"/>
        <v>0</v>
      </c>
    </row>
    <row r="49" spans="1:3" x14ac:dyDescent="0.25">
      <c r="A49">
        <v>1</v>
      </c>
      <c r="B49">
        <v>0</v>
      </c>
      <c r="C49">
        <f t="shared" si="0"/>
        <v>0</v>
      </c>
    </row>
    <row r="50" spans="1:3" x14ac:dyDescent="0.25">
      <c r="A50">
        <v>1</v>
      </c>
      <c r="B50">
        <v>0</v>
      </c>
      <c r="C50">
        <f t="shared" si="0"/>
        <v>0</v>
      </c>
    </row>
    <row r="51" spans="1:3" x14ac:dyDescent="0.25">
      <c r="A51">
        <v>1</v>
      </c>
      <c r="B51">
        <v>0</v>
      </c>
      <c r="C51">
        <f t="shared" si="0"/>
        <v>0</v>
      </c>
    </row>
    <row r="52" spans="1:3" x14ac:dyDescent="0.25">
      <c r="A52">
        <v>1</v>
      </c>
      <c r="B52">
        <v>0</v>
      </c>
      <c r="C52">
        <f t="shared" si="0"/>
        <v>0</v>
      </c>
    </row>
    <row r="53" spans="1:3" x14ac:dyDescent="0.25">
      <c r="A53">
        <v>1</v>
      </c>
      <c r="B53">
        <v>0</v>
      </c>
      <c r="C53">
        <f t="shared" si="0"/>
        <v>0</v>
      </c>
    </row>
    <row r="54" spans="1:3" x14ac:dyDescent="0.25">
      <c r="A54">
        <v>1</v>
      </c>
      <c r="B54">
        <v>0</v>
      </c>
      <c r="C54">
        <f t="shared" si="0"/>
        <v>0</v>
      </c>
    </row>
    <row r="55" spans="1:3" x14ac:dyDescent="0.25">
      <c r="A55">
        <v>1</v>
      </c>
      <c r="B55">
        <v>0</v>
      </c>
      <c r="C55">
        <f t="shared" si="0"/>
        <v>0</v>
      </c>
    </row>
    <row r="56" spans="1:3" x14ac:dyDescent="0.25">
      <c r="A56">
        <v>1</v>
      </c>
      <c r="B56">
        <v>0</v>
      </c>
      <c r="C56">
        <f t="shared" si="0"/>
        <v>0</v>
      </c>
    </row>
    <row r="57" spans="1:3" x14ac:dyDescent="0.25">
      <c r="A57">
        <v>1</v>
      </c>
      <c r="B57">
        <v>0</v>
      </c>
      <c r="C57">
        <f t="shared" si="0"/>
        <v>0</v>
      </c>
    </row>
    <row r="58" spans="1:3" x14ac:dyDescent="0.25">
      <c r="A58">
        <v>1</v>
      </c>
      <c r="B58">
        <v>0</v>
      </c>
      <c r="C58">
        <f t="shared" si="0"/>
        <v>0</v>
      </c>
    </row>
    <row r="59" spans="1:3" x14ac:dyDescent="0.25">
      <c r="A59">
        <v>1</v>
      </c>
      <c r="B59">
        <v>0</v>
      </c>
      <c r="C59">
        <f t="shared" si="0"/>
        <v>0</v>
      </c>
    </row>
    <row r="60" spans="1:3" x14ac:dyDescent="0.25">
      <c r="A60">
        <v>1</v>
      </c>
      <c r="B60">
        <v>0</v>
      </c>
      <c r="C60">
        <f t="shared" si="0"/>
        <v>0</v>
      </c>
    </row>
    <row r="61" spans="1:3" x14ac:dyDescent="0.25">
      <c r="A61">
        <v>1</v>
      </c>
      <c r="B61">
        <v>0</v>
      </c>
      <c r="C61">
        <f t="shared" si="0"/>
        <v>0</v>
      </c>
    </row>
    <row r="62" spans="1:3" x14ac:dyDescent="0.25">
      <c r="A62">
        <v>1</v>
      </c>
      <c r="B62">
        <v>0</v>
      </c>
      <c r="C62">
        <f t="shared" si="0"/>
        <v>0</v>
      </c>
    </row>
    <row r="63" spans="1:3" x14ac:dyDescent="0.25">
      <c r="A63">
        <v>1</v>
      </c>
      <c r="B63">
        <v>0</v>
      </c>
      <c r="C63">
        <f t="shared" si="0"/>
        <v>0</v>
      </c>
    </row>
    <row r="64" spans="1:3" x14ac:dyDescent="0.25">
      <c r="A64">
        <v>1</v>
      </c>
      <c r="B64">
        <v>0</v>
      </c>
      <c r="C64">
        <f t="shared" si="0"/>
        <v>0</v>
      </c>
    </row>
    <row r="65" spans="1:3" x14ac:dyDescent="0.25">
      <c r="A65">
        <v>1</v>
      </c>
      <c r="B65">
        <v>0</v>
      </c>
      <c r="C65">
        <f t="shared" si="0"/>
        <v>0</v>
      </c>
    </row>
    <row r="66" spans="1:3" x14ac:dyDescent="0.25">
      <c r="A66">
        <v>1</v>
      </c>
      <c r="B66">
        <v>0</v>
      </c>
      <c r="C66">
        <f t="shared" ref="C66:C129" si="1">B66*0.1</f>
        <v>0</v>
      </c>
    </row>
    <row r="67" spans="1:3" x14ac:dyDescent="0.25">
      <c r="A67">
        <v>1</v>
      </c>
      <c r="B67">
        <v>0</v>
      </c>
      <c r="C67">
        <f t="shared" si="1"/>
        <v>0</v>
      </c>
    </row>
    <row r="68" spans="1:3" x14ac:dyDescent="0.25">
      <c r="A68">
        <v>1</v>
      </c>
      <c r="B68">
        <v>0</v>
      </c>
      <c r="C68">
        <f t="shared" si="1"/>
        <v>0</v>
      </c>
    </row>
    <row r="69" spans="1:3" x14ac:dyDescent="0.25">
      <c r="A69">
        <v>1</v>
      </c>
      <c r="B69">
        <v>0</v>
      </c>
      <c r="C69">
        <f t="shared" si="1"/>
        <v>0</v>
      </c>
    </row>
    <row r="70" spans="1:3" x14ac:dyDescent="0.25">
      <c r="A70">
        <v>1</v>
      </c>
      <c r="B70">
        <v>0</v>
      </c>
      <c r="C70">
        <f t="shared" si="1"/>
        <v>0</v>
      </c>
    </row>
    <row r="71" spans="1:3" x14ac:dyDescent="0.25">
      <c r="A71">
        <v>1</v>
      </c>
      <c r="B71">
        <v>0</v>
      </c>
      <c r="C71">
        <f t="shared" si="1"/>
        <v>0</v>
      </c>
    </row>
    <row r="72" spans="1:3" x14ac:dyDescent="0.25">
      <c r="A72">
        <v>1</v>
      </c>
      <c r="B72">
        <v>0</v>
      </c>
      <c r="C72">
        <f t="shared" si="1"/>
        <v>0</v>
      </c>
    </row>
    <row r="73" spans="1:3" x14ac:dyDescent="0.25">
      <c r="A73">
        <v>1</v>
      </c>
      <c r="B73">
        <v>0</v>
      </c>
      <c r="C73">
        <f t="shared" si="1"/>
        <v>0</v>
      </c>
    </row>
    <row r="74" spans="1:3" x14ac:dyDescent="0.25">
      <c r="A74">
        <v>1</v>
      </c>
      <c r="B74">
        <v>0</v>
      </c>
      <c r="C74">
        <f t="shared" si="1"/>
        <v>0</v>
      </c>
    </row>
    <row r="75" spans="1:3" x14ac:dyDescent="0.25">
      <c r="A75">
        <v>1</v>
      </c>
      <c r="B75">
        <v>0</v>
      </c>
      <c r="C75">
        <f t="shared" si="1"/>
        <v>0</v>
      </c>
    </row>
    <row r="76" spans="1:3" x14ac:dyDescent="0.25">
      <c r="A76">
        <v>1</v>
      </c>
      <c r="B76">
        <v>0</v>
      </c>
      <c r="C76">
        <f t="shared" si="1"/>
        <v>0</v>
      </c>
    </row>
    <row r="77" spans="1:3" x14ac:dyDescent="0.25">
      <c r="A77">
        <v>1</v>
      </c>
      <c r="B77">
        <v>0</v>
      </c>
      <c r="C77">
        <f t="shared" si="1"/>
        <v>0</v>
      </c>
    </row>
    <row r="78" spans="1:3" x14ac:dyDescent="0.25">
      <c r="A78">
        <v>1</v>
      </c>
      <c r="B78">
        <v>0</v>
      </c>
      <c r="C78">
        <f t="shared" si="1"/>
        <v>0</v>
      </c>
    </row>
    <row r="79" spans="1:3" x14ac:dyDescent="0.25">
      <c r="A79">
        <v>1</v>
      </c>
      <c r="B79">
        <v>0</v>
      </c>
      <c r="C79">
        <f t="shared" si="1"/>
        <v>0</v>
      </c>
    </row>
    <row r="80" spans="1:3" x14ac:dyDescent="0.25">
      <c r="A80">
        <v>1</v>
      </c>
      <c r="B80">
        <v>0</v>
      </c>
      <c r="C80">
        <f t="shared" si="1"/>
        <v>0</v>
      </c>
    </row>
    <row r="81" spans="1:3" x14ac:dyDescent="0.25">
      <c r="A81">
        <v>1</v>
      </c>
      <c r="B81">
        <v>0</v>
      </c>
      <c r="C81">
        <f t="shared" si="1"/>
        <v>0</v>
      </c>
    </row>
    <row r="82" spans="1:3" x14ac:dyDescent="0.25">
      <c r="A82">
        <v>1</v>
      </c>
      <c r="B82">
        <v>0</v>
      </c>
      <c r="C82">
        <f t="shared" si="1"/>
        <v>0</v>
      </c>
    </row>
    <row r="83" spans="1:3" x14ac:dyDescent="0.25">
      <c r="A83">
        <v>1</v>
      </c>
      <c r="B83">
        <v>0</v>
      </c>
      <c r="C83">
        <f t="shared" si="1"/>
        <v>0</v>
      </c>
    </row>
    <row r="84" spans="1:3" x14ac:dyDescent="0.25">
      <c r="A84">
        <v>0</v>
      </c>
      <c r="B84">
        <v>0</v>
      </c>
      <c r="C84">
        <f t="shared" si="1"/>
        <v>0</v>
      </c>
    </row>
    <row r="85" spans="1:3" x14ac:dyDescent="0.25">
      <c r="A85">
        <v>0</v>
      </c>
      <c r="B85">
        <v>0</v>
      </c>
      <c r="C85">
        <f t="shared" si="1"/>
        <v>0</v>
      </c>
    </row>
    <row r="86" spans="1:3" x14ac:dyDescent="0.25">
      <c r="A86">
        <v>0</v>
      </c>
      <c r="B86">
        <v>0</v>
      </c>
      <c r="C86">
        <f t="shared" si="1"/>
        <v>0</v>
      </c>
    </row>
    <row r="87" spans="1:3" x14ac:dyDescent="0.25">
      <c r="A87">
        <v>0</v>
      </c>
      <c r="B87">
        <v>0</v>
      </c>
      <c r="C87">
        <f t="shared" si="1"/>
        <v>0</v>
      </c>
    </row>
    <row r="88" spans="1:3" x14ac:dyDescent="0.25">
      <c r="A88">
        <v>0.62782949274599997</v>
      </c>
      <c r="B88">
        <v>0</v>
      </c>
      <c r="C88">
        <f t="shared" si="1"/>
        <v>0</v>
      </c>
    </row>
    <row r="89" spans="1:3" x14ac:dyDescent="0.25">
      <c r="A89">
        <v>0</v>
      </c>
      <c r="B89">
        <v>0</v>
      </c>
      <c r="C89">
        <f t="shared" si="1"/>
        <v>0</v>
      </c>
    </row>
    <row r="90" spans="1:3" x14ac:dyDescent="0.25">
      <c r="A90">
        <v>1</v>
      </c>
      <c r="B90">
        <v>0</v>
      </c>
      <c r="C90">
        <f t="shared" si="1"/>
        <v>0</v>
      </c>
    </row>
    <row r="91" spans="1:3" x14ac:dyDescent="0.25">
      <c r="A91">
        <v>1</v>
      </c>
      <c r="B91">
        <v>0</v>
      </c>
      <c r="C91">
        <f t="shared" si="1"/>
        <v>0</v>
      </c>
    </row>
    <row r="92" spans="1:3" x14ac:dyDescent="0.25">
      <c r="A92">
        <v>1</v>
      </c>
      <c r="B92">
        <v>0</v>
      </c>
      <c r="C92">
        <f t="shared" si="1"/>
        <v>0</v>
      </c>
    </row>
    <row r="93" spans="1:3" x14ac:dyDescent="0.25">
      <c r="A93">
        <v>1</v>
      </c>
      <c r="B93">
        <v>0</v>
      </c>
      <c r="C93">
        <f t="shared" si="1"/>
        <v>0</v>
      </c>
    </row>
    <row r="94" spans="1:3" x14ac:dyDescent="0.25">
      <c r="A94">
        <v>1</v>
      </c>
      <c r="B94">
        <v>0</v>
      </c>
      <c r="C94">
        <f t="shared" si="1"/>
        <v>0</v>
      </c>
    </row>
    <row r="95" spans="1:3" x14ac:dyDescent="0.25">
      <c r="A95">
        <v>0.14925558578000001</v>
      </c>
      <c r="B95">
        <v>0</v>
      </c>
      <c r="C95">
        <f t="shared" si="1"/>
        <v>0</v>
      </c>
    </row>
    <row r="96" spans="1:3" x14ac:dyDescent="0.25">
      <c r="A96">
        <v>0</v>
      </c>
      <c r="B96">
        <v>0</v>
      </c>
      <c r="C96">
        <f t="shared" si="1"/>
        <v>0</v>
      </c>
    </row>
    <row r="97" spans="1:3" x14ac:dyDescent="0.25">
      <c r="A97">
        <v>0</v>
      </c>
      <c r="B97">
        <v>0</v>
      </c>
      <c r="C97">
        <f t="shared" si="1"/>
        <v>0</v>
      </c>
    </row>
    <row r="98" spans="1:3" x14ac:dyDescent="0.25">
      <c r="A98">
        <v>0</v>
      </c>
      <c r="B98">
        <v>353.90529597</v>
      </c>
      <c r="C98">
        <f t="shared" si="1"/>
        <v>35.390529597000004</v>
      </c>
    </row>
    <row r="99" spans="1:3" x14ac:dyDescent="0.25">
      <c r="A99">
        <v>0</v>
      </c>
      <c r="B99">
        <v>2858.6637063200001</v>
      </c>
      <c r="C99">
        <f t="shared" si="1"/>
        <v>285.86637063200004</v>
      </c>
    </row>
    <row r="100" spans="1:3" x14ac:dyDescent="0.25">
      <c r="A100">
        <v>0</v>
      </c>
      <c r="B100">
        <v>0</v>
      </c>
      <c r="C100">
        <f t="shared" si="1"/>
        <v>0</v>
      </c>
    </row>
    <row r="101" spans="1:3" x14ac:dyDescent="0.25">
      <c r="A101">
        <v>0</v>
      </c>
      <c r="B101">
        <v>0</v>
      </c>
      <c r="C101">
        <f t="shared" si="1"/>
        <v>0</v>
      </c>
    </row>
    <row r="102" spans="1:3" x14ac:dyDescent="0.25">
      <c r="A102">
        <v>0</v>
      </c>
      <c r="B102">
        <v>1329.8327752099999</v>
      </c>
      <c r="C102">
        <f t="shared" si="1"/>
        <v>132.98327752099999</v>
      </c>
    </row>
    <row r="103" spans="1:3" x14ac:dyDescent="0.25">
      <c r="A103">
        <v>0</v>
      </c>
      <c r="B103">
        <v>3030.0808235099998</v>
      </c>
      <c r="C103">
        <f t="shared" si="1"/>
        <v>303.00808235099998</v>
      </c>
    </row>
    <row r="104" spans="1:3" x14ac:dyDescent="0.25">
      <c r="A104">
        <v>0</v>
      </c>
      <c r="B104">
        <v>197.61554663999999</v>
      </c>
      <c r="C104">
        <f t="shared" si="1"/>
        <v>19.761554664000002</v>
      </c>
    </row>
    <row r="105" spans="1:3" x14ac:dyDescent="0.25">
      <c r="A105">
        <v>0</v>
      </c>
      <c r="B105">
        <v>843.23938495000004</v>
      </c>
      <c r="C105">
        <f t="shared" si="1"/>
        <v>84.323938495000007</v>
      </c>
    </row>
    <row r="106" spans="1:3" x14ac:dyDescent="0.25">
      <c r="A106">
        <v>0</v>
      </c>
      <c r="B106">
        <v>5000</v>
      </c>
      <c r="C106">
        <f t="shared" si="1"/>
        <v>500</v>
      </c>
    </row>
    <row r="107" spans="1:3" x14ac:dyDescent="0.25">
      <c r="A107">
        <v>0</v>
      </c>
      <c r="B107">
        <v>5000</v>
      </c>
      <c r="C107">
        <f t="shared" si="1"/>
        <v>500</v>
      </c>
    </row>
    <row r="108" spans="1:3" x14ac:dyDescent="0.25">
      <c r="A108">
        <v>0</v>
      </c>
      <c r="B108">
        <v>5000</v>
      </c>
      <c r="C108">
        <f t="shared" si="1"/>
        <v>500</v>
      </c>
    </row>
    <row r="109" spans="1:3" x14ac:dyDescent="0.25">
      <c r="A109">
        <v>0</v>
      </c>
      <c r="B109">
        <v>5000</v>
      </c>
      <c r="C109">
        <f t="shared" si="1"/>
        <v>500</v>
      </c>
    </row>
    <row r="110" spans="1:3" x14ac:dyDescent="0.25">
      <c r="A110">
        <v>0</v>
      </c>
      <c r="B110">
        <v>5000</v>
      </c>
      <c r="C110">
        <f t="shared" si="1"/>
        <v>500</v>
      </c>
    </row>
    <row r="111" spans="1:3" x14ac:dyDescent="0.25">
      <c r="A111">
        <v>0</v>
      </c>
      <c r="B111">
        <v>5000</v>
      </c>
      <c r="C111">
        <f t="shared" si="1"/>
        <v>500</v>
      </c>
    </row>
    <row r="112" spans="1:3" x14ac:dyDescent="0.25">
      <c r="A112">
        <v>0</v>
      </c>
      <c r="B112">
        <v>5000</v>
      </c>
      <c r="C112">
        <f t="shared" si="1"/>
        <v>500</v>
      </c>
    </row>
    <row r="113" spans="1:3" x14ac:dyDescent="0.25">
      <c r="A113">
        <v>0</v>
      </c>
      <c r="B113">
        <v>5000</v>
      </c>
      <c r="C113">
        <f t="shared" si="1"/>
        <v>500</v>
      </c>
    </row>
    <row r="114" spans="1:3" x14ac:dyDescent="0.25">
      <c r="A114">
        <v>0</v>
      </c>
      <c r="B114">
        <v>5000</v>
      </c>
      <c r="C114">
        <f t="shared" si="1"/>
        <v>500</v>
      </c>
    </row>
    <row r="115" spans="1:3" x14ac:dyDescent="0.25">
      <c r="A115">
        <v>0</v>
      </c>
      <c r="B115">
        <v>5000</v>
      </c>
      <c r="C115">
        <f t="shared" si="1"/>
        <v>500</v>
      </c>
    </row>
    <row r="116" spans="1:3" x14ac:dyDescent="0.25">
      <c r="A116">
        <v>0</v>
      </c>
      <c r="B116">
        <v>5000</v>
      </c>
      <c r="C116">
        <f t="shared" si="1"/>
        <v>500</v>
      </c>
    </row>
    <row r="117" spans="1:3" x14ac:dyDescent="0.25">
      <c r="A117">
        <v>0</v>
      </c>
      <c r="B117">
        <v>2797.6247696400001</v>
      </c>
      <c r="C117">
        <f t="shared" si="1"/>
        <v>279.76247696400003</v>
      </c>
    </row>
    <row r="118" spans="1:3" x14ac:dyDescent="0.25">
      <c r="A118">
        <v>0</v>
      </c>
      <c r="B118">
        <v>0</v>
      </c>
      <c r="C118">
        <f t="shared" si="1"/>
        <v>0</v>
      </c>
    </row>
    <row r="119" spans="1:3" x14ac:dyDescent="0.25">
      <c r="A119">
        <v>0</v>
      </c>
      <c r="B119">
        <v>29.88274315</v>
      </c>
      <c r="C119">
        <f t="shared" si="1"/>
        <v>2.988274315</v>
      </c>
    </row>
    <row r="120" spans="1:3" x14ac:dyDescent="0.25">
      <c r="A120">
        <v>0</v>
      </c>
      <c r="B120">
        <v>2244.1603927199999</v>
      </c>
      <c r="C120">
        <f t="shared" si="1"/>
        <v>224.41603927200001</v>
      </c>
    </row>
    <row r="121" spans="1:3" x14ac:dyDescent="0.25">
      <c r="A121">
        <v>0</v>
      </c>
      <c r="B121">
        <v>5000</v>
      </c>
      <c r="C121">
        <f t="shared" si="1"/>
        <v>500</v>
      </c>
    </row>
    <row r="122" spans="1:3" x14ac:dyDescent="0.25">
      <c r="A122">
        <v>0</v>
      </c>
      <c r="B122">
        <v>5000</v>
      </c>
      <c r="C122">
        <f t="shared" si="1"/>
        <v>500</v>
      </c>
    </row>
    <row r="123" spans="1:3" x14ac:dyDescent="0.25">
      <c r="A123">
        <v>0</v>
      </c>
      <c r="B123">
        <v>5000</v>
      </c>
      <c r="C123">
        <f t="shared" si="1"/>
        <v>500</v>
      </c>
    </row>
    <row r="124" spans="1:3" x14ac:dyDescent="0.25">
      <c r="A124">
        <v>0</v>
      </c>
      <c r="B124">
        <v>5000</v>
      </c>
      <c r="C124">
        <f t="shared" si="1"/>
        <v>500</v>
      </c>
    </row>
    <row r="125" spans="1:3" x14ac:dyDescent="0.25">
      <c r="A125">
        <v>0</v>
      </c>
      <c r="B125">
        <v>5000</v>
      </c>
      <c r="C125">
        <f t="shared" si="1"/>
        <v>500</v>
      </c>
    </row>
    <row r="126" spans="1:3" x14ac:dyDescent="0.25">
      <c r="A126">
        <v>0</v>
      </c>
      <c r="B126">
        <v>5000</v>
      </c>
      <c r="C126">
        <f t="shared" si="1"/>
        <v>500</v>
      </c>
    </row>
    <row r="127" spans="1:3" x14ac:dyDescent="0.25">
      <c r="A127">
        <v>0</v>
      </c>
      <c r="B127">
        <v>5000</v>
      </c>
      <c r="C127">
        <f t="shared" si="1"/>
        <v>500</v>
      </c>
    </row>
    <row r="128" spans="1:3" x14ac:dyDescent="0.25">
      <c r="A128">
        <v>0</v>
      </c>
      <c r="B128">
        <v>5000</v>
      </c>
      <c r="C128">
        <f t="shared" si="1"/>
        <v>500</v>
      </c>
    </row>
    <row r="129" spans="1:3" x14ac:dyDescent="0.25">
      <c r="A129">
        <v>0</v>
      </c>
      <c r="B129">
        <v>5000</v>
      </c>
      <c r="C129">
        <f t="shared" si="1"/>
        <v>500</v>
      </c>
    </row>
    <row r="130" spans="1:3" x14ac:dyDescent="0.25">
      <c r="A130">
        <v>0</v>
      </c>
      <c r="B130">
        <v>5000</v>
      </c>
      <c r="C130">
        <f t="shared" ref="C130:C169" si="2">B130*0.1</f>
        <v>500</v>
      </c>
    </row>
    <row r="131" spans="1:3" x14ac:dyDescent="0.25">
      <c r="A131">
        <v>0</v>
      </c>
      <c r="B131">
        <v>5000</v>
      </c>
      <c r="C131">
        <f t="shared" si="2"/>
        <v>500</v>
      </c>
    </row>
    <row r="132" spans="1:3" x14ac:dyDescent="0.25">
      <c r="A132">
        <v>0</v>
      </c>
      <c r="B132">
        <v>5000</v>
      </c>
      <c r="C132">
        <f t="shared" si="2"/>
        <v>500</v>
      </c>
    </row>
    <row r="133" spans="1:3" x14ac:dyDescent="0.25">
      <c r="A133">
        <v>0</v>
      </c>
      <c r="B133">
        <v>5000</v>
      </c>
      <c r="C133">
        <f t="shared" si="2"/>
        <v>500</v>
      </c>
    </row>
    <row r="134" spans="1:3" x14ac:dyDescent="0.25">
      <c r="A134">
        <v>0</v>
      </c>
      <c r="B134">
        <v>5000</v>
      </c>
      <c r="C134">
        <f t="shared" si="2"/>
        <v>500</v>
      </c>
    </row>
    <row r="135" spans="1:3" x14ac:dyDescent="0.25">
      <c r="A135">
        <v>0</v>
      </c>
      <c r="B135">
        <v>5000</v>
      </c>
      <c r="C135">
        <f t="shared" si="2"/>
        <v>500</v>
      </c>
    </row>
    <row r="136" spans="1:3" x14ac:dyDescent="0.25">
      <c r="A136">
        <v>0</v>
      </c>
      <c r="B136">
        <v>5000</v>
      </c>
      <c r="C136">
        <f t="shared" si="2"/>
        <v>500</v>
      </c>
    </row>
    <row r="137" spans="1:3" x14ac:dyDescent="0.25">
      <c r="A137">
        <v>0</v>
      </c>
      <c r="B137">
        <v>5000</v>
      </c>
      <c r="C137">
        <f t="shared" si="2"/>
        <v>500</v>
      </c>
    </row>
    <row r="138" spans="1:3" x14ac:dyDescent="0.25">
      <c r="A138">
        <v>0</v>
      </c>
      <c r="B138">
        <v>5000</v>
      </c>
      <c r="C138">
        <f t="shared" si="2"/>
        <v>500</v>
      </c>
    </row>
    <row r="139" spans="1:3" x14ac:dyDescent="0.25">
      <c r="A139">
        <v>0</v>
      </c>
      <c r="B139">
        <v>5000</v>
      </c>
      <c r="C139">
        <f t="shared" si="2"/>
        <v>500</v>
      </c>
    </row>
    <row r="140" spans="1:3" x14ac:dyDescent="0.25">
      <c r="A140">
        <v>0</v>
      </c>
      <c r="B140">
        <v>5000</v>
      </c>
      <c r="C140">
        <f t="shared" si="2"/>
        <v>500</v>
      </c>
    </row>
    <row r="141" spans="1:3" x14ac:dyDescent="0.25">
      <c r="A141">
        <v>0</v>
      </c>
      <c r="B141">
        <v>5000</v>
      </c>
      <c r="C141">
        <f t="shared" si="2"/>
        <v>500</v>
      </c>
    </row>
    <row r="142" spans="1:3" x14ac:dyDescent="0.25">
      <c r="A142">
        <v>0</v>
      </c>
      <c r="B142">
        <v>5000</v>
      </c>
      <c r="C142">
        <f t="shared" si="2"/>
        <v>500</v>
      </c>
    </row>
    <row r="143" spans="1:3" x14ac:dyDescent="0.25">
      <c r="A143">
        <v>0</v>
      </c>
      <c r="B143">
        <v>5000</v>
      </c>
      <c r="C143">
        <f t="shared" si="2"/>
        <v>500</v>
      </c>
    </row>
    <row r="144" spans="1:3" x14ac:dyDescent="0.25">
      <c r="A144">
        <v>0</v>
      </c>
      <c r="B144">
        <v>5000</v>
      </c>
      <c r="C144">
        <f t="shared" si="2"/>
        <v>500</v>
      </c>
    </row>
    <row r="145" spans="1:3" x14ac:dyDescent="0.25">
      <c r="A145">
        <v>0</v>
      </c>
      <c r="B145">
        <v>5000</v>
      </c>
      <c r="C145">
        <f t="shared" si="2"/>
        <v>500</v>
      </c>
    </row>
    <row r="146" spans="1:3" x14ac:dyDescent="0.25">
      <c r="A146">
        <v>0</v>
      </c>
      <c r="B146">
        <v>5000</v>
      </c>
      <c r="C146">
        <f t="shared" si="2"/>
        <v>500</v>
      </c>
    </row>
    <row r="147" spans="1:3" x14ac:dyDescent="0.25">
      <c r="A147">
        <v>0</v>
      </c>
      <c r="B147">
        <v>5000</v>
      </c>
      <c r="C147">
        <f t="shared" si="2"/>
        <v>500</v>
      </c>
    </row>
    <row r="148" spans="1:3" x14ac:dyDescent="0.25">
      <c r="A148">
        <v>0</v>
      </c>
      <c r="B148">
        <v>5000</v>
      </c>
      <c r="C148">
        <f t="shared" si="2"/>
        <v>500</v>
      </c>
    </row>
    <row r="149" spans="1:3" x14ac:dyDescent="0.25">
      <c r="A149">
        <v>0</v>
      </c>
      <c r="B149">
        <v>5000</v>
      </c>
      <c r="C149">
        <f t="shared" si="2"/>
        <v>500</v>
      </c>
    </row>
    <row r="150" spans="1:3" x14ac:dyDescent="0.25">
      <c r="A150">
        <v>0</v>
      </c>
      <c r="B150">
        <v>5000</v>
      </c>
      <c r="C150">
        <f t="shared" si="2"/>
        <v>500</v>
      </c>
    </row>
    <row r="151" spans="1:3" x14ac:dyDescent="0.25">
      <c r="A151">
        <v>0</v>
      </c>
      <c r="B151">
        <v>5000</v>
      </c>
      <c r="C151">
        <f t="shared" si="2"/>
        <v>500</v>
      </c>
    </row>
    <row r="152" spans="1:3" x14ac:dyDescent="0.25">
      <c r="A152">
        <v>0</v>
      </c>
      <c r="B152">
        <v>5000</v>
      </c>
      <c r="C152">
        <f t="shared" si="2"/>
        <v>500</v>
      </c>
    </row>
    <row r="153" spans="1:3" x14ac:dyDescent="0.25">
      <c r="A153">
        <v>0</v>
      </c>
      <c r="B153">
        <v>5000</v>
      </c>
      <c r="C153">
        <f t="shared" si="2"/>
        <v>500</v>
      </c>
    </row>
    <row r="154" spans="1:3" x14ac:dyDescent="0.25">
      <c r="A154">
        <v>0</v>
      </c>
      <c r="B154">
        <v>5000</v>
      </c>
      <c r="C154">
        <f t="shared" si="2"/>
        <v>500</v>
      </c>
    </row>
    <row r="155" spans="1:3" x14ac:dyDescent="0.25">
      <c r="A155">
        <v>0</v>
      </c>
      <c r="B155">
        <v>5000</v>
      </c>
      <c r="C155">
        <f t="shared" si="2"/>
        <v>500</v>
      </c>
    </row>
    <row r="156" spans="1:3" x14ac:dyDescent="0.25">
      <c r="A156">
        <v>0</v>
      </c>
      <c r="B156">
        <v>5000</v>
      </c>
      <c r="C156">
        <f t="shared" si="2"/>
        <v>500</v>
      </c>
    </row>
    <row r="157" spans="1:3" x14ac:dyDescent="0.25">
      <c r="A157">
        <v>0</v>
      </c>
      <c r="B157">
        <v>5000</v>
      </c>
      <c r="C157">
        <f t="shared" si="2"/>
        <v>500</v>
      </c>
    </row>
    <row r="158" spans="1:3" x14ac:dyDescent="0.25">
      <c r="A158">
        <v>0</v>
      </c>
      <c r="B158">
        <v>5000</v>
      </c>
      <c r="C158">
        <f t="shared" si="2"/>
        <v>500</v>
      </c>
    </row>
    <row r="159" spans="1:3" x14ac:dyDescent="0.25">
      <c r="A159">
        <v>0</v>
      </c>
      <c r="B159">
        <v>5000</v>
      </c>
      <c r="C159">
        <f t="shared" si="2"/>
        <v>500</v>
      </c>
    </row>
    <row r="160" spans="1:3" x14ac:dyDescent="0.25">
      <c r="A160">
        <v>0</v>
      </c>
      <c r="B160">
        <v>5000</v>
      </c>
      <c r="C160">
        <f t="shared" si="2"/>
        <v>500</v>
      </c>
    </row>
    <row r="161" spans="1:3" x14ac:dyDescent="0.25">
      <c r="A161">
        <v>0</v>
      </c>
      <c r="B161">
        <v>5000</v>
      </c>
      <c r="C161">
        <f t="shared" si="2"/>
        <v>500</v>
      </c>
    </row>
    <row r="162" spans="1:3" x14ac:dyDescent="0.25">
      <c r="A162">
        <v>0</v>
      </c>
      <c r="B162">
        <v>5000</v>
      </c>
      <c r="C162">
        <f t="shared" si="2"/>
        <v>500</v>
      </c>
    </row>
    <row r="163" spans="1:3" x14ac:dyDescent="0.25">
      <c r="A163">
        <v>0</v>
      </c>
      <c r="B163">
        <v>5000</v>
      </c>
      <c r="C163">
        <f t="shared" si="2"/>
        <v>500</v>
      </c>
    </row>
    <row r="164" spans="1:3" x14ac:dyDescent="0.25">
      <c r="A164">
        <v>0</v>
      </c>
      <c r="B164">
        <v>5000</v>
      </c>
      <c r="C164">
        <f t="shared" si="2"/>
        <v>500</v>
      </c>
    </row>
    <row r="165" spans="1:3" x14ac:dyDescent="0.25">
      <c r="A165">
        <v>0</v>
      </c>
      <c r="B165">
        <v>5000</v>
      </c>
      <c r="C165">
        <f t="shared" si="2"/>
        <v>500</v>
      </c>
    </row>
    <row r="166" spans="1:3" x14ac:dyDescent="0.25">
      <c r="A166">
        <v>0</v>
      </c>
      <c r="B166">
        <v>5000</v>
      </c>
      <c r="C166">
        <f t="shared" si="2"/>
        <v>500</v>
      </c>
    </row>
    <row r="167" spans="1:3" x14ac:dyDescent="0.25">
      <c r="A167">
        <v>0</v>
      </c>
      <c r="B167">
        <v>5000</v>
      </c>
      <c r="C167">
        <f t="shared" si="2"/>
        <v>500</v>
      </c>
    </row>
    <row r="168" spans="1:3" x14ac:dyDescent="0.25">
      <c r="A168">
        <v>0</v>
      </c>
      <c r="B168">
        <v>5000</v>
      </c>
      <c r="C168">
        <f t="shared" si="2"/>
        <v>500</v>
      </c>
    </row>
    <row r="169" spans="1:3" x14ac:dyDescent="0.25">
      <c r="A169">
        <v>0</v>
      </c>
      <c r="C169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Guide Sheet</vt:lpstr>
      <vt:lpstr>carriers</vt:lpstr>
      <vt:lpstr>buses_1busSRES</vt:lpstr>
      <vt:lpstr>buses_2busSRES</vt:lpstr>
      <vt:lpstr>generators_1busSRES</vt:lpstr>
      <vt:lpstr>generators_2busSRES</vt:lpstr>
      <vt:lpstr>links_1busSRES</vt:lpstr>
      <vt:lpstr>loads</vt:lpstr>
      <vt:lpstr>links_2busSRES</vt:lpstr>
      <vt:lpstr>run_of_river_inflow</vt:lpstr>
      <vt:lpstr>store</vt:lpstr>
      <vt:lpstr>storage_units</vt:lpstr>
      <vt:lpstr>demands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2026-04-15T10:18:30Z</dcterms:modified>
</cp:coreProperties>
</file>