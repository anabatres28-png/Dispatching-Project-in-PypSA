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FAE18907-D8B5-4399-BA6E-A04618312E82}" xr6:coauthVersionLast="47" xr6:coauthVersionMax="47" xr10:uidLastSave="{00000000-0000-0000-0000-000000000000}"/>
  <bookViews>
    <workbookView xWindow="-110" yWindow="-110" windowWidth="19420" windowHeight="10300" tabRatio="752" firstSheet="1" activeTab="4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6" l="1"/>
  <c r="G2" i="16"/>
  <c r="M3" i="10" l="1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2" i="10"/>
  <c r="C10" i="17" l="1"/>
  <c r="W4" i="20" l="1"/>
  <c r="W5" i="20"/>
  <c r="W6" i="20"/>
  <c r="W7" i="20"/>
  <c r="W8" i="20"/>
  <c r="W9" i="20"/>
  <c r="W10" i="20"/>
  <c r="W11" i="20"/>
  <c r="W12" i="20"/>
  <c r="W13" i="20"/>
  <c r="W14" i="20"/>
  <c r="W15" i="20"/>
  <c r="W16" i="20"/>
  <c r="W17" i="20"/>
  <c r="W18" i="20"/>
  <c r="W19" i="20"/>
  <c r="W20" i="20"/>
  <c r="W21" i="20"/>
  <c r="W22" i="20"/>
  <c r="W23" i="20"/>
  <c r="W24" i="20"/>
  <c r="W25" i="20"/>
  <c r="W26" i="20"/>
  <c r="W27" i="20"/>
  <c r="W28" i="20"/>
  <c r="W29" i="20"/>
  <c r="W30" i="20"/>
  <c r="W31" i="20"/>
  <c r="W32" i="20"/>
  <c r="W33" i="20"/>
  <c r="W34" i="20"/>
  <c r="W35" i="20"/>
  <c r="W36" i="20"/>
  <c r="W37" i="20"/>
  <c r="W38" i="20"/>
  <c r="W39" i="20"/>
  <c r="W40" i="20"/>
  <c r="W41" i="20"/>
  <c r="W42" i="20"/>
  <c r="W43" i="20"/>
  <c r="W44" i="20"/>
  <c r="W45" i="20"/>
  <c r="W46" i="20"/>
  <c r="W47" i="20"/>
  <c r="W48" i="20"/>
  <c r="W49" i="20"/>
  <c r="W50" i="20"/>
  <c r="W51" i="20"/>
  <c r="W52" i="20"/>
  <c r="W53" i="20"/>
  <c r="W54" i="20"/>
  <c r="W55" i="20"/>
  <c r="W56" i="20"/>
  <c r="W57" i="20"/>
  <c r="W58" i="20"/>
  <c r="W59" i="20"/>
  <c r="W60" i="20"/>
  <c r="W61" i="20"/>
  <c r="W62" i="20"/>
  <c r="W63" i="20"/>
  <c r="W64" i="20"/>
  <c r="W65" i="20"/>
  <c r="W66" i="20"/>
  <c r="W67" i="20"/>
  <c r="W68" i="20"/>
  <c r="W69" i="20"/>
  <c r="W70" i="20"/>
  <c r="W71" i="20"/>
  <c r="W72" i="20"/>
  <c r="W73" i="20"/>
  <c r="W74" i="20"/>
  <c r="W75" i="20"/>
  <c r="W76" i="20"/>
  <c r="W77" i="20"/>
  <c r="W78" i="20"/>
  <c r="W79" i="20"/>
  <c r="W80" i="20"/>
  <c r="W81" i="20"/>
  <c r="W82" i="20"/>
  <c r="W83" i="20"/>
  <c r="W84" i="20"/>
  <c r="W85" i="20"/>
  <c r="W86" i="20"/>
  <c r="W87" i="20"/>
  <c r="W88" i="20"/>
  <c r="W89" i="20"/>
  <c r="W90" i="20"/>
  <c r="W91" i="20"/>
  <c r="W92" i="20"/>
  <c r="W93" i="20"/>
  <c r="W94" i="20"/>
  <c r="W95" i="20"/>
  <c r="W96" i="20"/>
  <c r="W97" i="20"/>
  <c r="W98" i="20"/>
  <c r="W99" i="20"/>
  <c r="W100" i="20"/>
  <c r="W101" i="20"/>
  <c r="W102" i="20"/>
  <c r="W103" i="20"/>
  <c r="W104" i="20"/>
  <c r="W105" i="20"/>
  <c r="W106" i="20"/>
  <c r="W107" i="20"/>
  <c r="W108" i="20"/>
  <c r="W109" i="20"/>
  <c r="W110" i="20"/>
  <c r="W111" i="20"/>
  <c r="W112" i="20"/>
  <c r="W113" i="20"/>
  <c r="W114" i="20"/>
  <c r="W115" i="20"/>
  <c r="W116" i="20"/>
  <c r="W117" i="20"/>
  <c r="W118" i="20"/>
  <c r="W119" i="20"/>
  <c r="W120" i="20"/>
  <c r="W121" i="20"/>
  <c r="W122" i="20"/>
  <c r="W123" i="20"/>
  <c r="W124" i="20"/>
  <c r="W125" i="20"/>
  <c r="W126" i="20"/>
  <c r="W127" i="20"/>
  <c r="W128" i="20"/>
  <c r="W129" i="20"/>
  <c r="W130" i="20"/>
  <c r="W131" i="20"/>
  <c r="W132" i="20"/>
  <c r="W133" i="20"/>
  <c r="W134" i="20"/>
  <c r="W135" i="20"/>
  <c r="W136" i="20"/>
  <c r="W137" i="20"/>
  <c r="W138" i="20"/>
  <c r="W139" i="20"/>
  <c r="W140" i="20"/>
  <c r="W141" i="20"/>
  <c r="W142" i="20"/>
  <c r="W143" i="20"/>
  <c r="W144" i="20"/>
  <c r="W145" i="20"/>
  <c r="W146" i="20"/>
  <c r="W147" i="20"/>
  <c r="W148" i="20"/>
  <c r="W149" i="20"/>
  <c r="W150" i="20"/>
  <c r="W151" i="20"/>
  <c r="W152" i="20"/>
  <c r="W153" i="20"/>
  <c r="W154" i="20"/>
  <c r="W155" i="20"/>
  <c r="W156" i="20"/>
  <c r="W157" i="20"/>
  <c r="W158" i="20"/>
  <c r="W159" i="20"/>
  <c r="W160" i="20"/>
  <c r="W161" i="20"/>
  <c r="W162" i="20"/>
  <c r="W163" i="20"/>
  <c r="W164" i="20"/>
  <c r="W165" i="20"/>
  <c r="W166" i="20"/>
  <c r="W167" i="20"/>
  <c r="W168" i="20"/>
  <c r="W169" i="20"/>
  <c r="W170" i="20"/>
  <c r="W3" i="20"/>
  <c r="U4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7" i="20"/>
  <c r="U38" i="20"/>
  <c r="U39" i="20"/>
  <c r="U40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3" i="20"/>
  <c r="S4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3" i="20"/>
  <c r="Q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3" i="20"/>
  <c r="O4" i="20" l="1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3" i="20"/>
  <c r="D3" i="20"/>
  <c r="D4" i="20" s="1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D15" i="20" s="1"/>
  <c r="D16" i="20" s="1"/>
  <c r="D17" i="20" s="1"/>
  <c r="D18" i="20" s="1"/>
  <c r="D19" i="20" s="1"/>
  <c r="D20" i="20" s="1"/>
  <c r="D21" i="20" s="1"/>
  <c r="D22" i="20" s="1"/>
  <c r="D23" i="20" s="1"/>
  <c r="D24" i="20" s="1"/>
  <c r="D25" i="20" s="1"/>
  <c r="D26" i="20" s="1"/>
  <c r="D27" i="20" s="1"/>
  <c r="D28" i="20" s="1"/>
  <c r="D29" i="20" s="1"/>
  <c r="D30" i="20" s="1"/>
  <c r="D31" i="20" s="1"/>
  <c r="D32" i="20" s="1"/>
  <c r="D33" i="20" s="1"/>
  <c r="D34" i="20" s="1"/>
  <c r="D35" i="20" s="1"/>
  <c r="D36" i="20" s="1"/>
  <c r="D37" i="20" s="1"/>
  <c r="D38" i="20" s="1"/>
  <c r="D39" i="20" s="1"/>
  <c r="D40" i="20" s="1"/>
  <c r="D41" i="20" s="1"/>
  <c r="D42" i="20" s="1"/>
  <c r="D43" i="20" s="1"/>
  <c r="D44" i="20" s="1"/>
  <c r="D45" i="20" s="1"/>
  <c r="D46" i="20" s="1"/>
  <c r="D47" i="20" s="1"/>
  <c r="D48" i="20" s="1"/>
  <c r="D49" i="20" s="1"/>
  <c r="D50" i="20" s="1"/>
  <c r="D51" i="20" s="1"/>
  <c r="D52" i="20" s="1"/>
  <c r="D53" i="20" s="1"/>
  <c r="D54" i="20" s="1"/>
  <c r="D55" i="20" s="1"/>
  <c r="D56" i="20" s="1"/>
  <c r="D57" i="20" s="1"/>
  <c r="D58" i="20" s="1"/>
  <c r="D59" i="20" s="1"/>
  <c r="D60" i="20" s="1"/>
  <c r="D61" i="20" s="1"/>
  <c r="D62" i="20" s="1"/>
  <c r="D63" i="20" s="1"/>
  <c r="D64" i="20" s="1"/>
  <c r="D65" i="20" s="1"/>
  <c r="D66" i="20" s="1"/>
  <c r="D67" i="20" s="1"/>
  <c r="D68" i="20" s="1"/>
  <c r="D69" i="20" s="1"/>
  <c r="D70" i="20" s="1"/>
  <c r="D71" i="20" s="1"/>
  <c r="D72" i="20" s="1"/>
  <c r="D73" i="20" s="1"/>
  <c r="D74" i="20" s="1"/>
  <c r="D75" i="20" s="1"/>
  <c r="D76" i="20" s="1"/>
  <c r="D77" i="20" s="1"/>
  <c r="D78" i="20" s="1"/>
  <c r="D79" i="20" s="1"/>
  <c r="D80" i="20" s="1"/>
  <c r="D81" i="20" s="1"/>
  <c r="D82" i="20" s="1"/>
  <c r="D83" i="20" s="1"/>
  <c r="D84" i="20" s="1"/>
  <c r="D85" i="20" s="1"/>
  <c r="D86" i="20" s="1"/>
  <c r="D87" i="20" s="1"/>
  <c r="D88" i="20" s="1"/>
  <c r="D89" i="20" s="1"/>
  <c r="D90" i="20" s="1"/>
  <c r="D91" i="20" s="1"/>
  <c r="D92" i="20" s="1"/>
  <c r="D93" i="20" s="1"/>
  <c r="D94" i="20" s="1"/>
  <c r="D95" i="20" s="1"/>
  <c r="D96" i="20" s="1"/>
  <c r="D97" i="20" s="1"/>
  <c r="D98" i="20" s="1"/>
  <c r="D99" i="20" s="1"/>
  <c r="D100" i="20" s="1"/>
  <c r="D101" i="20" s="1"/>
  <c r="D102" i="20" s="1"/>
  <c r="D103" i="20" s="1"/>
  <c r="D104" i="20" s="1"/>
  <c r="D105" i="20" s="1"/>
  <c r="D106" i="20" s="1"/>
  <c r="D107" i="20" s="1"/>
  <c r="D108" i="20" s="1"/>
  <c r="D109" i="20" s="1"/>
  <c r="D110" i="20" s="1"/>
  <c r="D111" i="20" s="1"/>
  <c r="D112" i="20" s="1"/>
  <c r="D113" i="20" s="1"/>
  <c r="D114" i="20" s="1"/>
  <c r="D115" i="20" s="1"/>
  <c r="D116" i="20" s="1"/>
  <c r="D117" i="20" s="1"/>
  <c r="D118" i="20" s="1"/>
  <c r="D119" i="20" s="1"/>
  <c r="D120" i="20" s="1"/>
  <c r="D121" i="20" s="1"/>
  <c r="D122" i="20" s="1"/>
  <c r="D123" i="20" s="1"/>
  <c r="D124" i="20" s="1"/>
  <c r="D125" i="20" s="1"/>
  <c r="D126" i="20" s="1"/>
  <c r="D127" i="20" s="1"/>
  <c r="D128" i="20" s="1"/>
  <c r="D129" i="20" s="1"/>
  <c r="D130" i="20" s="1"/>
  <c r="D131" i="20" s="1"/>
  <c r="D132" i="20" s="1"/>
  <c r="D133" i="20" s="1"/>
  <c r="D134" i="20" s="1"/>
  <c r="D135" i="20" s="1"/>
  <c r="D136" i="20" s="1"/>
  <c r="D137" i="20" s="1"/>
  <c r="D138" i="20" s="1"/>
  <c r="D139" i="20" s="1"/>
  <c r="D140" i="20" s="1"/>
  <c r="D141" i="20" s="1"/>
  <c r="D142" i="20" s="1"/>
  <c r="D143" i="20" s="1"/>
  <c r="D144" i="20" s="1"/>
  <c r="D145" i="20" s="1"/>
  <c r="D146" i="20" s="1"/>
  <c r="D147" i="20" s="1"/>
  <c r="D148" i="20" s="1"/>
  <c r="D149" i="20" s="1"/>
  <c r="D150" i="20" s="1"/>
  <c r="D151" i="20" s="1"/>
  <c r="D152" i="20" s="1"/>
  <c r="D153" i="20" s="1"/>
  <c r="D154" i="20" s="1"/>
  <c r="D155" i="20" s="1"/>
  <c r="D156" i="20" s="1"/>
  <c r="D157" i="20" s="1"/>
  <c r="D158" i="20" s="1"/>
  <c r="D159" i="20" s="1"/>
  <c r="D160" i="20" s="1"/>
  <c r="D161" i="20" s="1"/>
  <c r="D162" i="20" s="1"/>
  <c r="D163" i="20" s="1"/>
  <c r="D164" i="20" s="1"/>
  <c r="D165" i="20" s="1"/>
  <c r="D166" i="20" s="1"/>
  <c r="D167" i="20" s="1"/>
  <c r="D168" i="20" s="1"/>
  <c r="D169" i="20" s="1"/>
  <c r="D170" i="20" s="1"/>
  <c r="C18" i="17"/>
  <c r="C13" i="17" l="1"/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D31" i="17" l="1"/>
  <c r="D3" i="7" l="1"/>
  <c r="C3" i="7"/>
  <c r="C2" i="7"/>
  <c r="D2" i="7" s="1"/>
  <c r="C2" i="6" l="1"/>
  <c r="C15" i="17" l="1"/>
  <c r="C7" i="17"/>
  <c r="D4" i="16" l="1"/>
  <c r="D3" i="16"/>
</calcChain>
</file>

<file path=xl/sharedStrings.xml><?xml version="1.0" encoding="utf-8"?>
<sst xmlns="http://schemas.openxmlformats.org/spreadsheetml/2006/main" count="518" uniqueCount="168">
  <si>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</si>
  <si>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</si>
  <si>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</si>
  <si>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</si>
  <si>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</si>
  <si>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</si>
  <si>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</si>
  <si>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</si>
  <si>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</si>
  <si>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</si>
  <si>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</si>
  <si>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</si>
  <si>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</si>
  <si>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</si>
  <si>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</si>
  <si>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</si>
  <si>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</si>
  <si>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</si>
  <si>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</si>
  <si>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</si>
  <si>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</si>
  <si>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</si>
  <si>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</si>
  <si>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</si>
  <si>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</si>
  <si>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</si>
  <si>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</si>
  <si>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</si>
  <si>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</si>
  <si>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</si>
  <si>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</si>
  <si>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</si>
  <si>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</si>
  <si>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</si>
  <si>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</si>
  <si>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</si>
  <si>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</si>
  <si>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</si>
  <si>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</si>
  <si>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</si>
  <si>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</si>
  <si>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</si>
  <si>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</si>
  <si>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</si>
  <si>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</si>
  <si>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</si>
  <si>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</si>
  <si>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</si>
  <si>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</si>
  <si>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</si>
  <si>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</si>
  <si>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</si>
  <si>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</si>
  <si>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</si>
  <si>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</si>
  <si>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</si>
  <si>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</si>
  <si>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</si>
  <si>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</si>
  <si>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</si>
  <si>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</si>
  <si>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</si>
  <si>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</si>
  <si>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</si>
  <si>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PT_wind_profile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</si>
  <si>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</si>
  <si>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</si>
  <si>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</si>
  <si>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</si>
  <si>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</si>
  <si>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</si>
  <si>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</si>
  <si>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</si>
  <si>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</si>
  <si>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</si>
  <si>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</si>
  <si>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</si>
  <si>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</si>
  <si>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</si>
  <si>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</si>
  <si>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</si>
  <si>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</si>
  <si>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</si>
  <si>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</si>
  <si>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</si>
  <si>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</si>
  <si>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</si>
  <si>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</si>
  <si>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</si>
  <si>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</si>
  <si>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</si>
  <si>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</si>
  <si>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</si>
  <si>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</si>
  <si>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</si>
  <si>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</si>
  <si>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</si>
  <si>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</si>
  <si>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</si>
  <si>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</si>
  <si>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</si>
  <si>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</si>
  <si>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</si>
  <si>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</si>
  <si>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</si>
  <si>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</si>
  <si>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</si>
  <si>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</si>
  <si>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</si>
  <si>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</si>
  <si>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</si>
  <si>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</si>
  <si>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</si>
  <si>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</si>
  <si>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</si>
  <si>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</si>
  <si>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</si>
  <si>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</si>
  <si>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</si>
  <si>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</si>
  <si>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</si>
  <si>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</si>
  <si>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</si>
  <si>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</si>
  <si>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</si>
  <si>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</si>
  <si>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</si>
  <si>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</si>
  <si>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</si>
  <si>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</si>
  <si>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</si>
  <si>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</si>
  <si>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</si>
  <si>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</si>
  <si>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</si>
  <si>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</si>
  <si>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</si>
  <si>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</si>
  <si>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ES_solar_rooftop_profile</t>
  </si>
  <si>
    <t>ES_solar_pv_profile</t>
  </si>
  <si>
    <t>ES_solar_pv</t>
  </si>
  <si>
    <t>ES_solar_csp</t>
  </si>
  <si>
    <t>ES_solar_rooftop</t>
  </si>
  <si>
    <t>PT_solar_pv</t>
  </si>
  <si>
    <t>PT_solar_rooftop</t>
  </si>
  <si>
    <t>PT_solar_rooftop_profile</t>
  </si>
  <si>
    <t>Origen de datos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</si>
  <si>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</si>
  <si>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</si>
  <si>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</si>
  <si>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</si>
  <si>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</si>
  <si>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</si>
  <si>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</si>
  <si>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Demanda ES00RETE</t>
  </si>
  <si>
    <t>ES00 Solar PV Utility</t>
  </si>
  <si>
    <t>PT00 Solar PV Utility</t>
  </si>
  <si>
    <t>Demanda PT00RETE</t>
  </si>
  <si>
    <t>Demanda ES00</t>
  </si>
  <si>
    <t>Demanda PT00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</si>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</sst>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9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Verdana"/>
      <family val="2"/>
    </font>
    <font>
      <b/>
      <sz val="20"/>
      <color theme="1"/>
      <name val="Verdana"/>
      <family val="2"/>
    </font>
    <font>
      <sz val="8"/>
      <color theme="1"/>
      <name val="Verdana"/>
      <family val="2"/>
    </font>
    <font>
      <sz val="10"/>
      <color theme="1"/>
      <name val="Verdana"/>
      <family val="2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7" fillId="0" borderId="0" applyNumberFormat="0" applyFill="0" applyBorder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20" fillId="0" borderId="7" applyNumberFormat="0" applyFill="0" applyAlignment="0" applyProtection="0"/>
    <xf numFmtId="0" fontId="20" fillId="0" borderId="0" applyNumberFormat="0" applyFill="0" applyBorder="0" applyAlignment="0" applyProtection="0"/>
    <xf numFmtId="0" fontId="21" fillId="15" borderId="0" applyNumberFormat="0" applyBorder="0" applyAlignment="0" applyProtection="0"/>
    <xf numFmtId="0" fontId="22" fillId="16" borderId="0" applyNumberFormat="0" applyBorder="0" applyAlignment="0" applyProtection="0"/>
    <xf numFmtId="0" fontId="23" fillId="17" borderId="0" applyNumberFormat="0" applyBorder="0" applyAlignment="0" applyProtection="0"/>
    <xf numFmtId="0" fontId="24" fillId="18" borderId="8" applyNumberFormat="0" applyAlignment="0" applyProtection="0"/>
    <xf numFmtId="0" fontId="25" fillId="19" borderId="9" applyNumberFormat="0" applyAlignment="0" applyProtection="0"/>
    <xf numFmtId="0" fontId="26" fillId="19" borderId="8" applyNumberFormat="0" applyAlignment="0" applyProtection="0"/>
    <xf numFmtId="0" fontId="27" fillId="0" borderId="10" applyNumberFormat="0" applyFill="0" applyAlignment="0" applyProtection="0"/>
    <xf numFmtId="0" fontId="28" fillId="20" borderId="11" applyNumberFormat="0" applyAlignment="0" applyProtection="0"/>
    <xf numFmtId="0" fontId="29" fillId="0" borderId="0" applyNumberFormat="0" applyFill="0" applyBorder="0" applyAlignment="0" applyProtection="0"/>
    <xf numFmtId="0" fontId="16" fillId="21" borderId="12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13" applyNumberFormat="0" applyFill="0" applyAlignment="0" applyProtection="0"/>
    <xf numFmtId="0" fontId="32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32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32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3" borderId="0" applyNumberFormat="0" applyBorder="0" applyAlignment="0" applyProtection="0"/>
    <xf numFmtId="0" fontId="32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7" borderId="0" applyNumberFormat="0" applyBorder="0" applyAlignment="0" applyProtection="0"/>
    <xf numFmtId="0" fontId="32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1" borderId="0" applyNumberFormat="0" applyBorder="0" applyAlignment="0" applyProtection="0"/>
    <xf numFmtId="0" fontId="32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5" borderId="0" applyNumberFormat="0" applyBorder="0" applyAlignment="0" applyProtection="0"/>
  </cellStyleXfs>
  <cellXfs count="95">
    <xf numFmtId="0" fontId="0" fillId="0" borderId="0" xfId="0"/>
    <xf numFmtId="0" fontId="9" fillId="11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center"/>
    </xf>
    <xf numFmtId="0" fontId="9" fillId="11" borderId="0" xfId="0" applyFont="1" applyFill="1"/>
    <xf numFmtId="0" fontId="9" fillId="9" borderId="0" xfId="0" applyFont="1" applyFill="1"/>
    <xf numFmtId="0" fontId="9" fillId="12" borderId="0" xfId="0" applyFont="1" applyFill="1"/>
    <xf numFmtId="0" fontId="9" fillId="13" borderId="0" xfId="0" applyFont="1" applyFill="1"/>
    <xf numFmtId="0" fontId="12" fillId="7" borderId="0" xfId="0" applyFont="1" applyFill="1"/>
    <xf numFmtId="0" fontId="9" fillId="14" borderId="0" xfId="0" applyFont="1" applyFill="1"/>
    <xf numFmtId="0" fontId="11" fillId="11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4" fillId="7" borderId="0" xfId="0" applyFont="1" applyFill="1"/>
    <xf numFmtId="0" fontId="9" fillId="7" borderId="0" xfId="0" applyFont="1" applyFill="1" applyAlignment="1">
      <alignment horizontal="right" wrapText="1"/>
    </xf>
    <xf numFmtId="0" fontId="11" fillId="7" borderId="0" xfId="0" applyFont="1" applyFill="1" applyAlignment="1">
      <alignment horizontal="right"/>
    </xf>
    <xf numFmtId="0" fontId="9" fillId="6" borderId="0" xfId="0" applyFont="1" applyFill="1"/>
    <xf numFmtId="0" fontId="11" fillId="2" borderId="0" xfId="0" applyFont="1" applyFill="1"/>
    <xf numFmtId="0" fontId="11" fillId="3" borderId="0" xfId="0" applyFont="1" applyFill="1"/>
    <xf numFmtId="1" fontId="9" fillId="7" borderId="0" xfId="0" applyNumberFormat="1" applyFont="1" applyFill="1"/>
    <xf numFmtId="0" fontId="9" fillId="7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/>
    </xf>
    <xf numFmtId="11" fontId="9" fillId="7" borderId="3" xfId="0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164" fontId="11" fillId="7" borderId="15" xfId="0" applyNumberFormat="1" applyFont="1" applyFill="1" applyBorder="1" applyAlignment="1">
      <alignment horizontal="center" vertical="center"/>
    </xf>
    <xf numFmtId="164" fontId="11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/>
    </xf>
    <xf numFmtId="0" fontId="9" fillId="7" borderId="0" xfId="0" applyFont="1" applyFill="1" applyAlignment="1">
      <alignment horizontal="center" vertical="center"/>
    </xf>
    <xf numFmtId="164" fontId="9" fillId="7" borderId="0" xfId="0" applyNumberFormat="1" applyFont="1" applyFill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2" fontId="9" fillId="7" borderId="0" xfId="0" applyNumberFormat="1" applyFont="1" applyFill="1" applyAlignment="1">
      <alignment horizontal="center"/>
    </xf>
    <xf numFmtId="2" fontId="15" fillId="7" borderId="0" xfId="0" applyNumberFormat="1" applyFont="1" applyFill="1" applyAlignment="1">
      <alignment horizontal="center"/>
    </xf>
    <xf numFmtId="0" fontId="9" fillId="46" borderId="14" xfId="0" applyFont="1" applyFill="1" applyBorder="1" applyAlignment="1">
      <alignment horizontal="center"/>
    </xf>
    <xf numFmtId="164" fontId="9" fillId="7" borderId="15" xfId="0" applyNumberFormat="1" applyFont="1" applyFill="1" applyBorder="1" applyAlignment="1">
      <alignment horizontal="center" vertical="center"/>
    </xf>
    <xf numFmtId="164" fontId="9" fillId="7" borderId="15" xfId="0" applyNumberFormat="1" applyFont="1" applyFill="1" applyBorder="1" applyAlignment="1">
      <alignment horizontal="center"/>
    </xf>
    <xf numFmtId="0" fontId="9" fillId="0" borderId="0" xfId="0" applyFont="1"/>
    <xf numFmtId="0" fontId="1" fillId="7" borderId="0" xfId="0" applyFont="1" applyFill="1"/>
    <xf numFmtId="0" fontId="0" fillId="7" borderId="0" xfId="0" applyFill="1"/>
    <xf numFmtId="0" fontId="33" fillId="7" borderId="0" xfId="0" applyFont="1" applyFill="1"/>
    <xf numFmtId="1" fontId="9" fillId="7" borderId="3" xfId="0" applyNumberFormat="1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11" fillId="8" borderId="4" xfId="0" applyFont="1" applyFill="1" applyBorder="1" applyAlignment="1">
      <alignment horizontal="center"/>
    </xf>
    <xf numFmtId="164" fontId="9" fillId="7" borderId="3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/>
    </xf>
    <xf numFmtId="0" fontId="9" fillId="7" borderId="1" xfId="0" applyFont="1" applyFill="1" applyBorder="1"/>
    <xf numFmtId="0" fontId="9" fillId="6" borderId="1" xfId="0" applyFont="1" applyFill="1" applyBorder="1"/>
    <xf numFmtId="0" fontId="9" fillId="8" borderId="16" xfId="0" applyFont="1" applyFill="1" applyBorder="1"/>
    <xf numFmtId="0" fontId="9" fillId="7" borderId="16" xfId="0" applyFont="1" applyFill="1" applyBorder="1"/>
    <xf numFmtId="0" fontId="9" fillId="8" borderId="1" xfId="0" applyFont="1" applyFill="1" applyBorder="1"/>
    <xf numFmtId="0" fontId="9" fillId="9" borderId="16" xfId="0" applyFont="1" applyFill="1" applyBorder="1"/>
    <xf numFmtId="0" fontId="9" fillId="9" borderId="1" xfId="0" applyFont="1" applyFill="1" applyBorder="1"/>
    <xf numFmtId="0" fontId="34" fillId="7" borderId="0" xfId="0" applyFont="1" applyFill="1"/>
    <xf numFmtId="0" fontId="35" fillId="7" borderId="0" xfId="0" applyFont="1" applyFill="1"/>
    <xf numFmtId="0" fontId="34" fillId="7" borderId="0" xfId="0" applyFont="1" applyFill="1" applyAlignment="1">
      <alignment horizontal="center"/>
    </xf>
    <xf numFmtId="0" fontId="36" fillId="7" borderId="15" xfId="0" applyFont="1" applyFill="1" applyBorder="1" applyAlignment="1">
      <alignment horizontal="center"/>
    </xf>
    <xf numFmtId="0" fontId="36" fillId="7" borderId="14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36" fillId="7" borderId="3" xfId="0" applyFont="1" applyFill="1" applyBorder="1" applyAlignment="1">
      <alignment horizontal="center"/>
    </xf>
    <xf numFmtId="0" fontId="36" fillId="7" borderId="1" xfId="0" applyFont="1" applyFill="1" applyBorder="1" applyAlignment="1">
      <alignment horizontal="center"/>
    </xf>
    <xf numFmtId="0" fontId="36" fillId="7" borderId="4" xfId="0" applyFont="1" applyFill="1" applyBorder="1" applyAlignment="1">
      <alignment horizontal="center"/>
    </xf>
    <xf numFmtId="0" fontId="37" fillId="10" borderId="2" xfId="0" applyFont="1" applyFill="1" applyBorder="1" applyAlignment="1">
      <alignment horizontal="center"/>
    </xf>
    <xf numFmtId="0" fontId="37" fillId="49" borderId="2" xfId="0" applyFont="1" applyFill="1" applyBorder="1" applyAlignment="1">
      <alignment horizontal="center"/>
    </xf>
    <xf numFmtId="0" fontId="37" fillId="3" borderId="2" xfId="0" applyFont="1" applyFill="1" applyBorder="1" applyAlignment="1">
      <alignment horizontal="center"/>
    </xf>
    <xf numFmtId="0" fontId="37" fillId="48" borderId="2" xfId="0" applyFont="1" applyFill="1" applyBorder="1" applyAlignment="1">
      <alignment horizontal="center"/>
    </xf>
    <xf numFmtId="0" fontId="37" fillId="7" borderId="2" xfId="0" applyFont="1" applyFill="1" applyBorder="1" applyAlignment="1">
      <alignment horizontal="center"/>
    </xf>
    <xf numFmtId="0" fontId="37" fillId="7" borderId="0" xfId="0" applyFont="1" applyFill="1"/>
    <xf numFmtId="0" fontId="37" fillId="7" borderId="17" xfId="0" applyFont="1" applyFill="1" applyBorder="1"/>
    <xf numFmtId="0" fontId="37" fillId="7" borderId="18" xfId="0" applyFont="1" applyFill="1" applyBorder="1"/>
    <xf numFmtId="0" fontId="37" fillId="7" borderId="19" xfId="0" applyFont="1" applyFill="1" applyBorder="1"/>
    <xf numFmtId="0" fontId="37" fillId="7" borderId="3" xfId="0" applyFont="1" applyFill="1" applyBorder="1"/>
    <xf numFmtId="0" fontId="37" fillId="7" borderId="20" xfId="0" applyFont="1" applyFill="1" applyBorder="1"/>
    <xf numFmtId="0" fontId="37" fillId="7" borderId="4" xfId="0" applyFont="1" applyFill="1" applyBorder="1"/>
    <xf numFmtId="0" fontId="36" fillId="7" borderId="19" xfId="0" applyFont="1" applyFill="1" applyBorder="1" applyAlignment="1">
      <alignment horizontal="center"/>
    </xf>
    <xf numFmtId="0" fontId="36" fillId="7" borderId="20" xfId="0" applyFont="1" applyFill="1" applyBorder="1" applyAlignment="1">
      <alignment horizontal="center"/>
    </xf>
    <xf numFmtId="0" fontId="37" fillId="49" borderId="21" xfId="0" applyFont="1" applyFill="1" applyBorder="1" applyAlignment="1">
      <alignment horizontal="center"/>
    </xf>
    <xf numFmtId="0" fontId="37" fillId="47" borderId="21" xfId="0" applyFont="1" applyFill="1" applyBorder="1" applyAlignment="1">
      <alignment horizontal="center"/>
    </xf>
    <xf numFmtId="0" fontId="37" fillId="47" borderId="22" xfId="0" applyFont="1" applyFill="1" applyBorder="1" applyAlignment="1">
      <alignment horizontal="center"/>
    </xf>
    <xf numFmtId="0" fontId="9" fillId="11" borderId="0" xfId="0" applyFont="1" applyFill="1" applyBorder="1"/>
    <xf numFmtId="0" fontId="9" fillId="7" borderId="0" xfId="0" applyFont="1" applyFill="1" applyBorder="1"/>
    <xf numFmtId="0" fontId="9" fillId="2" borderId="0" xfId="0" applyFont="1" applyFill="1" applyBorder="1"/>
    <xf numFmtId="0" fontId="10" fillId="7" borderId="0" xfId="0" applyFont="1" applyFill="1" applyBorder="1"/>
    <xf numFmtId="0" fontId="9" fillId="7" borderId="0" xfId="0" applyFont="1" applyFill="1" applyBorder="1" applyAlignment="1">
      <alignment horizontal="right" wrapText="1"/>
    </xf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FFED6"/>
      <color rgb="FFFF7171"/>
      <color rgb="FFCDFFE6"/>
      <color rgb="FF99FFCC"/>
      <color rgb="FFFFFFCC"/>
      <color rgb="FF93E3FF"/>
      <color rgb="FFD9F5FF"/>
      <color rgb="FFFFB3B3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'Origen de Datos'!$E$3:$E$170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4.2000000000000003E-2</c:v>
                </c:pt>
                <c:pt idx="10">
                  <c:v>0.157</c:v>
                </c:pt>
                <c:pt idx="11">
                  <c:v>0.22800000000000001</c:v>
                </c:pt>
                <c:pt idx="12">
                  <c:v>0.245</c:v>
                </c:pt>
                <c:pt idx="13">
                  <c:v>0.23500000000000001</c:v>
                </c:pt>
                <c:pt idx="14">
                  <c:v>0.15</c:v>
                </c:pt>
                <c:pt idx="15">
                  <c:v>0.03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7.6999999999999999E-2</c:v>
                </c:pt>
                <c:pt idx="34">
                  <c:v>0.22</c:v>
                </c:pt>
                <c:pt idx="35">
                  <c:v>0.28399999999999997</c:v>
                </c:pt>
                <c:pt idx="36">
                  <c:v>0.26</c:v>
                </c:pt>
                <c:pt idx="37">
                  <c:v>0.18</c:v>
                </c:pt>
                <c:pt idx="38">
                  <c:v>6.7000000000000004E-2</c:v>
                </c:pt>
                <c:pt idx="39">
                  <c:v>2.6000000000000002E-2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4.8000000000000001E-2</c:v>
                </c:pt>
                <c:pt idx="58">
                  <c:v>0.16300000000000001</c:v>
                </c:pt>
                <c:pt idx="59">
                  <c:v>0.23</c:v>
                </c:pt>
                <c:pt idx="60">
                  <c:v>0.22600000000000001</c:v>
                </c:pt>
                <c:pt idx="61">
                  <c:v>0.19600000000000001</c:v>
                </c:pt>
                <c:pt idx="62">
                  <c:v>0.125</c:v>
                </c:pt>
                <c:pt idx="63">
                  <c:v>3.1000000000000003E-2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5.89999999999999E-2</c:v>
                </c:pt>
                <c:pt idx="82">
                  <c:v>0.20399999999999999</c:v>
                </c:pt>
                <c:pt idx="83">
                  <c:v>0.27700000000000002</c:v>
                </c:pt>
                <c:pt idx="84">
                  <c:v>0.28100000000000003</c:v>
                </c:pt>
                <c:pt idx="85">
                  <c:v>0.253</c:v>
                </c:pt>
                <c:pt idx="86">
                  <c:v>0.16</c:v>
                </c:pt>
                <c:pt idx="87">
                  <c:v>3.5000000000000003E-2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2.1999999999999902E-2</c:v>
                </c:pt>
                <c:pt idx="107">
                  <c:v>2.7999999999999997E-2</c:v>
                </c:pt>
                <c:pt idx="108">
                  <c:v>2.3E-2</c:v>
                </c:pt>
                <c:pt idx="109">
                  <c:v>1.2E-2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0.01</c:v>
                </c:pt>
                <c:pt idx="130">
                  <c:v>3.59999999999999E-2</c:v>
                </c:pt>
                <c:pt idx="131">
                  <c:v>6.2000000000000006E-2</c:v>
                </c:pt>
                <c:pt idx="132">
                  <c:v>6.7000000000000004E-2</c:v>
                </c:pt>
                <c:pt idx="133">
                  <c:v>5.4000000000000006E-2</c:v>
                </c:pt>
                <c:pt idx="134">
                  <c:v>3.1000000000000003E-2</c:v>
                </c:pt>
                <c:pt idx="135">
                  <c:v>0.01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4.4999999999999998E-2</c:v>
                </c:pt>
                <c:pt idx="154">
                  <c:v>0.13900000000000001</c:v>
                </c:pt>
                <c:pt idx="155">
                  <c:v>0.19399999999999998</c:v>
                </c:pt>
                <c:pt idx="156">
                  <c:v>0.189</c:v>
                </c:pt>
                <c:pt idx="157">
                  <c:v>0.159</c:v>
                </c:pt>
                <c:pt idx="158">
                  <c:v>9.9000000000000005E-2</c:v>
                </c:pt>
                <c:pt idx="159">
                  <c:v>3.4000000000000002E-2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0F8-A126-749573136A0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'Origen de Datos'!$G$3:$G$170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0.13100000000000001</c:v>
                </c:pt>
                <c:pt idx="10">
                  <c:v>0.30499999999999999</c:v>
                </c:pt>
                <c:pt idx="11">
                  <c:v>0.442</c:v>
                </c:pt>
                <c:pt idx="12">
                  <c:v>0.51</c:v>
                </c:pt>
                <c:pt idx="13">
                  <c:v>0.51100000000000001</c:v>
                </c:pt>
                <c:pt idx="14">
                  <c:v>0.45100000000000001</c:v>
                </c:pt>
                <c:pt idx="15">
                  <c:v>0.34899999999999998</c:v>
                </c:pt>
                <c:pt idx="16">
                  <c:v>0.20699999999999999</c:v>
                </c:pt>
                <c:pt idx="17">
                  <c:v>5.2000000000000005E-2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0.113</c:v>
                </c:pt>
                <c:pt idx="34">
                  <c:v>0.27399999999999997</c:v>
                </c:pt>
                <c:pt idx="35">
                  <c:v>0.40600000000000003</c:v>
                </c:pt>
                <c:pt idx="36">
                  <c:v>0.49</c:v>
                </c:pt>
                <c:pt idx="37">
                  <c:v>0.51100000000000001</c:v>
                </c:pt>
                <c:pt idx="38">
                  <c:v>0.47</c:v>
                </c:pt>
                <c:pt idx="39">
                  <c:v>0.36199999999999904</c:v>
                </c:pt>
                <c:pt idx="40">
                  <c:v>0.21299999999999999</c:v>
                </c:pt>
                <c:pt idx="41">
                  <c:v>5.4000000000000006E-2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0.128</c:v>
                </c:pt>
                <c:pt idx="58">
                  <c:v>0.29099999999999898</c:v>
                </c:pt>
                <c:pt idx="59">
                  <c:v>0.41799999999999998</c:v>
                </c:pt>
                <c:pt idx="60">
                  <c:v>0.48899999999999999</c:v>
                </c:pt>
                <c:pt idx="61">
                  <c:v>0.498</c:v>
                </c:pt>
                <c:pt idx="62">
                  <c:v>0.44700000000000001</c:v>
                </c:pt>
                <c:pt idx="63">
                  <c:v>0.34299999999999997</c:v>
                </c:pt>
                <c:pt idx="64">
                  <c:v>0.2</c:v>
                </c:pt>
                <c:pt idx="65">
                  <c:v>5.2000000000000005E-2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8.199999999999999E-2</c:v>
                </c:pt>
                <c:pt idx="82">
                  <c:v>0.19399999999999998</c:v>
                </c:pt>
                <c:pt idx="83">
                  <c:v>0.28499999999999903</c:v>
                </c:pt>
                <c:pt idx="84">
                  <c:v>0.34</c:v>
                </c:pt>
                <c:pt idx="85">
                  <c:v>0.34599999999999903</c:v>
                </c:pt>
                <c:pt idx="86">
                  <c:v>0.307</c:v>
                </c:pt>
                <c:pt idx="87">
                  <c:v>0.245</c:v>
                </c:pt>
                <c:pt idx="88">
                  <c:v>0.157</c:v>
                </c:pt>
                <c:pt idx="89">
                  <c:v>5.0999999999999997E-2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7.1999999999999897E-2</c:v>
                </c:pt>
                <c:pt idx="106">
                  <c:v>0.19600000000000001</c:v>
                </c:pt>
                <c:pt idx="107">
                  <c:v>0.313</c:v>
                </c:pt>
                <c:pt idx="108">
                  <c:v>0.40600000000000003</c:v>
                </c:pt>
                <c:pt idx="109">
                  <c:v>0.44900000000000001</c:v>
                </c:pt>
                <c:pt idx="110">
                  <c:v>0.43200000000000005</c:v>
                </c:pt>
                <c:pt idx="111">
                  <c:v>0.33500000000000002</c:v>
                </c:pt>
                <c:pt idx="112">
                  <c:v>0.2</c:v>
                </c:pt>
                <c:pt idx="113">
                  <c:v>5.5999999999999994E-2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0.127</c:v>
                </c:pt>
                <c:pt idx="130">
                  <c:v>0.29699999999999999</c:v>
                </c:pt>
                <c:pt idx="131">
                  <c:v>0.43200000000000005</c:v>
                </c:pt>
                <c:pt idx="132">
                  <c:v>0.496</c:v>
                </c:pt>
                <c:pt idx="133">
                  <c:v>0.496</c:v>
                </c:pt>
                <c:pt idx="134">
                  <c:v>0.43799999999999994</c:v>
                </c:pt>
                <c:pt idx="135">
                  <c:v>0.33500000000000002</c:v>
                </c:pt>
                <c:pt idx="136">
                  <c:v>0.19800000000000001</c:v>
                </c:pt>
                <c:pt idx="137">
                  <c:v>5.5E-2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3.6999999999999901E-2</c:v>
                </c:pt>
                <c:pt idx="154">
                  <c:v>0.107</c:v>
                </c:pt>
                <c:pt idx="155">
                  <c:v>0.17899999999999999</c:v>
                </c:pt>
                <c:pt idx="156">
                  <c:v>0.24</c:v>
                </c:pt>
                <c:pt idx="157">
                  <c:v>0.27200000000000002</c:v>
                </c:pt>
                <c:pt idx="158">
                  <c:v>0.26400000000000001</c:v>
                </c:pt>
                <c:pt idx="159">
                  <c:v>0.20399999999999999</c:v>
                </c:pt>
                <c:pt idx="160">
                  <c:v>0.11899999999999901</c:v>
                </c:pt>
                <c:pt idx="161">
                  <c:v>3.2000000000000001E-2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0E-40F8-A126-749573136A0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'Origen de Datos'!#REF!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0E-40F8-A126-749573136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1141680"/>
        <c:axId val="981142160"/>
      </c:barChart>
      <c:catAx>
        <c:axId val="98114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1142160"/>
        <c:crosses val="autoZero"/>
        <c:auto val="1"/>
        <c:lblAlgn val="ctr"/>
        <c:lblOffset val="100"/>
        <c:noMultiLvlLbl val="0"/>
      </c:catAx>
      <c:valAx>
        <c:axId val="98114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114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</xdr:colOff>
      <xdr:row>137</xdr:row>
      <xdr:rowOff>106362</xdr:rowOff>
    </xdr:from>
    <xdr:to>
      <xdr:col>11</xdr:col>
      <xdr:colOff>1000125</xdr:colOff>
      <xdr:row>164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B1EA91-9906-0FA9-C5A7-0EBC04322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49" bestFit="1" customWidth="1"/>
    <col min="2" max="2" width="19.90625" style="49" bestFit="1" customWidth="1"/>
    <col min="3" max="16384" width="10.90625" style="49"/>
  </cols>
  <sheetData>
    <row r="1" spans="1:3" ht="23.5" x14ac:dyDescent="0.55000000000000004">
      <c r="A1" s="48" t="s">
        <v>28</v>
      </c>
    </row>
    <row r="2" spans="1:3" x14ac:dyDescent="0.35">
      <c r="A2" s="49" t="s">
        <v>17</v>
      </c>
    </row>
    <row r="3" spans="1:3" x14ac:dyDescent="0.35">
      <c r="B3" s="49" t="s">
        <v>12</v>
      </c>
      <c r="C3" s="50" t="s">
        <v>67</v>
      </c>
    </row>
    <row r="4" spans="1:3" x14ac:dyDescent="0.35">
      <c r="B4" s="49" t="s">
        <v>94</v>
      </c>
      <c r="C4" s="50" t="s">
        <v>71</v>
      </c>
    </row>
    <row r="5" spans="1:3" x14ac:dyDescent="0.35">
      <c r="B5" s="49" t="s">
        <v>13</v>
      </c>
      <c r="C5" s="50" t="s">
        <v>68</v>
      </c>
    </row>
    <row r="6" spans="1:3" x14ac:dyDescent="0.35">
      <c r="B6" s="49" t="s">
        <v>14</v>
      </c>
      <c r="C6" s="50" t="s">
        <v>68</v>
      </c>
    </row>
    <row r="7" spans="1:3" x14ac:dyDescent="0.35">
      <c r="B7" s="49" t="s">
        <v>18</v>
      </c>
      <c r="C7" s="50"/>
    </row>
    <row r="8" spans="1:3" x14ac:dyDescent="0.35">
      <c r="B8" s="49" t="s">
        <v>19</v>
      </c>
      <c r="C8" s="50"/>
    </row>
    <row r="9" spans="1:3" x14ac:dyDescent="0.35">
      <c r="B9" s="49" t="s">
        <v>24</v>
      </c>
      <c r="C9" s="50" t="s">
        <v>71</v>
      </c>
    </row>
    <row r="10" spans="1:3" x14ac:dyDescent="0.35">
      <c r="B10" s="49" t="s">
        <v>25</v>
      </c>
      <c r="C10" s="50"/>
    </row>
    <row r="11" spans="1:3" x14ac:dyDescent="0.35">
      <c r="B11" s="49" t="s">
        <v>26</v>
      </c>
      <c r="C11" s="50"/>
    </row>
    <row r="12" spans="1:3" x14ac:dyDescent="0.35">
      <c r="B12" s="49" t="s">
        <v>27</v>
      </c>
      <c r="C12" s="50"/>
    </row>
    <row r="13" spans="1:3" x14ac:dyDescent="0.35">
      <c r="C13" s="5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5"/>
  <sheetViews>
    <sheetView workbookViewId="0">
      <selection activeCell="G9" sqref="G9:G10"/>
    </sheetView>
  </sheetViews>
  <sheetFormatPr baseColWidth="10" defaultRowHeight="14" x14ac:dyDescent="0.3"/>
  <cols>
    <col min="1" max="1" width="15.7265625" style="2" bestFit="1" customWidth="1"/>
    <col min="2" max="2" width="9.90625" style="2" customWidth="1"/>
    <col min="3" max="16384" width="10.90625" style="2"/>
  </cols>
  <sheetData>
    <row r="1" spans="1:2" x14ac:dyDescent="0.3">
      <c r="A1" s="1" t="s">
        <v>5</v>
      </c>
      <c r="B1" s="1" t="s">
        <v>1</v>
      </c>
    </row>
    <row r="2" spans="1:2" x14ac:dyDescent="0.3">
      <c r="A2" s="2" t="s">
        <v>7</v>
      </c>
      <c r="B2" s="2" t="s">
        <v>6</v>
      </c>
    </row>
    <row r="3" spans="1:2" x14ac:dyDescent="0.3">
      <c r="A3" s="2" t="s">
        <v>8</v>
      </c>
      <c r="B3" s="2" t="s">
        <v>6</v>
      </c>
    </row>
    <row r="4" spans="1:2" x14ac:dyDescent="0.3">
      <c r="A4" s="2" t="s">
        <v>9</v>
      </c>
      <c r="B4" s="2" t="s">
        <v>6</v>
      </c>
    </row>
    <row r="5" spans="1:2" x14ac:dyDescent="0.3">
      <c r="A5" s="2" t="s">
        <v>3</v>
      </c>
      <c r="B5" s="2" t="s">
        <v>6</v>
      </c>
    </row>
    <row r="6" spans="1:2" x14ac:dyDescent="0.3">
      <c r="A6" s="2" t="s">
        <v>161</v>
      </c>
      <c r="B6" s="2" t="s">
        <v>6</v>
      </c>
    </row>
    <row r="7" spans="1:2" x14ac:dyDescent="0.3">
      <c r="A7" s="2" t="s">
        <v>163</v>
      </c>
      <c r="B7" s="2" t="s">
        <v>6</v>
      </c>
    </row>
    <row r="8" spans="1:2" x14ac:dyDescent="0.3">
      <c r="A8" s="2" t="s">
        <v>162</v>
      </c>
      <c r="B8" s="2" t="s">
        <v>6</v>
      </c>
    </row>
    <row r="9" spans="1:2" x14ac:dyDescent="0.3">
      <c r="A9" s="2" t="s">
        <v>10</v>
      </c>
      <c r="B9" s="2" t="s">
        <v>6</v>
      </c>
    </row>
    <row r="10" spans="1:2" x14ac:dyDescent="0.3">
      <c r="A10" s="2" t="s">
        <v>11</v>
      </c>
      <c r="B10" s="2" t="s">
        <v>6</v>
      </c>
    </row>
    <row r="11" spans="1:2" x14ac:dyDescent="0.3">
      <c r="A11" s="2" t="s">
        <v>4</v>
      </c>
      <c r="B11" s="2" t="s">
        <v>6</v>
      </c>
    </row>
    <row r="12" spans="1:2" x14ac:dyDescent="0.3">
      <c r="A12" s="2" t="s">
        <v>80</v>
      </c>
      <c r="B12" s="2" t="s">
        <v>6</v>
      </c>
    </row>
    <row r="13" spans="1:2" x14ac:dyDescent="0.3">
      <c r="A13" s="2" t="s">
        <v>90</v>
      </c>
      <c r="B13" s="2" t="s">
        <v>6</v>
      </c>
    </row>
    <row r="14" spans="1:2" x14ac:dyDescent="0.3">
      <c r="A14" s="2" t="s">
        <v>132</v>
      </c>
      <c r="B14" s="2" t="s">
        <v>6</v>
      </c>
    </row>
    <row r="15" spans="1:2" x14ac:dyDescent="0.3">
      <c r="A15" s="2" t="s">
        <v>133</v>
      </c>
      <c r="B15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A14" sqref="A14"/>
    </sheetView>
  </sheetViews>
  <sheetFormatPr baseColWidth="10" defaultRowHeight="14" x14ac:dyDescent="0.3"/>
  <cols>
    <col min="1" max="1" width="25.1796875" style="2" customWidth="1"/>
    <col min="2" max="16384" width="10.90625" style="2"/>
  </cols>
  <sheetData>
    <row r="1" spans="1:8" x14ac:dyDescent="0.3">
      <c r="A1" s="16" t="s">
        <v>5</v>
      </c>
      <c r="B1" s="16" t="s">
        <v>0</v>
      </c>
      <c r="C1" s="16" t="s">
        <v>1</v>
      </c>
      <c r="D1" s="16" t="s">
        <v>85</v>
      </c>
      <c r="E1" s="16" t="s">
        <v>86</v>
      </c>
    </row>
    <row r="2" spans="1:8" x14ac:dyDescent="0.3">
      <c r="A2" s="3" t="s">
        <v>30</v>
      </c>
      <c r="B2" s="2" t="s">
        <v>7</v>
      </c>
      <c r="C2" s="2" t="s">
        <v>6</v>
      </c>
      <c r="D2" s="2">
        <v>-3.7038000000000002</v>
      </c>
      <c r="E2" s="2">
        <v>40.416800000000002</v>
      </c>
    </row>
    <row r="3" spans="1:8" x14ac:dyDescent="0.3">
      <c r="A3" s="3" t="s">
        <v>31</v>
      </c>
      <c r="B3" s="2" t="s">
        <v>2</v>
      </c>
      <c r="C3" s="2" t="s">
        <v>6</v>
      </c>
      <c r="D3" s="2">
        <v>-3.7038000000000002</v>
      </c>
      <c r="E3" s="2">
        <v>40.416800000000002</v>
      </c>
    </row>
    <row r="4" spans="1:8" x14ac:dyDescent="0.3">
      <c r="A4" s="3" t="s">
        <v>32</v>
      </c>
      <c r="B4" s="2" t="s">
        <v>3</v>
      </c>
      <c r="C4" s="2" t="s">
        <v>6</v>
      </c>
      <c r="D4" s="2">
        <v>-3.7038000000000002</v>
      </c>
      <c r="E4" s="2">
        <v>40.416800000000002</v>
      </c>
    </row>
    <row r="5" spans="1:8" x14ac:dyDescent="0.3">
      <c r="A5" s="3" t="s">
        <v>33</v>
      </c>
      <c r="B5" s="2" t="s">
        <v>4</v>
      </c>
      <c r="C5" s="2" t="s">
        <v>6</v>
      </c>
      <c r="D5" s="2">
        <v>-3.7038000000000002</v>
      </c>
      <c r="E5" s="2">
        <v>40.416800000000002</v>
      </c>
    </row>
    <row r="6" spans="1:8" x14ac:dyDescent="0.3">
      <c r="A6" s="18" t="s">
        <v>97</v>
      </c>
      <c r="B6" s="2" t="s">
        <v>7</v>
      </c>
      <c r="C6" s="2" t="s">
        <v>6</v>
      </c>
      <c r="D6" s="2">
        <v>-3.7038000000000002</v>
      </c>
      <c r="E6" s="2">
        <v>40.416800000000002</v>
      </c>
    </row>
    <row r="7" spans="1:8" x14ac:dyDescent="0.3">
      <c r="A7" s="18" t="s">
        <v>98</v>
      </c>
      <c r="B7" s="2" t="s">
        <v>4</v>
      </c>
      <c r="C7" s="2" t="s">
        <v>6</v>
      </c>
      <c r="D7" s="2">
        <v>-3.7038000000000002</v>
      </c>
      <c r="E7" s="2">
        <v>40.416800000000002</v>
      </c>
    </row>
    <row r="8" spans="1:8" x14ac:dyDescent="0.3">
      <c r="A8" s="4" t="s">
        <v>34</v>
      </c>
      <c r="B8" s="2" t="s">
        <v>7</v>
      </c>
      <c r="C8" s="2" t="s">
        <v>6</v>
      </c>
      <c r="D8" s="2">
        <v>-9.1393000000000004</v>
      </c>
      <c r="E8" s="2">
        <v>38.722299999999997</v>
      </c>
    </row>
    <row r="9" spans="1:8" x14ac:dyDescent="0.3">
      <c r="A9" s="4" t="s">
        <v>35</v>
      </c>
      <c r="B9" s="2" t="s">
        <v>2</v>
      </c>
      <c r="C9" s="2" t="s">
        <v>6</v>
      </c>
      <c r="D9" s="2">
        <v>-9.1393000000000004</v>
      </c>
      <c r="E9" s="2">
        <v>38.722299999999997</v>
      </c>
    </row>
    <row r="10" spans="1:8" x14ac:dyDescent="0.3">
      <c r="A10" s="4" t="s">
        <v>36</v>
      </c>
      <c r="B10" s="2" t="s">
        <v>3</v>
      </c>
      <c r="C10" s="2" t="s">
        <v>6</v>
      </c>
      <c r="D10" s="2">
        <v>-9.1393000000000004</v>
      </c>
      <c r="E10" s="2">
        <v>38.722299999999997</v>
      </c>
    </row>
    <row r="11" spans="1:8" x14ac:dyDescent="0.3">
      <c r="A11" s="4" t="s">
        <v>37</v>
      </c>
      <c r="B11" s="2" t="s">
        <v>4</v>
      </c>
      <c r="C11" s="2" t="s">
        <v>6</v>
      </c>
      <c r="D11" s="2">
        <v>-9.1393000000000004</v>
      </c>
      <c r="E11" s="2">
        <v>38.722299999999997</v>
      </c>
    </row>
    <row r="12" spans="1:8" x14ac:dyDescent="0.3">
      <c r="A12" s="17" t="s">
        <v>99</v>
      </c>
      <c r="B12" s="2" t="s">
        <v>7</v>
      </c>
      <c r="C12" s="2" t="s">
        <v>6</v>
      </c>
      <c r="D12" s="2">
        <v>-9.1393000000000004</v>
      </c>
      <c r="E12" s="2">
        <v>38.722299999999997</v>
      </c>
    </row>
    <row r="13" spans="1:8" x14ac:dyDescent="0.3">
      <c r="A13" s="17" t="s">
        <v>100</v>
      </c>
      <c r="B13" s="2" t="s">
        <v>4</v>
      </c>
      <c r="C13" s="2" t="s">
        <v>6</v>
      </c>
      <c r="D13" s="2">
        <v>-9.1393000000000004</v>
      </c>
      <c r="E13" s="2">
        <v>38.722299999999997</v>
      </c>
    </row>
    <row r="14" spans="1:8" x14ac:dyDescent="0.3">
      <c r="A14" s="5" t="s">
        <v>87</v>
      </c>
      <c r="B14" s="2" t="s">
        <v>7</v>
      </c>
      <c r="C14" s="2" t="s">
        <v>6</v>
      </c>
      <c r="D14" s="2">
        <v>2.3521999999999998</v>
      </c>
      <c r="E14" s="2">
        <v>48.8566</v>
      </c>
    </row>
    <row r="15" spans="1:8" x14ac:dyDescent="0.3">
      <c r="A15" s="5" t="s">
        <v>88</v>
      </c>
      <c r="B15" s="2" t="s">
        <v>4</v>
      </c>
      <c r="C15" s="2" t="s">
        <v>6</v>
      </c>
      <c r="D15" s="2">
        <v>4.3521999999999998</v>
      </c>
      <c r="E15" s="2">
        <v>48.8566</v>
      </c>
    </row>
    <row r="16" spans="1:8" x14ac:dyDescent="0.3">
      <c r="A16" s="5" t="s">
        <v>106</v>
      </c>
      <c r="B16" s="2" t="s">
        <v>4</v>
      </c>
      <c r="C16" s="2" t="s">
        <v>6</v>
      </c>
      <c r="D16" s="2">
        <v>2.8521999999999998</v>
      </c>
      <c r="E16" s="2">
        <v>43.8566</v>
      </c>
      <c r="H16" s="2" t="s">
        <v>110</v>
      </c>
    </row>
    <row r="17" spans="1:5" x14ac:dyDescent="0.3">
      <c r="A17" s="5" t="s">
        <v>107</v>
      </c>
      <c r="B17" s="2" t="s">
        <v>4</v>
      </c>
      <c r="C17" s="2" t="s">
        <v>6</v>
      </c>
      <c r="D17" s="2">
        <v>-1.3522000000000001</v>
      </c>
      <c r="E17" s="2">
        <v>45.8566</v>
      </c>
    </row>
    <row r="18" spans="1:5" x14ac:dyDescent="0.3">
      <c r="A18" s="11" t="s">
        <v>101</v>
      </c>
      <c r="B18" s="2" t="s">
        <v>4</v>
      </c>
      <c r="C18" s="2" t="s">
        <v>6</v>
      </c>
      <c r="D18" s="2">
        <v>-6.84</v>
      </c>
      <c r="E18" s="2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3"/>
  <sheetViews>
    <sheetView workbookViewId="0">
      <selection activeCell="A7" sqref="A7"/>
    </sheetView>
  </sheetViews>
  <sheetFormatPr baseColWidth="10" defaultRowHeight="14" x14ac:dyDescent="0.3"/>
  <cols>
    <col min="1" max="1" width="29.1796875" style="2" bestFit="1" customWidth="1"/>
    <col min="2" max="2" width="26.6328125" style="2" customWidth="1"/>
    <col min="3" max="3" width="10.90625" style="2"/>
    <col min="4" max="4" width="13.08984375" style="2" bestFit="1" customWidth="1"/>
    <col min="5" max="5" width="15.7265625" style="2" bestFit="1" customWidth="1"/>
    <col min="6" max="10" width="10.90625" style="2"/>
    <col min="11" max="11" width="11.7265625" style="2" customWidth="1"/>
    <col min="12" max="16384" width="10.90625" style="2"/>
  </cols>
  <sheetData>
    <row r="1" spans="1:6" x14ac:dyDescent="0.3">
      <c r="A1" s="1" t="s">
        <v>5</v>
      </c>
      <c r="B1" s="1" t="s">
        <v>15</v>
      </c>
      <c r="C1" s="1" t="s">
        <v>12</v>
      </c>
      <c r="D1" s="1" t="s">
        <v>14</v>
      </c>
      <c r="E1" s="1" t="s">
        <v>0</v>
      </c>
      <c r="F1" s="1" t="s">
        <v>1</v>
      </c>
    </row>
    <row r="2" spans="1:6" x14ac:dyDescent="0.3">
      <c r="A2" s="3" t="s">
        <v>140</v>
      </c>
      <c r="B2" s="2" t="s">
        <v>30</v>
      </c>
      <c r="C2" s="2">
        <v>83000</v>
      </c>
      <c r="D2" s="2">
        <v>0</v>
      </c>
      <c r="E2" s="2" t="s">
        <v>161</v>
      </c>
      <c r="F2" s="2" t="s">
        <v>6</v>
      </c>
    </row>
    <row r="3" spans="1:6" x14ac:dyDescent="0.3">
      <c r="A3" s="3" t="s">
        <v>141</v>
      </c>
      <c r="B3" s="2" t="s">
        <v>30</v>
      </c>
      <c r="C3" s="2">
        <v>4805</v>
      </c>
      <c r="D3" s="2">
        <v>0</v>
      </c>
      <c r="E3" s="2" t="s">
        <v>163</v>
      </c>
      <c r="F3" s="2" t="s">
        <v>6</v>
      </c>
    </row>
    <row r="4" spans="1:6" x14ac:dyDescent="0.3">
      <c r="A4" s="3" t="s">
        <v>142</v>
      </c>
      <c r="B4" s="2" t="s">
        <v>30</v>
      </c>
      <c r="C4" s="2">
        <v>30000</v>
      </c>
      <c r="D4" s="2">
        <v>0</v>
      </c>
      <c r="E4" s="2" t="s">
        <v>162</v>
      </c>
      <c r="F4" s="2" t="s">
        <v>6</v>
      </c>
    </row>
    <row r="5" spans="1:6" x14ac:dyDescent="0.3">
      <c r="A5" s="3" t="s">
        <v>46</v>
      </c>
      <c r="B5" s="2" t="s">
        <v>30</v>
      </c>
      <c r="C5" s="2">
        <v>91799.794460000019</v>
      </c>
      <c r="D5" s="2">
        <v>0</v>
      </c>
      <c r="E5" s="2" t="s">
        <v>9</v>
      </c>
      <c r="F5" s="2" t="s">
        <v>6</v>
      </c>
    </row>
    <row r="6" spans="1:6" x14ac:dyDescent="0.3">
      <c r="A6" s="3" t="s">
        <v>47</v>
      </c>
      <c r="B6" s="2" t="s">
        <v>30</v>
      </c>
      <c r="C6" s="2">
        <v>2462.66</v>
      </c>
      <c r="D6" s="2">
        <v>22</v>
      </c>
      <c r="E6" s="2" t="s">
        <v>11</v>
      </c>
      <c r="F6" s="2" t="s">
        <v>6</v>
      </c>
    </row>
    <row r="7" spans="1:6" x14ac:dyDescent="0.3">
      <c r="A7" s="3" t="s">
        <v>48</v>
      </c>
      <c r="B7" s="2" t="s">
        <v>32</v>
      </c>
      <c r="C7" s="2">
        <f>1*10^14</f>
        <v>100000000000000</v>
      </c>
      <c r="D7" s="2">
        <v>0</v>
      </c>
      <c r="E7" s="2" t="s">
        <v>3</v>
      </c>
      <c r="F7" s="2" t="s">
        <v>6</v>
      </c>
    </row>
    <row r="8" spans="1:6" x14ac:dyDescent="0.3">
      <c r="A8" s="3" t="s">
        <v>49</v>
      </c>
      <c r="B8" s="2" t="s">
        <v>30</v>
      </c>
      <c r="C8" s="2">
        <v>3117.91912</v>
      </c>
      <c r="D8" s="2">
        <v>0</v>
      </c>
      <c r="E8" s="2" t="s">
        <v>8</v>
      </c>
      <c r="F8" s="2" t="s">
        <v>6</v>
      </c>
    </row>
    <row r="9" spans="1:6" x14ac:dyDescent="0.3">
      <c r="A9" s="2" t="s">
        <v>77</v>
      </c>
      <c r="B9" s="2" t="s">
        <v>97</v>
      </c>
      <c r="C9" s="2">
        <v>32600</v>
      </c>
      <c r="D9" s="2">
        <v>0</v>
      </c>
      <c r="E9" s="2" t="s">
        <v>133</v>
      </c>
      <c r="F9" s="2" t="s">
        <v>6</v>
      </c>
    </row>
    <row r="10" spans="1:6" x14ac:dyDescent="0.3">
      <c r="A10" s="57" t="s">
        <v>76</v>
      </c>
      <c r="B10" s="57" t="s">
        <v>98</v>
      </c>
      <c r="C10" s="57">
        <f>(37999*2)-C9</f>
        <v>43398</v>
      </c>
      <c r="D10" s="57">
        <v>0</v>
      </c>
      <c r="E10" s="57" t="s">
        <v>132</v>
      </c>
      <c r="F10" s="57" t="s">
        <v>6</v>
      </c>
    </row>
    <row r="11" spans="1:6" x14ac:dyDescent="0.3">
      <c r="A11" s="4" t="s">
        <v>143</v>
      </c>
      <c r="B11" s="2" t="s">
        <v>34</v>
      </c>
      <c r="C11" s="2">
        <v>14378.2</v>
      </c>
      <c r="D11" s="2">
        <v>0</v>
      </c>
      <c r="E11" s="2" t="s">
        <v>161</v>
      </c>
      <c r="F11" s="2" t="s">
        <v>6</v>
      </c>
    </row>
    <row r="12" spans="1:6" x14ac:dyDescent="0.3">
      <c r="A12" s="4" t="s">
        <v>144</v>
      </c>
      <c r="B12" s="2" t="s">
        <v>34</v>
      </c>
      <c r="C12" s="2">
        <v>9659.9</v>
      </c>
      <c r="D12" s="2">
        <v>0</v>
      </c>
      <c r="E12" s="2" t="s">
        <v>162</v>
      </c>
      <c r="F12" s="2" t="s">
        <v>6</v>
      </c>
    </row>
    <row r="13" spans="1:6" x14ac:dyDescent="0.3">
      <c r="A13" s="4" t="s">
        <v>50</v>
      </c>
      <c r="B13" s="2" t="s">
        <v>34</v>
      </c>
      <c r="C13" s="2">
        <f>11643.3+646</f>
        <v>12289.3</v>
      </c>
      <c r="D13" s="2">
        <v>0</v>
      </c>
      <c r="E13" s="2" t="s">
        <v>9</v>
      </c>
      <c r="F13" s="2" t="s">
        <v>6</v>
      </c>
    </row>
    <row r="14" spans="1:6" x14ac:dyDescent="0.3">
      <c r="A14" s="4" t="s">
        <v>51</v>
      </c>
      <c r="B14" s="2" t="s">
        <v>34</v>
      </c>
      <c r="C14" s="2">
        <v>1607</v>
      </c>
      <c r="D14" s="26">
        <v>22</v>
      </c>
      <c r="E14" s="2" t="s">
        <v>11</v>
      </c>
      <c r="F14" s="2" t="s">
        <v>6</v>
      </c>
    </row>
    <row r="15" spans="1:6" x14ac:dyDescent="0.3">
      <c r="A15" s="4" t="s">
        <v>52</v>
      </c>
      <c r="B15" s="2" t="s">
        <v>36</v>
      </c>
      <c r="C15" s="2">
        <f>1*10^14</f>
        <v>100000000000000</v>
      </c>
      <c r="D15" s="2">
        <v>0</v>
      </c>
      <c r="E15" s="2" t="s">
        <v>3</v>
      </c>
      <c r="F15" s="2" t="s">
        <v>6</v>
      </c>
    </row>
    <row r="16" spans="1:6" x14ac:dyDescent="0.3">
      <c r="A16" s="4" t="s">
        <v>53</v>
      </c>
      <c r="B16" s="2" t="s">
        <v>34</v>
      </c>
      <c r="C16" s="2">
        <v>508.3</v>
      </c>
      <c r="D16" s="2">
        <v>0</v>
      </c>
      <c r="E16" s="2" t="s">
        <v>8</v>
      </c>
      <c r="F16" s="2" t="s">
        <v>6</v>
      </c>
    </row>
    <row r="17" spans="1:6" x14ac:dyDescent="0.3">
      <c r="A17" s="2" t="s">
        <v>79</v>
      </c>
      <c r="B17" s="2" t="s">
        <v>99</v>
      </c>
      <c r="C17" s="2">
        <v>13478</v>
      </c>
      <c r="D17" s="2">
        <v>0</v>
      </c>
      <c r="E17" s="2" t="s">
        <v>133</v>
      </c>
      <c r="F17" s="2" t="s">
        <v>6</v>
      </c>
    </row>
    <row r="18" spans="1:6" x14ac:dyDescent="0.3">
      <c r="A18" s="57" t="s">
        <v>78</v>
      </c>
      <c r="B18" s="57" t="s">
        <v>100</v>
      </c>
      <c r="C18" s="57">
        <f>22506.9-C17</f>
        <v>9028.9000000000015</v>
      </c>
      <c r="D18" s="57">
        <v>0</v>
      </c>
      <c r="E18" s="57" t="s">
        <v>132</v>
      </c>
      <c r="F18" s="57" t="s">
        <v>6</v>
      </c>
    </row>
    <row r="19" spans="1:6" x14ac:dyDescent="0.3">
      <c r="A19" s="23" t="s">
        <v>81</v>
      </c>
      <c r="B19" s="2" t="s">
        <v>30</v>
      </c>
      <c r="C19" s="2">
        <v>10000000</v>
      </c>
      <c r="D19" s="2">
        <v>10000</v>
      </c>
      <c r="E19" s="2" t="s">
        <v>80</v>
      </c>
      <c r="F19" s="2" t="s">
        <v>6</v>
      </c>
    </row>
    <row r="20" spans="1:6" x14ac:dyDescent="0.3">
      <c r="A20" s="23" t="s">
        <v>82</v>
      </c>
      <c r="B20" s="2" t="s">
        <v>34</v>
      </c>
      <c r="C20" s="2">
        <v>10000000</v>
      </c>
      <c r="D20" s="2">
        <v>10000</v>
      </c>
      <c r="E20" s="2" t="s">
        <v>80</v>
      </c>
      <c r="F20" s="2" t="s">
        <v>6</v>
      </c>
    </row>
    <row r="21" spans="1:6" x14ac:dyDescent="0.3">
      <c r="A21" s="23" t="s">
        <v>96</v>
      </c>
      <c r="B21" s="2" t="s">
        <v>87</v>
      </c>
      <c r="C21" s="2">
        <v>10000000</v>
      </c>
      <c r="D21" s="2">
        <v>10000</v>
      </c>
      <c r="E21" s="2" t="s">
        <v>80</v>
      </c>
      <c r="F21" s="2" t="s">
        <v>6</v>
      </c>
    </row>
    <row r="22" spans="1:6" x14ac:dyDescent="0.3">
      <c r="A22" s="23" t="s">
        <v>83</v>
      </c>
      <c r="B22" s="2" t="s">
        <v>33</v>
      </c>
      <c r="C22" s="2">
        <v>10000000</v>
      </c>
      <c r="D22" s="2">
        <v>3000</v>
      </c>
      <c r="E22" s="2" t="s">
        <v>80</v>
      </c>
      <c r="F22" s="2" t="s">
        <v>6</v>
      </c>
    </row>
    <row r="23" spans="1:6" x14ac:dyDescent="0.3">
      <c r="A23" s="23" t="s">
        <v>84</v>
      </c>
      <c r="B23" s="2" t="s">
        <v>37</v>
      </c>
      <c r="C23" s="2">
        <v>10000000</v>
      </c>
      <c r="D23" s="2">
        <v>2500</v>
      </c>
      <c r="E23" s="2" t="s">
        <v>80</v>
      </c>
      <c r="F23" s="2" t="s">
        <v>6</v>
      </c>
    </row>
    <row r="24" spans="1:6" x14ac:dyDescent="0.3">
      <c r="A24" s="23" t="s">
        <v>95</v>
      </c>
      <c r="B24" s="2" t="s">
        <v>88</v>
      </c>
      <c r="C24" s="2">
        <v>10000000</v>
      </c>
      <c r="D24" s="2">
        <v>2500</v>
      </c>
      <c r="E24" s="2" t="s">
        <v>80</v>
      </c>
      <c r="F24" s="2" t="s">
        <v>6</v>
      </c>
    </row>
    <row r="25" spans="1:6" x14ac:dyDescent="0.3">
      <c r="A25" s="23" t="s">
        <v>108</v>
      </c>
      <c r="B25" s="2" t="s">
        <v>106</v>
      </c>
      <c r="C25" s="2">
        <v>10000000</v>
      </c>
      <c r="D25" s="2">
        <v>2500</v>
      </c>
      <c r="E25" s="2" t="s">
        <v>80</v>
      </c>
      <c r="F25" s="2" t="s">
        <v>6</v>
      </c>
    </row>
    <row r="26" spans="1:6" x14ac:dyDescent="0.3">
      <c r="A26" s="58" t="s">
        <v>109</v>
      </c>
      <c r="B26" s="57" t="s">
        <v>107</v>
      </c>
      <c r="C26" s="57">
        <v>10000000</v>
      </c>
      <c r="D26" s="57">
        <v>2500</v>
      </c>
      <c r="E26" s="57" t="s">
        <v>80</v>
      </c>
      <c r="F26" s="57" t="s">
        <v>6</v>
      </c>
    </row>
    <row r="27" spans="1:6" x14ac:dyDescent="0.3">
      <c r="A27" s="59" t="s">
        <v>122</v>
      </c>
      <c r="B27" s="60" t="s">
        <v>87</v>
      </c>
      <c r="C27" s="60">
        <v>5000</v>
      </c>
      <c r="D27" s="60">
        <v>0</v>
      </c>
      <c r="E27" s="60" t="s">
        <v>7</v>
      </c>
      <c r="F27" s="60" t="s">
        <v>6</v>
      </c>
    </row>
    <row r="28" spans="1:6" x14ac:dyDescent="0.3">
      <c r="A28" s="5" t="s">
        <v>123</v>
      </c>
      <c r="B28" s="2" t="s">
        <v>107</v>
      </c>
      <c r="C28" s="2">
        <v>1553.672292</v>
      </c>
      <c r="D28" s="2">
        <v>0</v>
      </c>
      <c r="E28" s="2" t="s">
        <v>4</v>
      </c>
      <c r="F28" s="2" t="s">
        <v>6</v>
      </c>
    </row>
    <row r="29" spans="1:6" x14ac:dyDescent="0.3">
      <c r="A29" s="61" t="s">
        <v>124</v>
      </c>
      <c r="B29" s="57" t="s">
        <v>88</v>
      </c>
      <c r="C29" s="57">
        <v>6779.6610170000004</v>
      </c>
      <c r="D29" s="57">
        <v>0</v>
      </c>
      <c r="E29" s="57" t="s">
        <v>4</v>
      </c>
      <c r="F29" s="57" t="s">
        <v>6</v>
      </c>
    </row>
    <row r="30" spans="1:6" x14ac:dyDescent="0.3">
      <c r="A30" s="62" t="s">
        <v>102</v>
      </c>
      <c r="B30" s="60" t="s">
        <v>101</v>
      </c>
      <c r="C30" s="60">
        <v>1517.8</v>
      </c>
      <c r="D30" s="60">
        <v>0</v>
      </c>
      <c r="E30" s="60" t="s">
        <v>4</v>
      </c>
      <c r="F30" s="60" t="s">
        <v>6</v>
      </c>
    </row>
    <row r="31" spans="1:6" x14ac:dyDescent="0.3">
      <c r="A31" s="63" t="s">
        <v>103</v>
      </c>
      <c r="B31" s="57" t="s">
        <v>101</v>
      </c>
      <c r="C31" s="57">
        <v>1422.3673200000001</v>
      </c>
      <c r="D31" s="57">
        <f>73.7</f>
        <v>73.7</v>
      </c>
      <c r="E31" s="57" t="s">
        <v>4</v>
      </c>
      <c r="F31" s="57" t="s">
        <v>6</v>
      </c>
    </row>
    <row r="32" spans="1:6" x14ac:dyDescent="0.3">
      <c r="A32" s="59" t="s">
        <v>116</v>
      </c>
      <c r="B32" s="60" t="s">
        <v>106</v>
      </c>
      <c r="C32" s="60">
        <v>1241</v>
      </c>
      <c r="D32" s="60">
        <v>0</v>
      </c>
      <c r="E32" s="60" t="s">
        <v>4</v>
      </c>
      <c r="F32" s="60" t="s">
        <v>6</v>
      </c>
    </row>
    <row r="33" spans="1:6" x14ac:dyDescent="0.3">
      <c r="A33" s="61" t="s">
        <v>117</v>
      </c>
      <c r="B33" s="57" t="s">
        <v>107</v>
      </c>
      <c r="C33" s="57">
        <v>331</v>
      </c>
      <c r="D33" s="57">
        <v>0</v>
      </c>
      <c r="E33" s="57" t="s">
        <v>4</v>
      </c>
      <c r="F33" s="5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tabSelected="1" zoomScaleNormal="100" workbookViewId="0">
      <selection activeCell="D2" sqref="D2"/>
    </sheetView>
  </sheetViews>
  <sheetFormatPr baseColWidth="10" defaultRowHeight="14" x14ac:dyDescent="0.3"/>
  <cols>
    <col min="1" max="1" width="42.26953125" style="2" customWidth="1"/>
    <col min="2" max="2" width="24.1796875" style="2" customWidth="1"/>
    <col min="3" max="3" width="25.54296875" style="2" customWidth="1"/>
    <col min="4" max="4" width="13.90625" style="2" customWidth="1"/>
    <col min="5" max="5" width="12" style="2" bestFit="1" customWidth="1"/>
    <col min="6" max="11" width="13.90625" style="2" customWidth="1"/>
    <col min="12" max="16384" width="10.90625" style="2"/>
  </cols>
  <sheetData>
    <row r="1" spans="1:11" s="91" customFormat="1" x14ac:dyDescent="0.3">
      <c r="A1" s="90" t="s">
        <v>5</v>
      </c>
      <c r="B1" s="90" t="s">
        <v>69</v>
      </c>
      <c r="C1" s="90" t="s">
        <v>70</v>
      </c>
      <c r="D1" s="90" t="s">
        <v>12</v>
      </c>
      <c r="E1" s="90" t="s">
        <v>167</v>
      </c>
      <c r="F1" s="90" t="s">
        <v>16</v>
      </c>
      <c r="G1" s="90" t="s">
        <v>14</v>
      </c>
      <c r="H1" s="90" t="s">
        <v>18</v>
      </c>
      <c r="I1" s="90" t="s">
        <v>19</v>
      </c>
      <c r="J1" s="90" t="s">
        <v>0</v>
      </c>
      <c r="K1" s="90" t="s">
        <v>1</v>
      </c>
    </row>
    <row r="2" spans="1:11" s="91" customFormat="1" x14ac:dyDescent="0.3">
      <c r="A2" s="92" t="s">
        <v>38</v>
      </c>
      <c r="B2" s="91" t="s">
        <v>32</v>
      </c>
      <c r="C2" s="91" t="s">
        <v>30</v>
      </c>
      <c r="D2" s="93">
        <f>24559.64</f>
        <v>24559.64</v>
      </c>
      <c r="E2" s="93"/>
      <c r="F2" s="91">
        <v>0.57999999999999996</v>
      </c>
      <c r="G2" s="94">
        <f>146.19</f>
        <v>146.19</v>
      </c>
      <c r="J2" s="91" t="s">
        <v>3</v>
      </c>
      <c r="K2" s="91" t="s">
        <v>6</v>
      </c>
    </row>
    <row r="3" spans="1:11" x14ac:dyDescent="0.3">
      <c r="A3" s="3" t="s">
        <v>39</v>
      </c>
      <c r="B3" s="2" t="s">
        <v>31</v>
      </c>
      <c r="C3" s="2" t="s">
        <v>30</v>
      </c>
      <c r="D3" s="6">
        <f>25140.2664733333</f>
        <v>25140.2664733333</v>
      </c>
      <c r="E3" s="6"/>
      <c r="F3" s="2">
        <v>0.85</v>
      </c>
      <c r="G3" s="2">
        <v>0</v>
      </c>
      <c r="H3" s="91"/>
      <c r="I3" s="91"/>
      <c r="J3" s="2" t="s">
        <v>8</v>
      </c>
      <c r="K3" s="2" t="s">
        <v>6</v>
      </c>
    </row>
    <row r="4" spans="1:11" x14ac:dyDescent="0.3">
      <c r="A4" s="3" t="s">
        <v>40</v>
      </c>
      <c r="B4" s="2" t="s">
        <v>30</v>
      </c>
      <c r="C4" s="2" t="s">
        <v>31</v>
      </c>
      <c r="D4" s="6">
        <f>13320.7506329652</f>
        <v>13320.750632965201</v>
      </c>
      <c r="E4" s="6"/>
      <c r="F4" s="2">
        <v>0.75</v>
      </c>
      <c r="G4" s="2">
        <v>0</v>
      </c>
      <c r="J4" s="2" t="s">
        <v>7</v>
      </c>
      <c r="K4" s="2" t="s">
        <v>6</v>
      </c>
    </row>
    <row r="5" spans="1:11" x14ac:dyDescent="0.3">
      <c r="A5" s="3" t="s">
        <v>41</v>
      </c>
      <c r="B5" s="2" t="s">
        <v>30</v>
      </c>
      <c r="C5" s="2" t="s">
        <v>33</v>
      </c>
      <c r="D5" s="6">
        <v>15500</v>
      </c>
      <c r="E5" s="6"/>
      <c r="F5" s="2">
        <v>0.7</v>
      </c>
      <c r="G5" s="2">
        <v>0</v>
      </c>
      <c r="J5" s="2" t="s">
        <v>4</v>
      </c>
      <c r="K5" s="2" t="s">
        <v>6</v>
      </c>
    </row>
    <row r="6" spans="1:11" x14ac:dyDescent="0.3">
      <c r="A6" s="2" t="s">
        <v>76</v>
      </c>
      <c r="B6" s="2" t="s">
        <v>98</v>
      </c>
      <c r="C6" s="2" t="s">
        <v>33</v>
      </c>
      <c r="D6" s="6">
        <v>32600</v>
      </c>
      <c r="E6" s="6"/>
      <c r="F6" s="2">
        <v>0.7</v>
      </c>
      <c r="G6" s="2">
        <v>0</v>
      </c>
      <c r="J6" s="2" t="s">
        <v>4</v>
      </c>
      <c r="K6" s="2" t="s">
        <v>6</v>
      </c>
    </row>
    <row r="7" spans="1:11" x14ac:dyDescent="0.3">
      <c r="A7" s="2" t="s">
        <v>77</v>
      </c>
      <c r="B7" s="2" t="s">
        <v>97</v>
      </c>
      <c r="C7" s="2" t="s">
        <v>30</v>
      </c>
      <c r="D7" s="2">
        <v>100000</v>
      </c>
      <c r="F7" s="2">
        <v>1</v>
      </c>
      <c r="G7" s="2">
        <v>0</v>
      </c>
      <c r="J7" s="2" t="s">
        <v>7</v>
      </c>
      <c r="K7" s="2" t="s">
        <v>6</v>
      </c>
    </row>
    <row r="8" spans="1:11" x14ac:dyDescent="0.3">
      <c r="A8" s="4" t="s">
        <v>42</v>
      </c>
      <c r="B8" s="2" t="s">
        <v>36</v>
      </c>
      <c r="C8" s="2" t="s">
        <v>34</v>
      </c>
      <c r="D8" s="6">
        <v>1357</v>
      </c>
      <c r="E8" s="6"/>
      <c r="F8" s="2">
        <v>0.57999999999999996</v>
      </c>
      <c r="G8" s="21">
        <v>146.19</v>
      </c>
      <c r="J8" s="2" t="s">
        <v>3</v>
      </c>
      <c r="K8" s="2" t="s">
        <v>6</v>
      </c>
    </row>
    <row r="9" spans="1:11" x14ac:dyDescent="0.3">
      <c r="A9" s="4" t="s">
        <v>43</v>
      </c>
      <c r="B9" s="2" t="s">
        <v>35</v>
      </c>
      <c r="C9" s="2" t="s">
        <v>34</v>
      </c>
      <c r="D9" s="6">
        <v>3135</v>
      </c>
      <c r="E9" s="6"/>
      <c r="F9" s="2">
        <v>0.85</v>
      </c>
      <c r="G9" s="2">
        <v>0</v>
      </c>
      <c r="J9" s="2" t="s">
        <v>8</v>
      </c>
      <c r="K9" s="2" t="s">
        <v>6</v>
      </c>
    </row>
    <row r="10" spans="1:11" x14ac:dyDescent="0.3">
      <c r="A10" s="4" t="s">
        <v>44</v>
      </c>
      <c r="B10" s="2" t="s">
        <v>34</v>
      </c>
      <c r="C10" s="2" t="s">
        <v>35</v>
      </c>
      <c r="D10" s="6">
        <v>3837</v>
      </c>
      <c r="E10" s="6"/>
      <c r="F10" s="2">
        <v>0.75</v>
      </c>
      <c r="G10" s="2">
        <v>0</v>
      </c>
      <c r="J10" s="2" t="s">
        <v>7</v>
      </c>
      <c r="K10" s="2" t="s">
        <v>6</v>
      </c>
    </row>
    <row r="11" spans="1:11" x14ac:dyDescent="0.3">
      <c r="A11" s="4" t="s">
        <v>45</v>
      </c>
      <c r="B11" s="2" t="s">
        <v>34</v>
      </c>
      <c r="C11" s="2" t="s">
        <v>37</v>
      </c>
      <c r="D11" s="6">
        <v>0</v>
      </c>
      <c r="E11" s="6"/>
      <c r="F11" s="6">
        <v>0.7</v>
      </c>
      <c r="G11" s="2">
        <v>0</v>
      </c>
      <c r="J11" s="2" t="s">
        <v>4</v>
      </c>
      <c r="K11" s="2" t="s">
        <v>6</v>
      </c>
    </row>
    <row r="12" spans="1:11" x14ac:dyDescent="0.3">
      <c r="A12" s="2" t="s">
        <v>78</v>
      </c>
      <c r="B12" s="2" t="s">
        <v>100</v>
      </c>
      <c r="C12" s="2" t="s">
        <v>37</v>
      </c>
      <c r="D12" s="6">
        <v>13478</v>
      </c>
      <c r="E12" s="6"/>
      <c r="F12" s="6">
        <v>0.7</v>
      </c>
      <c r="G12" s="2">
        <v>0</v>
      </c>
      <c r="J12" s="2" t="s">
        <v>4</v>
      </c>
      <c r="K12" s="2" t="s">
        <v>6</v>
      </c>
    </row>
    <row r="13" spans="1:11" x14ac:dyDescent="0.3">
      <c r="A13" s="2" t="s">
        <v>79</v>
      </c>
      <c r="B13" s="2" t="s">
        <v>99</v>
      </c>
      <c r="C13" s="2" t="s">
        <v>34</v>
      </c>
      <c r="D13" s="2">
        <v>100000</v>
      </c>
      <c r="F13" s="2">
        <v>1</v>
      </c>
      <c r="G13" s="2">
        <v>0</v>
      </c>
      <c r="J13" s="2" t="s">
        <v>7</v>
      </c>
      <c r="K13" s="2" t="s">
        <v>6</v>
      </c>
    </row>
    <row r="14" spans="1:11" x14ac:dyDescent="0.3">
      <c r="A14" s="12" t="s">
        <v>72</v>
      </c>
      <c r="B14" s="2" t="s">
        <v>30</v>
      </c>
      <c r="C14" s="2" t="s">
        <v>34</v>
      </c>
      <c r="D14" s="6">
        <v>4200</v>
      </c>
      <c r="E14" s="6"/>
      <c r="F14" s="22">
        <v>1</v>
      </c>
      <c r="G14" s="2">
        <v>0.1</v>
      </c>
      <c r="J14" s="2" t="s">
        <v>7</v>
      </c>
      <c r="K14" s="2" t="s">
        <v>6</v>
      </c>
    </row>
    <row r="15" spans="1:11" x14ac:dyDescent="0.3">
      <c r="A15" s="13" t="s">
        <v>73</v>
      </c>
      <c r="B15" s="2" t="s">
        <v>33</v>
      </c>
      <c r="C15" s="2" t="s">
        <v>37</v>
      </c>
      <c r="D15" s="6">
        <v>2860.169492</v>
      </c>
      <c r="E15" s="6"/>
      <c r="F15" s="22">
        <v>1</v>
      </c>
      <c r="G15" s="2">
        <v>0.1</v>
      </c>
      <c r="J15" s="2" t="s">
        <v>4</v>
      </c>
      <c r="K15" s="2" t="s">
        <v>6</v>
      </c>
    </row>
    <row r="16" spans="1:11" x14ac:dyDescent="0.3">
      <c r="A16" s="12" t="s">
        <v>74</v>
      </c>
      <c r="B16" s="2" t="s">
        <v>34</v>
      </c>
      <c r="C16" s="2" t="s">
        <v>30</v>
      </c>
      <c r="D16" s="6">
        <v>3500</v>
      </c>
      <c r="E16" s="6"/>
      <c r="F16" s="22">
        <v>1</v>
      </c>
      <c r="G16" s="2">
        <v>0.1</v>
      </c>
      <c r="J16" s="2" t="s">
        <v>7</v>
      </c>
      <c r="K16" s="2" t="s">
        <v>6</v>
      </c>
    </row>
    <row r="17" spans="1:11" x14ac:dyDescent="0.3">
      <c r="A17" s="13" t="s">
        <v>75</v>
      </c>
      <c r="B17" s="2" t="s">
        <v>37</v>
      </c>
      <c r="C17" s="2" t="s">
        <v>33</v>
      </c>
      <c r="D17" s="6">
        <v>2860.169492</v>
      </c>
      <c r="E17" s="6"/>
      <c r="F17" s="22">
        <v>1</v>
      </c>
      <c r="G17" s="2">
        <v>0.1</v>
      </c>
      <c r="J17" s="2" t="s">
        <v>4</v>
      </c>
      <c r="K17" s="2" t="s">
        <v>6</v>
      </c>
    </row>
    <row r="18" spans="1:11" x14ac:dyDescent="0.3">
      <c r="A18" s="12" t="s">
        <v>89</v>
      </c>
      <c r="B18" s="2" t="s">
        <v>30</v>
      </c>
      <c r="C18" s="2" t="s">
        <v>87</v>
      </c>
      <c r="D18" s="6">
        <v>5001</v>
      </c>
      <c r="E18" s="6"/>
      <c r="F18" s="22">
        <v>1</v>
      </c>
      <c r="G18" s="2">
        <v>0.1</v>
      </c>
      <c r="J18" s="2" t="s">
        <v>7</v>
      </c>
      <c r="K18" s="2" t="s">
        <v>6</v>
      </c>
    </row>
    <row r="19" spans="1:11" x14ac:dyDescent="0.3">
      <c r="A19" s="12" t="s">
        <v>93</v>
      </c>
      <c r="B19" s="2" t="s">
        <v>87</v>
      </c>
      <c r="C19" s="2" t="s">
        <v>30</v>
      </c>
      <c r="D19" s="6">
        <v>5001</v>
      </c>
      <c r="E19" s="6"/>
      <c r="F19" s="22">
        <v>1</v>
      </c>
      <c r="G19" s="2">
        <v>0.1</v>
      </c>
      <c r="J19" s="2" t="s">
        <v>7</v>
      </c>
      <c r="K19" s="2" t="s">
        <v>6</v>
      </c>
    </row>
    <row r="20" spans="1:11" x14ac:dyDescent="0.3">
      <c r="A20" s="13" t="s">
        <v>112</v>
      </c>
      <c r="B20" s="2" t="s">
        <v>33</v>
      </c>
      <c r="C20" s="2" t="s">
        <v>107</v>
      </c>
      <c r="D20" s="6">
        <v>5014.1242920000004</v>
      </c>
      <c r="E20" s="6"/>
      <c r="F20" s="22">
        <v>1</v>
      </c>
      <c r="G20" s="2">
        <v>0.1</v>
      </c>
      <c r="H20" s="14"/>
      <c r="I20" s="14"/>
      <c r="J20" s="2" t="s">
        <v>4</v>
      </c>
      <c r="K20" s="2" t="s">
        <v>6</v>
      </c>
    </row>
    <row r="21" spans="1:11" x14ac:dyDescent="0.3">
      <c r="A21" s="13" t="s">
        <v>111</v>
      </c>
      <c r="B21" s="2" t="s">
        <v>33</v>
      </c>
      <c r="C21" s="2" t="s">
        <v>106</v>
      </c>
      <c r="D21" s="6">
        <v>7627.1186459999999</v>
      </c>
      <c r="E21" s="6"/>
      <c r="F21" s="22">
        <v>1</v>
      </c>
      <c r="G21" s="2">
        <v>0.1</v>
      </c>
      <c r="H21" s="14"/>
      <c r="I21" s="14"/>
      <c r="J21" s="2" t="s">
        <v>4</v>
      </c>
      <c r="K21" s="2" t="s">
        <v>6</v>
      </c>
    </row>
    <row r="22" spans="1:11" x14ac:dyDescent="0.3">
      <c r="A22" s="13" t="s">
        <v>120</v>
      </c>
      <c r="B22" s="2" t="s">
        <v>106</v>
      </c>
      <c r="C22" s="2" t="s">
        <v>33</v>
      </c>
      <c r="D22" s="6">
        <v>7627.1186459999999</v>
      </c>
      <c r="E22" s="6"/>
      <c r="F22" s="22">
        <v>1</v>
      </c>
      <c r="G22" s="2">
        <v>0.1</v>
      </c>
      <c r="H22" s="14"/>
      <c r="I22" s="14"/>
      <c r="J22" s="2" t="s">
        <v>4</v>
      </c>
      <c r="K22" s="2" t="s">
        <v>6</v>
      </c>
    </row>
    <row r="23" spans="1:11" x14ac:dyDescent="0.3">
      <c r="A23" s="13" t="s">
        <v>113</v>
      </c>
      <c r="B23" s="2" t="s">
        <v>107</v>
      </c>
      <c r="C23" s="2" t="s">
        <v>106</v>
      </c>
      <c r="D23" s="6">
        <v>1553.672292</v>
      </c>
      <c r="E23" s="6"/>
      <c r="F23" s="22">
        <v>1</v>
      </c>
      <c r="G23" s="2">
        <v>0.1</v>
      </c>
      <c r="H23" s="14"/>
      <c r="I23" s="14"/>
      <c r="J23" s="2" t="s">
        <v>4</v>
      </c>
      <c r="K23" s="2" t="s">
        <v>6</v>
      </c>
    </row>
    <row r="24" spans="1:11" x14ac:dyDescent="0.3">
      <c r="A24" s="13" t="s">
        <v>114</v>
      </c>
      <c r="B24" s="2" t="s">
        <v>106</v>
      </c>
      <c r="C24" s="2" t="s">
        <v>88</v>
      </c>
      <c r="D24" s="6">
        <v>6780.6610170000004</v>
      </c>
      <c r="E24" s="6"/>
      <c r="F24" s="22">
        <v>1</v>
      </c>
      <c r="G24" s="2">
        <v>0.1</v>
      </c>
      <c r="H24" s="14"/>
      <c r="I24" s="14"/>
      <c r="J24" s="2" t="s">
        <v>4</v>
      </c>
      <c r="K24" s="2" t="s">
        <v>6</v>
      </c>
    </row>
    <row r="25" spans="1:11" x14ac:dyDescent="0.3">
      <c r="A25" s="13" t="s">
        <v>115</v>
      </c>
      <c r="B25" s="2" t="s">
        <v>88</v>
      </c>
      <c r="C25" s="2" t="s">
        <v>106</v>
      </c>
      <c r="D25" s="6">
        <v>6780.6610170000004</v>
      </c>
      <c r="E25" s="6"/>
      <c r="F25" s="22">
        <v>1</v>
      </c>
      <c r="G25" s="2">
        <v>0.1</v>
      </c>
      <c r="H25" s="14"/>
      <c r="I25" s="14"/>
      <c r="J25" s="2" t="s">
        <v>4</v>
      </c>
      <c r="K25" s="2" t="s">
        <v>6</v>
      </c>
    </row>
    <row r="26" spans="1:11" x14ac:dyDescent="0.3">
      <c r="A26" s="15" t="s">
        <v>104</v>
      </c>
      <c r="B26" s="2" t="s">
        <v>101</v>
      </c>
      <c r="C26" s="2" t="s">
        <v>33</v>
      </c>
      <c r="D26" s="6">
        <v>3742.94</v>
      </c>
      <c r="E26" s="6">
        <v>0.4</v>
      </c>
      <c r="F26" s="22">
        <v>1</v>
      </c>
      <c r="G26" s="22">
        <v>0</v>
      </c>
      <c r="J26" s="2" t="s">
        <v>4</v>
      </c>
      <c r="K26" s="2" t="s">
        <v>6</v>
      </c>
    </row>
  </sheetData>
  <phoneticPr fontId="3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4" sqref="A4:XFD4"/>
    </sheetView>
  </sheetViews>
  <sheetFormatPr baseColWidth="10" defaultRowHeight="14" x14ac:dyDescent="0.3"/>
  <cols>
    <col min="1" max="1" width="23.7265625" style="2" bestFit="1" customWidth="1"/>
    <col min="2" max="2" width="24.1796875" style="2" bestFit="1" customWidth="1"/>
    <col min="3" max="3" width="9.08984375" style="2" bestFit="1" customWidth="1"/>
    <col min="4" max="16384" width="10.90625" style="2"/>
  </cols>
  <sheetData>
    <row r="1" spans="1:4" x14ac:dyDescent="0.3">
      <c r="A1" s="47" t="s">
        <v>5</v>
      </c>
      <c r="B1" s="2" t="s">
        <v>15</v>
      </c>
      <c r="C1" s="2" t="s">
        <v>0</v>
      </c>
      <c r="D1" s="2" t="s">
        <v>1</v>
      </c>
    </row>
    <row r="2" spans="1:4" x14ac:dyDescent="0.3">
      <c r="A2" s="3" t="s">
        <v>59</v>
      </c>
      <c r="B2" s="2" t="s">
        <v>30</v>
      </c>
      <c r="C2" s="2" t="s">
        <v>7</v>
      </c>
      <c r="D2" s="2" t="s">
        <v>6</v>
      </c>
    </row>
    <row r="3" spans="1:4" x14ac:dyDescent="0.3">
      <c r="A3" s="3" t="s">
        <v>60</v>
      </c>
      <c r="B3" s="2" t="s">
        <v>33</v>
      </c>
      <c r="C3" s="2" t="s">
        <v>4</v>
      </c>
      <c r="D3" s="2" t="s">
        <v>6</v>
      </c>
    </row>
    <row r="4" spans="1:4" x14ac:dyDescent="0.3">
      <c r="A4" s="4" t="s">
        <v>61</v>
      </c>
      <c r="B4" s="2" t="s">
        <v>34</v>
      </c>
      <c r="C4" s="2" t="s">
        <v>7</v>
      </c>
      <c r="D4" s="2" t="s">
        <v>6</v>
      </c>
    </row>
    <row r="5" spans="1:4" x14ac:dyDescent="0.3">
      <c r="A5" s="4" t="s">
        <v>62</v>
      </c>
      <c r="B5" s="2" t="s">
        <v>37</v>
      </c>
      <c r="C5" s="2" t="s">
        <v>4</v>
      </c>
      <c r="D5" s="2" t="s">
        <v>6</v>
      </c>
    </row>
    <row r="6" spans="1:4" x14ac:dyDescent="0.3">
      <c r="A6" s="5" t="s">
        <v>91</v>
      </c>
      <c r="B6" s="2" t="s">
        <v>87</v>
      </c>
      <c r="C6" s="2" t="s">
        <v>7</v>
      </c>
      <c r="D6" s="2" t="s">
        <v>6</v>
      </c>
    </row>
    <row r="7" spans="1:4" x14ac:dyDescent="0.3">
      <c r="A7" s="5" t="s">
        <v>92</v>
      </c>
      <c r="B7" s="2" t="s">
        <v>88</v>
      </c>
      <c r="C7" s="2" t="s">
        <v>4</v>
      </c>
      <c r="D7" s="2" t="s">
        <v>6</v>
      </c>
    </row>
    <row r="8" spans="1:4" x14ac:dyDescent="0.3">
      <c r="A8" s="5" t="s">
        <v>105</v>
      </c>
      <c r="B8" s="2" t="s">
        <v>107</v>
      </c>
      <c r="C8" s="2" t="s">
        <v>4</v>
      </c>
      <c r="D8" s="2" t="s">
        <v>6</v>
      </c>
    </row>
    <row r="9" spans="1:4" x14ac:dyDescent="0.3">
      <c r="A9" s="5" t="s">
        <v>131</v>
      </c>
      <c r="B9" s="2" t="s">
        <v>106</v>
      </c>
      <c r="C9" s="2" t="s">
        <v>4</v>
      </c>
      <c r="D9" s="2" t="s">
        <v>6</v>
      </c>
    </row>
    <row r="10" spans="1:4" x14ac:dyDescent="0.3">
      <c r="A10" s="5" t="s">
        <v>130</v>
      </c>
      <c r="B10" s="2" t="s">
        <v>107</v>
      </c>
      <c r="C10" s="2" t="s">
        <v>4</v>
      </c>
      <c r="D10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topLeftCell="A136" workbookViewId="0">
      <selection activeCell="H154" sqref="H154"/>
    </sheetView>
  </sheetViews>
  <sheetFormatPr baseColWidth="10" defaultRowHeight="14" x14ac:dyDescent="0.3"/>
  <cols>
    <col min="1" max="1" width="5.7265625" style="38" bestFit="1" customWidth="1"/>
    <col min="2" max="2" width="20.26953125" style="9" bestFit="1" customWidth="1"/>
    <col min="3" max="3" width="20.26953125" style="56" bestFit="1" customWidth="1"/>
    <col min="4" max="4" width="18.81640625" style="9" customWidth="1"/>
    <col min="5" max="16384" width="10.90625" style="2"/>
  </cols>
  <sheetData>
    <row r="1" spans="1:4" s="20" customFormat="1" x14ac:dyDescent="0.3">
      <c r="A1" s="30" t="s">
        <v>134</v>
      </c>
      <c r="B1" s="52" t="s">
        <v>65</v>
      </c>
      <c r="C1" s="53" t="s">
        <v>66</v>
      </c>
      <c r="D1" s="54" t="s">
        <v>118</v>
      </c>
    </row>
    <row r="2" spans="1:4" x14ac:dyDescent="0.3">
      <c r="A2" s="51">
        <f>0</f>
        <v>0</v>
      </c>
      <c r="B2" s="55">
        <v>0.25493919022938366</v>
      </c>
      <c r="C2" s="36">
        <v>0.72203423175290182</v>
      </c>
      <c r="D2" s="36">
        <v>0.50275862068965516</v>
      </c>
    </row>
    <row r="3" spans="1:4" x14ac:dyDescent="0.3">
      <c r="A3" s="51">
        <f>A2+1</f>
        <v>1</v>
      </c>
      <c r="B3" s="55">
        <v>0.25493919022938366</v>
      </c>
      <c r="C3" s="36">
        <v>0.72203423175290182</v>
      </c>
      <c r="D3" s="36">
        <v>0.50275862068965516</v>
      </c>
    </row>
    <row r="4" spans="1:4" x14ac:dyDescent="0.3">
      <c r="A4" s="51">
        <f t="shared" ref="A4:A67" si="0">A3+1</f>
        <v>2</v>
      </c>
      <c r="B4" s="55">
        <v>0.25493919022938366</v>
      </c>
      <c r="C4" s="36">
        <v>0.72203423175290182</v>
      </c>
      <c r="D4" s="36">
        <v>0.50275862068965516</v>
      </c>
    </row>
    <row r="5" spans="1:4" x14ac:dyDescent="0.3">
      <c r="A5" s="51">
        <f t="shared" si="0"/>
        <v>3</v>
      </c>
      <c r="B5" s="55">
        <v>0.25493919022938366</v>
      </c>
      <c r="C5" s="36">
        <v>0.72203423175290182</v>
      </c>
      <c r="D5" s="36">
        <v>0.50275862068965516</v>
      </c>
    </row>
    <row r="6" spans="1:4" x14ac:dyDescent="0.3">
      <c r="A6" s="51">
        <f t="shared" si="0"/>
        <v>4</v>
      </c>
      <c r="B6" s="55">
        <v>0.25493919022938366</v>
      </c>
      <c r="C6" s="36">
        <v>0.72203423175290182</v>
      </c>
      <c r="D6" s="36">
        <v>0.50275862068965516</v>
      </c>
    </row>
    <row r="7" spans="1:4" x14ac:dyDescent="0.3">
      <c r="A7" s="51">
        <f t="shared" si="0"/>
        <v>5</v>
      </c>
      <c r="B7" s="55">
        <v>0.25493919022938366</v>
      </c>
      <c r="C7" s="36">
        <v>0.72203423175290182</v>
      </c>
      <c r="D7" s="36">
        <v>0.50275862068965516</v>
      </c>
    </row>
    <row r="8" spans="1:4" x14ac:dyDescent="0.3">
      <c r="A8" s="51">
        <f t="shared" si="0"/>
        <v>6</v>
      </c>
      <c r="B8" s="55">
        <v>0.25493919022938366</v>
      </c>
      <c r="C8" s="36">
        <v>0.72203423175290182</v>
      </c>
      <c r="D8" s="36">
        <v>0.50275862068965516</v>
      </c>
    </row>
    <row r="9" spans="1:4" x14ac:dyDescent="0.3">
      <c r="A9" s="51">
        <f t="shared" si="0"/>
        <v>7</v>
      </c>
      <c r="B9" s="55">
        <v>0.25493919022938366</v>
      </c>
      <c r="C9" s="36">
        <v>0.72203423175290182</v>
      </c>
      <c r="D9" s="36">
        <v>0.50275862068965516</v>
      </c>
    </row>
    <row r="10" spans="1:4" x14ac:dyDescent="0.3">
      <c r="A10" s="51">
        <f t="shared" si="0"/>
        <v>8</v>
      </c>
      <c r="B10" s="55">
        <v>0.25493919022938366</v>
      </c>
      <c r="C10" s="36">
        <v>0.72203423175290182</v>
      </c>
      <c r="D10" s="36">
        <v>0.50275862068965516</v>
      </c>
    </row>
    <row r="11" spans="1:4" x14ac:dyDescent="0.3">
      <c r="A11" s="51">
        <f t="shared" si="0"/>
        <v>9</v>
      </c>
      <c r="B11" s="55">
        <v>0.25493919022938366</v>
      </c>
      <c r="C11" s="36">
        <v>0.72203423175290182</v>
      </c>
      <c r="D11" s="36">
        <v>0.50275862068965516</v>
      </c>
    </row>
    <row r="12" spans="1:4" x14ac:dyDescent="0.3">
      <c r="A12" s="51">
        <f t="shared" si="0"/>
        <v>10</v>
      </c>
      <c r="B12" s="55">
        <v>0.25493919022938366</v>
      </c>
      <c r="C12" s="36">
        <v>0.72203423175290182</v>
      </c>
      <c r="D12" s="36">
        <v>0.50275862068965516</v>
      </c>
    </row>
    <row r="13" spans="1:4" x14ac:dyDescent="0.3">
      <c r="A13" s="51">
        <f t="shared" si="0"/>
        <v>11</v>
      </c>
      <c r="B13" s="55">
        <v>0.25493919022938366</v>
      </c>
      <c r="C13" s="36">
        <v>0.72203423175290182</v>
      </c>
      <c r="D13" s="36">
        <v>0.50275862068965516</v>
      </c>
    </row>
    <row r="14" spans="1:4" x14ac:dyDescent="0.3">
      <c r="A14" s="51">
        <f t="shared" si="0"/>
        <v>12</v>
      </c>
      <c r="B14" s="55">
        <v>0.25493919022938366</v>
      </c>
      <c r="C14" s="36">
        <v>0.72203423175290182</v>
      </c>
      <c r="D14" s="36">
        <v>0.50275862068965516</v>
      </c>
    </row>
    <row r="15" spans="1:4" x14ac:dyDescent="0.3">
      <c r="A15" s="51">
        <f t="shared" si="0"/>
        <v>13</v>
      </c>
      <c r="B15" s="55">
        <v>0.25493919022938366</v>
      </c>
      <c r="C15" s="36">
        <v>0.72203423175290182</v>
      </c>
      <c r="D15" s="36">
        <v>0.50275862068965516</v>
      </c>
    </row>
    <row r="16" spans="1:4" x14ac:dyDescent="0.3">
      <c r="A16" s="51">
        <f t="shared" si="0"/>
        <v>14</v>
      </c>
      <c r="B16" s="55">
        <v>0.25493919022938366</v>
      </c>
      <c r="C16" s="36">
        <v>0.72203423175290182</v>
      </c>
      <c r="D16" s="36">
        <v>0.50275862068965516</v>
      </c>
    </row>
    <row r="17" spans="1:4" x14ac:dyDescent="0.3">
      <c r="A17" s="51">
        <f t="shared" si="0"/>
        <v>15</v>
      </c>
      <c r="B17" s="55">
        <v>0.25493919022938366</v>
      </c>
      <c r="C17" s="36">
        <v>0.72203423175290182</v>
      </c>
      <c r="D17" s="36">
        <v>0.50275862068965516</v>
      </c>
    </row>
    <row r="18" spans="1:4" x14ac:dyDescent="0.3">
      <c r="A18" s="51">
        <f t="shared" si="0"/>
        <v>16</v>
      </c>
      <c r="B18" s="55">
        <v>0.25493919022938366</v>
      </c>
      <c r="C18" s="36">
        <v>0.72203423175290182</v>
      </c>
      <c r="D18" s="36">
        <v>0.50275862068965516</v>
      </c>
    </row>
    <row r="19" spans="1:4" x14ac:dyDescent="0.3">
      <c r="A19" s="51">
        <f t="shared" si="0"/>
        <v>17</v>
      </c>
      <c r="B19" s="55">
        <v>0.25493919022938366</v>
      </c>
      <c r="C19" s="36">
        <v>0.72203423175290182</v>
      </c>
      <c r="D19" s="36">
        <v>0.50275862068965516</v>
      </c>
    </row>
    <row r="20" spans="1:4" x14ac:dyDescent="0.3">
      <c r="A20" s="51">
        <f t="shared" si="0"/>
        <v>18</v>
      </c>
      <c r="B20" s="55">
        <v>0.25493919022938366</v>
      </c>
      <c r="C20" s="36">
        <v>0.72203423175290182</v>
      </c>
      <c r="D20" s="36">
        <v>0.50275862068965516</v>
      </c>
    </row>
    <row r="21" spans="1:4" x14ac:dyDescent="0.3">
      <c r="A21" s="51">
        <f t="shared" si="0"/>
        <v>19</v>
      </c>
      <c r="B21" s="55">
        <v>0.25493919022938366</v>
      </c>
      <c r="C21" s="36">
        <v>0.72203423175290182</v>
      </c>
      <c r="D21" s="36">
        <v>0.50275862068965516</v>
      </c>
    </row>
    <row r="22" spans="1:4" x14ac:dyDescent="0.3">
      <c r="A22" s="51">
        <f t="shared" si="0"/>
        <v>20</v>
      </c>
      <c r="B22" s="55">
        <v>0.25493919022938366</v>
      </c>
      <c r="C22" s="36">
        <v>0.72203423175290182</v>
      </c>
      <c r="D22" s="36">
        <v>0.50275862068965516</v>
      </c>
    </row>
    <row r="23" spans="1:4" x14ac:dyDescent="0.3">
      <c r="A23" s="51">
        <f t="shared" si="0"/>
        <v>21</v>
      </c>
      <c r="B23" s="55">
        <v>0.25493919022938366</v>
      </c>
      <c r="C23" s="36">
        <v>0.72203423175290182</v>
      </c>
      <c r="D23" s="36">
        <v>0.50275862068965516</v>
      </c>
    </row>
    <row r="24" spans="1:4" x14ac:dyDescent="0.3">
      <c r="A24" s="51">
        <f t="shared" si="0"/>
        <v>22</v>
      </c>
      <c r="B24" s="55">
        <v>0.25493919022938366</v>
      </c>
      <c r="C24" s="36">
        <v>0.72203423175290182</v>
      </c>
      <c r="D24" s="36">
        <v>0.50275862068965516</v>
      </c>
    </row>
    <row r="25" spans="1:4" x14ac:dyDescent="0.3">
      <c r="A25" s="51">
        <f t="shared" si="0"/>
        <v>23</v>
      </c>
      <c r="B25" s="55">
        <v>0.25493919022938366</v>
      </c>
      <c r="C25" s="36">
        <v>0.72203423175290182</v>
      </c>
      <c r="D25" s="36">
        <v>0.50275862068965516</v>
      </c>
    </row>
    <row r="26" spans="1:4" x14ac:dyDescent="0.3">
      <c r="A26" s="51">
        <f t="shared" si="0"/>
        <v>24</v>
      </c>
      <c r="B26" s="55">
        <v>0.25493919022938366</v>
      </c>
      <c r="C26" s="36">
        <v>0.72203423175290182</v>
      </c>
      <c r="D26" s="36">
        <v>0.50275862068965516</v>
      </c>
    </row>
    <row r="27" spans="1:4" x14ac:dyDescent="0.3">
      <c r="A27" s="51">
        <f t="shared" si="0"/>
        <v>25</v>
      </c>
      <c r="B27" s="55">
        <v>0.25493919022938366</v>
      </c>
      <c r="C27" s="36">
        <v>0.72203423175290182</v>
      </c>
      <c r="D27" s="36">
        <v>0.50275862068965516</v>
      </c>
    </row>
    <row r="28" spans="1:4" x14ac:dyDescent="0.3">
      <c r="A28" s="51">
        <f t="shared" si="0"/>
        <v>26</v>
      </c>
      <c r="B28" s="55">
        <v>0.25493919022938366</v>
      </c>
      <c r="C28" s="36">
        <v>0.72203423175290182</v>
      </c>
      <c r="D28" s="36">
        <v>0.50275862068965516</v>
      </c>
    </row>
    <row r="29" spans="1:4" x14ac:dyDescent="0.3">
      <c r="A29" s="51">
        <f t="shared" si="0"/>
        <v>27</v>
      </c>
      <c r="B29" s="55">
        <v>0.25493919022938366</v>
      </c>
      <c r="C29" s="36">
        <v>0.72203423175290182</v>
      </c>
      <c r="D29" s="36">
        <v>0.50275862068965516</v>
      </c>
    </row>
    <row r="30" spans="1:4" x14ac:dyDescent="0.3">
      <c r="A30" s="51">
        <f t="shared" si="0"/>
        <v>28</v>
      </c>
      <c r="B30" s="55">
        <v>0.25493919022938366</v>
      </c>
      <c r="C30" s="36">
        <v>0.72203423175290182</v>
      </c>
      <c r="D30" s="36">
        <v>0.50275862068965516</v>
      </c>
    </row>
    <row r="31" spans="1:4" x14ac:dyDescent="0.3">
      <c r="A31" s="51">
        <f t="shared" si="0"/>
        <v>29</v>
      </c>
      <c r="B31" s="55">
        <v>0.25493919022938366</v>
      </c>
      <c r="C31" s="36">
        <v>0.72203423175290182</v>
      </c>
      <c r="D31" s="36">
        <v>0.50275862068965516</v>
      </c>
    </row>
    <row r="32" spans="1:4" x14ac:dyDescent="0.3">
      <c r="A32" s="51">
        <f t="shared" si="0"/>
        <v>30</v>
      </c>
      <c r="B32" s="55">
        <v>0.25493919022938366</v>
      </c>
      <c r="C32" s="36">
        <v>0.72203423175290182</v>
      </c>
      <c r="D32" s="36">
        <v>0.50275862068965516</v>
      </c>
    </row>
    <row r="33" spans="1:4" x14ac:dyDescent="0.3">
      <c r="A33" s="51">
        <f t="shared" si="0"/>
        <v>31</v>
      </c>
      <c r="B33" s="55">
        <v>0.25493919022938366</v>
      </c>
      <c r="C33" s="36">
        <v>0.72203423175290182</v>
      </c>
      <c r="D33" s="36">
        <v>0.50275862068965516</v>
      </c>
    </row>
    <row r="34" spans="1:4" x14ac:dyDescent="0.3">
      <c r="A34" s="51">
        <f t="shared" si="0"/>
        <v>32</v>
      </c>
      <c r="B34" s="55">
        <v>0.25493919022938366</v>
      </c>
      <c r="C34" s="36">
        <v>0.72203423175290182</v>
      </c>
      <c r="D34" s="36">
        <v>0.50275862068965516</v>
      </c>
    </row>
    <row r="35" spans="1:4" x14ac:dyDescent="0.3">
      <c r="A35" s="51">
        <f t="shared" si="0"/>
        <v>33</v>
      </c>
      <c r="B35" s="55">
        <v>0.25493919022938366</v>
      </c>
      <c r="C35" s="36">
        <v>0.72203423175290182</v>
      </c>
      <c r="D35" s="36">
        <v>0.50275862068965516</v>
      </c>
    </row>
    <row r="36" spans="1:4" x14ac:dyDescent="0.3">
      <c r="A36" s="51">
        <f t="shared" si="0"/>
        <v>34</v>
      </c>
      <c r="B36" s="55">
        <v>0.25493919022938366</v>
      </c>
      <c r="C36" s="36">
        <v>0.72203423175290182</v>
      </c>
      <c r="D36" s="36">
        <v>0.50275862068965516</v>
      </c>
    </row>
    <row r="37" spans="1:4" x14ac:dyDescent="0.3">
      <c r="A37" s="51">
        <f t="shared" si="0"/>
        <v>35</v>
      </c>
      <c r="B37" s="55">
        <v>0.25493919022938366</v>
      </c>
      <c r="C37" s="36">
        <v>0.72203423175290182</v>
      </c>
      <c r="D37" s="36">
        <v>0.50275862068965516</v>
      </c>
    </row>
    <row r="38" spans="1:4" x14ac:dyDescent="0.3">
      <c r="A38" s="51">
        <f t="shared" si="0"/>
        <v>36</v>
      </c>
      <c r="B38" s="55">
        <v>0.25493919022938366</v>
      </c>
      <c r="C38" s="36">
        <v>0.72203423175290182</v>
      </c>
      <c r="D38" s="36">
        <v>0.50275862068965516</v>
      </c>
    </row>
    <row r="39" spans="1:4" x14ac:dyDescent="0.3">
      <c r="A39" s="51">
        <f t="shared" si="0"/>
        <v>37</v>
      </c>
      <c r="B39" s="55">
        <v>0.25493919022938366</v>
      </c>
      <c r="C39" s="36">
        <v>0.72203423175290182</v>
      </c>
      <c r="D39" s="36">
        <v>0.50275862068965516</v>
      </c>
    </row>
    <row r="40" spans="1:4" x14ac:dyDescent="0.3">
      <c r="A40" s="51">
        <f t="shared" si="0"/>
        <v>38</v>
      </c>
      <c r="B40" s="55">
        <v>0.25493919022938366</v>
      </c>
      <c r="C40" s="36">
        <v>0.72203423175290182</v>
      </c>
      <c r="D40" s="36">
        <v>0.50275862068965516</v>
      </c>
    </row>
    <row r="41" spans="1:4" x14ac:dyDescent="0.3">
      <c r="A41" s="51">
        <f t="shared" si="0"/>
        <v>39</v>
      </c>
      <c r="B41" s="55">
        <v>0.25493919022938366</v>
      </c>
      <c r="C41" s="36">
        <v>0.72203423175290182</v>
      </c>
      <c r="D41" s="36">
        <v>0.50275862068965516</v>
      </c>
    </row>
    <row r="42" spans="1:4" x14ac:dyDescent="0.3">
      <c r="A42" s="51">
        <f t="shared" si="0"/>
        <v>40</v>
      </c>
      <c r="B42" s="55">
        <v>0.25493919022938366</v>
      </c>
      <c r="C42" s="36">
        <v>0.72203423175290182</v>
      </c>
      <c r="D42" s="36">
        <v>0.50275862068965516</v>
      </c>
    </row>
    <row r="43" spans="1:4" x14ac:dyDescent="0.3">
      <c r="A43" s="51">
        <f t="shared" si="0"/>
        <v>41</v>
      </c>
      <c r="B43" s="55">
        <v>0.25493919022938366</v>
      </c>
      <c r="C43" s="36">
        <v>0.72203423175290182</v>
      </c>
      <c r="D43" s="36">
        <v>0.50275862068965516</v>
      </c>
    </row>
    <row r="44" spans="1:4" x14ac:dyDescent="0.3">
      <c r="A44" s="51">
        <f t="shared" si="0"/>
        <v>42</v>
      </c>
      <c r="B44" s="55">
        <v>0.25493919022938366</v>
      </c>
      <c r="C44" s="36">
        <v>0.72203423175290182</v>
      </c>
      <c r="D44" s="36">
        <v>0.50275862068965516</v>
      </c>
    </row>
    <row r="45" spans="1:4" x14ac:dyDescent="0.3">
      <c r="A45" s="51">
        <f t="shared" si="0"/>
        <v>43</v>
      </c>
      <c r="B45" s="55">
        <v>0.25493919022938366</v>
      </c>
      <c r="C45" s="36">
        <v>0.72203423175290182</v>
      </c>
      <c r="D45" s="36">
        <v>0.50275862068965516</v>
      </c>
    </row>
    <row r="46" spans="1:4" x14ac:dyDescent="0.3">
      <c r="A46" s="51">
        <f t="shared" si="0"/>
        <v>44</v>
      </c>
      <c r="B46" s="55">
        <v>0.25493919022938366</v>
      </c>
      <c r="C46" s="36">
        <v>0.72203423175290182</v>
      </c>
      <c r="D46" s="36">
        <v>0.50275862068965516</v>
      </c>
    </row>
    <row r="47" spans="1:4" x14ac:dyDescent="0.3">
      <c r="A47" s="51">
        <f t="shared" si="0"/>
        <v>45</v>
      </c>
      <c r="B47" s="55">
        <v>0.25493919022938366</v>
      </c>
      <c r="C47" s="36">
        <v>0.72203423175290182</v>
      </c>
      <c r="D47" s="36">
        <v>0.50275862068965516</v>
      </c>
    </row>
    <row r="48" spans="1:4" x14ac:dyDescent="0.3">
      <c r="A48" s="51">
        <f t="shared" si="0"/>
        <v>46</v>
      </c>
      <c r="B48" s="55">
        <v>0.25493919022938366</v>
      </c>
      <c r="C48" s="36">
        <v>0.72203423175290182</v>
      </c>
      <c r="D48" s="36">
        <v>0.50275862068965516</v>
      </c>
    </row>
    <row r="49" spans="1:4" x14ac:dyDescent="0.3">
      <c r="A49" s="51">
        <f t="shared" si="0"/>
        <v>47</v>
      </c>
      <c r="B49" s="55">
        <v>0.25493919022938366</v>
      </c>
      <c r="C49" s="36">
        <v>0.72203423175290182</v>
      </c>
      <c r="D49" s="36">
        <v>0.50275862068965516</v>
      </c>
    </row>
    <row r="50" spans="1:4" x14ac:dyDescent="0.3">
      <c r="A50" s="51">
        <f t="shared" si="0"/>
        <v>48</v>
      </c>
      <c r="B50" s="55">
        <v>0.25493919022938366</v>
      </c>
      <c r="C50" s="36">
        <v>0.72203423175290182</v>
      </c>
      <c r="D50" s="36">
        <v>0.50275862068965516</v>
      </c>
    </row>
    <row r="51" spans="1:4" x14ac:dyDescent="0.3">
      <c r="A51" s="51">
        <f t="shared" si="0"/>
        <v>49</v>
      </c>
      <c r="B51" s="55">
        <v>0.25493919022938366</v>
      </c>
      <c r="C51" s="36">
        <v>0.72203423175290182</v>
      </c>
      <c r="D51" s="36">
        <v>0.50275862068965516</v>
      </c>
    </row>
    <row r="52" spans="1:4" x14ac:dyDescent="0.3">
      <c r="A52" s="51">
        <f t="shared" si="0"/>
        <v>50</v>
      </c>
      <c r="B52" s="55">
        <v>0.25493919022938366</v>
      </c>
      <c r="C52" s="36">
        <v>0.72203423175290182</v>
      </c>
      <c r="D52" s="36">
        <v>0.50275862068965516</v>
      </c>
    </row>
    <row r="53" spans="1:4" x14ac:dyDescent="0.3">
      <c r="A53" s="51">
        <f t="shared" si="0"/>
        <v>51</v>
      </c>
      <c r="B53" s="55">
        <v>0.25493919022938366</v>
      </c>
      <c r="C53" s="36">
        <v>0.72203423175290182</v>
      </c>
      <c r="D53" s="36">
        <v>0.50275862068965516</v>
      </c>
    </row>
    <row r="54" spans="1:4" x14ac:dyDescent="0.3">
      <c r="A54" s="51">
        <f t="shared" si="0"/>
        <v>52</v>
      </c>
      <c r="B54" s="55">
        <v>0.25493919022938366</v>
      </c>
      <c r="C54" s="36">
        <v>0.72203423175290182</v>
      </c>
      <c r="D54" s="36">
        <v>0.50275862068965516</v>
      </c>
    </row>
    <row r="55" spans="1:4" x14ac:dyDescent="0.3">
      <c r="A55" s="51">
        <f t="shared" si="0"/>
        <v>53</v>
      </c>
      <c r="B55" s="55">
        <v>0.25493919022938366</v>
      </c>
      <c r="C55" s="36">
        <v>0.72203423175290182</v>
      </c>
      <c r="D55" s="36">
        <v>0.50275862068965516</v>
      </c>
    </row>
    <row r="56" spans="1:4" x14ac:dyDescent="0.3">
      <c r="A56" s="51">
        <f t="shared" si="0"/>
        <v>54</v>
      </c>
      <c r="B56" s="55">
        <v>0.25493919022938366</v>
      </c>
      <c r="C56" s="36">
        <v>0.72203423175290182</v>
      </c>
      <c r="D56" s="36">
        <v>0.50275862068965516</v>
      </c>
    </row>
    <row r="57" spans="1:4" x14ac:dyDescent="0.3">
      <c r="A57" s="51">
        <f t="shared" si="0"/>
        <v>55</v>
      </c>
      <c r="B57" s="55">
        <v>0.25493919022938366</v>
      </c>
      <c r="C57" s="36">
        <v>0.72203423175290182</v>
      </c>
      <c r="D57" s="36">
        <v>0.50275862068965516</v>
      </c>
    </row>
    <row r="58" spans="1:4" x14ac:dyDescent="0.3">
      <c r="A58" s="51">
        <f t="shared" si="0"/>
        <v>56</v>
      </c>
      <c r="B58" s="55">
        <v>0.25493919022938366</v>
      </c>
      <c r="C58" s="36">
        <v>0.72203423175290182</v>
      </c>
      <c r="D58" s="36">
        <v>0.50275862068965516</v>
      </c>
    </row>
    <row r="59" spans="1:4" x14ac:dyDescent="0.3">
      <c r="A59" s="51">
        <f t="shared" si="0"/>
        <v>57</v>
      </c>
      <c r="B59" s="55">
        <v>0.25493919022938366</v>
      </c>
      <c r="C59" s="36">
        <v>0.72203423175290182</v>
      </c>
      <c r="D59" s="36">
        <v>0.50275862068965516</v>
      </c>
    </row>
    <row r="60" spans="1:4" x14ac:dyDescent="0.3">
      <c r="A60" s="51">
        <f t="shared" si="0"/>
        <v>58</v>
      </c>
      <c r="B60" s="55">
        <v>0.25493919022938366</v>
      </c>
      <c r="C60" s="36">
        <v>0.72203423175290182</v>
      </c>
      <c r="D60" s="36">
        <v>0.50275862068965516</v>
      </c>
    </row>
    <row r="61" spans="1:4" x14ac:dyDescent="0.3">
      <c r="A61" s="51">
        <f t="shared" si="0"/>
        <v>59</v>
      </c>
      <c r="B61" s="55">
        <v>0.25493919022938366</v>
      </c>
      <c r="C61" s="36">
        <v>0.72203423175290182</v>
      </c>
      <c r="D61" s="36">
        <v>0.50275862068965516</v>
      </c>
    </row>
    <row r="62" spans="1:4" x14ac:dyDescent="0.3">
      <c r="A62" s="51">
        <f t="shared" si="0"/>
        <v>60</v>
      </c>
      <c r="B62" s="55">
        <v>0.25493919022938366</v>
      </c>
      <c r="C62" s="36">
        <v>0.72203423175290182</v>
      </c>
      <c r="D62" s="36">
        <v>0.50275862068965516</v>
      </c>
    </row>
    <row r="63" spans="1:4" x14ac:dyDescent="0.3">
      <c r="A63" s="51">
        <f t="shared" si="0"/>
        <v>61</v>
      </c>
      <c r="B63" s="55">
        <v>0.25493919022938366</v>
      </c>
      <c r="C63" s="36">
        <v>0.72203423175290182</v>
      </c>
      <c r="D63" s="36">
        <v>0.50275862068965516</v>
      </c>
    </row>
    <row r="64" spans="1:4" x14ac:dyDescent="0.3">
      <c r="A64" s="51">
        <f t="shared" si="0"/>
        <v>62</v>
      </c>
      <c r="B64" s="55">
        <v>0.25493919022938366</v>
      </c>
      <c r="C64" s="36">
        <v>0.72203423175290182</v>
      </c>
      <c r="D64" s="36">
        <v>0.50275862068965516</v>
      </c>
    </row>
    <row r="65" spans="1:4" x14ac:dyDescent="0.3">
      <c r="A65" s="51">
        <f t="shared" si="0"/>
        <v>63</v>
      </c>
      <c r="B65" s="55">
        <v>0.25493919022938366</v>
      </c>
      <c r="C65" s="36">
        <v>0.72203423175290182</v>
      </c>
      <c r="D65" s="36">
        <v>0.50275862068965516</v>
      </c>
    </row>
    <row r="66" spans="1:4" x14ac:dyDescent="0.3">
      <c r="A66" s="51">
        <f t="shared" si="0"/>
        <v>64</v>
      </c>
      <c r="B66" s="55">
        <v>0.25493919022938366</v>
      </c>
      <c r="C66" s="36">
        <v>0.72203423175290182</v>
      </c>
      <c r="D66" s="36">
        <v>0.50275862068965516</v>
      </c>
    </row>
    <row r="67" spans="1:4" x14ac:dyDescent="0.3">
      <c r="A67" s="51">
        <f t="shared" si="0"/>
        <v>65</v>
      </c>
      <c r="B67" s="55">
        <v>0.25493919022938366</v>
      </c>
      <c r="C67" s="36">
        <v>0.72203423175290182</v>
      </c>
      <c r="D67" s="36">
        <v>0.50275862068965516</v>
      </c>
    </row>
    <row r="68" spans="1:4" x14ac:dyDescent="0.3">
      <c r="A68" s="51">
        <f t="shared" ref="A68:A131" si="1">A67+1</f>
        <v>66</v>
      </c>
      <c r="B68" s="55">
        <v>0.25493919022938366</v>
      </c>
      <c r="C68" s="36">
        <v>0.72203423175290182</v>
      </c>
      <c r="D68" s="36">
        <v>0.50275862068965516</v>
      </c>
    </row>
    <row r="69" spans="1:4" x14ac:dyDescent="0.3">
      <c r="A69" s="51">
        <f t="shared" si="1"/>
        <v>67</v>
      </c>
      <c r="B69" s="55">
        <v>0.25493919022938366</v>
      </c>
      <c r="C69" s="36">
        <v>0.72203423175290182</v>
      </c>
      <c r="D69" s="36">
        <v>0.50275862068965516</v>
      </c>
    </row>
    <row r="70" spans="1:4" x14ac:dyDescent="0.3">
      <c r="A70" s="51">
        <f t="shared" si="1"/>
        <v>68</v>
      </c>
      <c r="B70" s="55">
        <v>0.25493919022938366</v>
      </c>
      <c r="C70" s="36">
        <v>0.72203423175290182</v>
      </c>
      <c r="D70" s="36">
        <v>0.50275862068965516</v>
      </c>
    </row>
    <row r="71" spans="1:4" x14ac:dyDescent="0.3">
      <c r="A71" s="51">
        <f t="shared" si="1"/>
        <v>69</v>
      </c>
      <c r="B71" s="55">
        <v>0.25493919022938366</v>
      </c>
      <c r="C71" s="36">
        <v>0.72203423175290182</v>
      </c>
      <c r="D71" s="36">
        <v>0.50275862068965516</v>
      </c>
    </row>
    <row r="72" spans="1:4" x14ac:dyDescent="0.3">
      <c r="A72" s="51">
        <f t="shared" si="1"/>
        <v>70</v>
      </c>
      <c r="B72" s="55">
        <v>0.25493919022938366</v>
      </c>
      <c r="C72" s="36">
        <v>0.72203423175290182</v>
      </c>
      <c r="D72" s="36">
        <v>0.50275862068965516</v>
      </c>
    </row>
    <row r="73" spans="1:4" x14ac:dyDescent="0.3">
      <c r="A73" s="51">
        <f t="shared" si="1"/>
        <v>71</v>
      </c>
      <c r="B73" s="55">
        <v>0.25493919022938366</v>
      </c>
      <c r="C73" s="36">
        <v>0.72203423175290182</v>
      </c>
      <c r="D73" s="36">
        <v>0.50275862068965516</v>
      </c>
    </row>
    <row r="74" spans="1:4" x14ac:dyDescent="0.3">
      <c r="A74" s="51">
        <f t="shared" si="1"/>
        <v>72</v>
      </c>
      <c r="B74" s="55">
        <v>0.25493919022938366</v>
      </c>
      <c r="C74" s="36">
        <v>0.72203423175290182</v>
      </c>
      <c r="D74" s="36">
        <v>0.50275862068965516</v>
      </c>
    </row>
    <row r="75" spans="1:4" x14ac:dyDescent="0.3">
      <c r="A75" s="51">
        <f t="shared" si="1"/>
        <v>73</v>
      </c>
      <c r="B75" s="55">
        <v>0.25493919022938366</v>
      </c>
      <c r="C75" s="36">
        <v>0.72203423175290182</v>
      </c>
      <c r="D75" s="36">
        <v>0.50275862068965516</v>
      </c>
    </row>
    <row r="76" spans="1:4" x14ac:dyDescent="0.3">
      <c r="A76" s="51">
        <f t="shared" si="1"/>
        <v>74</v>
      </c>
      <c r="B76" s="55">
        <v>0.25493919022938366</v>
      </c>
      <c r="C76" s="36">
        <v>0.72203423175290182</v>
      </c>
      <c r="D76" s="36">
        <v>0.50275862068965516</v>
      </c>
    </row>
    <row r="77" spans="1:4" x14ac:dyDescent="0.3">
      <c r="A77" s="51">
        <f t="shared" si="1"/>
        <v>75</v>
      </c>
      <c r="B77" s="55">
        <v>0.25493919022938366</v>
      </c>
      <c r="C77" s="36">
        <v>0.72203423175290182</v>
      </c>
      <c r="D77" s="36">
        <v>0.50275862068965516</v>
      </c>
    </row>
    <row r="78" spans="1:4" x14ac:dyDescent="0.3">
      <c r="A78" s="51">
        <f t="shared" si="1"/>
        <v>76</v>
      </c>
      <c r="B78" s="55">
        <v>0.25493919022938366</v>
      </c>
      <c r="C78" s="36">
        <v>0.72203423175290182</v>
      </c>
      <c r="D78" s="36">
        <v>0.50275862068965516</v>
      </c>
    </row>
    <row r="79" spans="1:4" x14ac:dyDescent="0.3">
      <c r="A79" s="51">
        <f t="shared" si="1"/>
        <v>77</v>
      </c>
      <c r="B79" s="55">
        <v>0.25493919022938366</v>
      </c>
      <c r="C79" s="36">
        <v>0.72203423175290182</v>
      </c>
      <c r="D79" s="36">
        <v>0.50275862068965516</v>
      </c>
    </row>
    <row r="80" spans="1:4" x14ac:dyDescent="0.3">
      <c r="A80" s="51">
        <f t="shared" si="1"/>
        <v>78</v>
      </c>
      <c r="B80" s="55">
        <v>0.25493919022938366</v>
      </c>
      <c r="C80" s="36">
        <v>0.72203423175290182</v>
      </c>
      <c r="D80" s="36">
        <v>0.50275862068965516</v>
      </c>
    </row>
    <row r="81" spans="1:4" x14ac:dyDescent="0.3">
      <c r="A81" s="51">
        <f t="shared" si="1"/>
        <v>79</v>
      </c>
      <c r="B81" s="55">
        <v>0.25493919022938366</v>
      </c>
      <c r="C81" s="36">
        <v>0.72203423175290182</v>
      </c>
      <c r="D81" s="36">
        <v>0.50275862068965516</v>
      </c>
    </row>
    <row r="82" spans="1:4" x14ac:dyDescent="0.3">
      <c r="A82" s="51">
        <f t="shared" si="1"/>
        <v>80</v>
      </c>
      <c r="B82" s="55">
        <v>0.25493919022938366</v>
      </c>
      <c r="C82" s="36">
        <v>0.72203423175290182</v>
      </c>
      <c r="D82" s="36">
        <v>0.50275862068965516</v>
      </c>
    </row>
    <row r="83" spans="1:4" x14ac:dyDescent="0.3">
      <c r="A83" s="51">
        <f t="shared" si="1"/>
        <v>81</v>
      </c>
      <c r="B83" s="55">
        <v>0.25493919022938366</v>
      </c>
      <c r="C83" s="36">
        <v>0.72203423175290182</v>
      </c>
      <c r="D83" s="36">
        <v>0.50275862068965516</v>
      </c>
    </row>
    <row r="84" spans="1:4" x14ac:dyDescent="0.3">
      <c r="A84" s="51">
        <f t="shared" si="1"/>
        <v>82</v>
      </c>
      <c r="B84" s="55">
        <v>0.25493919022938366</v>
      </c>
      <c r="C84" s="36">
        <v>0.72203423175290182</v>
      </c>
      <c r="D84" s="36">
        <v>0.50275862068965516</v>
      </c>
    </row>
    <row r="85" spans="1:4" x14ac:dyDescent="0.3">
      <c r="A85" s="51">
        <f t="shared" si="1"/>
        <v>83</v>
      </c>
      <c r="B85" s="55">
        <v>0.25493919022938366</v>
      </c>
      <c r="C85" s="36">
        <v>0.72203423175290182</v>
      </c>
      <c r="D85" s="36">
        <v>0.50275862068965516</v>
      </c>
    </row>
    <row r="86" spans="1:4" x14ac:dyDescent="0.3">
      <c r="A86" s="51">
        <f t="shared" si="1"/>
        <v>84</v>
      </c>
      <c r="B86" s="55">
        <v>0.25493919022938366</v>
      </c>
      <c r="C86" s="36">
        <v>0.72203423175290182</v>
      </c>
      <c r="D86" s="36">
        <v>0.50275862068965516</v>
      </c>
    </row>
    <row r="87" spans="1:4" x14ac:dyDescent="0.3">
      <c r="A87" s="51">
        <f t="shared" si="1"/>
        <v>85</v>
      </c>
      <c r="B87" s="55">
        <v>0.25493919022938366</v>
      </c>
      <c r="C87" s="36">
        <v>0.72203423175290182</v>
      </c>
      <c r="D87" s="36">
        <v>0.50275862068965516</v>
      </c>
    </row>
    <row r="88" spans="1:4" x14ac:dyDescent="0.3">
      <c r="A88" s="51">
        <f t="shared" si="1"/>
        <v>86</v>
      </c>
      <c r="B88" s="55">
        <v>0.25493919022938366</v>
      </c>
      <c r="C88" s="36">
        <v>0.72203423175290182</v>
      </c>
      <c r="D88" s="36">
        <v>0.50275862068965516</v>
      </c>
    </row>
    <row r="89" spans="1:4" x14ac:dyDescent="0.3">
      <c r="A89" s="51">
        <f t="shared" si="1"/>
        <v>87</v>
      </c>
      <c r="B89" s="55">
        <v>0.25493919022938366</v>
      </c>
      <c r="C89" s="36">
        <v>0.72203423175290182</v>
      </c>
      <c r="D89" s="36">
        <v>0.50275862068965516</v>
      </c>
    </row>
    <row r="90" spans="1:4" x14ac:dyDescent="0.3">
      <c r="A90" s="51">
        <f t="shared" si="1"/>
        <v>88</v>
      </c>
      <c r="B90" s="55">
        <v>0.25493919022938366</v>
      </c>
      <c r="C90" s="36">
        <v>0.72203423175290182</v>
      </c>
      <c r="D90" s="36">
        <v>0.50275862068965516</v>
      </c>
    </row>
    <row r="91" spans="1:4" x14ac:dyDescent="0.3">
      <c r="A91" s="51">
        <f t="shared" si="1"/>
        <v>89</v>
      </c>
      <c r="B91" s="55">
        <v>0.25493919022938366</v>
      </c>
      <c r="C91" s="36">
        <v>0.72203423175290182</v>
      </c>
      <c r="D91" s="36">
        <v>0.50275862068965516</v>
      </c>
    </row>
    <row r="92" spans="1:4" x14ac:dyDescent="0.3">
      <c r="A92" s="51">
        <f t="shared" si="1"/>
        <v>90</v>
      </c>
      <c r="B92" s="55">
        <v>0.25493919022938366</v>
      </c>
      <c r="C92" s="36">
        <v>0.72203423175290182</v>
      </c>
      <c r="D92" s="36">
        <v>0.50275862068965516</v>
      </c>
    </row>
    <row r="93" spans="1:4" x14ac:dyDescent="0.3">
      <c r="A93" s="51">
        <f t="shared" si="1"/>
        <v>91</v>
      </c>
      <c r="B93" s="55">
        <v>0.25493919022938366</v>
      </c>
      <c r="C93" s="36">
        <v>0.72203423175290182</v>
      </c>
      <c r="D93" s="36">
        <v>0.50275862068965516</v>
      </c>
    </row>
    <row r="94" spans="1:4" x14ac:dyDescent="0.3">
      <c r="A94" s="51">
        <f t="shared" si="1"/>
        <v>92</v>
      </c>
      <c r="B94" s="55">
        <v>0.25493919022938366</v>
      </c>
      <c r="C94" s="36">
        <v>0.72203423175290182</v>
      </c>
      <c r="D94" s="36">
        <v>0.50275862068965516</v>
      </c>
    </row>
    <row r="95" spans="1:4" x14ac:dyDescent="0.3">
      <c r="A95" s="51">
        <f t="shared" si="1"/>
        <v>93</v>
      </c>
      <c r="B95" s="55">
        <v>0.25493919022938366</v>
      </c>
      <c r="C95" s="36">
        <v>0.72203423175290182</v>
      </c>
      <c r="D95" s="36">
        <v>0.50275862068965516</v>
      </c>
    </row>
    <row r="96" spans="1:4" x14ac:dyDescent="0.3">
      <c r="A96" s="51">
        <f t="shared" si="1"/>
        <v>94</v>
      </c>
      <c r="B96" s="55">
        <v>0.25493919022938366</v>
      </c>
      <c r="C96" s="36">
        <v>0.72203423175290182</v>
      </c>
      <c r="D96" s="36">
        <v>0.50275862068965516</v>
      </c>
    </row>
    <row r="97" spans="1:4" x14ac:dyDescent="0.3">
      <c r="A97" s="51">
        <f t="shared" si="1"/>
        <v>95</v>
      </c>
      <c r="B97" s="55">
        <v>0.25493919022938366</v>
      </c>
      <c r="C97" s="36">
        <v>0.72203423175290182</v>
      </c>
      <c r="D97" s="36">
        <v>0.50275862068965516</v>
      </c>
    </row>
    <row r="98" spans="1:4" x14ac:dyDescent="0.3">
      <c r="A98" s="51">
        <f t="shared" si="1"/>
        <v>96</v>
      </c>
      <c r="B98" s="55">
        <v>0.25493919022938366</v>
      </c>
      <c r="C98" s="36">
        <v>0.72203423175290182</v>
      </c>
      <c r="D98" s="36">
        <v>0.50275862068965516</v>
      </c>
    </row>
    <row r="99" spans="1:4" x14ac:dyDescent="0.3">
      <c r="A99" s="51">
        <f t="shared" si="1"/>
        <v>97</v>
      </c>
      <c r="B99" s="55">
        <v>0.25493919022938366</v>
      </c>
      <c r="C99" s="36">
        <v>0.72203423175290182</v>
      </c>
      <c r="D99" s="36">
        <v>0.50275862068965516</v>
      </c>
    </row>
    <row r="100" spans="1:4" x14ac:dyDescent="0.3">
      <c r="A100" s="51">
        <f t="shared" si="1"/>
        <v>98</v>
      </c>
      <c r="B100" s="55">
        <v>0.25493919022938366</v>
      </c>
      <c r="C100" s="36">
        <v>0.72203423175290182</v>
      </c>
      <c r="D100" s="36">
        <v>0.50275862068965516</v>
      </c>
    </row>
    <row r="101" spans="1:4" x14ac:dyDescent="0.3">
      <c r="A101" s="51">
        <f t="shared" si="1"/>
        <v>99</v>
      </c>
      <c r="B101" s="55">
        <v>0.25493919022938366</v>
      </c>
      <c r="C101" s="36">
        <v>0.72203423175290182</v>
      </c>
      <c r="D101" s="36">
        <v>0.50275862068965516</v>
      </c>
    </row>
    <row r="102" spans="1:4" x14ac:dyDescent="0.3">
      <c r="A102" s="51">
        <f t="shared" si="1"/>
        <v>100</v>
      </c>
      <c r="B102" s="55">
        <v>0.25493919022938366</v>
      </c>
      <c r="C102" s="36">
        <v>0.72203423175290182</v>
      </c>
      <c r="D102" s="36">
        <v>0.50275862068965516</v>
      </c>
    </row>
    <row r="103" spans="1:4" x14ac:dyDescent="0.3">
      <c r="A103" s="51">
        <f t="shared" si="1"/>
        <v>101</v>
      </c>
      <c r="B103" s="55">
        <v>0.25493919022938366</v>
      </c>
      <c r="C103" s="36">
        <v>0.72203423175290182</v>
      </c>
      <c r="D103" s="36">
        <v>0.50275862068965516</v>
      </c>
    </row>
    <row r="104" spans="1:4" x14ac:dyDescent="0.3">
      <c r="A104" s="51">
        <f t="shared" si="1"/>
        <v>102</v>
      </c>
      <c r="B104" s="55">
        <v>0.25493919022938366</v>
      </c>
      <c r="C104" s="36">
        <v>0.72203423175290182</v>
      </c>
      <c r="D104" s="36">
        <v>0.50275862068965516</v>
      </c>
    </row>
    <row r="105" spans="1:4" x14ac:dyDescent="0.3">
      <c r="A105" s="51">
        <f t="shared" si="1"/>
        <v>103</v>
      </c>
      <c r="B105" s="55">
        <v>0.25493919022938366</v>
      </c>
      <c r="C105" s="36">
        <v>0.72203423175290182</v>
      </c>
      <c r="D105" s="36">
        <v>0.50275862068965516</v>
      </c>
    </row>
    <row r="106" spans="1:4" x14ac:dyDescent="0.3">
      <c r="A106" s="51">
        <f t="shared" si="1"/>
        <v>104</v>
      </c>
      <c r="B106" s="55">
        <v>0.25493919022938366</v>
      </c>
      <c r="C106" s="36">
        <v>0.72203423175290182</v>
      </c>
      <c r="D106" s="36">
        <v>0.50275862068965516</v>
      </c>
    </row>
    <row r="107" spans="1:4" x14ac:dyDescent="0.3">
      <c r="A107" s="51">
        <f t="shared" si="1"/>
        <v>105</v>
      </c>
      <c r="B107" s="55">
        <v>0.25493919022938366</v>
      </c>
      <c r="C107" s="36">
        <v>0.72203423175290182</v>
      </c>
      <c r="D107" s="36">
        <v>0.50275862068965516</v>
      </c>
    </row>
    <row r="108" spans="1:4" x14ac:dyDescent="0.3">
      <c r="A108" s="51">
        <f t="shared" si="1"/>
        <v>106</v>
      </c>
      <c r="B108" s="55">
        <v>0.25493919022938366</v>
      </c>
      <c r="C108" s="36">
        <v>0.72203423175290182</v>
      </c>
      <c r="D108" s="36">
        <v>0.50275862068965516</v>
      </c>
    </row>
    <row r="109" spans="1:4" x14ac:dyDescent="0.3">
      <c r="A109" s="51">
        <f t="shared" si="1"/>
        <v>107</v>
      </c>
      <c r="B109" s="55">
        <v>0.25493919022938366</v>
      </c>
      <c r="C109" s="36">
        <v>0.72203423175290182</v>
      </c>
      <c r="D109" s="36">
        <v>0.50275862068965516</v>
      </c>
    </row>
    <row r="110" spans="1:4" x14ac:dyDescent="0.3">
      <c r="A110" s="51">
        <f t="shared" si="1"/>
        <v>108</v>
      </c>
      <c r="B110" s="55">
        <v>0</v>
      </c>
      <c r="C110" s="36">
        <v>0.72203423175290182</v>
      </c>
      <c r="D110" s="36">
        <v>0.50275862068965516</v>
      </c>
    </row>
    <row r="111" spans="1:4" x14ac:dyDescent="0.3">
      <c r="A111" s="51">
        <f t="shared" si="1"/>
        <v>109</v>
      </c>
      <c r="B111" s="55">
        <v>0.25493919022938366</v>
      </c>
      <c r="C111" s="36">
        <v>0.72203423175290182</v>
      </c>
      <c r="D111" s="36">
        <v>0.50275862068965516</v>
      </c>
    </row>
    <row r="112" spans="1:4" x14ac:dyDescent="0.3">
      <c r="A112" s="51">
        <f t="shared" si="1"/>
        <v>110</v>
      </c>
      <c r="B112" s="55">
        <v>0</v>
      </c>
      <c r="C112" s="36">
        <v>0.72203423175290182</v>
      </c>
      <c r="D112" s="36">
        <v>0.50275862068965516</v>
      </c>
    </row>
    <row r="113" spans="1:4" x14ac:dyDescent="0.3">
      <c r="A113" s="51">
        <f t="shared" si="1"/>
        <v>111</v>
      </c>
      <c r="B113" s="55">
        <v>0</v>
      </c>
      <c r="C113" s="36">
        <v>0.72203423175290182</v>
      </c>
      <c r="D113" s="36">
        <v>0.50275862068965516</v>
      </c>
    </row>
    <row r="114" spans="1:4" x14ac:dyDescent="0.3">
      <c r="A114" s="51">
        <f t="shared" si="1"/>
        <v>112</v>
      </c>
      <c r="B114" s="55">
        <v>0.25493919022938366</v>
      </c>
      <c r="C114" s="36">
        <v>0.72203423175290182</v>
      </c>
      <c r="D114" s="36">
        <v>0.50275862068965516</v>
      </c>
    </row>
    <row r="115" spans="1:4" x14ac:dyDescent="0.3">
      <c r="A115" s="51">
        <f t="shared" si="1"/>
        <v>113</v>
      </c>
      <c r="B115" s="55">
        <v>0.25493919022938366</v>
      </c>
      <c r="C115" s="36">
        <v>0.72203423175290182</v>
      </c>
      <c r="D115" s="36">
        <v>0.50275862068965516</v>
      </c>
    </row>
    <row r="116" spans="1:4" x14ac:dyDescent="0.3">
      <c r="A116" s="51">
        <f t="shared" si="1"/>
        <v>114</v>
      </c>
      <c r="B116" s="55">
        <v>0.25493919022938366</v>
      </c>
      <c r="C116" s="36">
        <v>0.72203423175290182</v>
      </c>
      <c r="D116" s="36">
        <v>0.50275862068965516</v>
      </c>
    </row>
    <row r="117" spans="1:4" x14ac:dyDescent="0.3">
      <c r="A117" s="51">
        <f t="shared" si="1"/>
        <v>115</v>
      </c>
      <c r="B117" s="55">
        <v>0.25493919022938366</v>
      </c>
      <c r="C117" s="36">
        <v>0.72203423175290182</v>
      </c>
      <c r="D117" s="36">
        <v>0.50275862068965516</v>
      </c>
    </row>
    <row r="118" spans="1:4" x14ac:dyDescent="0.3">
      <c r="A118" s="51">
        <f t="shared" si="1"/>
        <v>116</v>
      </c>
      <c r="B118" s="55">
        <v>0.25493919022938366</v>
      </c>
      <c r="C118" s="36">
        <v>0.72203423175290182</v>
      </c>
      <c r="D118" s="36">
        <v>0.50275862068965516</v>
      </c>
    </row>
    <row r="119" spans="1:4" x14ac:dyDescent="0.3">
      <c r="A119" s="51">
        <f t="shared" si="1"/>
        <v>117</v>
      </c>
      <c r="B119" s="55">
        <v>0.25493919022938366</v>
      </c>
      <c r="C119" s="36">
        <v>0.72203423175290182</v>
      </c>
      <c r="D119" s="36">
        <v>0.50275862068965516</v>
      </c>
    </row>
    <row r="120" spans="1:4" x14ac:dyDescent="0.3">
      <c r="A120" s="51">
        <f t="shared" si="1"/>
        <v>118</v>
      </c>
      <c r="B120" s="55">
        <v>0.25493919022938366</v>
      </c>
      <c r="C120" s="36">
        <v>0.72203423175290182</v>
      </c>
      <c r="D120" s="36">
        <v>0.50275862068965516</v>
      </c>
    </row>
    <row r="121" spans="1:4" x14ac:dyDescent="0.3">
      <c r="A121" s="51">
        <f t="shared" si="1"/>
        <v>119</v>
      </c>
      <c r="B121" s="55">
        <v>0.25493919022938366</v>
      </c>
      <c r="C121" s="36">
        <v>0.72203423175290182</v>
      </c>
      <c r="D121" s="36">
        <v>0.50275862068965516</v>
      </c>
    </row>
    <row r="122" spans="1:4" x14ac:dyDescent="0.3">
      <c r="A122" s="51">
        <f t="shared" si="1"/>
        <v>120</v>
      </c>
      <c r="B122" s="55">
        <v>0.25493919022938366</v>
      </c>
      <c r="C122" s="36">
        <v>0.72203423175290182</v>
      </c>
      <c r="D122" s="36">
        <v>0.50275862068965516</v>
      </c>
    </row>
    <row r="123" spans="1:4" x14ac:dyDescent="0.3">
      <c r="A123" s="51">
        <f t="shared" si="1"/>
        <v>121</v>
      </c>
      <c r="B123" s="55">
        <v>0.25493919022938366</v>
      </c>
      <c r="C123" s="36">
        <v>0.72203423175290182</v>
      </c>
      <c r="D123" s="36">
        <v>0.50275862068965516</v>
      </c>
    </row>
    <row r="124" spans="1:4" x14ac:dyDescent="0.3">
      <c r="A124" s="51">
        <f t="shared" si="1"/>
        <v>122</v>
      </c>
      <c r="B124" s="55">
        <v>0.25493919022938366</v>
      </c>
      <c r="C124" s="36">
        <v>0.72203423175290182</v>
      </c>
      <c r="D124" s="36">
        <v>0.50275862068965516</v>
      </c>
    </row>
    <row r="125" spans="1:4" x14ac:dyDescent="0.3">
      <c r="A125" s="51">
        <f t="shared" si="1"/>
        <v>123</v>
      </c>
      <c r="B125" s="55">
        <v>0.25493919022938366</v>
      </c>
      <c r="C125" s="36">
        <v>0.72203423175290182</v>
      </c>
      <c r="D125" s="36">
        <v>0.50275862068965516</v>
      </c>
    </row>
    <row r="126" spans="1:4" x14ac:dyDescent="0.3">
      <c r="A126" s="51">
        <f t="shared" si="1"/>
        <v>124</v>
      </c>
      <c r="B126" s="55">
        <v>0.25493919022938366</v>
      </c>
      <c r="C126" s="36">
        <v>0.72203423175290182</v>
      </c>
      <c r="D126" s="36">
        <v>0.50275862068965516</v>
      </c>
    </row>
    <row r="127" spans="1:4" x14ac:dyDescent="0.3">
      <c r="A127" s="51">
        <f t="shared" si="1"/>
        <v>125</v>
      </c>
      <c r="B127" s="55">
        <v>0.25493919022938366</v>
      </c>
      <c r="C127" s="36">
        <v>0.72203423175290182</v>
      </c>
      <c r="D127" s="36">
        <v>0.50275862068965516</v>
      </c>
    </row>
    <row r="128" spans="1:4" x14ac:dyDescent="0.3">
      <c r="A128" s="51">
        <f t="shared" si="1"/>
        <v>126</v>
      </c>
      <c r="B128" s="55">
        <v>0.25493919022938366</v>
      </c>
      <c r="C128" s="36">
        <v>0.72203423175290182</v>
      </c>
      <c r="D128" s="36">
        <v>0.50275862068965516</v>
      </c>
    </row>
    <row r="129" spans="1:4" x14ac:dyDescent="0.3">
      <c r="A129" s="51">
        <f t="shared" si="1"/>
        <v>127</v>
      </c>
      <c r="B129" s="55">
        <v>0.25493919022938366</v>
      </c>
      <c r="C129" s="36">
        <v>0.72203423175290182</v>
      </c>
      <c r="D129" s="36">
        <v>0.50275862068965516</v>
      </c>
    </row>
    <row r="130" spans="1:4" x14ac:dyDescent="0.3">
      <c r="A130" s="51">
        <f t="shared" si="1"/>
        <v>128</v>
      </c>
      <c r="B130" s="55">
        <v>0.25493919022938366</v>
      </c>
      <c r="C130" s="36">
        <v>0.72203423175290182</v>
      </c>
      <c r="D130" s="36">
        <v>0.50275862068965516</v>
      </c>
    </row>
    <row r="131" spans="1:4" x14ac:dyDescent="0.3">
      <c r="A131" s="51">
        <f t="shared" si="1"/>
        <v>129</v>
      </c>
      <c r="B131" s="55">
        <v>0.25493919022938366</v>
      </c>
      <c r="C131" s="36">
        <v>0.72203423175290182</v>
      </c>
      <c r="D131" s="36">
        <v>0.50275862068965516</v>
      </c>
    </row>
    <row r="132" spans="1:4" x14ac:dyDescent="0.3">
      <c r="A132" s="51">
        <f t="shared" ref="A132:A169" si="2">A131+1</f>
        <v>130</v>
      </c>
      <c r="B132" s="55">
        <v>0.25493919022938366</v>
      </c>
      <c r="C132" s="36">
        <v>0.72203423175290182</v>
      </c>
      <c r="D132" s="36">
        <v>0.50275862068965516</v>
      </c>
    </row>
    <row r="133" spans="1:4" x14ac:dyDescent="0.3">
      <c r="A133" s="51">
        <f t="shared" si="2"/>
        <v>131</v>
      </c>
      <c r="B133" s="55">
        <v>0.25493919022938366</v>
      </c>
      <c r="C133" s="36">
        <v>0.72203423175290182</v>
      </c>
      <c r="D133" s="36">
        <v>0.50275862068965516</v>
      </c>
    </row>
    <row r="134" spans="1:4" x14ac:dyDescent="0.3">
      <c r="A134" s="51">
        <f t="shared" si="2"/>
        <v>132</v>
      </c>
      <c r="B134" s="55">
        <v>0.25493919022938366</v>
      </c>
      <c r="C134" s="36">
        <v>0.72203423175290182</v>
      </c>
      <c r="D134" s="36">
        <v>0.50275862068965516</v>
      </c>
    </row>
    <row r="135" spans="1:4" x14ac:dyDescent="0.3">
      <c r="A135" s="51">
        <f t="shared" si="2"/>
        <v>133</v>
      </c>
      <c r="B135" s="55">
        <v>0.25493919022938366</v>
      </c>
      <c r="C135" s="36">
        <v>0.72203423175290182</v>
      </c>
      <c r="D135" s="36">
        <v>0.50275862068965516</v>
      </c>
    </row>
    <row r="136" spans="1:4" x14ac:dyDescent="0.3">
      <c r="A136" s="51">
        <f t="shared" si="2"/>
        <v>134</v>
      </c>
      <c r="B136" s="55">
        <v>0.25493919022938366</v>
      </c>
      <c r="C136" s="36">
        <v>0.72203423175290182</v>
      </c>
      <c r="D136" s="36">
        <v>0.50275862068965516</v>
      </c>
    </row>
    <row r="137" spans="1:4" x14ac:dyDescent="0.3">
      <c r="A137" s="51">
        <f t="shared" si="2"/>
        <v>135</v>
      </c>
      <c r="B137" s="55">
        <v>0.25493919022938366</v>
      </c>
      <c r="C137" s="36">
        <v>0.72203423175290182</v>
      </c>
      <c r="D137" s="36">
        <v>0.50275862068965516</v>
      </c>
    </row>
    <row r="138" spans="1:4" x14ac:dyDescent="0.3">
      <c r="A138" s="51">
        <f t="shared" si="2"/>
        <v>136</v>
      </c>
      <c r="B138" s="55">
        <v>0.25493919022938366</v>
      </c>
      <c r="C138" s="36">
        <v>0.72203423175290182</v>
      </c>
      <c r="D138" s="36">
        <v>0.50275862068965516</v>
      </c>
    </row>
    <row r="139" spans="1:4" x14ac:dyDescent="0.3">
      <c r="A139" s="51">
        <f t="shared" si="2"/>
        <v>137</v>
      </c>
      <c r="B139" s="55">
        <v>0.25493919022938366</v>
      </c>
      <c r="C139" s="36">
        <v>0.72203423175290182</v>
      </c>
      <c r="D139" s="36">
        <v>0.50275862068965516</v>
      </c>
    </row>
    <row r="140" spans="1:4" x14ac:dyDescent="0.3">
      <c r="A140" s="51">
        <f t="shared" si="2"/>
        <v>138</v>
      </c>
      <c r="B140" s="55">
        <v>0.25493919022938366</v>
      </c>
      <c r="C140" s="36">
        <v>0.72203423175290182</v>
      </c>
      <c r="D140" s="36">
        <v>0.50275862068965516</v>
      </c>
    </row>
    <row r="141" spans="1:4" x14ac:dyDescent="0.3">
      <c r="A141" s="51">
        <f t="shared" si="2"/>
        <v>139</v>
      </c>
      <c r="B141" s="55">
        <v>0.25493919022938366</v>
      </c>
      <c r="C141" s="36">
        <v>0.72203423175290182</v>
      </c>
      <c r="D141" s="36">
        <v>0.50275862068965516</v>
      </c>
    </row>
    <row r="142" spans="1:4" x14ac:dyDescent="0.3">
      <c r="A142" s="51">
        <f t="shared" si="2"/>
        <v>140</v>
      </c>
      <c r="B142" s="55">
        <v>0.25493919022938366</v>
      </c>
      <c r="C142" s="36">
        <v>0.72203423175290182</v>
      </c>
      <c r="D142" s="36">
        <v>0.50275862068965516</v>
      </c>
    </row>
    <row r="143" spans="1:4" x14ac:dyDescent="0.3">
      <c r="A143" s="51">
        <f t="shared" si="2"/>
        <v>141</v>
      </c>
      <c r="B143" s="55">
        <v>0.25493919022938366</v>
      </c>
      <c r="C143" s="36">
        <v>0.72203423175290182</v>
      </c>
      <c r="D143" s="36">
        <v>0.50275862068965516</v>
      </c>
    </row>
    <row r="144" spans="1:4" x14ac:dyDescent="0.3">
      <c r="A144" s="51">
        <f t="shared" si="2"/>
        <v>142</v>
      </c>
      <c r="B144" s="55">
        <v>0.25493919022938366</v>
      </c>
      <c r="C144" s="36">
        <v>0.72203423175290182</v>
      </c>
      <c r="D144" s="36">
        <v>0.50275862068965516</v>
      </c>
    </row>
    <row r="145" spans="1:4" x14ac:dyDescent="0.3">
      <c r="A145" s="51">
        <f t="shared" si="2"/>
        <v>143</v>
      </c>
      <c r="B145" s="55">
        <v>0.25493919022938366</v>
      </c>
      <c r="C145" s="36">
        <v>0.72203423175290182</v>
      </c>
      <c r="D145" s="36">
        <v>0.50275862068965516</v>
      </c>
    </row>
    <row r="146" spans="1:4" x14ac:dyDescent="0.3">
      <c r="A146" s="51">
        <f t="shared" si="2"/>
        <v>144</v>
      </c>
      <c r="B146" s="55">
        <v>0.25493919022938366</v>
      </c>
      <c r="C146" s="36">
        <v>0.72203423175290182</v>
      </c>
      <c r="D146" s="36">
        <v>0.50275862068965516</v>
      </c>
    </row>
    <row r="147" spans="1:4" x14ac:dyDescent="0.3">
      <c r="A147" s="51">
        <f t="shared" si="2"/>
        <v>145</v>
      </c>
      <c r="B147" s="55">
        <v>0.25493919022938366</v>
      </c>
      <c r="C147" s="36">
        <v>0.72203423175290182</v>
      </c>
      <c r="D147" s="36">
        <v>0.50275862068965516</v>
      </c>
    </row>
    <row r="148" spans="1:4" x14ac:dyDescent="0.3">
      <c r="A148" s="51">
        <f t="shared" si="2"/>
        <v>146</v>
      </c>
      <c r="B148" s="55">
        <v>0.25493919022938366</v>
      </c>
      <c r="C148" s="36">
        <v>0.72203423175290182</v>
      </c>
      <c r="D148" s="36">
        <v>0.50275862068965516</v>
      </c>
    </row>
    <row r="149" spans="1:4" x14ac:dyDescent="0.3">
      <c r="A149" s="51">
        <f t="shared" si="2"/>
        <v>147</v>
      </c>
      <c r="B149" s="55">
        <v>0.25493919022938366</v>
      </c>
      <c r="C149" s="36">
        <v>0.72203423175290182</v>
      </c>
      <c r="D149" s="36">
        <v>0.50275862068965516</v>
      </c>
    </row>
    <row r="150" spans="1:4" x14ac:dyDescent="0.3">
      <c r="A150" s="51">
        <f t="shared" si="2"/>
        <v>148</v>
      </c>
      <c r="B150" s="55">
        <v>0.25493919022938366</v>
      </c>
      <c r="C150" s="36">
        <v>0.72203423175290182</v>
      </c>
      <c r="D150" s="36">
        <v>0.50275862068965516</v>
      </c>
    </row>
    <row r="151" spans="1:4" x14ac:dyDescent="0.3">
      <c r="A151" s="51">
        <f t="shared" si="2"/>
        <v>149</v>
      </c>
      <c r="B151" s="55">
        <v>0.25493919022938366</v>
      </c>
      <c r="C151" s="36">
        <v>0.72203423175290182</v>
      </c>
      <c r="D151" s="36">
        <v>0.50275862068965516</v>
      </c>
    </row>
    <row r="152" spans="1:4" x14ac:dyDescent="0.3">
      <c r="A152" s="51">
        <f t="shared" si="2"/>
        <v>150</v>
      </c>
      <c r="B152" s="55">
        <v>0.25493919022938366</v>
      </c>
      <c r="C152" s="36">
        <v>0.72203423175290182</v>
      </c>
      <c r="D152" s="36">
        <v>0.50275862068965516</v>
      </c>
    </row>
    <row r="153" spans="1:4" x14ac:dyDescent="0.3">
      <c r="A153" s="51">
        <f t="shared" si="2"/>
        <v>151</v>
      </c>
      <c r="B153" s="55">
        <v>0.25493919022938366</v>
      </c>
      <c r="C153" s="36">
        <v>0.72203423175290182</v>
      </c>
      <c r="D153" s="36">
        <v>0.50275862068965516</v>
      </c>
    </row>
    <row r="154" spans="1:4" x14ac:dyDescent="0.3">
      <c r="A154" s="51">
        <f t="shared" si="2"/>
        <v>152</v>
      </c>
      <c r="B154" s="55">
        <v>0.25493919022938366</v>
      </c>
      <c r="C154" s="36">
        <v>0.72203423175290182</v>
      </c>
      <c r="D154" s="36">
        <v>0.50275862068965516</v>
      </c>
    </row>
    <row r="155" spans="1:4" x14ac:dyDescent="0.3">
      <c r="A155" s="51">
        <f t="shared" si="2"/>
        <v>153</v>
      </c>
      <c r="B155" s="55">
        <v>0.25493919022938366</v>
      </c>
      <c r="C155" s="36">
        <v>0.72203423175290182</v>
      </c>
      <c r="D155" s="36">
        <v>0.50275862068965516</v>
      </c>
    </row>
    <row r="156" spans="1:4" x14ac:dyDescent="0.3">
      <c r="A156" s="51">
        <f t="shared" si="2"/>
        <v>154</v>
      </c>
      <c r="B156" s="55">
        <v>0.25493919022938366</v>
      </c>
      <c r="C156" s="36">
        <v>0.72203423175290182</v>
      </c>
      <c r="D156" s="36">
        <v>0.50275862068965516</v>
      </c>
    </row>
    <row r="157" spans="1:4" x14ac:dyDescent="0.3">
      <c r="A157" s="51">
        <f t="shared" si="2"/>
        <v>155</v>
      </c>
      <c r="B157" s="55">
        <v>0.25493919022938366</v>
      </c>
      <c r="C157" s="36">
        <v>0.72203423175290182</v>
      </c>
      <c r="D157" s="36">
        <v>0.50275862068965516</v>
      </c>
    </row>
    <row r="158" spans="1:4" x14ac:dyDescent="0.3">
      <c r="A158" s="51">
        <f t="shared" si="2"/>
        <v>156</v>
      </c>
      <c r="B158" s="55">
        <v>0.25493919022938366</v>
      </c>
      <c r="C158" s="36">
        <v>0.72203423175290182</v>
      </c>
      <c r="D158" s="36">
        <v>0.50275862068965516</v>
      </c>
    </row>
    <row r="159" spans="1:4" x14ac:dyDescent="0.3">
      <c r="A159" s="51">
        <f t="shared" si="2"/>
        <v>157</v>
      </c>
      <c r="B159" s="55">
        <v>0.25493919022938366</v>
      </c>
      <c r="C159" s="36">
        <v>0.72203423175290182</v>
      </c>
      <c r="D159" s="36">
        <v>0.50275862068965516</v>
      </c>
    </row>
    <row r="160" spans="1:4" x14ac:dyDescent="0.3">
      <c r="A160" s="51">
        <f t="shared" si="2"/>
        <v>158</v>
      </c>
      <c r="B160" s="55">
        <v>0.25493919022938366</v>
      </c>
      <c r="C160" s="36">
        <v>0.72203423175290182</v>
      </c>
      <c r="D160" s="36">
        <v>0.50275862068965516</v>
      </c>
    </row>
    <row r="161" spans="1:4" x14ac:dyDescent="0.3">
      <c r="A161" s="51">
        <f t="shared" si="2"/>
        <v>159</v>
      </c>
      <c r="B161" s="55">
        <v>0</v>
      </c>
      <c r="C161" s="36">
        <v>0.72203423175290182</v>
      </c>
      <c r="D161" s="36">
        <v>0.50275862068965516</v>
      </c>
    </row>
    <row r="162" spans="1:4" x14ac:dyDescent="0.3">
      <c r="A162" s="51">
        <f t="shared" si="2"/>
        <v>160</v>
      </c>
      <c r="B162" s="55">
        <v>0</v>
      </c>
      <c r="C162" s="36">
        <v>0.72203423175290182</v>
      </c>
      <c r="D162" s="36">
        <v>0.50275862068965516</v>
      </c>
    </row>
    <row r="163" spans="1:4" x14ac:dyDescent="0.3">
      <c r="A163" s="51">
        <f t="shared" si="2"/>
        <v>161</v>
      </c>
      <c r="B163" s="55">
        <v>0.25493919022938366</v>
      </c>
      <c r="C163" s="36">
        <v>0.72203423175290182</v>
      </c>
      <c r="D163" s="36">
        <v>0.50275862068965516</v>
      </c>
    </row>
    <row r="164" spans="1:4" x14ac:dyDescent="0.3">
      <c r="A164" s="51">
        <f t="shared" si="2"/>
        <v>162</v>
      </c>
      <c r="B164" s="55">
        <v>0.25493919022938366</v>
      </c>
      <c r="C164" s="36">
        <v>0.72203423175290182</v>
      </c>
      <c r="D164" s="36">
        <v>0.50275862068965516</v>
      </c>
    </row>
    <row r="165" spans="1:4" x14ac:dyDescent="0.3">
      <c r="A165" s="51">
        <f t="shared" si="2"/>
        <v>163</v>
      </c>
      <c r="B165" s="55">
        <v>0.25493919022938366</v>
      </c>
      <c r="C165" s="36">
        <v>0.72203423175290182</v>
      </c>
      <c r="D165" s="36">
        <v>0.50275862068965516</v>
      </c>
    </row>
    <row r="166" spans="1:4" x14ac:dyDescent="0.3">
      <c r="A166" s="51">
        <f t="shared" si="2"/>
        <v>164</v>
      </c>
      <c r="B166" s="55">
        <v>0.25493919022938366</v>
      </c>
      <c r="C166" s="36">
        <v>0.72203423175290182</v>
      </c>
      <c r="D166" s="36">
        <v>0.50275862068965516</v>
      </c>
    </row>
    <row r="167" spans="1:4" x14ac:dyDescent="0.3">
      <c r="A167" s="51">
        <f t="shared" si="2"/>
        <v>165</v>
      </c>
      <c r="B167" s="55">
        <v>0.25493919022938366</v>
      </c>
      <c r="C167" s="36">
        <v>0.72203423175290182</v>
      </c>
      <c r="D167" s="36">
        <v>0.50275862068965516</v>
      </c>
    </row>
    <row r="168" spans="1:4" x14ac:dyDescent="0.3">
      <c r="A168" s="51">
        <f t="shared" si="2"/>
        <v>166</v>
      </c>
      <c r="B168" s="55">
        <v>0.25493919022938366</v>
      </c>
      <c r="C168" s="36">
        <v>0.72203423175290182</v>
      </c>
      <c r="D168" s="36">
        <v>0.50275862068965516</v>
      </c>
    </row>
    <row r="169" spans="1:4" x14ac:dyDescent="0.3">
      <c r="A169" s="51">
        <f t="shared" si="2"/>
        <v>167</v>
      </c>
      <c r="B169" s="55">
        <v>0.25493919022938366</v>
      </c>
      <c r="C169" s="36">
        <v>0.72203423175290182</v>
      </c>
      <c r="D169" s="36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3"/>
  <sheetViews>
    <sheetView workbookViewId="0">
      <selection activeCell="G17" sqref="G17"/>
    </sheetView>
  </sheetViews>
  <sheetFormatPr baseColWidth="10" defaultRowHeight="14" x14ac:dyDescent="0.3"/>
  <cols>
    <col min="1" max="1" width="17.453125" style="19" customWidth="1"/>
    <col min="2" max="2" width="12.81640625" style="19" bestFit="1" customWidth="1"/>
    <col min="3" max="3" width="12.54296875" style="19" bestFit="1" customWidth="1"/>
    <col min="4" max="6" width="10.90625" style="19"/>
    <col min="7" max="7" width="20" style="19" bestFit="1" customWidth="1"/>
    <col min="8" max="8" width="10.90625" style="19"/>
    <col min="9" max="9" width="12.6328125" style="19" customWidth="1"/>
    <col min="10" max="16384" width="10.90625" style="19"/>
  </cols>
  <sheetData>
    <row r="1" spans="1:11" x14ac:dyDescent="0.3">
      <c r="A1" s="16" t="s">
        <v>5</v>
      </c>
      <c r="B1" s="16" t="s">
        <v>15</v>
      </c>
      <c r="C1" s="16" t="s">
        <v>24</v>
      </c>
      <c r="D1" s="16" t="s">
        <v>25</v>
      </c>
      <c r="E1" s="16" t="s">
        <v>26</v>
      </c>
      <c r="F1" s="16" t="s">
        <v>27</v>
      </c>
      <c r="G1" s="16" t="s">
        <v>23</v>
      </c>
      <c r="H1" s="16" t="s">
        <v>13</v>
      </c>
      <c r="I1" s="16" t="s">
        <v>14</v>
      </c>
      <c r="J1" s="16" t="s">
        <v>0</v>
      </c>
      <c r="K1" s="16" t="s">
        <v>1</v>
      </c>
    </row>
    <row r="2" spans="1:11" x14ac:dyDescent="0.3">
      <c r="A2" s="24" t="s">
        <v>57</v>
      </c>
      <c r="B2" s="19" t="s">
        <v>31</v>
      </c>
      <c r="C2" s="6">
        <f>20414989.14</f>
        <v>20414989.140000001</v>
      </c>
      <c r="D2" s="2">
        <f>C2*F2</f>
        <v>18373490.226</v>
      </c>
      <c r="E2" s="19">
        <v>0.2</v>
      </c>
      <c r="F2" s="19">
        <v>0.9</v>
      </c>
      <c r="G2" s="19" t="s">
        <v>6</v>
      </c>
      <c r="I2" s="19">
        <v>1</v>
      </c>
      <c r="J2" s="19" t="s">
        <v>8</v>
      </c>
      <c r="K2" s="19" t="s">
        <v>6</v>
      </c>
    </row>
    <row r="3" spans="1:11" x14ac:dyDescent="0.3">
      <c r="A3" s="25" t="s">
        <v>58</v>
      </c>
      <c r="B3" s="19" t="s">
        <v>35</v>
      </c>
      <c r="C3" s="6">
        <f>3307600</f>
        <v>3307600</v>
      </c>
      <c r="D3" s="2">
        <f t="shared" ref="D3" si="0">C3*F3</f>
        <v>2976840</v>
      </c>
      <c r="E3" s="19">
        <v>0.2</v>
      </c>
      <c r="F3" s="19">
        <v>0.9</v>
      </c>
      <c r="G3" s="19" t="s">
        <v>6</v>
      </c>
      <c r="I3" s="19">
        <v>1</v>
      </c>
      <c r="J3" s="19" t="s">
        <v>8</v>
      </c>
      <c r="K3" s="19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I2" sqref="I2"/>
    </sheetView>
  </sheetViews>
  <sheetFormatPr baseColWidth="10" defaultRowHeight="14" x14ac:dyDescent="0.3"/>
  <cols>
    <col min="1" max="1" width="26.7265625" style="2" bestFit="1" customWidth="1"/>
    <col min="2" max="2" width="23.54296875" style="2" bestFit="1" customWidth="1"/>
    <col min="3" max="4" width="10.90625" style="2"/>
    <col min="5" max="5" width="14.54296875" style="2" bestFit="1" customWidth="1"/>
    <col min="6" max="6" width="17.453125" style="2" bestFit="1" customWidth="1"/>
    <col min="7" max="7" width="10.90625" style="2"/>
    <col min="8" max="8" width="20" style="2" bestFit="1" customWidth="1"/>
    <col min="9" max="9" width="12.6328125" style="2" bestFit="1" customWidth="1"/>
    <col min="10" max="16384" width="10.90625" style="2"/>
  </cols>
  <sheetData>
    <row r="1" spans="1:11" x14ac:dyDescent="0.3">
      <c r="A1" s="10" t="s">
        <v>5</v>
      </c>
      <c r="B1" s="10" t="s">
        <v>15</v>
      </c>
      <c r="C1" s="10" t="s">
        <v>12</v>
      </c>
      <c r="D1" s="10" t="s">
        <v>20</v>
      </c>
      <c r="E1" s="10" t="s">
        <v>21</v>
      </c>
      <c r="F1" s="10" t="s">
        <v>22</v>
      </c>
      <c r="G1" s="10" t="s">
        <v>13</v>
      </c>
      <c r="H1" s="10" t="s">
        <v>23</v>
      </c>
      <c r="I1" s="10" t="s">
        <v>14</v>
      </c>
      <c r="J1" s="10" t="s">
        <v>0</v>
      </c>
      <c r="K1" s="10" t="s">
        <v>1</v>
      </c>
    </row>
    <row r="2" spans="1:11" x14ac:dyDescent="0.3">
      <c r="A2" s="3" t="s">
        <v>54</v>
      </c>
      <c r="B2" s="2" t="s">
        <v>30</v>
      </c>
      <c r="C2" s="7">
        <f>57427.04</f>
        <v>57427.040000000001</v>
      </c>
      <c r="D2" s="8">
        <v>4</v>
      </c>
      <c r="E2" s="7">
        <v>0.89658206299999998</v>
      </c>
      <c r="F2" s="7">
        <v>0.89658206299999998</v>
      </c>
      <c r="G2" s="8"/>
      <c r="H2" s="2" t="s">
        <v>29</v>
      </c>
      <c r="I2" s="2">
        <v>0.1</v>
      </c>
      <c r="J2" s="2" t="s">
        <v>7</v>
      </c>
      <c r="K2" s="2" t="s">
        <v>6</v>
      </c>
    </row>
    <row r="3" spans="1:11" x14ac:dyDescent="0.3">
      <c r="A3" s="3" t="s">
        <v>55</v>
      </c>
      <c r="B3" s="2" t="s">
        <v>33</v>
      </c>
      <c r="C3" s="7">
        <v>1528</v>
      </c>
      <c r="D3" s="8">
        <v>1000</v>
      </c>
      <c r="E3" s="8">
        <v>0.99</v>
      </c>
      <c r="F3" s="8">
        <v>0.99</v>
      </c>
      <c r="G3" s="8"/>
      <c r="H3" s="2" t="s">
        <v>29</v>
      </c>
      <c r="I3" s="2">
        <v>2</v>
      </c>
      <c r="J3" s="2" t="s">
        <v>4</v>
      </c>
      <c r="K3" s="2" t="s">
        <v>6</v>
      </c>
    </row>
    <row r="4" spans="1:11" x14ac:dyDescent="0.3">
      <c r="A4" s="4" t="s">
        <v>56</v>
      </c>
      <c r="B4" s="2" t="s">
        <v>34</v>
      </c>
      <c r="C4" s="7">
        <v>12000</v>
      </c>
      <c r="D4" s="8">
        <v>4</v>
      </c>
      <c r="E4" s="7">
        <v>0.92</v>
      </c>
      <c r="F4" s="7">
        <v>0.92</v>
      </c>
      <c r="G4" s="8"/>
      <c r="H4" s="2" t="s">
        <v>29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70"/>
  <sheetViews>
    <sheetView zoomScale="90" workbookViewId="0">
      <selection activeCell="B19" sqref="B19"/>
    </sheetView>
  </sheetViews>
  <sheetFormatPr baseColWidth="10" defaultRowHeight="14" x14ac:dyDescent="0.3"/>
  <cols>
    <col min="1" max="6" width="22" style="9" customWidth="1"/>
    <col min="7" max="7" width="28.1796875" style="9" customWidth="1"/>
    <col min="8" max="8" width="22" style="9" customWidth="1"/>
    <col min="9" max="9" width="23.7265625" style="9" bestFit="1" customWidth="1"/>
    <col min="10" max="16384" width="10.90625" style="9"/>
  </cols>
  <sheetData>
    <row r="1" spans="1:9" s="34" customFormat="1" x14ac:dyDescent="0.3">
      <c r="A1" s="40" t="s">
        <v>59</v>
      </c>
      <c r="B1" s="40" t="s">
        <v>60</v>
      </c>
      <c r="C1" s="32" t="s">
        <v>61</v>
      </c>
      <c r="D1" s="32" t="s">
        <v>62</v>
      </c>
      <c r="E1" s="41" t="s">
        <v>91</v>
      </c>
      <c r="F1" s="41" t="s">
        <v>92</v>
      </c>
      <c r="G1" s="41" t="s">
        <v>105</v>
      </c>
      <c r="H1" s="41" t="s">
        <v>131</v>
      </c>
      <c r="I1" s="41" t="s">
        <v>130</v>
      </c>
    </row>
    <row r="2" spans="1:9" x14ac:dyDescent="0.3">
      <c r="A2" s="42">
        <v>32911.019103129998</v>
      </c>
      <c r="B2" s="42">
        <v>11835.472839999999</v>
      </c>
      <c r="C2" s="43">
        <v>5108.7860000000001</v>
      </c>
      <c r="D2" s="43">
        <v>1328.747032</v>
      </c>
      <c r="E2" s="43">
        <v>0</v>
      </c>
      <c r="F2" s="43">
        <v>6779.6610170000004</v>
      </c>
      <c r="G2" s="43">
        <v>0</v>
      </c>
      <c r="H2" s="43">
        <v>0</v>
      </c>
      <c r="I2" s="43">
        <v>0</v>
      </c>
    </row>
    <row r="3" spans="1:9" x14ac:dyDescent="0.3">
      <c r="A3" s="42">
        <v>30988.230898269998</v>
      </c>
      <c r="B3" s="42">
        <v>11835.472839999999</v>
      </c>
      <c r="C3" s="43">
        <v>4819.1030000000001</v>
      </c>
      <c r="D3" s="43">
        <v>1328.747032</v>
      </c>
      <c r="E3" s="43">
        <v>0</v>
      </c>
      <c r="F3" s="43">
        <v>6779.6610170000004</v>
      </c>
      <c r="G3" s="43">
        <v>0</v>
      </c>
      <c r="H3" s="43">
        <v>0</v>
      </c>
      <c r="I3" s="43">
        <v>0</v>
      </c>
    </row>
    <row r="4" spans="1:9" x14ac:dyDescent="0.3">
      <c r="A4" s="42">
        <v>30345.305006620001</v>
      </c>
      <c r="B4" s="42">
        <v>11835.472839999999</v>
      </c>
      <c r="C4" s="43">
        <v>4387.7039999999997</v>
      </c>
      <c r="D4" s="43">
        <v>1328.747032</v>
      </c>
      <c r="E4" s="43">
        <v>0</v>
      </c>
      <c r="F4" s="43">
        <v>6779.6610170000004</v>
      </c>
      <c r="G4" s="43">
        <v>0</v>
      </c>
      <c r="H4" s="43">
        <v>0</v>
      </c>
      <c r="I4" s="43">
        <v>0</v>
      </c>
    </row>
    <row r="5" spans="1:9" x14ac:dyDescent="0.3">
      <c r="A5" s="42">
        <v>30591.998801769998</v>
      </c>
      <c r="B5" s="42">
        <v>11835.472839999999</v>
      </c>
      <c r="C5" s="43">
        <v>4234.8289999999997</v>
      </c>
      <c r="D5" s="43">
        <v>1328.747032</v>
      </c>
      <c r="E5" s="43">
        <v>0</v>
      </c>
      <c r="F5" s="43">
        <v>6779.6610170000004</v>
      </c>
      <c r="G5" s="43">
        <v>0</v>
      </c>
      <c r="H5" s="43">
        <v>0</v>
      </c>
      <c r="I5" s="43">
        <v>0</v>
      </c>
    </row>
    <row r="6" spans="1:9" x14ac:dyDescent="0.3">
      <c r="A6" s="42">
        <v>31116.76515109</v>
      </c>
      <c r="B6" s="42">
        <v>11851.182839999999</v>
      </c>
      <c r="C6" s="43">
        <v>4222.5379999999996</v>
      </c>
      <c r="D6" s="43">
        <v>1328.747032</v>
      </c>
      <c r="E6" s="43">
        <v>0</v>
      </c>
      <c r="F6" s="43">
        <v>6779.6610170000004</v>
      </c>
      <c r="G6" s="43">
        <v>0</v>
      </c>
      <c r="H6" s="43">
        <v>0</v>
      </c>
      <c r="I6" s="43">
        <v>0</v>
      </c>
    </row>
    <row r="7" spans="1:9" x14ac:dyDescent="0.3">
      <c r="A7" s="42">
        <v>32319.05064524</v>
      </c>
      <c r="B7" s="42">
        <v>11882.602849999999</v>
      </c>
      <c r="C7" s="43">
        <v>4353.5569999999998</v>
      </c>
      <c r="D7" s="43">
        <v>1426.7035080000001</v>
      </c>
      <c r="E7" s="43">
        <v>0</v>
      </c>
      <c r="F7" s="43">
        <v>6779.6610170000004</v>
      </c>
      <c r="G7" s="43">
        <v>0</v>
      </c>
      <c r="H7" s="43">
        <v>0</v>
      </c>
      <c r="I7" s="43">
        <v>0</v>
      </c>
    </row>
    <row r="8" spans="1:9" x14ac:dyDescent="0.3">
      <c r="A8" s="42">
        <v>34850.331619509998</v>
      </c>
      <c r="B8" s="42">
        <v>11898.312849999998</v>
      </c>
      <c r="C8" s="43">
        <v>4546.4669999999996</v>
      </c>
      <c r="D8" s="43">
        <v>1524.659985</v>
      </c>
      <c r="E8" s="43">
        <v>0</v>
      </c>
      <c r="F8" s="43">
        <v>6779.6610170000004</v>
      </c>
      <c r="G8" s="43">
        <v>0</v>
      </c>
      <c r="H8" s="43">
        <v>0</v>
      </c>
      <c r="I8" s="43">
        <v>0</v>
      </c>
    </row>
    <row r="9" spans="1:9" x14ac:dyDescent="0.3">
      <c r="A9" s="42">
        <v>37040.115805070003</v>
      </c>
      <c r="B9" s="42">
        <v>11914.022849999999</v>
      </c>
      <c r="C9" s="43">
        <v>4670.4759999999997</v>
      </c>
      <c r="D9" s="43">
        <v>1617.460857</v>
      </c>
      <c r="E9" s="43">
        <v>0</v>
      </c>
      <c r="F9" s="43">
        <v>6779.6610170000004</v>
      </c>
      <c r="G9" s="43">
        <v>0</v>
      </c>
      <c r="H9" s="43">
        <v>0</v>
      </c>
      <c r="I9" s="43">
        <v>0</v>
      </c>
    </row>
    <row r="10" spans="1:9" x14ac:dyDescent="0.3">
      <c r="A10" s="42">
        <v>37898.696307300001</v>
      </c>
      <c r="B10" s="42">
        <v>11914.022849999999</v>
      </c>
      <c r="C10" s="43">
        <v>4713.0320000000002</v>
      </c>
      <c r="D10" s="43">
        <v>1715.4173330000001</v>
      </c>
      <c r="E10" s="43">
        <v>0</v>
      </c>
      <c r="F10" s="43">
        <v>6779.6610170000004</v>
      </c>
      <c r="G10" s="43">
        <v>0</v>
      </c>
      <c r="H10" s="43">
        <v>0</v>
      </c>
      <c r="I10" s="43">
        <v>0</v>
      </c>
    </row>
    <row r="11" spans="1:9" x14ac:dyDescent="0.3">
      <c r="A11" s="42">
        <v>37747.324487759994</v>
      </c>
      <c r="B11" s="42">
        <v>11914.022849999999</v>
      </c>
      <c r="C11" s="43">
        <v>4911.3090000000002</v>
      </c>
      <c r="D11" s="43">
        <v>1715.4173330000001</v>
      </c>
      <c r="E11" s="43">
        <v>0</v>
      </c>
      <c r="F11" s="43">
        <v>6779.6610170000004</v>
      </c>
      <c r="G11" s="43">
        <v>0</v>
      </c>
      <c r="H11" s="43">
        <v>0</v>
      </c>
      <c r="I11" s="43">
        <v>0</v>
      </c>
    </row>
    <row r="12" spans="1:9" x14ac:dyDescent="0.3">
      <c r="A12" s="42">
        <v>37661.726308160003</v>
      </c>
      <c r="B12" s="42">
        <v>11914.022849999999</v>
      </c>
      <c r="C12" s="43">
        <v>5033.2820000000002</v>
      </c>
      <c r="D12" s="43">
        <v>1766.9733739999999</v>
      </c>
      <c r="E12" s="43">
        <v>578.16100895</v>
      </c>
      <c r="F12" s="43">
        <v>6779.6610170000004</v>
      </c>
      <c r="G12" s="43">
        <v>651.21892933000004</v>
      </c>
      <c r="H12" s="43">
        <v>0</v>
      </c>
      <c r="I12" s="43">
        <v>0</v>
      </c>
    </row>
    <row r="13" spans="1:9" x14ac:dyDescent="0.3">
      <c r="A13" s="42">
        <v>38939.169598090004</v>
      </c>
      <c r="B13" s="42">
        <v>11898.312849999998</v>
      </c>
      <c r="C13" s="43">
        <v>5241.0720000000001</v>
      </c>
      <c r="D13" s="43">
        <v>1766.9733739999999</v>
      </c>
      <c r="E13" s="43">
        <v>5000</v>
      </c>
      <c r="F13" s="43">
        <v>6779.6610170000004</v>
      </c>
      <c r="G13" s="43">
        <v>948.49916551000001</v>
      </c>
      <c r="H13" s="43">
        <v>818</v>
      </c>
      <c r="I13" s="43">
        <v>0</v>
      </c>
    </row>
    <row r="14" spans="1:9" x14ac:dyDescent="0.3">
      <c r="A14" s="42">
        <v>40046.053441159995</v>
      </c>
      <c r="B14" s="42">
        <v>11882.602849999999</v>
      </c>
      <c r="C14" s="43">
        <v>5572.7849999999999</v>
      </c>
      <c r="D14" s="43">
        <v>1715.4173330000001</v>
      </c>
      <c r="E14" s="43">
        <v>5000</v>
      </c>
      <c r="F14" s="43">
        <v>6779.6610170000004</v>
      </c>
      <c r="G14" s="43">
        <v>261.55916551000001</v>
      </c>
      <c r="H14" s="43">
        <v>818</v>
      </c>
      <c r="I14" s="43">
        <v>330</v>
      </c>
    </row>
    <row r="15" spans="1:9" x14ac:dyDescent="0.3">
      <c r="A15" s="42">
        <v>40098.240044530001</v>
      </c>
      <c r="B15" s="42">
        <v>11882.602849999999</v>
      </c>
      <c r="C15" s="43">
        <v>5282.482</v>
      </c>
      <c r="D15" s="43">
        <v>1741.195354</v>
      </c>
      <c r="E15" s="43">
        <v>5000</v>
      </c>
      <c r="F15" s="43">
        <v>6779.6610170000004</v>
      </c>
      <c r="G15" s="43">
        <v>261.55916551000001</v>
      </c>
      <c r="H15" s="43">
        <v>818</v>
      </c>
      <c r="I15" s="43">
        <v>77.210303929999995</v>
      </c>
    </row>
    <row r="16" spans="1:9" x14ac:dyDescent="0.3">
      <c r="A16" s="42">
        <v>38747.748240770001</v>
      </c>
      <c r="B16" s="42">
        <v>11898.312849999998</v>
      </c>
      <c r="C16" s="43">
        <v>5002.3549999999996</v>
      </c>
      <c r="D16" s="43">
        <v>1715.4173330000001</v>
      </c>
      <c r="E16" s="43">
        <v>5000</v>
      </c>
      <c r="F16" s="43">
        <v>6779.6610170000004</v>
      </c>
      <c r="G16" s="43">
        <v>948.49916551000001</v>
      </c>
      <c r="H16" s="43">
        <v>818</v>
      </c>
      <c r="I16" s="43">
        <v>0</v>
      </c>
    </row>
    <row r="17" spans="1:9" x14ac:dyDescent="0.3">
      <c r="A17" s="42">
        <v>38199.70247864</v>
      </c>
      <c r="B17" s="42">
        <v>11914.022849999999</v>
      </c>
      <c r="C17" s="43">
        <v>5027.03</v>
      </c>
      <c r="D17" s="43">
        <v>1715.4173330000001</v>
      </c>
      <c r="E17" s="43">
        <v>5000</v>
      </c>
      <c r="F17" s="43">
        <v>6779.6610170000004</v>
      </c>
      <c r="G17" s="43">
        <v>981.21892933000004</v>
      </c>
      <c r="H17" s="43">
        <v>0</v>
      </c>
      <c r="I17" s="43">
        <v>0</v>
      </c>
    </row>
    <row r="18" spans="1:9" x14ac:dyDescent="0.3">
      <c r="A18" s="42">
        <v>39003.839510179998</v>
      </c>
      <c r="B18" s="42">
        <v>11914.022849999999</v>
      </c>
      <c r="C18" s="43">
        <v>5250.4759999999997</v>
      </c>
      <c r="D18" s="43">
        <v>1715.4173330000001</v>
      </c>
      <c r="E18" s="43">
        <v>0</v>
      </c>
      <c r="F18" s="43">
        <v>6779.6610170000004</v>
      </c>
      <c r="G18" s="43">
        <v>294.27892932999998</v>
      </c>
      <c r="H18" s="43">
        <v>0</v>
      </c>
      <c r="I18" s="43">
        <v>0</v>
      </c>
    </row>
    <row r="19" spans="1:9" x14ac:dyDescent="0.3">
      <c r="A19" s="42">
        <v>41664.317990209995</v>
      </c>
      <c r="B19" s="42">
        <v>10571.61585</v>
      </c>
      <c r="C19" s="43">
        <v>5897.9110000000001</v>
      </c>
      <c r="D19" s="43">
        <v>1715.4173330000001</v>
      </c>
      <c r="E19" s="43">
        <v>0</v>
      </c>
      <c r="F19" s="43">
        <v>5734.7610169999998</v>
      </c>
      <c r="G19" s="43">
        <v>0</v>
      </c>
      <c r="H19" s="43">
        <v>0</v>
      </c>
      <c r="I19" s="43">
        <v>0</v>
      </c>
    </row>
    <row r="20" spans="1:9" x14ac:dyDescent="0.3">
      <c r="A20" s="42">
        <v>43591.448851199995</v>
      </c>
      <c r="B20" s="42">
        <v>10555.905849999999</v>
      </c>
      <c r="C20" s="43">
        <v>6663.3337199999996</v>
      </c>
      <c r="D20" s="43">
        <v>1715.4173330000001</v>
      </c>
      <c r="E20" s="43">
        <v>0</v>
      </c>
      <c r="F20" s="43">
        <v>4690.3208989100003</v>
      </c>
      <c r="G20" s="43">
        <v>0</v>
      </c>
      <c r="H20" s="43">
        <v>0</v>
      </c>
      <c r="I20" s="43">
        <v>0</v>
      </c>
    </row>
    <row r="21" spans="1:9" x14ac:dyDescent="0.3">
      <c r="A21" s="42">
        <v>44183.237156400006</v>
      </c>
      <c r="B21" s="42">
        <v>10540.19585</v>
      </c>
      <c r="C21" s="43">
        <v>6779.2653191499994</v>
      </c>
      <c r="D21" s="43">
        <v>1560.7492130000001</v>
      </c>
      <c r="E21" s="43">
        <v>0</v>
      </c>
      <c r="F21" s="43">
        <v>3645.8807808299998</v>
      </c>
      <c r="G21" s="43">
        <v>0</v>
      </c>
      <c r="H21" s="43">
        <v>0</v>
      </c>
      <c r="I21" s="43">
        <v>0</v>
      </c>
    </row>
    <row r="22" spans="1:9" x14ac:dyDescent="0.3">
      <c r="A22" s="42">
        <v>43567.718599690001</v>
      </c>
      <c r="B22" s="42">
        <v>10524.485839999999</v>
      </c>
      <c r="C22" s="43">
        <v>6523.1627233999998</v>
      </c>
      <c r="D22" s="43">
        <v>1457.6371320000001</v>
      </c>
      <c r="E22" s="43">
        <v>0</v>
      </c>
      <c r="F22" s="43">
        <v>2601.4406627399999</v>
      </c>
      <c r="G22" s="43">
        <v>0</v>
      </c>
      <c r="H22" s="43">
        <v>0</v>
      </c>
      <c r="I22" s="43">
        <v>0</v>
      </c>
    </row>
    <row r="23" spans="1:9" x14ac:dyDescent="0.3">
      <c r="A23" s="42">
        <v>41943.458376900002</v>
      </c>
      <c r="B23" s="42">
        <v>10508.77584</v>
      </c>
      <c r="C23" s="43">
        <v>6077.3177872300002</v>
      </c>
      <c r="D23" s="43">
        <v>1380.3030719999999</v>
      </c>
      <c r="E23" s="43">
        <v>0</v>
      </c>
      <c r="F23" s="43">
        <v>1557.0005446499999</v>
      </c>
      <c r="G23" s="43">
        <v>0</v>
      </c>
      <c r="H23" s="43">
        <v>0</v>
      </c>
      <c r="I23" s="43">
        <v>0</v>
      </c>
    </row>
    <row r="24" spans="1:9" x14ac:dyDescent="0.3">
      <c r="A24" s="42">
        <v>39597.502764920006</v>
      </c>
      <c r="B24" s="42">
        <v>10493.065839999999</v>
      </c>
      <c r="C24" s="43">
        <v>6448.6117446799999</v>
      </c>
      <c r="D24" s="43">
        <v>1328.747032</v>
      </c>
      <c r="E24" s="43">
        <v>0</v>
      </c>
      <c r="F24" s="43">
        <v>2412.11279491</v>
      </c>
      <c r="G24" s="43">
        <v>0</v>
      </c>
      <c r="H24" s="43">
        <v>0</v>
      </c>
      <c r="I24" s="43">
        <v>0</v>
      </c>
    </row>
    <row r="25" spans="1:9" x14ac:dyDescent="0.3">
      <c r="A25" s="42">
        <v>36714.868799940006</v>
      </c>
      <c r="B25" s="42">
        <v>10493.065839999999</v>
      </c>
      <c r="C25" s="43">
        <v>6118.0184000000008</v>
      </c>
      <c r="D25" s="43">
        <v>1328.747032</v>
      </c>
      <c r="E25" s="43">
        <v>0</v>
      </c>
      <c r="F25" s="43">
        <v>3457.0127949100001</v>
      </c>
      <c r="G25" s="43">
        <v>0</v>
      </c>
      <c r="H25" s="43">
        <v>0</v>
      </c>
      <c r="I25" s="43">
        <v>0</v>
      </c>
    </row>
    <row r="26" spans="1:9" x14ac:dyDescent="0.3">
      <c r="A26" s="42">
        <v>35096.270124499999</v>
      </c>
      <c r="B26" s="42">
        <v>10493.065839999999</v>
      </c>
      <c r="C26" s="43">
        <v>5660.5590000000002</v>
      </c>
      <c r="D26" s="43">
        <v>1293.3053709999999</v>
      </c>
      <c r="E26" s="43">
        <v>0</v>
      </c>
      <c r="F26" s="43">
        <v>4501.9137809599997</v>
      </c>
      <c r="G26" s="43">
        <v>0</v>
      </c>
      <c r="H26" s="43">
        <v>0</v>
      </c>
      <c r="I26" s="43">
        <v>0</v>
      </c>
    </row>
    <row r="27" spans="1:9" x14ac:dyDescent="0.3">
      <c r="A27" s="42">
        <v>32938.424104539998</v>
      </c>
      <c r="B27" s="42">
        <v>10493.065839999999</v>
      </c>
      <c r="C27" s="43">
        <v>5292.4740000000002</v>
      </c>
      <c r="D27" s="43">
        <v>1293.3053709999999</v>
      </c>
      <c r="E27" s="43">
        <v>0</v>
      </c>
      <c r="F27" s="43">
        <v>5546.8137809600003</v>
      </c>
      <c r="G27" s="43">
        <v>0</v>
      </c>
      <c r="H27" s="43">
        <v>0</v>
      </c>
      <c r="I27" s="43">
        <v>0</v>
      </c>
    </row>
    <row r="28" spans="1:9" x14ac:dyDescent="0.3">
      <c r="A28" s="42">
        <v>32438.482180400002</v>
      </c>
      <c r="B28" s="42">
        <v>10493.065839999999</v>
      </c>
      <c r="C28" s="43">
        <v>4865.9650000000001</v>
      </c>
      <c r="D28" s="43">
        <v>1293.3053709999999</v>
      </c>
      <c r="E28" s="43">
        <v>0</v>
      </c>
      <c r="F28" s="43">
        <v>5747.0736735</v>
      </c>
      <c r="G28" s="43">
        <v>0</v>
      </c>
      <c r="H28" s="43">
        <v>0</v>
      </c>
      <c r="I28" s="43">
        <v>0</v>
      </c>
    </row>
    <row r="29" spans="1:9" x14ac:dyDescent="0.3">
      <c r="A29" s="42">
        <v>32922.431953519997</v>
      </c>
      <c r="B29" s="42">
        <v>10493.065839999999</v>
      </c>
      <c r="C29" s="43">
        <v>4748.2039999999997</v>
      </c>
      <c r="D29" s="43">
        <v>1293.3053709999999</v>
      </c>
      <c r="E29" s="43">
        <v>0</v>
      </c>
      <c r="F29" s="43">
        <v>4702.1736735000004</v>
      </c>
      <c r="G29" s="43">
        <v>0</v>
      </c>
      <c r="H29" s="43">
        <v>0</v>
      </c>
      <c r="I29" s="43">
        <v>0</v>
      </c>
    </row>
    <row r="30" spans="1:9" x14ac:dyDescent="0.3">
      <c r="A30" s="42">
        <v>34018.443035410004</v>
      </c>
      <c r="B30" s="42">
        <v>10508.77584</v>
      </c>
      <c r="C30" s="43">
        <v>4916.92293617</v>
      </c>
      <c r="D30" s="43">
        <v>1293.3053709999999</v>
      </c>
      <c r="E30" s="43">
        <v>0</v>
      </c>
      <c r="F30" s="43">
        <v>3656.8137915900002</v>
      </c>
      <c r="G30" s="43">
        <v>0</v>
      </c>
      <c r="H30" s="43">
        <v>0</v>
      </c>
      <c r="I30" s="43">
        <v>0</v>
      </c>
    </row>
    <row r="31" spans="1:9" x14ac:dyDescent="0.3">
      <c r="A31" s="42">
        <v>36461.26658738</v>
      </c>
      <c r="B31" s="42">
        <v>10540.19585</v>
      </c>
      <c r="C31" s="43">
        <v>4987.0127400000001</v>
      </c>
      <c r="D31" s="43">
        <v>1391.261847</v>
      </c>
      <c r="E31" s="43">
        <v>0</v>
      </c>
      <c r="F31" s="43">
        <v>2610.9940277599999</v>
      </c>
      <c r="G31" s="43">
        <v>0</v>
      </c>
      <c r="H31" s="43">
        <v>0</v>
      </c>
      <c r="I31" s="43">
        <v>0</v>
      </c>
    </row>
    <row r="32" spans="1:9" x14ac:dyDescent="0.3">
      <c r="A32" s="42">
        <v>40397.379297090003</v>
      </c>
      <c r="B32" s="42">
        <v>10555.905849999999</v>
      </c>
      <c r="C32" s="43">
        <v>5322.4690799999998</v>
      </c>
      <c r="D32" s="43">
        <v>1489.2183239999999</v>
      </c>
      <c r="E32" s="43">
        <v>0</v>
      </c>
      <c r="F32" s="43">
        <v>2600.5208989100001</v>
      </c>
      <c r="G32" s="43">
        <v>0</v>
      </c>
      <c r="H32" s="43">
        <v>0</v>
      </c>
      <c r="I32" s="43">
        <v>0</v>
      </c>
    </row>
    <row r="33" spans="1:9" x14ac:dyDescent="0.3">
      <c r="A33" s="42">
        <v>43637.472131699993</v>
      </c>
      <c r="B33" s="42">
        <v>10571.61585</v>
      </c>
      <c r="C33" s="43">
        <v>5858.7920800000002</v>
      </c>
      <c r="D33" s="43">
        <v>1582.019196</v>
      </c>
      <c r="E33" s="43">
        <v>0</v>
      </c>
      <c r="F33" s="43">
        <v>3644.9610170000001</v>
      </c>
      <c r="G33" s="43">
        <v>0</v>
      </c>
      <c r="H33" s="43">
        <v>0</v>
      </c>
      <c r="I33" s="43">
        <v>0</v>
      </c>
    </row>
    <row r="34" spans="1:9" x14ac:dyDescent="0.3">
      <c r="A34" s="42">
        <v>45328.502733039997</v>
      </c>
      <c r="B34" s="42">
        <v>10571.61585</v>
      </c>
      <c r="C34" s="43">
        <v>6357.06808</v>
      </c>
      <c r="D34" s="43">
        <v>1679.9756729999999</v>
      </c>
      <c r="E34" s="43">
        <v>0</v>
      </c>
      <c r="F34" s="43">
        <v>4689.8610170000002</v>
      </c>
      <c r="G34" s="43">
        <v>0</v>
      </c>
      <c r="H34" s="43">
        <v>0</v>
      </c>
      <c r="I34" s="43">
        <v>0</v>
      </c>
    </row>
    <row r="35" spans="1:9" x14ac:dyDescent="0.3">
      <c r="A35" s="42">
        <v>45069.435799309998</v>
      </c>
      <c r="B35" s="42">
        <v>10571.61585</v>
      </c>
      <c r="C35" s="43">
        <v>6491.9089999999997</v>
      </c>
      <c r="D35" s="43">
        <v>1679.9756729999999</v>
      </c>
      <c r="E35" s="43">
        <v>0</v>
      </c>
      <c r="F35" s="43">
        <v>5734.7610169999998</v>
      </c>
      <c r="G35" s="43">
        <v>0</v>
      </c>
      <c r="H35" s="43">
        <v>0</v>
      </c>
      <c r="I35" s="43">
        <v>0</v>
      </c>
    </row>
    <row r="36" spans="1:9" x14ac:dyDescent="0.3">
      <c r="A36" s="42">
        <v>44455.879181440003</v>
      </c>
      <c r="B36" s="42">
        <v>11914.022849999999</v>
      </c>
      <c r="C36" s="43">
        <v>6381.1840000000002</v>
      </c>
      <c r="D36" s="43">
        <v>1731.5317130000001</v>
      </c>
      <c r="E36" s="43">
        <v>0</v>
      </c>
      <c r="F36" s="43">
        <v>6779.6610170000004</v>
      </c>
      <c r="G36" s="43">
        <v>0</v>
      </c>
      <c r="H36" s="43">
        <v>0</v>
      </c>
      <c r="I36" s="43">
        <v>0</v>
      </c>
    </row>
    <row r="37" spans="1:9" x14ac:dyDescent="0.3">
      <c r="A37" s="42">
        <v>45180.593116380005</v>
      </c>
      <c r="B37" s="42">
        <v>11898.312849999998</v>
      </c>
      <c r="C37" s="43">
        <v>6459.91</v>
      </c>
      <c r="D37" s="43">
        <v>1731.5317130000001</v>
      </c>
      <c r="E37" s="43">
        <v>0</v>
      </c>
      <c r="F37" s="43">
        <v>6779.6610170000004</v>
      </c>
      <c r="G37" s="43">
        <v>0</v>
      </c>
      <c r="H37" s="43">
        <v>0</v>
      </c>
      <c r="I37" s="43">
        <v>0</v>
      </c>
    </row>
    <row r="38" spans="1:9" x14ac:dyDescent="0.3">
      <c r="A38" s="42">
        <v>45596.680656869998</v>
      </c>
      <c r="B38" s="42">
        <v>11882.602849999999</v>
      </c>
      <c r="C38" s="43">
        <v>6512.3739999999998</v>
      </c>
      <c r="D38" s="43">
        <v>1679.9756729999999</v>
      </c>
      <c r="E38" s="43">
        <v>0</v>
      </c>
      <c r="F38" s="43">
        <v>6779.6610170000004</v>
      </c>
      <c r="G38" s="43">
        <v>0</v>
      </c>
      <c r="H38" s="43">
        <v>0</v>
      </c>
      <c r="I38" s="43">
        <v>0</v>
      </c>
    </row>
    <row r="39" spans="1:9" x14ac:dyDescent="0.3">
      <c r="A39" s="42">
        <v>45164.496410549997</v>
      </c>
      <c r="B39" s="42">
        <v>11882.602849999999</v>
      </c>
      <c r="C39" s="43">
        <v>6237.08</v>
      </c>
      <c r="D39" s="43">
        <v>1705.7536930000001</v>
      </c>
      <c r="E39" s="43">
        <v>0</v>
      </c>
      <c r="F39" s="43">
        <v>6779.6610170000004</v>
      </c>
      <c r="G39" s="43">
        <v>588.96592054999996</v>
      </c>
      <c r="H39" s="43">
        <v>0</v>
      </c>
      <c r="I39" s="43">
        <v>0</v>
      </c>
    </row>
    <row r="40" spans="1:9" x14ac:dyDescent="0.3">
      <c r="A40" s="42">
        <v>43842.582949460004</v>
      </c>
      <c r="B40" s="42">
        <v>11898.312849999998</v>
      </c>
      <c r="C40" s="43">
        <v>6179.3860000000004</v>
      </c>
      <c r="D40" s="43">
        <v>1679.9756729999999</v>
      </c>
      <c r="E40" s="43">
        <v>0</v>
      </c>
      <c r="F40" s="43">
        <v>6779.6610170000004</v>
      </c>
      <c r="G40" s="43">
        <v>650.75806136999995</v>
      </c>
      <c r="H40" s="43">
        <v>0</v>
      </c>
      <c r="I40" s="43">
        <v>0</v>
      </c>
    </row>
    <row r="41" spans="1:9" x14ac:dyDescent="0.3">
      <c r="A41" s="42">
        <v>43604.64891648</v>
      </c>
      <c r="B41" s="42">
        <v>11914.022849999999</v>
      </c>
      <c r="C41" s="43">
        <v>6194.5559999999996</v>
      </c>
      <c r="D41" s="43">
        <v>1679.9756729999999</v>
      </c>
      <c r="E41" s="43">
        <v>0</v>
      </c>
      <c r="F41" s="43">
        <v>5990.2735120899997</v>
      </c>
      <c r="G41" s="43">
        <v>651.21794327999999</v>
      </c>
      <c r="H41" s="43">
        <v>0</v>
      </c>
      <c r="I41" s="43">
        <v>0</v>
      </c>
    </row>
    <row r="42" spans="1:9" x14ac:dyDescent="0.3">
      <c r="A42" s="42">
        <v>44314.724697520003</v>
      </c>
      <c r="B42" s="42">
        <v>11914.022849999999</v>
      </c>
      <c r="C42" s="43">
        <v>6425.3190000000004</v>
      </c>
      <c r="D42" s="43">
        <v>1679.9756729999999</v>
      </c>
      <c r="E42" s="43">
        <v>0</v>
      </c>
      <c r="F42" s="43">
        <v>4945.3735120900001</v>
      </c>
      <c r="G42" s="43">
        <v>0</v>
      </c>
      <c r="H42" s="43">
        <v>0</v>
      </c>
      <c r="I42" s="43">
        <v>0</v>
      </c>
    </row>
    <row r="43" spans="1:9" x14ac:dyDescent="0.3">
      <c r="A43" s="42">
        <v>47756.05594418</v>
      </c>
      <c r="B43" s="42">
        <v>10571.61585</v>
      </c>
      <c r="C43" s="43">
        <v>6957.1009999999997</v>
      </c>
      <c r="D43" s="43">
        <v>1679.9756729999999</v>
      </c>
      <c r="E43" s="43">
        <v>0</v>
      </c>
      <c r="F43" s="43">
        <v>3900.47351209</v>
      </c>
      <c r="G43" s="43">
        <v>0</v>
      </c>
      <c r="H43" s="43">
        <v>0</v>
      </c>
      <c r="I43" s="43">
        <v>0</v>
      </c>
    </row>
    <row r="44" spans="1:9" x14ac:dyDescent="0.3">
      <c r="A44" s="42">
        <v>49289.060790400006</v>
      </c>
      <c r="B44" s="42">
        <v>10555.905849999999</v>
      </c>
      <c r="C44" s="43">
        <v>7690.8571276599996</v>
      </c>
      <c r="D44" s="43">
        <v>1679.9756729999999</v>
      </c>
      <c r="E44" s="43">
        <v>0</v>
      </c>
      <c r="F44" s="43">
        <v>2856.033394</v>
      </c>
      <c r="G44" s="43">
        <v>0</v>
      </c>
      <c r="H44" s="43">
        <v>0</v>
      </c>
      <c r="I44" s="43">
        <v>0</v>
      </c>
    </row>
    <row r="45" spans="1:9" x14ac:dyDescent="0.3">
      <c r="A45" s="42">
        <v>48777.459484229999</v>
      </c>
      <c r="B45" s="42">
        <v>10540.19585</v>
      </c>
      <c r="C45" s="43">
        <v>7753.7723191500008</v>
      </c>
      <c r="D45" s="43">
        <v>1525.307552</v>
      </c>
      <c r="E45" s="43">
        <v>0</v>
      </c>
      <c r="F45" s="43">
        <v>1811.5932759100001</v>
      </c>
      <c r="G45" s="43">
        <v>0</v>
      </c>
      <c r="H45" s="43">
        <v>0</v>
      </c>
      <c r="I45" s="43">
        <v>0</v>
      </c>
    </row>
    <row r="46" spans="1:9" x14ac:dyDescent="0.3">
      <c r="A46" s="42">
        <v>46885.528055310002</v>
      </c>
      <c r="B46" s="42">
        <v>10524.485839999999</v>
      </c>
      <c r="C46" s="43">
        <v>7411.6607233999994</v>
      </c>
      <c r="D46" s="43">
        <v>1422.195471</v>
      </c>
      <c r="E46" s="43">
        <v>0</v>
      </c>
      <c r="F46" s="43">
        <v>767.15315782000005</v>
      </c>
      <c r="G46" s="43">
        <v>0</v>
      </c>
      <c r="H46" s="43">
        <v>0</v>
      </c>
      <c r="I46" s="43">
        <v>0</v>
      </c>
    </row>
    <row r="47" spans="1:9" x14ac:dyDescent="0.3">
      <c r="A47" s="42">
        <v>44029.66512641</v>
      </c>
      <c r="B47" s="42">
        <v>10508.77584</v>
      </c>
      <c r="C47" s="43">
        <v>6906.3997872300006</v>
      </c>
      <c r="D47" s="43">
        <v>1344.8614110000001</v>
      </c>
      <c r="E47" s="43">
        <v>0</v>
      </c>
      <c r="F47" s="43">
        <v>422.70993096000001</v>
      </c>
      <c r="G47" s="43">
        <v>0</v>
      </c>
      <c r="H47" s="43">
        <v>0</v>
      </c>
      <c r="I47" s="43">
        <v>0</v>
      </c>
    </row>
    <row r="48" spans="1:9" x14ac:dyDescent="0.3">
      <c r="A48" s="42">
        <v>41403.436292689999</v>
      </c>
      <c r="B48" s="42">
        <v>10493.065839999999</v>
      </c>
      <c r="C48" s="43">
        <v>7179.3247446799996</v>
      </c>
      <c r="D48" s="43">
        <v>1293.3053709999999</v>
      </c>
      <c r="E48" s="43">
        <v>0</v>
      </c>
      <c r="F48" s="43">
        <v>323.07465397999999</v>
      </c>
      <c r="G48" s="43">
        <v>0</v>
      </c>
      <c r="H48" s="43">
        <v>0</v>
      </c>
      <c r="I48" s="43">
        <v>0</v>
      </c>
    </row>
    <row r="49" spans="1:9" x14ac:dyDescent="0.3">
      <c r="A49" s="42">
        <v>38603.92513376</v>
      </c>
      <c r="B49" s="42">
        <v>10493.065839999999</v>
      </c>
      <c r="C49" s="43">
        <v>6744.73897872</v>
      </c>
      <c r="D49" s="43">
        <v>1293.3053709999999</v>
      </c>
      <c r="E49" s="43">
        <v>0</v>
      </c>
      <c r="F49" s="43">
        <v>164.34492398</v>
      </c>
      <c r="G49" s="43">
        <v>0</v>
      </c>
      <c r="H49" s="43">
        <v>0</v>
      </c>
      <c r="I49" s="43">
        <v>0</v>
      </c>
    </row>
    <row r="50" spans="1:9" x14ac:dyDescent="0.3">
      <c r="A50" s="42">
        <v>35442.073729490003</v>
      </c>
      <c r="B50" s="42">
        <v>10493.065839999999</v>
      </c>
      <c r="C50" s="43">
        <v>5937.9502340399995</v>
      </c>
      <c r="D50" s="43">
        <v>1174.815008</v>
      </c>
      <c r="E50" s="43">
        <v>0</v>
      </c>
      <c r="F50" s="43">
        <v>174.87043702</v>
      </c>
      <c r="G50" s="43">
        <v>0</v>
      </c>
      <c r="H50" s="43">
        <v>0</v>
      </c>
      <c r="I50" s="43">
        <v>0</v>
      </c>
    </row>
    <row r="51" spans="1:9" x14ac:dyDescent="0.3">
      <c r="A51" s="42">
        <v>33114.563498399999</v>
      </c>
      <c r="B51" s="42">
        <v>10493.065839999999</v>
      </c>
      <c r="C51" s="43">
        <v>5424.3986645499999</v>
      </c>
      <c r="D51" s="43">
        <v>1174.815008</v>
      </c>
      <c r="E51" s="43">
        <v>0</v>
      </c>
      <c r="F51" s="43">
        <v>266.18921702</v>
      </c>
      <c r="G51" s="43">
        <v>0</v>
      </c>
      <c r="H51" s="43">
        <v>0</v>
      </c>
      <c r="I51" s="43">
        <v>0</v>
      </c>
    </row>
    <row r="52" spans="1:9" x14ac:dyDescent="0.3">
      <c r="A52" s="42">
        <v>32646.844900889999</v>
      </c>
      <c r="B52" s="42">
        <v>10493.065839999999</v>
      </c>
      <c r="C52" s="43">
        <v>5070.7197021300008</v>
      </c>
      <c r="D52" s="43">
        <v>1174.815008</v>
      </c>
      <c r="E52" s="43">
        <v>0</v>
      </c>
      <c r="F52" s="43">
        <v>358.58648701999999</v>
      </c>
      <c r="G52" s="43">
        <v>0</v>
      </c>
      <c r="H52" s="43">
        <v>0</v>
      </c>
      <c r="I52" s="43">
        <v>0</v>
      </c>
    </row>
    <row r="53" spans="1:9" x14ac:dyDescent="0.3">
      <c r="A53" s="42">
        <v>33122.189168240002</v>
      </c>
      <c r="B53" s="42">
        <v>10493.065839999999</v>
      </c>
      <c r="C53" s="43">
        <v>4933.6143191499996</v>
      </c>
      <c r="D53" s="43">
        <v>1174.815008</v>
      </c>
      <c r="E53" s="43">
        <v>0</v>
      </c>
      <c r="F53" s="43">
        <v>263.65451702000001</v>
      </c>
      <c r="G53" s="43">
        <v>0</v>
      </c>
      <c r="H53" s="43">
        <v>0</v>
      </c>
      <c r="I53" s="43">
        <v>0</v>
      </c>
    </row>
    <row r="54" spans="1:9" x14ac:dyDescent="0.3">
      <c r="A54" s="42">
        <v>34184.579385780002</v>
      </c>
      <c r="B54" s="42">
        <v>10508.77584</v>
      </c>
      <c r="C54" s="43">
        <v>4938.7969361699998</v>
      </c>
      <c r="D54" s="43">
        <v>1174.815008</v>
      </c>
      <c r="E54" s="43">
        <v>0</v>
      </c>
      <c r="F54" s="43">
        <v>138.12049425999999</v>
      </c>
      <c r="G54" s="43">
        <v>0</v>
      </c>
      <c r="H54" s="43">
        <v>0</v>
      </c>
      <c r="I54" s="43">
        <v>0</v>
      </c>
    </row>
    <row r="55" spans="1:9" x14ac:dyDescent="0.3">
      <c r="A55" s="42">
        <v>36646.539378290006</v>
      </c>
      <c r="B55" s="42">
        <v>10540.19585</v>
      </c>
      <c r="C55" s="43">
        <v>5010.1087400000006</v>
      </c>
      <c r="D55" s="43">
        <v>1272.7714840000001</v>
      </c>
      <c r="E55" s="43">
        <v>0</v>
      </c>
      <c r="F55" s="43">
        <v>0</v>
      </c>
      <c r="G55" s="43">
        <v>0</v>
      </c>
      <c r="H55" s="43">
        <v>0</v>
      </c>
      <c r="I55" s="43">
        <v>0</v>
      </c>
    </row>
    <row r="56" spans="1:9" x14ac:dyDescent="0.3">
      <c r="A56" s="42">
        <v>40677.611578590004</v>
      </c>
      <c r="B56" s="42">
        <v>10555.905849999999</v>
      </c>
      <c r="C56" s="43">
        <v>5351.7030799999993</v>
      </c>
      <c r="D56" s="43">
        <v>1370.7279610000001</v>
      </c>
      <c r="E56" s="43">
        <v>0</v>
      </c>
      <c r="F56" s="43">
        <v>517.83283323000001</v>
      </c>
      <c r="G56" s="43">
        <v>0</v>
      </c>
      <c r="H56" s="43">
        <v>0</v>
      </c>
      <c r="I56" s="43">
        <v>0</v>
      </c>
    </row>
    <row r="57" spans="1:9" x14ac:dyDescent="0.3">
      <c r="A57" s="42">
        <v>43987.575696890002</v>
      </c>
      <c r="B57" s="42">
        <v>10571.61585</v>
      </c>
      <c r="C57" s="43">
        <v>5890.0850799999998</v>
      </c>
      <c r="D57" s="43">
        <v>1463.5288330000001</v>
      </c>
      <c r="E57" s="43">
        <v>0</v>
      </c>
      <c r="F57" s="43">
        <v>1562.2729513199999</v>
      </c>
      <c r="G57" s="43">
        <v>0</v>
      </c>
      <c r="H57" s="43">
        <v>0</v>
      </c>
      <c r="I57" s="43">
        <v>0</v>
      </c>
    </row>
    <row r="58" spans="1:9" x14ac:dyDescent="0.3">
      <c r="A58" s="42">
        <v>45765.84779159</v>
      </c>
      <c r="B58" s="42">
        <v>10571.61585</v>
      </c>
      <c r="C58" s="43">
        <v>6392.25108</v>
      </c>
      <c r="D58" s="43">
        <v>1561.48531</v>
      </c>
      <c r="E58" s="43">
        <v>0</v>
      </c>
      <c r="F58" s="43">
        <v>2607.1729513199998</v>
      </c>
      <c r="G58" s="43">
        <v>0</v>
      </c>
      <c r="H58" s="43">
        <v>0</v>
      </c>
      <c r="I58" s="43">
        <v>0</v>
      </c>
    </row>
    <row r="59" spans="1:9" x14ac:dyDescent="0.3">
      <c r="A59" s="42">
        <v>45457.316864330001</v>
      </c>
      <c r="B59" s="42">
        <v>10571.61585</v>
      </c>
      <c r="C59" s="43">
        <v>6535.6229999999996</v>
      </c>
      <c r="D59" s="43">
        <v>1561.48531</v>
      </c>
      <c r="E59" s="43">
        <v>0</v>
      </c>
      <c r="F59" s="43">
        <v>3652.0729513199999</v>
      </c>
      <c r="G59" s="43">
        <v>0</v>
      </c>
      <c r="H59" s="43">
        <v>0</v>
      </c>
      <c r="I59" s="43">
        <v>0</v>
      </c>
    </row>
    <row r="60" spans="1:9" x14ac:dyDescent="0.3">
      <c r="A60" s="42">
        <v>44872.472159669996</v>
      </c>
      <c r="B60" s="42">
        <v>11914.022849999999</v>
      </c>
      <c r="C60" s="43">
        <v>6439.6170000000002</v>
      </c>
      <c r="D60" s="43">
        <v>1613.04135</v>
      </c>
      <c r="E60" s="43">
        <v>0</v>
      </c>
      <c r="F60" s="43">
        <v>4696.97295132</v>
      </c>
      <c r="G60" s="43">
        <v>0</v>
      </c>
      <c r="H60" s="43">
        <v>0</v>
      </c>
      <c r="I60" s="43">
        <v>0</v>
      </c>
    </row>
    <row r="61" spans="1:9" x14ac:dyDescent="0.3">
      <c r="A61" s="42">
        <v>45293.430147680003</v>
      </c>
      <c r="B61" s="42">
        <v>11898.312849999998</v>
      </c>
      <c r="C61" s="43">
        <v>6528.7719999999999</v>
      </c>
      <c r="D61" s="43">
        <v>1613.04135</v>
      </c>
      <c r="E61" s="43">
        <v>0</v>
      </c>
      <c r="F61" s="43">
        <v>5742.3328332299998</v>
      </c>
      <c r="G61" s="43">
        <v>165.50463893</v>
      </c>
      <c r="H61" s="43">
        <v>0</v>
      </c>
      <c r="I61" s="43">
        <v>0</v>
      </c>
    </row>
    <row r="62" spans="1:9" x14ac:dyDescent="0.3">
      <c r="A62" s="42">
        <v>45577.647560229998</v>
      </c>
      <c r="B62" s="42">
        <v>11882.602849999999</v>
      </c>
      <c r="C62" s="43">
        <v>6583.1930000000002</v>
      </c>
      <c r="D62" s="43">
        <v>1561.48531</v>
      </c>
      <c r="E62" s="43">
        <v>0</v>
      </c>
      <c r="F62" s="43">
        <v>6779.6610170000004</v>
      </c>
      <c r="G62" s="43">
        <v>650.29719340999998</v>
      </c>
      <c r="H62" s="43">
        <v>0</v>
      </c>
      <c r="I62" s="43">
        <v>0</v>
      </c>
    </row>
    <row r="63" spans="1:9" x14ac:dyDescent="0.3">
      <c r="A63" s="42">
        <v>45000.710130619998</v>
      </c>
      <c r="B63" s="42">
        <v>11882.602849999999</v>
      </c>
      <c r="C63" s="43">
        <v>6305.54</v>
      </c>
      <c r="D63" s="43">
        <v>1587.26333</v>
      </c>
      <c r="E63" s="43">
        <v>0</v>
      </c>
      <c r="F63" s="43">
        <v>6779.6610170000004</v>
      </c>
      <c r="G63" s="43">
        <v>650.29719340999998</v>
      </c>
      <c r="H63" s="43">
        <v>0</v>
      </c>
      <c r="I63" s="43">
        <v>0</v>
      </c>
    </row>
    <row r="64" spans="1:9" x14ac:dyDescent="0.3">
      <c r="A64" s="42">
        <v>43807.586077200001</v>
      </c>
      <c r="B64" s="42">
        <v>11898.312849999998</v>
      </c>
      <c r="C64" s="43">
        <v>6245.7089999999998</v>
      </c>
      <c r="D64" s="43">
        <v>1561.48531</v>
      </c>
      <c r="E64" s="43">
        <v>0</v>
      </c>
      <c r="F64" s="43">
        <v>6093.3312093699997</v>
      </c>
      <c r="G64" s="43">
        <v>650.75707532000001</v>
      </c>
      <c r="H64" s="43">
        <v>0</v>
      </c>
      <c r="I64" s="43">
        <v>0</v>
      </c>
    </row>
    <row r="65" spans="1:9" x14ac:dyDescent="0.3">
      <c r="A65" s="42">
        <v>43556.444076480002</v>
      </c>
      <c r="B65" s="42">
        <v>11914.022849999999</v>
      </c>
      <c r="C65" s="43">
        <v>6248.9279999999999</v>
      </c>
      <c r="D65" s="43">
        <v>1561.48531</v>
      </c>
      <c r="E65" s="43">
        <v>0</v>
      </c>
      <c r="F65" s="43">
        <v>5047.9713274599999</v>
      </c>
      <c r="G65" s="43">
        <v>0</v>
      </c>
      <c r="H65" s="43">
        <v>0</v>
      </c>
      <c r="I65" s="43">
        <v>0</v>
      </c>
    </row>
    <row r="66" spans="1:9" x14ac:dyDescent="0.3">
      <c r="A66" s="42">
        <v>44242.893890240004</v>
      </c>
      <c r="B66" s="42">
        <v>10571.61585</v>
      </c>
      <c r="C66" s="43">
        <v>6466.9210000000003</v>
      </c>
      <c r="D66" s="43">
        <v>1561.48531</v>
      </c>
      <c r="E66" s="43">
        <v>0</v>
      </c>
      <c r="F66" s="43">
        <v>4003.0713274599998</v>
      </c>
      <c r="G66" s="43">
        <v>0</v>
      </c>
      <c r="H66" s="43">
        <v>0</v>
      </c>
      <c r="I66" s="43">
        <v>0</v>
      </c>
    </row>
    <row r="67" spans="1:9" x14ac:dyDescent="0.3">
      <c r="A67" s="42">
        <v>47612.72671812</v>
      </c>
      <c r="B67" s="42">
        <v>10571.61585</v>
      </c>
      <c r="C67" s="43">
        <v>6989.848</v>
      </c>
      <c r="D67" s="43">
        <v>1561.48531</v>
      </c>
      <c r="E67" s="43">
        <v>0</v>
      </c>
      <c r="F67" s="43">
        <v>2958.1713274600002</v>
      </c>
      <c r="G67" s="43">
        <v>0</v>
      </c>
      <c r="H67" s="43">
        <v>0</v>
      </c>
      <c r="I67" s="43">
        <v>0</v>
      </c>
    </row>
    <row r="68" spans="1:9" x14ac:dyDescent="0.3">
      <c r="A68" s="42">
        <v>48962.3105669</v>
      </c>
      <c r="B68" s="42">
        <v>10555.905849999999</v>
      </c>
      <c r="C68" s="43">
        <v>7702.2851276599995</v>
      </c>
      <c r="D68" s="43">
        <v>1561.48531</v>
      </c>
      <c r="E68" s="43">
        <v>0</v>
      </c>
      <c r="F68" s="43">
        <v>1262.97413405</v>
      </c>
      <c r="G68" s="43">
        <v>0</v>
      </c>
      <c r="H68" s="43">
        <v>0</v>
      </c>
      <c r="I68" s="43">
        <v>0</v>
      </c>
    </row>
    <row r="69" spans="1:9" x14ac:dyDescent="0.3">
      <c r="A69" s="42">
        <v>48374.35533495</v>
      </c>
      <c r="B69" s="42">
        <v>10540.19585</v>
      </c>
      <c r="C69" s="43">
        <v>7752.3703191500008</v>
      </c>
      <c r="D69" s="43">
        <v>1406.8171890000001</v>
      </c>
      <c r="E69" s="43">
        <v>0</v>
      </c>
      <c r="F69" s="43">
        <v>285.00377354</v>
      </c>
      <c r="G69" s="43">
        <v>0</v>
      </c>
      <c r="H69" s="43">
        <v>0</v>
      </c>
      <c r="I69" s="43">
        <v>0</v>
      </c>
    </row>
    <row r="70" spans="1:9" x14ac:dyDescent="0.3">
      <c r="A70" s="42">
        <v>46504.318822250003</v>
      </c>
      <c r="B70" s="42">
        <v>10524.485839999999</v>
      </c>
      <c r="C70" s="43">
        <v>7406.4287233999994</v>
      </c>
      <c r="D70" s="43">
        <v>1303.705109</v>
      </c>
      <c r="E70" s="43">
        <v>0</v>
      </c>
      <c r="F70" s="43">
        <v>0</v>
      </c>
      <c r="G70" s="43">
        <v>0</v>
      </c>
      <c r="H70" s="43">
        <v>0</v>
      </c>
      <c r="I70" s="43">
        <v>0</v>
      </c>
    </row>
    <row r="71" spans="1:9" x14ac:dyDescent="0.3">
      <c r="A71" s="42">
        <v>43673.249172760006</v>
      </c>
      <c r="B71" s="42">
        <v>10508.77584</v>
      </c>
      <c r="C71" s="43">
        <v>6901.7147872300002</v>
      </c>
      <c r="D71" s="43">
        <v>1226.371048</v>
      </c>
      <c r="E71" s="43">
        <v>0</v>
      </c>
      <c r="F71" s="43">
        <v>0</v>
      </c>
      <c r="G71" s="43">
        <v>0</v>
      </c>
      <c r="H71" s="43">
        <v>0</v>
      </c>
      <c r="I71" s="43">
        <v>0</v>
      </c>
    </row>
    <row r="72" spans="1:9" x14ac:dyDescent="0.3">
      <c r="A72" s="42">
        <v>41069.05435156</v>
      </c>
      <c r="B72" s="42">
        <v>10493.065839999999</v>
      </c>
      <c r="C72" s="43">
        <v>7179.7607446799993</v>
      </c>
      <c r="D72" s="43">
        <v>1174.815008</v>
      </c>
      <c r="E72" s="43">
        <v>0</v>
      </c>
      <c r="F72" s="43">
        <v>0</v>
      </c>
      <c r="G72" s="43">
        <v>0</v>
      </c>
      <c r="H72" s="43">
        <v>0</v>
      </c>
      <c r="I72" s="43">
        <v>0</v>
      </c>
    </row>
    <row r="73" spans="1:9" x14ac:dyDescent="0.3">
      <c r="A73" s="42">
        <v>38334.088607910002</v>
      </c>
      <c r="B73" s="42">
        <v>10493.065839999999</v>
      </c>
      <c r="C73" s="43">
        <v>6740.6619787200007</v>
      </c>
      <c r="D73" s="43">
        <v>1174.815008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</row>
    <row r="74" spans="1:9" x14ac:dyDescent="0.3">
      <c r="A74" s="42">
        <v>35354.028886300002</v>
      </c>
      <c r="B74" s="42">
        <v>10493.065839999999</v>
      </c>
      <c r="C74" s="43">
        <v>5935.5832340399993</v>
      </c>
      <c r="D74" s="43">
        <v>1178.6316489999999</v>
      </c>
      <c r="E74" s="43">
        <v>0</v>
      </c>
      <c r="F74" s="43">
        <v>0</v>
      </c>
      <c r="G74" s="43">
        <v>0</v>
      </c>
      <c r="H74" s="43">
        <v>0</v>
      </c>
      <c r="I74" s="43">
        <v>0</v>
      </c>
    </row>
    <row r="75" spans="1:9" x14ac:dyDescent="0.3">
      <c r="A75" s="42">
        <v>33137.544987300003</v>
      </c>
      <c r="B75" s="42">
        <v>10493.065839999999</v>
      </c>
      <c r="C75" s="43">
        <v>5549.8117872299999</v>
      </c>
      <c r="D75" s="43">
        <v>1178.6316489999999</v>
      </c>
      <c r="E75" s="43">
        <v>0</v>
      </c>
      <c r="F75" s="43">
        <v>0</v>
      </c>
      <c r="G75" s="43">
        <v>0</v>
      </c>
      <c r="H75" s="43">
        <v>0</v>
      </c>
      <c r="I75" s="43">
        <v>0</v>
      </c>
    </row>
    <row r="76" spans="1:9" x14ac:dyDescent="0.3">
      <c r="A76" s="42">
        <v>32661.96011873</v>
      </c>
      <c r="B76" s="42">
        <v>10493.065839999999</v>
      </c>
      <c r="C76" s="43">
        <v>5064.1977021300008</v>
      </c>
      <c r="D76" s="43">
        <v>1178.6316489999999</v>
      </c>
      <c r="E76" s="43">
        <v>0</v>
      </c>
      <c r="F76" s="43">
        <v>0</v>
      </c>
      <c r="G76" s="43">
        <v>0</v>
      </c>
      <c r="H76" s="43">
        <v>0</v>
      </c>
      <c r="I76" s="43">
        <v>0</v>
      </c>
    </row>
    <row r="77" spans="1:9" x14ac:dyDescent="0.3">
      <c r="A77" s="42">
        <v>33174.513713230001</v>
      </c>
      <c r="B77" s="42">
        <v>10493.065839999999</v>
      </c>
      <c r="C77" s="43">
        <v>4928.15231915</v>
      </c>
      <c r="D77" s="43">
        <v>1178.6316489999999</v>
      </c>
      <c r="E77" s="43">
        <v>0</v>
      </c>
      <c r="F77" s="43">
        <v>0</v>
      </c>
      <c r="G77" s="43">
        <v>0</v>
      </c>
      <c r="H77" s="43">
        <v>0</v>
      </c>
      <c r="I77" s="43">
        <v>0</v>
      </c>
    </row>
    <row r="78" spans="1:9" x14ac:dyDescent="0.3">
      <c r="A78" s="42">
        <v>34219.720896470004</v>
      </c>
      <c r="B78" s="42">
        <v>10508.77584</v>
      </c>
      <c r="C78" s="43">
        <v>4931.54793617</v>
      </c>
      <c r="D78" s="43">
        <v>1178.6316489999999</v>
      </c>
      <c r="E78" s="43">
        <v>0</v>
      </c>
      <c r="F78" s="43">
        <v>0</v>
      </c>
      <c r="G78" s="43">
        <v>0</v>
      </c>
      <c r="H78" s="43">
        <v>0</v>
      </c>
      <c r="I78" s="43">
        <v>0</v>
      </c>
    </row>
    <row r="79" spans="1:9" x14ac:dyDescent="0.3">
      <c r="A79" s="42">
        <v>36614.017630839997</v>
      </c>
      <c r="B79" s="42">
        <v>10540.19585</v>
      </c>
      <c r="C79" s="43">
        <v>5063.0123191500006</v>
      </c>
      <c r="D79" s="43">
        <v>1276.5881260000001</v>
      </c>
      <c r="E79" s="43">
        <v>0</v>
      </c>
      <c r="F79" s="43">
        <v>0</v>
      </c>
      <c r="G79" s="43">
        <v>0</v>
      </c>
      <c r="H79" s="43">
        <v>0</v>
      </c>
      <c r="I79" s="43">
        <v>0</v>
      </c>
    </row>
    <row r="80" spans="1:9" x14ac:dyDescent="0.3">
      <c r="A80" s="42">
        <v>40594.958477140004</v>
      </c>
      <c r="B80" s="42">
        <v>10555.905849999999</v>
      </c>
      <c r="C80" s="43">
        <v>5324.9650799999999</v>
      </c>
      <c r="D80" s="43">
        <v>1374.5446019999999</v>
      </c>
      <c r="E80" s="43">
        <v>0</v>
      </c>
      <c r="F80" s="43">
        <v>762.68383259999996</v>
      </c>
      <c r="G80" s="43">
        <v>0</v>
      </c>
      <c r="H80" s="43">
        <v>0</v>
      </c>
      <c r="I80" s="43">
        <v>0</v>
      </c>
    </row>
    <row r="81" spans="1:9" x14ac:dyDescent="0.3">
      <c r="A81" s="42">
        <v>43901.455245600002</v>
      </c>
      <c r="B81" s="42">
        <v>10571.61585</v>
      </c>
      <c r="C81" s="43">
        <v>5852.1070799999998</v>
      </c>
      <c r="D81" s="43">
        <v>1467.345474</v>
      </c>
      <c r="E81" s="43">
        <v>0</v>
      </c>
      <c r="F81" s="43">
        <v>1807.12395068</v>
      </c>
      <c r="G81" s="43">
        <v>0</v>
      </c>
      <c r="H81" s="43">
        <v>0</v>
      </c>
      <c r="I81" s="43">
        <v>0</v>
      </c>
    </row>
    <row r="82" spans="1:9" x14ac:dyDescent="0.3">
      <c r="A82" s="42">
        <v>45789.086016949994</v>
      </c>
      <c r="B82" s="42">
        <v>10571.61585</v>
      </c>
      <c r="C82" s="43">
        <v>6340.3400799999999</v>
      </c>
      <c r="D82" s="43">
        <v>1565.3019509999999</v>
      </c>
      <c r="E82" s="43">
        <v>0</v>
      </c>
      <c r="F82" s="43">
        <v>2852.0239506799999</v>
      </c>
      <c r="G82" s="43">
        <v>0</v>
      </c>
      <c r="H82" s="43">
        <v>0</v>
      </c>
      <c r="I82" s="43">
        <v>0</v>
      </c>
    </row>
    <row r="83" spans="1:9" x14ac:dyDescent="0.3">
      <c r="A83" s="42">
        <v>45840.62380709</v>
      </c>
      <c r="B83" s="42">
        <v>10571.61585</v>
      </c>
      <c r="C83" s="43">
        <v>6477.848</v>
      </c>
      <c r="D83" s="43">
        <v>1565.3019509999999</v>
      </c>
      <c r="E83" s="43">
        <v>0</v>
      </c>
      <c r="F83" s="43">
        <v>3896.92395068</v>
      </c>
      <c r="G83" s="43">
        <v>0</v>
      </c>
      <c r="H83" s="43">
        <v>0</v>
      </c>
      <c r="I83" s="43">
        <v>0</v>
      </c>
    </row>
    <row r="84" spans="1:9" x14ac:dyDescent="0.3">
      <c r="A84" s="42">
        <v>44853.169542300006</v>
      </c>
      <c r="B84" s="42">
        <v>11914.022849999999</v>
      </c>
      <c r="C84" s="43">
        <v>6399.0910000000003</v>
      </c>
      <c r="D84" s="43">
        <v>1616.8579910000001</v>
      </c>
      <c r="E84" s="43">
        <v>0</v>
      </c>
      <c r="F84" s="43">
        <v>4941.8239506800001</v>
      </c>
      <c r="G84" s="43">
        <v>0</v>
      </c>
      <c r="H84" s="43">
        <v>0</v>
      </c>
      <c r="I84" s="43">
        <v>0</v>
      </c>
    </row>
    <row r="85" spans="1:9" x14ac:dyDescent="0.3">
      <c r="A85" s="42">
        <v>45793.904947430005</v>
      </c>
      <c r="B85" s="42">
        <v>11898.312849999998</v>
      </c>
      <c r="C85" s="43">
        <v>6517.8050000000003</v>
      </c>
      <c r="D85" s="43">
        <v>1616.8579910000001</v>
      </c>
      <c r="E85" s="43">
        <v>0</v>
      </c>
      <c r="F85" s="43">
        <v>5987.1838325999997</v>
      </c>
      <c r="G85" s="43">
        <v>0</v>
      </c>
      <c r="H85" s="43">
        <v>0</v>
      </c>
      <c r="I85" s="43">
        <v>0</v>
      </c>
    </row>
    <row r="86" spans="1:9" x14ac:dyDescent="0.3">
      <c r="A86" s="42">
        <v>46420.389292899999</v>
      </c>
      <c r="B86" s="42">
        <v>11882.602849999999</v>
      </c>
      <c r="C86" s="43">
        <v>6604.152</v>
      </c>
      <c r="D86" s="43">
        <v>1565.3019509999999</v>
      </c>
      <c r="E86" s="43">
        <v>0</v>
      </c>
      <c r="F86" s="43">
        <v>6779.6610170000004</v>
      </c>
      <c r="G86" s="43">
        <v>650.29620736000004</v>
      </c>
      <c r="H86" s="43">
        <v>0</v>
      </c>
      <c r="I86" s="43">
        <v>0</v>
      </c>
    </row>
    <row r="87" spans="1:9" x14ac:dyDescent="0.3">
      <c r="A87" s="42">
        <v>46037.226906650001</v>
      </c>
      <c r="B87" s="42">
        <v>11882.602849999999</v>
      </c>
      <c r="C87" s="43">
        <v>6357.2460000000001</v>
      </c>
      <c r="D87" s="43">
        <v>1591.0799709999999</v>
      </c>
      <c r="E87" s="43">
        <v>0</v>
      </c>
      <c r="F87" s="43">
        <v>6779.6610170000004</v>
      </c>
      <c r="G87" s="43">
        <v>592.51350984999999</v>
      </c>
      <c r="H87" s="43">
        <v>0</v>
      </c>
      <c r="I87" s="43">
        <v>0</v>
      </c>
    </row>
    <row r="88" spans="1:9" x14ac:dyDescent="0.3">
      <c r="A88" s="42">
        <v>44723.559893090001</v>
      </c>
      <c r="B88" s="42">
        <v>11898.312849999998</v>
      </c>
      <c r="C88" s="43">
        <v>6317.0320000000002</v>
      </c>
      <c r="D88" s="43">
        <v>1565.3019509999999</v>
      </c>
      <c r="E88" s="43">
        <v>0</v>
      </c>
      <c r="F88" s="43">
        <v>6779.6610170000004</v>
      </c>
      <c r="G88" s="43">
        <v>0</v>
      </c>
      <c r="H88" s="43">
        <v>0</v>
      </c>
      <c r="I88" s="43">
        <v>0</v>
      </c>
    </row>
    <row r="89" spans="1:9" x14ac:dyDescent="0.3">
      <c r="A89" s="42">
        <v>44337.211434650002</v>
      </c>
      <c r="B89" s="42">
        <v>11914.022849999999</v>
      </c>
      <c r="C89" s="43">
        <v>6344.6639999999998</v>
      </c>
      <c r="D89" s="43">
        <v>1565.3019509999999</v>
      </c>
      <c r="E89" s="43">
        <v>0</v>
      </c>
      <c r="F89" s="43">
        <v>6779.6610170000004</v>
      </c>
      <c r="G89" s="43">
        <v>0</v>
      </c>
      <c r="H89" s="43">
        <v>0</v>
      </c>
      <c r="I89" s="43">
        <v>0</v>
      </c>
    </row>
    <row r="90" spans="1:9" x14ac:dyDescent="0.3">
      <c r="A90" s="42">
        <v>45119.370741259998</v>
      </c>
      <c r="B90" s="42">
        <v>11914.022849999999</v>
      </c>
      <c r="C90" s="43">
        <v>6566.5119999999997</v>
      </c>
      <c r="D90" s="43">
        <v>1565.3019509999999</v>
      </c>
      <c r="E90" s="43">
        <v>0</v>
      </c>
      <c r="F90" s="43">
        <v>6779.6610170000004</v>
      </c>
      <c r="G90" s="43">
        <v>0</v>
      </c>
      <c r="H90" s="43">
        <v>0</v>
      </c>
      <c r="I90" s="43">
        <v>0</v>
      </c>
    </row>
    <row r="91" spans="1:9" x14ac:dyDescent="0.3">
      <c r="A91" s="42">
        <v>47386.461511040005</v>
      </c>
      <c r="B91" s="42">
        <v>11914.022849999999</v>
      </c>
      <c r="C91" s="43">
        <v>7042.9809999999998</v>
      </c>
      <c r="D91" s="43">
        <v>1565.3019509999999</v>
      </c>
      <c r="E91" s="43">
        <v>0</v>
      </c>
      <c r="F91" s="43">
        <v>6779.6610170000004</v>
      </c>
      <c r="G91" s="43">
        <v>0</v>
      </c>
      <c r="H91" s="43">
        <v>0</v>
      </c>
      <c r="I91" s="43">
        <v>0</v>
      </c>
    </row>
    <row r="92" spans="1:9" x14ac:dyDescent="0.3">
      <c r="A92" s="42">
        <v>48723.091281000001</v>
      </c>
      <c r="B92" s="42">
        <v>11898.312849999998</v>
      </c>
      <c r="C92" s="43">
        <v>7434.8710000000001</v>
      </c>
      <c r="D92" s="43">
        <v>1565.3019509999999</v>
      </c>
      <c r="E92" s="43">
        <v>0</v>
      </c>
      <c r="F92" s="43">
        <v>6779.6610170000004</v>
      </c>
      <c r="G92" s="43">
        <v>0</v>
      </c>
      <c r="H92" s="43">
        <v>0</v>
      </c>
      <c r="I92" s="43">
        <v>0</v>
      </c>
    </row>
    <row r="93" spans="1:9" x14ac:dyDescent="0.3">
      <c r="A93" s="42">
        <v>48421.086735089993</v>
      </c>
      <c r="B93" s="42">
        <v>11882.602849999999</v>
      </c>
      <c r="C93" s="43">
        <v>7515.1890000000003</v>
      </c>
      <c r="D93" s="43">
        <v>1410.63383</v>
      </c>
      <c r="E93" s="43">
        <v>0</v>
      </c>
      <c r="F93" s="43">
        <v>6779.6610170000004</v>
      </c>
      <c r="G93" s="43">
        <v>0</v>
      </c>
      <c r="H93" s="43">
        <v>0</v>
      </c>
      <c r="I93" s="43">
        <v>0</v>
      </c>
    </row>
    <row r="94" spans="1:9" x14ac:dyDescent="0.3">
      <c r="A94" s="42">
        <v>46764.964331499999</v>
      </c>
      <c r="B94" s="42">
        <v>11866.892839999999</v>
      </c>
      <c r="C94" s="43">
        <v>7256.3289999999997</v>
      </c>
      <c r="D94" s="43">
        <v>1307.5217500000001</v>
      </c>
      <c r="E94" s="43">
        <v>0</v>
      </c>
      <c r="F94" s="43">
        <v>6779.6610170000004</v>
      </c>
      <c r="G94" s="43">
        <v>0</v>
      </c>
      <c r="H94" s="43">
        <v>0</v>
      </c>
      <c r="I94" s="43">
        <v>0</v>
      </c>
    </row>
    <row r="95" spans="1:9" x14ac:dyDescent="0.3">
      <c r="A95" s="42">
        <v>44114.386554119999</v>
      </c>
      <c r="B95" s="42">
        <v>11851.182839999999</v>
      </c>
      <c r="C95" s="43">
        <v>6822.1850000000004</v>
      </c>
      <c r="D95" s="43">
        <v>1230.1876890000001</v>
      </c>
      <c r="E95" s="43">
        <v>0</v>
      </c>
      <c r="F95" s="43">
        <v>6779.6610170000004</v>
      </c>
      <c r="G95" s="43">
        <v>0</v>
      </c>
      <c r="H95" s="43">
        <v>0</v>
      </c>
      <c r="I95" s="43">
        <v>0</v>
      </c>
    </row>
    <row r="96" spans="1:9" x14ac:dyDescent="0.3">
      <c r="A96" s="42">
        <v>41490.261552219999</v>
      </c>
      <c r="B96" s="42">
        <v>11835.472839999999</v>
      </c>
      <c r="C96" s="43">
        <v>6940.8670000000002</v>
      </c>
      <c r="D96" s="43">
        <v>1178.6316489999999</v>
      </c>
      <c r="E96" s="43">
        <v>0</v>
      </c>
      <c r="F96" s="43">
        <v>6779.6610170000004</v>
      </c>
      <c r="G96" s="43">
        <v>0</v>
      </c>
      <c r="H96" s="43">
        <v>0</v>
      </c>
      <c r="I96" s="43">
        <v>0</v>
      </c>
    </row>
    <row r="97" spans="1:9" x14ac:dyDescent="0.3">
      <c r="A97" s="42">
        <v>38691.772013149995</v>
      </c>
      <c r="B97" s="42">
        <v>11835.472839999999</v>
      </c>
      <c r="C97" s="43">
        <v>6443.0649999999996</v>
      </c>
      <c r="D97" s="43">
        <v>1178.6316489999999</v>
      </c>
      <c r="E97" s="43">
        <v>0</v>
      </c>
      <c r="F97" s="43">
        <v>6779.6610170000004</v>
      </c>
      <c r="G97" s="43">
        <v>0</v>
      </c>
      <c r="H97" s="43">
        <v>0</v>
      </c>
      <c r="I97" s="43">
        <v>0</v>
      </c>
    </row>
    <row r="98" spans="1:9" x14ac:dyDescent="0.3">
      <c r="A98" s="42">
        <v>35697.335983619996</v>
      </c>
      <c r="B98" s="42">
        <v>11835.472839999999</v>
      </c>
      <c r="C98" s="43">
        <v>5694.0230000000001</v>
      </c>
      <c r="D98" s="43">
        <v>1258.8719140000001</v>
      </c>
      <c r="E98" s="43">
        <v>0</v>
      </c>
      <c r="F98" s="43">
        <v>6779.6610170000004</v>
      </c>
      <c r="G98" s="43">
        <v>0</v>
      </c>
      <c r="H98" s="43">
        <v>0</v>
      </c>
      <c r="I98" s="43">
        <v>0</v>
      </c>
    </row>
    <row r="99" spans="1:9" x14ac:dyDescent="0.3">
      <c r="A99" s="42">
        <v>33443.419420270002</v>
      </c>
      <c r="B99" s="42">
        <v>11835.472839999999</v>
      </c>
      <c r="C99" s="43">
        <v>5318.067</v>
      </c>
      <c r="D99" s="43">
        <v>1258.8719140000001</v>
      </c>
      <c r="E99" s="43">
        <v>353.90529597</v>
      </c>
      <c r="F99" s="43">
        <v>6779.6610170000004</v>
      </c>
      <c r="G99" s="43">
        <v>0</v>
      </c>
      <c r="H99" s="43">
        <v>0</v>
      </c>
      <c r="I99" s="43">
        <v>0</v>
      </c>
    </row>
    <row r="100" spans="1:9" x14ac:dyDescent="0.3">
      <c r="A100" s="42">
        <v>32918.370374760001</v>
      </c>
      <c r="B100" s="42">
        <v>11835.472839999999</v>
      </c>
      <c r="C100" s="43">
        <v>4886.8729999999996</v>
      </c>
      <c r="D100" s="43">
        <v>1258.8719140000001</v>
      </c>
      <c r="E100" s="43">
        <v>2858.6637063200001</v>
      </c>
      <c r="F100" s="43">
        <v>6779.6610170000004</v>
      </c>
      <c r="G100" s="43">
        <v>0</v>
      </c>
      <c r="H100" s="43">
        <v>0</v>
      </c>
      <c r="I100" s="43">
        <v>0</v>
      </c>
    </row>
    <row r="101" spans="1:9" x14ac:dyDescent="0.3">
      <c r="A101" s="42">
        <v>33416.450589</v>
      </c>
      <c r="B101" s="42">
        <v>11835.472839999999</v>
      </c>
      <c r="C101" s="43">
        <v>4764.5219999999999</v>
      </c>
      <c r="D101" s="43">
        <v>1258.8719140000001</v>
      </c>
      <c r="E101" s="43">
        <v>0</v>
      </c>
      <c r="F101" s="43">
        <v>6779.6610170000004</v>
      </c>
      <c r="G101" s="43">
        <v>0</v>
      </c>
      <c r="H101" s="43">
        <v>0</v>
      </c>
      <c r="I101" s="43">
        <v>0</v>
      </c>
    </row>
    <row r="102" spans="1:9" x14ac:dyDescent="0.3">
      <c r="A102" s="42">
        <v>34484.311764960003</v>
      </c>
      <c r="B102" s="42">
        <v>11851.182839999999</v>
      </c>
      <c r="C102" s="43">
        <v>4767.6689999999999</v>
      </c>
      <c r="D102" s="43">
        <v>1258.8719140000001</v>
      </c>
      <c r="E102" s="43">
        <v>0</v>
      </c>
      <c r="F102" s="43">
        <v>6779.6610170000004</v>
      </c>
      <c r="G102" s="43">
        <v>0</v>
      </c>
      <c r="H102" s="43">
        <v>0</v>
      </c>
      <c r="I102" s="43">
        <v>0</v>
      </c>
    </row>
    <row r="103" spans="1:9" x14ac:dyDescent="0.3">
      <c r="A103" s="42">
        <v>36838.489177029995</v>
      </c>
      <c r="B103" s="42">
        <v>11882.602849999999</v>
      </c>
      <c r="C103" s="43">
        <v>4904.3209999999999</v>
      </c>
      <c r="D103" s="43">
        <v>1356.828391</v>
      </c>
      <c r="E103" s="43">
        <v>1329.8327752099999</v>
      </c>
      <c r="F103" s="43">
        <v>6779.6610170000004</v>
      </c>
      <c r="G103" s="43">
        <v>0</v>
      </c>
      <c r="H103" s="43">
        <v>0</v>
      </c>
      <c r="I103" s="43">
        <v>0</v>
      </c>
    </row>
    <row r="104" spans="1:9" x14ac:dyDescent="0.3">
      <c r="A104" s="42">
        <v>40685.044522049997</v>
      </c>
      <c r="B104" s="42">
        <v>11898.312849999998</v>
      </c>
      <c r="C104" s="43">
        <v>5261.7860000000001</v>
      </c>
      <c r="D104" s="43">
        <v>1454.7848670000001</v>
      </c>
      <c r="E104" s="43">
        <v>3030.0808235099998</v>
      </c>
      <c r="F104" s="43">
        <v>6779.6610170000004</v>
      </c>
      <c r="G104" s="43">
        <v>0</v>
      </c>
      <c r="H104" s="43">
        <v>0</v>
      </c>
      <c r="I104" s="43">
        <v>0</v>
      </c>
    </row>
    <row r="105" spans="1:9" x14ac:dyDescent="0.3">
      <c r="A105" s="42">
        <v>43875.097553470005</v>
      </c>
      <c r="B105" s="42">
        <v>11914.022849999999</v>
      </c>
      <c r="C105" s="43">
        <v>5787.902</v>
      </c>
      <c r="D105" s="43">
        <v>1547.58574</v>
      </c>
      <c r="E105" s="43">
        <v>197.61554663999999</v>
      </c>
      <c r="F105" s="43">
        <v>6779.6610170000004</v>
      </c>
      <c r="G105" s="43">
        <v>0</v>
      </c>
      <c r="H105" s="43">
        <v>0</v>
      </c>
      <c r="I105" s="43">
        <v>0</v>
      </c>
    </row>
    <row r="106" spans="1:9" x14ac:dyDescent="0.3">
      <c r="A106" s="42">
        <v>45538.096604290004</v>
      </c>
      <c r="B106" s="42">
        <v>11914.022849999999</v>
      </c>
      <c r="C106" s="43">
        <v>6273.2460000000001</v>
      </c>
      <c r="D106" s="43">
        <v>1645.5422160000001</v>
      </c>
      <c r="E106" s="43">
        <v>843.23938495000004</v>
      </c>
      <c r="F106" s="43">
        <v>6779.6610170000004</v>
      </c>
      <c r="G106" s="43">
        <v>0</v>
      </c>
      <c r="H106" s="43">
        <v>103.1</v>
      </c>
      <c r="I106" s="43">
        <v>0</v>
      </c>
    </row>
    <row r="107" spans="1:9" x14ac:dyDescent="0.3">
      <c r="A107" s="42">
        <v>45364.170304209998</v>
      </c>
      <c r="B107" s="42">
        <v>11914.022849999999</v>
      </c>
      <c r="C107" s="43">
        <v>6495.6360000000004</v>
      </c>
      <c r="D107" s="43">
        <v>1645.5422160000001</v>
      </c>
      <c r="E107" s="43">
        <v>5000</v>
      </c>
      <c r="F107" s="43">
        <v>6779.6610170000004</v>
      </c>
      <c r="G107" s="43">
        <v>0</v>
      </c>
      <c r="H107" s="43">
        <v>818</v>
      </c>
      <c r="I107" s="43">
        <v>330</v>
      </c>
    </row>
    <row r="108" spans="1:9" x14ac:dyDescent="0.3">
      <c r="A108" s="42">
        <v>44918.02522738</v>
      </c>
      <c r="B108" s="42">
        <v>11914.022849999999</v>
      </c>
      <c r="C108" s="43">
        <v>6423.1790000000001</v>
      </c>
      <c r="D108" s="43">
        <v>1697.0982570000001</v>
      </c>
      <c r="E108" s="43">
        <v>5000</v>
      </c>
      <c r="F108" s="43">
        <v>6779.6610170000004</v>
      </c>
      <c r="G108" s="43">
        <v>0</v>
      </c>
      <c r="H108" s="43">
        <v>818</v>
      </c>
      <c r="I108" s="43">
        <v>330</v>
      </c>
    </row>
    <row r="109" spans="1:9" x14ac:dyDescent="0.3">
      <c r="A109" s="42">
        <v>46068.96356597</v>
      </c>
      <c r="B109" s="42">
        <v>11898.312849999998</v>
      </c>
      <c r="C109" s="43">
        <v>6554.3549999999996</v>
      </c>
      <c r="D109" s="43">
        <v>1697.0982570000001</v>
      </c>
      <c r="E109" s="43">
        <v>5000</v>
      </c>
      <c r="F109" s="43">
        <v>6779.6610170000004</v>
      </c>
      <c r="G109" s="43">
        <v>0</v>
      </c>
      <c r="H109" s="43">
        <v>818</v>
      </c>
      <c r="I109" s="43">
        <v>330</v>
      </c>
    </row>
    <row r="110" spans="1:9" x14ac:dyDescent="0.3">
      <c r="A110" s="42">
        <v>46884.936466110004</v>
      </c>
      <c r="B110" s="42">
        <v>11882.602849999999</v>
      </c>
      <c r="C110" s="43">
        <v>6677.2020000000002</v>
      </c>
      <c r="D110" s="43">
        <v>1645.5422160000001</v>
      </c>
      <c r="E110" s="43">
        <v>5000</v>
      </c>
      <c r="F110" s="43">
        <v>6779.6610170000004</v>
      </c>
      <c r="G110" s="43">
        <v>0</v>
      </c>
      <c r="H110" s="43">
        <v>818</v>
      </c>
      <c r="I110" s="43">
        <v>330</v>
      </c>
    </row>
    <row r="111" spans="1:9" x14ac:dyDescent="0.3">
      <c r="A111" s="42">
        <v>46595.594814870004</v>
      </c>
      <c r="B111" s="42">
        <v>11882.602849999999</v>
      </c>
      <c r="C111" s="43">
        <v>6452.0839999999998</v>
      </c>
      <c r="D111" s="43">
        <v>1671.320236</v>
      </c>
      <c r="E111" s="43">
        <v>5000</v>
      </c>
      <c r="F111" s="43">
        <v>6779.6610170000004</v>
      </c>
      <c r="G111" s="43">
        <v>0</v>
      </c>
      <c r="H111" s="43">
        <v>818</v>
      </c>
      <c r="I111" s="43">
        <v>330</v>
      </c>
    </row>
    <row r="112" spans="1:9" x14ac:dyDescent="0.3">
      <c r="A112" s="42">
        <v>45166.32082416</v>
      </c>
      <c r="B112" s="42">
        <v>11898.312849999998</v>
      </c>
      <c r="C112" s="43">
        <v>6412.6229999999996</v>
      </c>
      <c r="D112" s="43">
        <v>1645.5422160000001</v>
      </c>
      <c r="E112" s="43">
        <v>5000</v>
      </c>
      <c r="F112" s="43">
        <v>6779.6610170000004</v>
      </c>
      <c r="G112" s="43">
        <v>0</v>
      </c>
      <c r="H112" s="43">
        <v>818</v>
      </c>
      <c r="I112" s="43">
        <v>330</v>
      </c>
    </row>
    <row r="113" spans="1:9" x14ac:dyDescent="0.3">
      <c r="A113" s="42">
        <v>44747.134522840002</v>
      </c>
      <c r="B113" s="42">
        <v>11914.022849999999</v>
      </c>
      <c r="C113" s="43">
        <v>6413.6030000000001</v>
      </c>
      <c r="D113" s="43">
        <v>1645.5422160000001</v>
      </c>
      <c r="E113" s="43">
        <v>5000</v>
      </c>
      <c r="F113" s="43">
        <v>6779.6610170000004</v>
      </c>
      <c r="G113" s="43">
        <v>0</v>
      </c>
      <c r="H113" s="43">
        <v>818</v>
      </c>
      <c r="I113" s="43">
        <v>330</v>
      </c>
    </row>
    <row r="114" spans="1:9" x14ac:dyDescent="0.3">
      <c r="A114" s="42">
        <v>45481.081144999996</v>
      </c>
      <c r="B114" s="42">
        <v>11914.022849999999</v>
      </c>
      <c r="C114" s="43">
        <v>6608.0029999999997</v>
      </c>
      <c r="D114" s="43">
        <v>1645.5422160000001</v>
      </c>
      <c r="E114" s="43">
        <v>5000</v>
      </c>
      <c r="F114" s="43">
        <v>6779.6610170000004</v>
      </c>
      <c r="G114" s="43">
        <v>0</v>
      </c>
      <c r="H114" s="43">
        <v>818</v>
      </c>
      <c r="I114" s="43">
        <v>330</v>
      </c>
    </row>
    <row r="115" spans="1:9" x14ac:dyDescent="0.3">
      <c r="A115" s="42">
        <v>47807.582531099994</v>
      </c>
      <c r="B115" s="42">
        <v>11914.022849999999</v>
      </c>
      <c r="C115" s="43">
        <v>7061.5820000000003</v>
      </c>
      <c r="D115" s="43">
        <v>1645.5422160000001</v>
      </c>
      <c r="E115" s="43">
        <v>5000</v>
      </c>
      <c r="F115" s="43">
        <v>6779.6610170000004</v>
      </c>
      <c r="G115" s="43">
        <v>0</v>
      </c>
      <c r="H115" s="43">
        <v>818</v>
      </c>
      <c r="I115" s="43">
        <v>0</v>
      </c>
    </row>
    <row r="116" spans="1:9" x14ac:dyDescent="0.3">
      <c r="A116" s="42">
        <v>49029.388693360001</v>
      </c>
      <c r="B116" s="42">
        <v>11898.312849999998</v>
      </c>
      <c r="C116" s="43">
        <v>7459.0020000000004</v>
      </c>
      <c r="D116" s="43">
        <v>1645.5422160000001</v>
      </c>
      <c r="E116" s="43">
        <v>5000</v>
      </c>
      <c r="F116" s="43">
        <v>6779.6610170000004</v>
      </c>
      <c r="G116" s="43">
        <v>0</v>
      </c>
      <c r="H116" s="43">
        <v>167.00042579999999</v>
      </c>
      <c r="I116" s="43">
        <v>0</v>
      </c>
    </row>
    <row r="117" spans="1:9" x14ac:dyDescent="0.3">
      <c r="A117" s="42">
        <v>48345.838182149993</v>
      </c>
      <c r="B117" s="42">
        <v>11882.602849999999</v>
      </c>
      <c r="C117" s="43">
        <v>7511.308</v>
      </c>
      <c r="D117" s="43">
        <v>1490.874096</v>
      </c>
      <c r="E117" s="43">
        <v>5000</v>
      </c>
      <c r="F117" s="43">
        <v>6779.6610170000004</v>
      </c>
      <c r="G117" s="43">
        <v>0</v>
      </c>
      <c r="H117" s="43">
        <v>0</v>
      </c>
      <c r="I117" s="43">
        <v>0</v>
      </c>
    </row>
    <row r="118" spans="1:9" x14ac:dyDescent="0.3">
      <c r="A118" s="42">
        <v>46514.49143781</v>
      </c>
      <c r="B118" s="42">
        <v>11866.892839999999</v>
      </c>
      <c r="C118" s="43">
        <v>7234.3190000000004</v>
      </c>
      <c r="D118" s="43">
        <v>1387.762015</v>
      </c>
      <c r="E118" s="43">
        <v>2797.6247696400001</v>
      </c>
      <c r="F118" s="43">
        <v>6779.6610170000004</v>
      </c>
      <c r="G118" s="43">
        <v>0</v>
      </c>
      <c r="H118" s="43">
        <v>0</v>
      </c>
      <c r="I118" s="43">
        <v>0</v>
      </c>
    </row>
    <row r="119" spans="1:9" x14ac:dyDescent="0.3">
      <c r="A119" s="42">
        <v>44030.099618829998</v>
      </c>
      <c r="B119" s="42">
        <v>11851.182839999999</v>
      </c>
      <c r="C119" s="43">
        <v>6791.7879999999996</v>
      </c>
      <c r="D119" s="43">
        <v>1310.4279550000001</v>
      </c>
      <c r="E119" s="43">
        <v>0</v>
      </c>
      <c r="F119" s="43">
        <v>6779.6610170000004</v>
      </c>
      <c r="G119" s="43">
        <v>0</v>
      </c>
      <c r="H119" s="43">
        <v>0</v>
      </c>
      <c r="I119" s="43">
        <v>0</v>
      </c>
    </row>
    <row r="120" spans="1:9" x14ac:dyDescent="0.3">
      <c r="A120" s="42">
        <v>41707.184347130002</v>
      </c>
      <c r="B120" s="42">
        <v>11835.472839999999</v>
      </c>
      <c r="C120" s="43">
        <v>6938.5410000000002</v>
      </c>
      <c r="D120" s="43">
        <v>1258.8719140000001</v>
      </c>
      <c r="E120" s="43">
        <v>29.88274315</v>
      </c>
      <c r="F120" s="43">
        <v>6779.6610170000004</v>
      </c>
      <c r="G120" s="43">
        <v>0</v>
      </c>
      <c r="H120" s="43">
        <v>0</v>
      </c>
      <c r="I120" s="43">
        <v>0</v>
      </c>
    </row>
    <row r="121" spans="1:9" x14ac:dyDescent="0.3">
      <c r="A121" s="42">
        <v>39025.486424750001</v>
      </c>
      <c r="B121" s="42">
        <v>11835.472839999999</v>
      </c>
      <c r="C121" s="43">
        <v>6454.8519999999999</v>
      </c>
      <c r="D121" s="43">
        <v>1258.8719140000001</v>
      </c>
      <c r="E121" s="43">
        <v>2244.1603927199999</v>
      </c>
      <c r="F121" s="43">
        <v>6779.6610170000004</v>
      </c>
      <c r="G121" s="43">
        <v>0</v>
      </c>
      <c r="H121" s="43">
        <v>0</v>
      </c>
      <c r="I121" s="43">
        <v>0</v>
      </c>
    </row>
    <row r="122" spans="1:9" x14ac:dyDescent="0.3">
      <c r="A122" s="42">
        <v>35663.648624310001</v>
      </c>
      <c r="B122" s="42">
        <v>11832.805579999998</v>
      </c>
      <c r="C122" s="43">
        <v>5643.5910000000003</v>
      </c>
      <c r="D122" s="43">
        <v>1660.1195</v>
      </c>
      <c r="E122" s="43">
        <v>5000</v>
      </c>
      <c r="F122" s="43">
        <v>6779.6610170000004</v>
      </c>
      <c r="G122" s="43">
        <v>0</v>
      </c>
      <c r="H122" s="43">
        <v>0</v>
      </c>
      <c r="I122" s="43">
        <v>330</v>
      </c>
    </row>
    <row r="123" spans="1:9" x14ac:dyDescent="0.3">
      <c r="A123" s="42">
        <v>33236.965069379999</v>
      </c>
      <c r="B123" s="42">
        <v>11832.805579999998</v>
      </c>
      <c r="C123" s="43">
        <v>5246</v>
      </c>
      <c r="D123" s="43">
        <v>1660.1195</v>
      </c>
      <c r="E123" s="43">
        <v>5000</v>
      </c>
      <c r="F123" s="43">
        <v>6779.6610170000004</v>
      </c>
      <c r="G123" s="43">
        <v>0</v>
      </c>
      <c r="H123" s="43">
        <v>818</v>
      </c>
      <c r="I123" s="43">
        <v>292.82237085000003</v>
      </c>
    </row>
    <row r="124" spans="1:9" x14ac:dyDescent="0.3">
      <c r="A124" s="42">
        <v>32282.1557565</v>
      </c>
      <c r="B124" s="42">
        <v>11832.805579999998</v>
      </c>
      <c r="C124" s="43">
        <v>4773.5889999999999</v>
      </c>
      <c r="D124" s="43">
        <v>1660.1195</v>
      </c>
      <c r="E124" s="43">
        <v>5000</v>
      </c>
      <c r="F124" s="43">
        <v>6779.6610170000004</v>
      </c>
      <c r="G124" s="43">
        <v>0</v>
      </c>
      <c r="H124" s="43">
        <v>818</v>
      </c>
      <c r="I124" s="43">
        <v>0</v>
      </c>
    </row>
    <row r="125" spans="1:9" x14ac:dyDescent="0.3">
      <c r="A125" s="42">
        <v>32119.809874629998</v>
      </c>
      <c r="B125" s="42">
        <v>11832.805579999998</v>
      </c>
      <c r="C125" s="43">
        <v>4611.43</v>
      </c>
      <c r="D125" s="43">
        <v>1660.1195</v>
      </c>
      <c r="E125" s="43">
        <v>5000</v>
      </c>
      <c r="F125" s="43">
        <v>6779.6610170000004</v>
      </c>
      <c r="G125" s="43">
        <v>0</v>
      </c>
      <c r="H125" s="43">
        <v>818</v>
      </c>
      <c r="I125" s="43">
        <v>330</v>
      </c>
    </row>
    <row r="126" spans="1:9" x14ac:dyDescent="0.3">
      <c r="A126" s="42">
        <v>31453.491455269999</v>
      </c>
      <c r="B126" s="42">
        <v>11864.49785</v>
      </c>
      <c r="C126" s="43">
        <v>4572.915</v>
      </c>
      <c r="D126" s="43">
        <v>1660.1195</v>
      </c>
      <c r="E126" s="43">
        <v>5000</v>
      </c>
      <c r="F126" s="43">
        <v>6779.6610170000004</v>
      </c>
      <c r="G126" s="43">
        <v>0</v>
      </c>
      <c r="H126" s="43">
        <v>818</v>
      </c>
      <c r="I126" s="43">
        <v>330</v>
      </c>
    </row>
    <row r="127" spans="1:9" x14ac:dyDescent="0.3">
      <c r="A127" s="42">
        <v>30671.187033240003</v>
      </c>
      <c r="B127" s="42">
        <v>11896.19011</v>
      </c>
      <c r="C127" s="43">
        <v>4625.1139999999996</v>
      </c>
      <c r="D127" s="43">
        <v>1660.1195</v>
      </c>
      <c r="E127" s="43">
        <v>5000</v>
      </c>
      <c r="F127" s="43">
        <v>6779.6610170000004</v>
      </c>
      <c r="G127" s="43">
        <v>0</v>
      </c>
      <c r="H127" s="43">
        <v>0</v>
      </c>
      <c r="I127" s="43">
        <v>330</v>
      </c>
    </row>
    <row r="128" spans="1:9" x14ac:dyDescent="0.3">
      <c r="A128" s="42">
        <v>31395.219458020001</v>
      </c>
      <c r="B128" s="42">
        <v>11912.036249999999</v>
      </c>
      <c r="C128" s="43">
        <v>4739.2560000000003</v>
      </c>
      <c r="D128" s="43">
        <v>1660.1195</v>
      </c>
      <c r="E128" s="43">
        <v>5000</v>
      </c>
      <c r="F128" s="43">
        <v>6779.6610170000004</v>
      </c>
      <c r="G128" s="43">
        <v>0</v>
      </c>
      <c r="H128" s="43">
        <v>818</v>
      </c>
      <c r="I128" s="43">
        <v>330</v>
      </c>
    </row>
    <row r="129" spans="1:9" x14ac:dyDescent="0.3">
      <c r="A129" s="42">
        <v>33051.761763950002</v>
      </c>
      <c r="B129" s="42">
        <v>11896.19011</v>
      </c>
      <c r="C129" s="43">
        <v>4803.72</v>
      </c>
      <c r="D129" s="43">
        <v>1660.1195</v>
      </c>
      <c r="E129" s="43">
        <v>5000</v>
      </c>
      <c r="F129" s="43">
        <v>6779.6610170000004</v>
      </c>
      <c r="G129" s="43">
        <v>0</v>
      </c>
      <c r="H129" s="43">
        <v>818</v>
      </c>
      <c r="I129" s="43">
        <v>0</v>
      </c>
    </row>
    <row r="130" spans="1:9" x14ac:dyDescent="0.3">
      <c r="A130" s="42">
        <v>34851.119747539997</v>
      </c>
      <c r="B130" s="42">
        <v>11896.19011</v>
      </c>
      <c r="C130" s="43">
        <v>4894.0069999999996</v>
      </c>
      <c r="D130" s="43">
        <v>1660.1195</v>
      </c>
      <c r="E130" s="43">
        <v>5000</v>
      </c>
      <c r="F130" s="43">
        <v>6779.6610170000004</v>
      </c>
      <c r="G130" s="43">
        <v>0</v>
      </c>
      <c r="H130" s="43">
        <v>818</v>
      </c>
      <c r="I130" s="43">
        <v>0</v>
      </c>
    </row>
    <row r="131" spans="1:9" x14ac:dyDescent="0.3">
      <c r="A131" s="42">
        <v>35635.733646089997</v>
      </c>
      <c r="B131" s="42">
        <v>11896.19011</v>
      </c>
      <c r="C131" s="43">
        <v>5145.4859999999999</v>
      </c>
      <c r="D131" s="43">
        <v>1660.1195</v>
      </c>
      <c r="E131" s="43">
        <v>5000</v>
      </c>
      <c r="F131" s="43">
        <v>6779.6610170000004</v>
      </c>
      <c r="G131" s="43">
        <v>0</v>
      </c>
      <c r="H131" s="43">
        <v>818</v>
      </c>
      <c r="I131" s="43">
        <v>330</v>
      </c>
    </row>
    <row r="132" spans="1:9" x14ac:dyDescent="0.3">
      <c r="A132" s="42">
        <v>35548.85979368</v>
      </c>
      <c r="B132" s="42">
        <v>11896.19011</v>
      </c>
      <c r="C132" s="43">
        <v>5222.2489999999998</v>
      </c>
      <c r="D132" s="43">
        <v>1843.839338</v>
      </c>
      <c r="E132" s="43">
        <v>5000</v>
      </c>
      <c r="F132" s="43">
        <v>6779.6610170000004</v>
      </c>
      <c r="G132" s="43">
        <v>0</v>
      </c>
      <c r="H132" s="43">
        <v>818</v>
      </c>
      <c r="I132" s="43">
        <v>330</v>
      </c>
    </row>
    <row r="133" spans="1:9" x14ac:dyDescent="0.3">
      <c r="A133" s="42">
        <v>36891.880923310004</v>
      </c>
      <c r="B133" s="42">
        <v>11912.036249999999</v>
      </c>
      <c r="C133" s="43">
        <v>5428.2359999999999</v>
      </c>
      <c r="D133" s="43">
        <v>1843.839338</v>
      </c>
      <c r="E133" s="43">
        <v>5000</v>
      </c>
      <c r="F133" s="43">
        <v>6779.6610170000004</v>
      </c>
      <c r="G133" s="43">
        <v>0</v>
      </c>
      <c r="H133" s="43">
        <v>818</v>
      </c>
      <c r="I133" s="43">
        <v>330</v>
      </c>
    </row>
    <row r="134" spans="1:9" x14ac:dyDescent="0.3">
      <c r="A134" s="42">
        <v>38079.210126760001</v>
      </c>
      <c r="B134" s="42">
        <v>11896.19011</v>
      </c>
      <c r="C134" s="43">
        <v>5772.0529999999999</v>
      </c>
      <c r="D134" s="43">
        <v>1843.839338</v>
      </c>
      <c r="E134" s="43">
        <v>5000</v>
      </c>
      <c r="F134" s="43">
        <v>6779.6610170000004</v>
      </c>
      <c r="G134" s="43">
        <v>0</v>
      </c>
      <c r="H134" s="43">
        <v>818</v>
      </c>
      <c r="I134" s="43">
        <v>330</v>
      </c>
    </row>
    <row r="135" spans="1:9" x14ac:dyDescent="0.3">
      <c r="A135" s="42">
        <v>38087.676994629997</v>
      </c>
      <c r="B135" s="42">
        <v>11896.19011</v>
      </c>
      <c r="C135" s="43">
        <v>5541.1480000000001</v>
      </c>
      <c r="D135" s="43">
        <v>1843.839338</v>
      </c>
      <c r="E135" s="43">
        <v>5000</v>
      </c>
      <c r="F135" s="43">
        <v>6779.6610170000004</v>
      </c>
      <c r="G135" s="43">
        <v>0</v>
      </c>
      <c r="H135" s="43">
        <v>818</v>
      </c>
      <c r="I135" s="43">
        <v>330</v>
      </c>
    </row>
    <row r="136" spans="1:9" x14ac:dyDescent="0.3">
      <c r="A136" s="42">
        <v>36383.748736759997</v>
      </c>
      <c r="B136" s="42">
        <v>11912.036249999999</v>
      </c>
      <c r="C136" s="43">
        <v>5346.7479999999996</v>
      </c>
      <c r="D136" s="43">
        <v>1843.839338</v>
      </c>
      <c r="E136" s="43">
        <v>5000</v>
      </c>
      <c r="F136" s="43">
        <v>6779.6610170000004</v>
      </c>
      <c r="G136" s="43">
        <v>0</v>
      </c>
      <c r="H136" s="43">
        <v>818</v>
      </c>
      <c r="I136" s="43">
        <v>330</v>
      </c>
    </row>
    <row r="137" spans="1:9" x14ac:dyDescent="0.3">
      <c r="A137" s="42">
        <v>35544.217312779998</v>
      </c>
      <c r="B137" s="42">
        <v>11896.19011</v>
      </c>
      <c r="C137" s="43">
        <v>5363.0209999999997</v>
      </c>
      <c r="D137" s="43">
        <v>1660.1195</v>
      </c>
      <c r="E137" s="43">
        <v>5000</v>
      </c>
      <c r="F137" s="43">
        <v>6779.6610170000004</v>
      </c>
      <c r="G137" s="43">
        <v>0</v>
      </c>
      <c r="H137" s="43">
        <v>818</v>
      </c>
      <c r="I137" s="43">
        <v>330</v>
      </c>
    </row>
    <row r="138" spans="1:9" x14ac:dyDescent="0.3">
      <c r="A138" s="42">
        <v>35914.476757260003</v>
      </c>
      <c r="B138" s="42">
        <v>11896.19011</v>
      </c>
      <c r="C138" s="43">
        <v>5578.4830000000002</v>
      </c>
      <c r="D138" s="43">
        <v>1660.1195</v>
      </c>
      <c r="E138" s="43">
        <v>5000</v>
      </c>
      <c r="F138" s="43">
        <v>6779.6610170000004</v>
      </c>
      <c r="G138" s="43">
        <v>0</v>
      </c>
      <c r="H138" s="43">
        <v>818</v>
      </c>
      <c r="I138" s="43">
        <v>330</v>
      </c>
    </row>
    <row r="139" spans="1:9" x14ac:dyDescent="0.3">
      <c r="A139" s="42">
        <v>38649.070257309999</v>
      </c>
      <c r="B139" s="42">
        <v>11896.19011</v>
      </c>
      <c r="C139" s="43">
        <v>6202.8130000000001</v>
      </c>
      <c r="D139" s="43">
        <v>1660.1195</v>
      </c>
      <c r="E139" s="43">
        <v>5000</v>
      </c>
      <c r="F139" s="43">
        <v>6779.6610170000004</v>
      </c>
      <c r="G139" s="43">
        <v>0</v>
      </c>
      <c r="H139" s="43">
        <v>0</v>
      </c>
      <c r="I139" s="43">
        <v>104.02773392</v>
      </c>
    </row>
    <row r="140" spans="1:9" x14ac:dyDescent="0.3">
      <c r="A140" s="42">
        <v>40715.917796499998</v>
      </c>
      <c r="B140" s="42">
        <v>11912.036249999999</v>
      </c>
      <c r="C140" s="43">
        <v>6750.8119999999999</v>
      </c>
      <c r="D140" s="43">
        <v>1660.1195</v>
      </c>
      <c r="E140" s="43">
        <v>5000</v>
      </c>
      <c r="F140" s="43">
        <v>6779.6610170000004</v>
      </c>
      <c r="G140" s="43">
        <v>0</v>
      </c>
      <c r="H140" s="43">
        <v>818</v>
      </c>
      <c r="I140" s="43">
        <v>330</v>
      </c>
    </row>
    <row r="141" spans="1:9" x14ac:dyDescent="0.3">
      <c r="A141" s="42">
        <v>41482.616883789997</v>
      </c>
      <c r="B141" s="42">
        <v>11896.19011</v>
      </c>
      <c r="C141" s="43">
        <v>6825.0439999999999</v>
      </c>
      <c r="D141" s="43">
        <v>1660.1195</v>
      </c>
      <c r="E141" s="43">
        <v>5000</v>
      </c>
      <c r="F141" s="43">
        <v>6779.6610170000004</v>
      </c>
      <c r="G141" s="43">
        <v>0</v>
      </c>
      <c r="H141" s="43">
        <v>818</v>
      </c>
      <c r="I141" s="43">
        <v>0</v>
      </c>
    </row>
    <row r="142" spans="1:9" x14ac:dyDescent="0.3">
      <c r="A142" s="42">
        <v>41442.561293029998</v>
      </c>
      <c r="B142" s="42">
        <v>11880.34398</v>
      </c>
      <c r="C142" s="43">
        <v>6558.56</v>
      </c>
      <c r="D142" s="43">
        <v>1660.1195</v>
      </c>
      <c r="E142" s="43">
        <v>5000</v>
      </c>
      <c r="F142" s="43">
        <v>6779.6610170000004</v>
      </c>
      <c r="G142" s="43">
        <v>0</v>
      </c>
      <c r="H142" s="43">
        <v>818</v>
      </c>
      <c r="I142" s="43">
        <v>330</v>
      </c>
    </row>
    <row r="143" spans="1:9" x14ac:dyDescent="0.3">
      <c r="A143" s="42">
        <v>40506.732638900001</v>
      </c>
      <c r="B143" s="42">
        <v>11864.49785</v>
      </c>
      <c r="C143" s="43">
        <v>6112.9520000000002</v>
      </c>
      <c r="D143" s="43">
        <v>1660.1195</v>
      </c>
      <c r="E143" s="43">
        <v>5000</v>
      </c>
      <c r="F143" s="43">
        <v>6779.6610170000004</v>
      </c>
      <c r="G143" s="43">
        <v>0</v>
      </c>
      <c r="H143" s="43">
        <v>818</v>
      </c>
      <c r="I143" s="43">
        <v>0</v>
      </c>
    </row>
    <row r="144" spans="1:9" x14ac:dyDescent="0.3">
      <c r="A144" s="42">
        <v>38720.864740739999</v>
      </c>
      <c r="B144" s="42">
        <v>11832.805579999998</v>
      </c>
      <c r="C144" s="43">
        <v>6325.7550000000001</v>
      </c>
      <c r="D144" s="43">
        <v>1660.1195</v>
      </c>
      <c r="E144" s="43">
        <v>5000</v>
      </c>
      <c r="F144" s="43">
        <v>6779.6610170000004</v>
      </c>
      <c r="G144" s="43">
        <v>0</v>
      </c>
      <c r="H144" s="43">
        <v>0</v>
      </c>
      <c r="I144" s="43">
        <v>330</v>
      </c>
    </row>
    <row r="145" spans="1:9" x14ac:dyDescent="0.3">
      <c r="A145" s="42">
        <v>35881.724335520004</v>
      </c>
      <c r="B145" s="42">
        <v>11832.805579999998</v>
      </c>
      <c r="C145" s="43">
        <v>5965.1719999999996</v>
      </c>
      <c r="D145" s="43">
        <v>1660.1195</v>
      </c>
      <c r="E145" s="43">
        <v>5000</v>
      </c>
      <c r="F145" s="43">
        <v>6779.6610170000004</v>
      </c>
      <c r="G145" s="43">
        <v>0</v>
      </c>
      <c r="H145" s="43">
        <v>818</v>
      </c>
      <c r="I145" s="43">
        <v>0</v>
      </c>
    </row>
    <row r="146" spans="1:9" x14ac:dyDescent="0.3">
      <c r="A146" s="42">
        <v>33908.78039485</v>
      </c>
      <c r="B146" s="42">
        <v>11832.805579999998</v>
      </c>
      <c r="C146" s="43">
        <v>5339.4930000000004</v>
      </c>
      <c r="D146" s="43">
        <v>1687.8581449999999</v>
      </c>
      <c r="E146" s="43">
        <v>5000</v>
      </c>
      <c r="F146" s="43">
        <v>6779.6610170000004</v>
      </c>
      <c r="G146" s="43">
        <v>0</v>
      </c>
      <c r="H146" s="43">
        <v>818</v>
      </c>
      <c r="I146" s="43">
        <v>330</v>
      </c>
    </row>
    <row r="147" spans="1:9" x14ac:dyDescent="0.3">
      <c r="A147" s="42">
        <v>31694.692776349999</v>
      </c>
      <c r="B147" s="42">
        <v>11832.805579999998</v>
      </c>
      <c r="C147" s="43">
        <v>4957.9459999999999</v>
      </c>
      <c r="D147" s="43">
        <v>1687.8581449999999</v>
      </c>
      <c r="E147" s="43">
        <v>5000</v>
      </c>
      <c r="F147" s="43">
        <v>6779.6610170000004</v>
      </c>
      <c r="G147" s="43">
        <v>0</v>
      </c>
      <c r="H147" s="43">
        <v>818</v>
      </c>
      <c r="I147" s="43">
        <v>330</v>
      </c>
    </row>
    <row r="148" spans="1:9" x14ac:dyDescent="0.3">
      <c r="A148" s="42">
        <v>31042.177286499998</v>
      </c>
      <c r="B148" s="42">
        <v>11832.805579999998</v>
      </c>
      <c r="C148" s="43">
        <v>4496.732</v>
      </c>
      <c r="D148" s="43">
        <v>1687.8581449999999</v>
      </c>
      <c r="E148" s="43">
        <v>5000</v>
      </c>
      <c r="F148" s="43">
        <v>6779.6610170000004</v>
      </c>
      <c r="G148" s="43">
        <v>0</v>
      </c>
      <c r="H148" s="43">
        <v>818</v>
      </c>
      <c r="I148" s="43">
        <v>330</v>
      </c>
    </row>
    <row r="149" spans="1:9" x14ac:dyDescent="0.3">
      <c r="A149" s="42">
        <v>31256.872673489997</v>
      </c>
      <c r="B149" s="42">
        <v>11832.805579999998</v>
      </c>
      <c r="C149" s="43">
        <v>4343.1559999999999</v>
      </c>
      <c r="D149" s="43">
        <v>1687.8581449999999</v>
      </c>
      <c r="E149" s="43">
        <v>5000</v>
      </c>
      <c r="F149" s="43">
        <v>6779.6610170000004</v>
      </c>
      <c r="G149" s="43">
        <v>0</v>
      </c>
      <c r="H149" s="43">
        <v>818</v>
      </c>
      <c r="I149" s="43">
        <v>330</v>
      </c>
    </row>
    <row r="150" spans="1:9" x14ac:dyDescent="0.3">
      <c r="A150" s="42">
        <v>31389.7160831</v>
      </c>
      <c r="B150" s="42">
        <v>11864.49785</v>
      </c>
      <c r="C150" s="43">
        <v>4305.777</v>
      </c>
      <c r="D150" s="43">
        <v>1687.8581449999999</v>
      </c>
      <c r="E150" s="43">
        <v>5000</v>
      </c>
      <c r="F150" s="43">
        <v>6779.6610170000004</v>
      </c>
      <c r="G150" s="43">
        <v>0</v>
      </c>
      <c r="H150" s="43">
        <v>818</v>
      </c>
      <c r="I150" s="43">
        <v>330</v>
      </c>
    </row>
    <row r="151" spans="1:9" x14ac:dyDescent="0.3">
      <c r="A151" s="42">
        <v>31768.584404420002</v>
      </c>
      <c r="B151" s="42">
        <v>11896.19011</v>
      </c>
      <c r="C151" s="43">
        <v>4336.7520000000004</v>
      </c>
      <c r="D151" s="43">
        <v>1687.8581449999999</v>
      </c>
      <c r="E151" s="43">
        <v>5000</v>
      </c>
      <c r="F151" s="43">
        <v>6779.6610170000004</v>
      </c>
      <c r="G151" s="43">
        <v>0</v>
      </c>
      <c r="H151" s="43">
        <v>818</v>
      </c>
      <c r="I151" s="43">
        <v>330</v>
      </c>
    </row>
    <row r="152" spans="1:9" x14ac:dyDescent="0.3">
      <c r="A152" s="42">
        <v>33420.22535393</v>
      </c>
      <c r="B152" s="42">
        <v>11912.036249999999</v>
      </c>
      <c r="C152" s="43">
        <v>4388.3490000000002</v>
      </c>
      <c r="D152" s="43">
        <v>1687.8581449999999</v>
      </c>
      <c r="E152" s="43">
        <v>5000</v>
      </c>
      <c r="F152" s="43">
        <v>6779.6610170000004</v>
      </c>
      <c r="G152" s="43">
        <v>0</v>
      </c>
      <c r="H152" s="43">
        <v>818</v>
      </c>
      <c r="I152" s="43">
        <v>330</v>
      </c>
    </row>
    <row r="153" spans="1:9" x14ac:dyDescent="0.3">
      <c r="A153" s="42">
        <v>35483.98781595</v>
      </c>
      <c r="B153" s="42">
        <v>11896.19011</v>
      </c>
      <c r="C153" s="43">
        <v>4334.1949999999997</v>
      </c>
      <c r="D153" s="43">
        <v>1687.8581449999999</v>
      </c>
      <c r="E153" s="43">
        <v>5000</v>
      </c>
      <c r="F153" s="43">
        <v>6779.6610170000004</v>
      </c>
      <c r="G153" s="43">
        <v>0</v>
      </c>
      <c r="H153" s="43">
        <v>818</v>
      </c>
      <c r="I153" s="43">
        <v>330</v>
      </c>
    </row>
    <row r="154" spans="1:9" x14ac:dyDescent="0.3">
      <c r="A154" s="42">
        <v>37641.27118471</v>
      </c>
      <c r="B154" s="42">
        <v>11896.19011</v>
      </c>
      <c r="C154" s="43">
        <v>4342.3630000000003</v>
      </c>
      <c r="D154" s="43">
        <v>1687.8581449999999</v>
      </c>
      <c r="E154" s="43">
        <v>5000</v>
      </c>
      <c r="F154" s="43">
        <v>6779.6610170000004</v>
      </c>
      <c r="G154" s="43">
        <v>0</v>
      </c>
      <c r="H154" s="43">
        <v>818</v>
      </c>
      <c r="I154" s="43">
        <v>330</v>
      </c>
    </row>
    <row r="155" spans="1:9" x14ac:dyDescent="0.3">
      <c r="A155" s="42">
        <v>38508.40456219</v>
      </c>
      <c r="B155" s="42">
        <v>11896.19011</v>
      </c>
      <c r="C155" s="43">
        <v>4640.1970000000001</v>
      </c>
      <c r="D155" s="43">
        <v>1687.8581449999999</v>
      </c>
      <c r="E155" s="43">
        <v>5000</v>
      </c>
      <c r="F155" s="43">
        <v>6779.6610170000004</v>
      </c>
      <c r="G155" s="43">
        <v>0</v>
      </c>
      <c r="H155" s="43">
        <v>818</v>
      </c>
      <c r="I155" s="43">
        <v>330</v>
      </c>
    </row>
    <row r="156" spans="1:9" x14ac:dyDescent="0.3">
      <c r="A156" s="42">
        <v>38805.926239259999</v>
      </c>
      <c r="B156" s="42">
        <v>11896.19011</v>
      </c>
      <c r="C156" s="43">
        <v>4886.9849999999997</v>
      </c>
      <c r="D156" s="43">
        <v>1871.5779829999999</v>
      </c>
      <c r="E156" s="43">
        <v>5000</v>
      </c>
      <c r="F156" s="43">
        <v>6779.6610170000004</v>
      </c>
      <c r="G156" s="43">
        <v>0</v>
      </c>
      <c r="H156" s="43">
        <v>818</v>
      </c>
      <c r="I156" s="43">
        <v>330</v>
      </c>
    </row>
    <row r="157" spans="1:9" x14ac:dyDescent="0.3">
      <c r="A157" s="42">
        <v>40216.26600173</v>
      </c>
      <c r="B157" s="42">
        <v>11912.036249999999</v>
      </c>
      <c r="C157" s="43">
        <v>5229.9260000000004</v>
      </c>
      <c r="D157" s="43">
        <v>1871.5779829999999</v>
      </c>
      <c r="E157" s="43">
        <v>5000</v>
      </c>
      <c r="F157" s="43">
        <v>6779.6610170000004</v>
      </c>
      <c r="G157" s="43">
        <v>0</v>
      </c>
      <c r="H157" s="43">
        <v>818</v>
      </c>
      <c r="I157" s="43">
        <v>330</v>
      </c>
    </row>
    <row r="158" spans="1:9" x14ac:dyDescent="0.3">
      <c r="A158" s="42">
        <v>41396.563700899998</v>
      </c>
      <c r="B158" s="42">
        <v>11896.19011</v>
      </c>
      <c r="C158" s="43">
        <v>5596.19</v>
      </c>
      <c r="D158" s="43">
        <v>1871.5779829999999</v>
      </c>
      <c r="E158" s="43">
        <v>5000</v>
      </c>
      <c r="F158" s="43">
        <v>6779.6610170000004</v>
      </c>
      <c r="G158" s="43">
        <v>0</v>
      </c>
      <c r="H158" s="43">
        <v>818</v>
      </c>
      <c r="I158" s="43">
        <v>330</v>
      </c>
    </row>
    <row r="159" spans="1:9" x14ac:dyDescent="0.3">
      <c r="A159" s="42">
        <v>41534.483924280001</v>
      </c>
      <c r="B159" s="42">
        <v>11896.19011</v>
      </c>
      <c r="C159" s="43">
        <v>5280.6869999999999</v>
      </c>
      <c r="D159" s="43">
        <v>1871.5779829999999</v>
      </c>
      <c r="E159" s="43">
        <v>5000</v>
      </c>
      <c r="F159" s="43">
        <v>6779.6610170000004</v>
      </c>
      <c r="G159" s="43">
        <v>0</v>
      </c>
      <c r="H159" s="43">
        <v>818</v>
      </c>
      <c r="I159" s="43">
        <v>330</v>
      </c>
    </row>
    <row r="160" spans="1:9" x14ac:dyDescent="0.3">
      <c r="A160" s="42">
        <v>40019.64214779</v>
      </c>
      <c r="B160" s="42">
        <v>11912.036249999999</v>
      </c>
      <c r="C160" s="43">
        <v>4999.6120000000001</v>
      </c>
      <c r="D160" s="43">
        <v>1871.5779829999999</v>
      </c>
      <c r="E160" s="43">
        <v>5000</v>
      </c>
      <c r="F160" s="43">
        <v>6779.6610170000004</v>
      </c>
      <c r="G160" s="43">
        <v>0</v>
      </c>
      <c r="H160" s="43">
        <v>818</v>
      </c>
      <c r="I160" s="43">
        <v>330</v>
      </c>
    </row>
    <row r="161" spans="1:9" x14ac:dyDescent="0.3">
      <c r="A161" s="42">
        <v>39152.207358</v>
      </c>
      <c r="B161" s="42">
        <v>11896.19011</v>
      </c>
      <c r="C161" s="43">
        <v>5002.7030000000004</v>
      </c>
      <c r="D161" s="43">
        <v>1687.8581449999999</v>
      </c>
      <c r="E161" s="43">
        <v>5000</v>
      </c>
      <c r="F161" s="43">
        <v>6779.6610170000004</v>
      </c>
      <c r="G161" s="43">
        <v>0</v>
      </c>
      <c r="H161" s="43">
        <v>818</v>
      </c>
      <c r="I161" s="43">
        <v>330</v>
      </c>
    </row>
    <row r="162" spans="1:9" x14ac:dyDescent="0.3">
      <c r="A162" s="42">
        <v>39213.359205790002</v>
      </c>
      <c r="B162" s="42">
        <v>11896.19011</v>
      </c>
      <c r="C162" s="43">
        <v>5228.2780000000002</v>
      </c>
      <c r="D162" s="43">
        <v>1687.8581449999999</v>
      </c>
      <c r="E162" s="43">
        <v>5000</v>
      </c>
      <c r="F162" s="43">
        <v>6779.6610170000004</v>
      </c>
      <c r="G162" s="43">
        <v>0</v>
      </c>
      <c r="H162" s="43">
        <v>818</v>
      </c>
      <c r="I162" s="43">
        <v>330</v>
      </c>
    </row>
    <row r="163" spans="1:9" x14ac:dyDescent="0.3">
      <c r="A163" s="42">
        <v>41225.578881149995</v>
      </c>
      <c r="B163" s="42">
        <v>11896.19011</v>
      </c>
      <c r="C163" s="43">
        <v>5872.1220000000003</v>
      </c>
      <c r="D163" s="43">
        <v>1687.8581449999999</v>
      </c>
      <c r="E163" s="43">
        <v>5000</v>
      </c>
      <c r="F163" s="43">
        <v>6779.6610170000004</v>
      </c>
      <c r="G163" s="43">
        <v>0</v>
      </c>
      <c r="H163" s="43">
        <v>818</v>
      </c>
      <c r="I163" s="43">
        <v>330</v>
      </c>
    </row>
    <row r="164" spans="1:9" x14ac:dyDescent="0.3">
      <c r="A164" s="42">
        <v>42380.897272230002</v>
      </c>
      <c r="B164" s="42">
        <v>11912.036249999999</v>
      </c>
      <c r="C164" s="43">
        <v>6451.0309999999999</v>
      </c>
      <c r="D164" s="43">
        <v>1687.8581449999999</v>
      </c>
      <c r="E164" s="43">
        <v>5000</v>
      </c>
      <c r="F164" s="43">
        <v>6779.6610170000004</v>
      </c>
      <c r="G164" s="43">
        <v>0</v>
      </c>
      <c r="H164" s="43">
        <v>818</v>
      </c>
      <c r="I164" s="43">
        <v>330</v>
      </c>
    </row>
    <row r="165" spans="1:9" x14ac:dyDescent="0.3">
      <c r="A165" s="42">
        <v>42796.530983049997</v>
      </c>
      <c r="B165" s="42">
        <v>11896.19011</v>
      </c>
      <c r="C165" s="43">
        <v>6593.3879999999999</v>
      </c>
      <c r="D165" s="43">
        <v>1687.8581449999999</v>
      </c>
      <c r="E165" s="43">
        <v>5000</v>
      </c>
      <c r="F165" s="43">
        <v>6779.6610170000004</v>
      </c>
      <c r="G165" s="43">
        <v>0</v>
      </c>
      <c r="H165" s="43">
        <v>818</v>
      </c>
      <c r="I165" s="43">
        <v>330</v>
      </c>
    </row>
    <row r="166" spans="1:9" x14ac:dyDescent="0.3">
      <c r="A166" s="42">
        <v>42432.015089859997</v>
      </c>
      <c r="B166" s="42">
        <v>11880.34398</v>
      </c>
      <c r="C166" s="43">
        <v>6426.7089999999998</v>
      </c>
      <c r="D166" s="43">
        <v>1687.8581449999999</v>
      </c>
      <c r="E166" s="43">
        <v>5000</v>
      </c>
      <c r="F166" s="43">
        <v>6779.6610170000004</v>
      </c>
      <c r="G166" s="43">
        <v>0</v>
      </c>
      <c r="H166" s="43">
        <v>818</v>
      </c>
      <c r="I166" s="43">
        <v>330</v>
      </c>
    </row>
    <row r="167" spans="1:9" x14ac:dyDescent="0.3">
      <c r="A167" s="42">
        <v>41053.374918959998</v>
      </c>
      <c r="B167" s="42">
        <v>11864.49785</v>
      </c>
      <c r="C167" s="43">
        <v>6037.9189999999999</v>
      </c>
      <c r="D167" s="43">
        <v>1687.8581449999999</v>
      </c>
      <c r="E167" s="43">
        <v>5000</v>
      </c>
      <c r="F167" s="43">
        <v>6779.6610170000004</v>
      </c>
      <c r="G167" s="43">
        <v>0</v>
      </c>
      <c r="H167" s="43">
        <v>818</v>
      </c>
      <c r="I167" s="43">
        <v>330</v>
      </c>
    </row>
    <row r="168" spans="1:9" x14ac:dyDescent="0.3">
      <c r="A168" s="42">
        <v>39084.849830340005</v>
      </c>
      <c r="B168" s="42">
        <v>11832.805579999998</v>
      </c>
      <c r="C168" s="43">
        <v>6241.08</v>
      </c>
      <c r="D168" s="43">
        <v>1687.8581449999999</v>
      </c>
      <c r="E168" s="43">
        <v>5000</v>
      </c>
      <c r="F168" s="43">
        <v>6779.6610170000004</v>
      </c>
      <c r="G168" s="43">
        <v>0</v>
      </c>
      <c r="H168" s="43">
        <v>818</v>
      </c>
      <c r="I168" s="43">
        <v>330</v>
      </c>
    </row>
    <row r="169" spans="1:9" x14ac:dyDescent="0.3">
      <c r="A169" s="42">
        <v>36402.547624520004</v>
      </c>
      <c r="B169" s="42">
        <v>11832.805579999998</v>
      </c>
      <c r="C169" s="43">
        <v>5886.9840000000004</v>
      </c>
      <c r="D169" s="43">
        <v>1687.8581449999999</v>
      </c>
      <c r="E169" s="43">
        <v>5000</v>
      </c>
      <c r="F169" s="43">
        <v>6779.6610170000004</v>
      </c>
      <c r="G169" s="43">
        <v>0</v>
      </c>
      <c r="H169" s="43">
        <v>818</v>
      </c>
      <c r="I169" s="43">
        <v>330</v>
      </c>
    </row>
    <row r="170" spans="1:9" x14ac:dyDescent="0.3">
      <c r="E170" s="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R172"/>
  <sheetViews>
    <sheetView topLeftCell="J1" zoomScale="88" zoomScaleNormal="85" workbookViewId="0">
      <selection activeCell="K12" sqref="K12"/>
    </sheetView>
  </sheetViews>
  <sheetFormatPr baseColWidth="10" defaultRowHeight="14" x14ac:dyDescent="0.3"/>
  <cols>
    <col min="1" max="2" width="20.26953125" style="9" customWidth="1"/>
    <col min="3" max="3" width="22.7265625" style="9" bestFit="1" customWidth="1"/>
    <col min="4" max="4" width="20.26953125" style="9" bestFit="1" customWidth="1"/>
    <col min="5" max="6" width="21.1796875" style="9" bestFit="1" customWidth="1"/>
    <col min="7" max="7" width="20.26953125" style="9" bestFit="1" customWidth="1"/>
    <col min="8" max="8" width="22.90625" style="9" bestFit="1" customWidth="1"/>
    <col min="9" max="9" width="20.26953125" style="9" bestFit="1" customWidth="1"/>
    <col min="10" max="10" width="20.453125" style="9" customWidth="1"/>
    <col min="11" max="11" width="21.08984375" style="9" bestFit="1" customWidth="1"/>
    <col min="12" max="13" width="27.1796875" style="9" customWidth="1"/>
    <col min="14" max="14" width="21.26953125" style="9" customWidth="1"/>
    <col min="15" max="15" width="19.453125" style="9" customWidth="1"/>
    <col min="16" max="18" width="21.6328125" style="9" bestFit="1" customWidth="1"/>
    <col min="19" max="16384" width="10.90625" style="9"/>
  </cols>
  <sheetData>
    <row r="1" spans="1:18" s="34" customFormat="1" x14ac:dyDescent="0.3">
      <c r="A1" s="31" t="s">
        <v>139</v>
      </c>
      <c r="B1" s="31" t="s">
        <v>137</v>
      </c>
      <c r="C1" s="31" t="s">
        <v>138</v>
      </c>
      <c r="D1" s="31" t="s">
        <v>63</v>
      </c>
      <c r="E1" s="31" t="s">
        <v>129</v>
      </c>
      <c r="F1" s="31" t="s">
        <v>128</v>
      </c>
      <c r="G1" s="28" t="s">
        <v>160</v>
      </c>
      <c r="H1" s="28" t="s">
        <v>145</v>
      </c>
      <c r="I1" s="28" t="s">
        <v>64</v>
      </c>
      <c r="J1" s="28" t="s">
        <v>126</v>
      </c>
      <c r="K1" s="32" t="s">
        <v>127</v>
      </c>
      <c r="L1" s="44" t="s">
        <v>136</v>
      </c>
      <c r="M1" s="44" t="s">
        <v>135</v>
      </c>
      <c r="N1" s="33" t="s">
        <v>119</v>
      </c>
      <c r="O1" s="33" t="s">
        <v>125</v>
      </c>
      <c r="P1" s="33" t="s">
        <v>121</v>
      </c>
      <c r="Q1" s="33" t="s">
        <v>131</v>
      </c>
      <c r="R1" s="33" t="s">
        <v>130</v>
      </c>
    </row>
    <row r="2" spans="1:18" x14ac:dyDescent="0.3">
      <c r="A2" s="27">
        <v>0</v>
      </c>
      <c r="B2" s="27">
        <v>0</v>
      </c>
      <c r="C2" s="27">
        <v>0</v>
      </c>
      <c r="D2" s="27">
        <v>0.27513821599999999</v>
      </c>
      <c r="E2" s="27">
        <v>0.32070481809153373</v>
      </c>
      <c r="F2" s="37">
        <v>0</v>
      </c>
      <c r="G2" s="27">
        <v>0</v>
      </c>
      <c r="H2" s="27">
        <v>0</v>
      </c>
      <c r="I2" s="27">
        <v>0.231355068</v>
      </c>
      <c r="J2" s="27">
        <v>0.10459032585279714</v>
      </c>
      <c r="K2" s="9">
        <v>0</v>
      </c>
      <c r="L2" s="45">
        <v>0.77362125528354786</v>
      </c>
      <c r="M2" s="45">
        <f>1</f>
        <v>1</v>
      </c>
      <c r="N2" s="35">
        <v>1</v>
      </c>
      <c r="O2" s="36">
        <v>0</v>
      </c>
      <c r="P2" s="36">
        <v>1</v>
      </c>
      <c r="Q2" s="36">
        <v>1240</v>
      </c>
      <c r="R2" s="36">
        <v>330</v>
      </c>
    </row>
    <row r="3" spans="1:18" x14ac:dyDescent="0.3">
      <c r="A3" s="27">
        <v>0</v>
      </c>
      <c r="B3" s="27">
        <v>0</v>
      </c>
      <c r="C3" s="27">
        <v>0</v>
      </c>
      <c r="D3" s="27">
        <v>0.29443187700000001</v>
      </c>
      <c r="E3" s="27">
        <v>0.34319376975837423</v>
      </c>
      <c r="F3" s="37">
        <v>0</v>
      </c>
      <c r="G3" s="27">
        <v>0</v>
      </c>
      <c r="H3" s="27">
        <v>0</v>
      </c>
      <c r="I3" s="27">
        <v>0.24427178299999999</v>
      </c>
      <c r="J3" s="27">
        <v>9.6099798406588527E-2</v>
      </c>
      <c r="K3" s="9">
        <v>0</v>
      </c>
      <c r="L3" s="45">
        <v>0.77362125528354786</v>
      </c>
      <c r="M3" s="45">
        <f>1</f>
        <v>1</v>
      </c>
      <c r="N3" s="35">
        <v>1</v>
      </c>
      <c r="O3" s="36">
        <v>0</v>
      </c>
      <c r="P3" s="36">
        <v>1</v>
      </c>
      <c r="Q3" s="36">
        <v>1240</v>
      </c>
      <c r="R3" s="36">
        <v>330</v>
      </c>
    </row>
    <row r="4" spans="1:18" x14ac:dyDescent="0.3">
      <c r="A4" s="27">
        <v>0</v>
      </c>
      <c r="B4" s="27">
        <v>0</v>
      </c>
      <c r="C4" s="27">
        <v>0</v>
      </c>
      <c r="D4" s="27">
        <v>0.29945537999999999</v>
      </c>
      <c r="E4" s="27">
        <v>0.34904923265705523</v>
      </c>
      <c r="F4" s="37">
        <v>0</v>
      </c>
      <c r="G4" s="27">
        <v>0</v>
      </c>
      <c r="H4" s="27">
        <v>0</v>
      </c>
      <c r="I4" s="27">
        <v>0.24361559799999999</v>
      </c>
      <c r="J4" s="27">
        <v>9.0471182387891369E-2</v>
      </c>
      <c r="K4" s="9">
        <v>0</v>
      </c>
      <c r="L4" s="45">
        <v>0.77362125528354786</v>
      </c>
      <c r="M4" s="45">
        <f>1</f>
        <v>1</v>
      </c>
      <c r="N4" s="35">
        <v>1</v>
      </c>
      <c r="O4" s="36">
        <v>0</v>
      </c>
      <c r="P4" s="36">
        <v>1</v>
      </c>
      <c r="Q4" s="36">
        <v>1240</v>
      </c>
      <c r="R4" s="36">
        <v>330</v>
      </c>
    </row>
    <row r="5" spans="1:18" x14ac:dyDescent="0.3">
      <c r="A5" s="27">
        <v>0</v>
      </c>
      <c r="B5" s="27">
        <v>0</v>
      </c>
      <c r="C5" s="27">
        <v>0</v>
      </c>
      <c r="D5" s="27">
        <v>0.30697123399999998</v>
      </c>
      <c r="E5" s="27">
        <v>0.3578098135204294</v>
      </c>
      <c r="F5" s="37">
        <v>0</v>
      </c>
      <c r="G5" s="27">
        <v>0</v>
      </c>
      <c r="H5" s="27">
        <v>0</v>
      </c>
      <c r="I5" s="27">
        <v>0.21310356</v>
      </c>
      <c r="J5" s="27">
        <v>8.519956391452739E-2</v>
      </c>
      <c r="K5" s="9">
        <v>0</v>
      </c>
      <c r="L5" s="45">
        <v>0.77362125528354786</v>
      </c>
      <c r="M5" s="45">
        <f>1</f>
        <v>1</v>
      </c>
      <c r="N5" s="35">
        <v>1</v>
      </c>
      <c r="O5" s="36">
        <v>0</v>
      </c>
      <c r="P5" s="36">
        <v>1</v>
      </c>
      <c r="Q5" s="36">
        <v>1240</v>
      </c>
      <c r="R5" s="36">
        <v>330</v>
      </c>
    </row>
    <row r="6" spans="1:18" x14ac:dyDescent="0.3">
      <c r="A6" s="27">
        <v>0</v>
      </c>
      <c r="B6" s="27">
        <v>0</v>
      </c>
      <c r="C6" s="27">
        <v>0</v>
      </c>
      <c r="D6" s="27">
        <v>0.32181367900000002</v>
      </c>
      <c r="E6" s="27">
        <v>0.37511036773990797</v>
      </c>
      <c r="F6" s="37">
        <v>0</v>
      </c>
      <c r="G6" s="27">
        <v>0</v>
      </c>
      <c r="H6" s="27">
        <v>0</v>
      </c>
      <c r="I6" s="27">
        <v>0.20053448600000001</v>
      </c>
      <c r="J6" s="27">
        <v>8.1436625942127916E-2</v>
      </c>
      <c r="K6" s="9">
        <v>0</v>
      </c>
      <c r="L6" s="45">
        <v>0.77362125528354786</v>
      </c>
      <c r="M6" s="45">
        <f>1</f>
        <v>1</v>
      </c>
      <c r="N6" s="35">
        <v>1</v>
      </c>
      <c r="O6" s="36">
        <v>0</v>
      </c>
      <c r="P6" s="36">
        <v>1</v>
      </c>
      <c r="Q6" s="36">
        <v>1240</v>
      </c>
      <c r="R6" s="36">
        <v>330</v>
      </c>
    </row>
    <row r="7" spans="1:18" x14ac:dyDescent="0.3">
      <c r="A7" s="27">
        <v>0</v>
      </c>
      <c r="B7" s="27">
        <v>0</v>
      </c>
      <c r="C7" s="27">
        <v>0</v>
      </c>
      <c r="D7" s="27">
        <v>0.323743155</v>
      </c>
      <c r="E7" s="27">
        <v>0.37735939100751537</v>
      </c>
      <c r="F7" s="37">
        <v>0</v>
      </c>
      <c r="G7" s="27">
        <v>0</v>
      </c>
      <c r="H7" s="27">
        <v>0</v>
      </c>
      <c r="I7" s="27">
        <v>0.209092115</v>
      </c>
      <c r="J7" s="27">
        <v>7.9330834267695508E-2</v>
      </c>
      <c r="K7" s="9">
        <v>0</v>
      </c>
      <c r="L7" s="45">
        <v>0.77362125528354786</v>
      </c>
      <c r="M7" s="45">
        <f>1</f>
        <v>1</v>
      </c>
      <c r="N7" s="35">
        <v>1</v>
      </c>
      <c r="O7" s="36">
        <v>0</v>
      </c>
      <c r="P7" s="36">
        <v>1</v>
      </c>
      <c r="Q7" s="36">
        <v>1240</v>
      </c>
      <c r="R7" s="36">
        <v>330</v>
      </c>
    </row>
    <row r="8" spans="1:18" x14ac:dyDescent="0.3">
      <c r="A8" s="27">
        <v>0</v>
      </c>
      <c r="B8" s="27">
        <v>0</v>
      </c>
      <c r="C8" s="27">
        <v>0</v>
      </c>
      <c r="D8" s="27">
        <v>0.30273460200000002</v>
      </c>
      <c r="E8" s="27">
        <v>0.35287153807969324</v>
      </c>
      <c r="F8" s="37">
        <v>0</v>
      </c>
      <c r="G8" s="27">
        <v>0</v>
      </c>
      <c r="H8" s="27">
        <v>0</v>
      </c>
      <c r="I8" s="27">
        <v>0.21624348900000001</v>
      </c>
      <c r="J8" s="27">
        <v>7.6747302668941975E-2</v>
      </c>
      <c r="K8" s="9">
        <v>0</v>
      </c>
      <c r="L8" s="45">
        <v>0.77362125528354786</v>
      </c>
      <c r="M8" s="45">
        <f>1</f>
        <v>1</v>
      </c>
      <c r="N8" s="35">
        <v>1</v>
      </c>
      <c r="O8" s="36">
        <v>0</v>
      </c>
      <c r="P8" s="36">
        <v>1</v>
      </c>
      <c r="Q8" s="36">
        <v>1240</v>
      </c>
      <c r="R8" s="36">
        <v>330</v>
      </c>
    </row>
    <row r="9" spans="1:18" x14ac:dyDescent="0.3">
      <c r="A9" s="27">
        <v>0</v>
      </c>
      <c r="B9" s="27">
        <v>0</v>
      </c>
      <c r="C9" s="27">
        <v>0</v>
      </c>
      <c r="D9" s="27">
        <v>0.24533328800000001</v>
      </c>
      <c r="E9" s="27">
        <v>0.28596379173963193</v>
      </c>
      <c r="F9" s="37">
        <v>0</v>
      </c>
      <c r="G9" s="27">
        <v>0</v>
      </c>
      <c r="H9" s="27">
        <v>0</v>
      </c>
      <c r="I9" s="27">
        <v>0.23473575999999999</v>
      </c>
      <c r="J9" s="27">
        <v>7.707484609585992E-2</v>
      </c>
      <c r="K9" s="9">
        <v>0</v>
      </c>
      <c r="L9" s="45">
        <v>0.77362125528354786</v>
      </c>
      <c r="M9" s="45">
        <f>1</f>
        <v>1</v>
      </c>
      <c r="N9" s="35">
        <v>1</v>
      </c>
      <c r="O9" s="36">
        <v>0</v>
      </c>
      <c r="P9" s="36">
        <v>1</v>
      </c>
      <c r="Q9" s="36">
        <v>1240</v>
      </c>
      <c r="R9" s="36">
        <v>330</v>
      </c>
    </row>
    <row r="10" spans="1:18" x14ac:dyDescent="0.3">
      <c r="A10" s="27">
        <v>0</v>
      </c>
      <c r="B10" s="27">
        <v>0</v>
      </c>
      <c r="C10" s="27">
        <v>0</v>
      </c>
      <c r="D10" s="27">
        <v>0.19145563500000001</v>
      </c>
      <c r="E10" s="27">
        <v>0.2342226597032209</v>
      </c>
      <c r="F10" s="37">
        <v>0</v>
      </c>
      <c r="G10" s="27">
        <v>0</v>
      </c>
      <c r="H10" s="27">
        <v>0</v>
      </c>
      <c r="I10" s="27">
        <v>0.24991801699999999</v>
      </c>
      <c r="J10" s="27">
        <v>7.7038908653806207E-2</v>
      </c>
      <c r="K10" s="9">
        <v>0</v>
      </c>
      <c r="L10" s="45">
        <v>0.77362125528354786</v>
      </c>
      <c r="M10" s="45">
        <f>1</f>
        <v>1</v>
      </c>
      <c r="N10" s="35">
        <v>1</v>
      </c>
      <c r="O10" s="36">
        <v>0</v>
      </c>
      <c r="P10" s="36">
        <v>1</v>
      </c>
      <c r="Q10" s="36">
        <v>1240</v>
      </c>
      <c r="R10" s="36">
        <v>330</v>
      </c>
    </row>
    <row r="11" spans="1:18" x14ac:dyDescent="0.3">
      <c r="A11" s="27">
        <v>0.122</v>
      </c>
      <c r="B11" s="27">
        <v>7.0999999999999994E-2</v>
      </c>
      <c r="C11" s="27">
        <v>0.13100000000000001</v>
      </c>
      <c r="D11" s="27">
        <v>0.16467230399999999</v>
      </c>
      <c r="E11" s="27">
        <v>0.48723140723128838</v>
      </c>
      <c r="F11" s="37">
        <v>0</v>
      </c>
      <c r="G11" s="27">
        <v>7.3999999999999996E-2</v>
      </c>
      <c r="H11" s="27">
        <v>3.7999999999999999E-2</v>
      </c>
      <c r="I11" s="27">
        <v>0.22837497200000001</v>
      </c>
      <c r="J11" s="27">
        <v>0.17921139968660038</v>
      </c>
      <c r="K11" s="9">
        <v>0</v>
      </c>
      <c r="L11" s="45">
        <v>0.77362125528354786</v>
      </c>
      <c r="M11" s="45">
        <f>1</f>
        <v>1</v>
      </c>
      <c r="N11" s="35">
        <v>1</v>
      </c>
      <c r="O11" s="36">
        <v>0</v>
      </c>
      <c r="P11" s="36">
        <v>1</v>
      </c>
      <c r="Q11" s="36">
        <v>1240</v>
      </c>
      <c r="R11" s="36">
        <v>330</v>
      </c>
    </row>
    <row r="12" spans="1:18" x14ac:dyDescent="0.3">
      <c r="A12" s="27">
        <v>0.313</v>
      </c>
      <c r="B12" s="27">
        <v>0.188</v>
      </c>
      <c r="C12" s="27">
        <v>0.30499999999999999</v>
      </c>
      <c r="D12" s="27">
        <v>0.15553496</v>
      </c>
      <c r="E12" s="27">
        <v>0.90175446132622705</v>
      </c>
      <c r="F12" s="37">
        <v>0</v>
      </c>
      <c r="G12" s="27">
        <v>0.26499999999999996</v>
      </c>
      <c r="H12" s="27">
        <v>0.14199999999999999</v>
      </c>
      <c r="I12" s="27">
        <v>0.20019468400000001</v>
      </c>
      <c r="J12" s="27">
        <v>0.45094925511292477</v>
      </c>
      <c r="K12" s="9">
        <v>0</v>
      </c>
      <c r="L12" s="45">
        <v>0</v>
      </c>
      <c r="M12" s="45">
        <f>1</f>
        <v>1</v>
      </c>
      <c r="N12" s="35">
        <v>0</v>
      </c>
      <c r="O12" s="36">
        <v>0</v>
      </c>
      <c r="P12" s="36">
        <v>1</v>
      </c>
      <c r="Q12" s="36">
        <v>195.1</v>
      </c>
      <c r="R12" s="36">
        <v>330</v>
      </c>
    </row>
    <row r="13" spans="1:18" x14ac:dyDescent="0.3">
      <c r="A13" s="27">
        <v>0.379</v>
      </c>
      <c r="B13" s="27">
        <v>0.31</v>
      </c>
      <c r="C13" s="27">
        <v>0.442</v>
      </c>
      <c r="D13" s="27">
        <v>0.16481443000000001</v>
      </c>
      <c r="E13" s="27">
        <v>1</v>
      </c>
      <c r="F13" s="37">
        <v>0.11169860020390342</v>
      </c>
      <c r="G13" s="27">
        <v>0.44199999999999995</v>
      </c>
      <c r="H13" s="27">
        <v>0.251</v>
      </c>
      <c r="I13" s="27">
        <v>0.21262310700000001</v>
      </c>
      <c r="J13" s="27">
        <v>0.71574828134411639</v>
      </c>
      <c r="K13" s="9">
        <v>0</v>
      </c>
      <c r="L13" s="45">
        <v>0</v>
      </c>
      <c r="M13" s="45">
        <f>1</f>
        <v>1</v>
      </c>
      <c r="N13" s="35">
        <v>0</v>
      </c>
      <c r="O13" s="36">
        <v>0</v>
      </c>
      <c r="P13" s="36">
        <v>0.97923636659023339</v>
      </c>
      <c r="Q13" s="36">
        <v>0</v>
      </c>
      <c r="R13" s="36">
        <v>0</v>
      </c>
    </row>
    <row r="14" spans="1:18" x14ac:dyDescent="0.3">
      <c r="A14" s="27">
        <v>0.39100000000000001</v>
      </c>
      <c r="B14" s="27">
        <v>0.38900000000000001</v>
      </c>
      <c r="C14" s="27">
        <v>0.51</v>
      </c>
      <c r="D14" s="27">
        <v>0.189962678</v>
      </c>
      <c r="E14" s="27">
        <v>1</v>
      </c>
      <c r="F14" s="37">
        <v>0.20369786457629394</v>
      </c>
      <c r="G14" s="27">
        <v>0.54799999999999993</v>
      </c>
      <c r="H14" s="27">
        <v>0.32300000000000001</v>
      </c>
      <c r="I14" s="27">
        <v>0.23684482800000001</v>
      </c>
      <c r="J14" s="27">
        <v>0.88176991006855621</v>
      </c>
      <c r="K14" s="9">
        <v>0</v>
      </c>
      <c r="L14" s="45">
        <v>0</v>
      </c>
      <c r="M14" s="45">
        <f>1</f>
        <v>1</v>
      </c>
      <c r="N14" s="35">
        <v>0</v>
      </c>
      <c r="O14" s="36">
        <v>0</v>
      </c>
      <c r="P14" s="36">
        <v>0.32499278940606868</v>
      </c>
      <c r="Q14" s="36">
        <v>0</v>
      </c>
      <c r="R14" s="36">
        <v>0</v>
      </c>
    </row>
    <row r="15" spans="1:18" x14ac:dyDescent="0.3">
      <c r="A15" s="27">
        <v>0.38900000000000001</v>
      </c>
      <c r="B15" s="27">
        <v>0.39899999999999997</v>
      </c>
      <c r="C15" s="27">
        <v>0.51100000000000001</v>
      </c>
      <c r="D15" s="27">
        <v>0.20713524</v>
      </c>
      <c r="E15" s="27">
        <v>1</v>
      </c>
      <c r="F15" s="37">
        <v>0.21867058520662241</v>
      </c>
      <c r="G15" s="27">
        <v>0.58100000000000007</v>
      </c>
      <c r="H15" s="27">
        <v>0.34800000000000003</v>
      </c>
      <c r="I15" s="27">
        <v>0.27357385499999998</v>
      </c>
      <c r="J15" s="27">
        <v>0.94061033319335208</v>
      </c>
      <c r="K15" s="9">
        <v>0</v>
      </c>
      <c r="L15" s="45">
        <v>0</v>
      </c>
      <c r="M15" s="45">
        <f>1</f>
        <v>1</v>
      </c>
      <c r="N15" s="35">
        <v>0</v>
      </c>
      <c r="O15" s="36">
        <v>0</v>
      </c>
      <c r="P15" s="36">
        <v>0.48769743270288041</v>
      </c>
      <c r="Q15" s="36">
        <v>0</v>
      </c>
      <c r="R15" s="36">
        <v>0</v>
      </c>
    </row>
    <row r="16" spans="1:18" x14ac:dyDescent="0.3">
      <c r="A16" s="27">
        <v>0.378</v>
      </c>
      <c r="B16" s="27">
        <v>0.34799999999999998</v>
      </c>
      <c r="C16" s="27">
        <v>0.45100000000000001</v>
      </c>
      <c r="D16" s="27">
        <v>0.21409618999999999</v>
      </c>
      <c r="E16" s="27">
        <v>1</v>
      </c>
      <c r="F16" s="37">
        <v>0.16246703377805433</v>
      </c>
      <c r="G16" s="27">
        <v>0.54200000000000004</v>
      </c>
      <c r="H16" s="27">
        <v>0.32300000000000001</v>
      </c>
      <c r="I16" s="27">
        <v>0.290772739</v>
      </c>
      <c r="J16" s="27">
        <v>0.88691653607597576</v>
      </c>
      <c r="K16" s="9">
        <v>0</v>
      </c>
      <c r="L16" s="45">
        <v>0</v>
      </c>
      <c r="M16" s="45">
        <f>1</f>
        <v>1</v>
      </c>
      <c r="N16" s="35">
        <v>0</v>
      </c>
      <c r="O16" s="36">
        <v>0</v>
      </c>
      <c r="P16" s="36">
        <v>0.97923636659023339</v>
      </c>
      <c r="Q16" s="36">
        <v>0</v>
      </c>
      <c r="R16" s="36">
        <v>0</v>
      </c>
    </row>
    <row r="17" spans="1:18" x14ac:dyDescent="0.3">
      <c r="A17" s="27">
        <v>0.35499999999999998</v>
      </c>
      <c r="B17" s="27">
        <v>0.253</v>
      </c>
      <c r="C17" s="27">
        <v>0.34899999999999998</v>
      </c>
      <c r="D17" s="27">
        <v>0.214720357</v>
      </c>
      <c r="E17" s="27">
        <v>1</v>
      </c>
      <c r="F17" s="37">
        <v>5.2976599774851314E-2</v>
      </c>
      <c r="G17" s="27">
        <v>0.44099999999999995</v>
      </c>
      <c r="H17" s="27">
        <v>0.251</v>
      </c>
      <c r="I17" s="27">
        <v>0.25417760499999997</v>
      </c>
      <c r="J17" s="27">
        <v>0.73182482926695336</v>
      </c>
      <c r="K17" s="9">
        <v>0</v>
      </c>
      <c r="L17" s="45">
        <v>0</v>
      </c>
      <c r="M17" s="45">
        <f>1</f>
        <v>1</v>
      </c>
      <c r="N17" s="35">
        <v>0</v>
      </c>
      <c r="O17" s="36">
        <v>0</v>
      </c>
      <c r="P17" s="36">
        <v>1</v>
      </c>
      <c r="Q17" s="36">
        <v>195.1</v>
      </c>
      <c r="R17" s="36">
        <v>0</v>
      </c>
    </row>
    <row r="18" spans="1:18" x14ac:dyDescent="0.3">
      <c r="A18" s="27">
        <v>0.252</v>
      </c>
      <c r="B18" s="27">
        <v>0.128</v>
      </c>
      <c r="C18" s="27">
        <v>0.20699999999999999</v>
      </c>
      <c r="D18" s="27">
        <v>0.20648649199999999</v>
      </c>
      <c r="E18" s="27">
        <v>0.77479944331727002</v>
      </c>
      <c r="F18" s="37">
        <v>0</v>
      </c>
      <c r="G18" s="27">
        <v>0.29399999999999998</v>
      </c>
      <c r="H18" s="27">
        <v>0.152</v>
      </c>
      <c r="I18" s="27">
        <v>0.18531746800000001</v>
      </c>
      <c r="J18" s="27">
        <v>0.50303042582015134</v>
      </c>
      <c r="K18" s="9">
        <v>0</v>
      </c>
      <c r="L18" s="45">
        <v>0</v>
      </c>
      <c r="M18" s="45">
        <f>1</f>
        <v>1</v>
      </c>
      <c r="N18" s="35">
        <v>0</v>
      </c>
      <c r="O18" s="36">
        <v>0</v>
      </c>
      <c r="P18" s="36">
        <v>1</v>
      </c>
      <c r="Q18" s="36">
        <v>1240</v>
      </c>
      <c r="R18" s="36">
        <v>330</v>
      </c>
    </row>
    <row r="19" spans="1:18" x14ac:dyDescent="0.3">
      <c r="A19" s="27">
        <v>5.5E-2</v>
      </c>
      <c r="B19" s="27">
        <v>1.3000000000000001E-2</v>
      </c>
      <c r="C19" s="27">
        <v>5.2000000000000005E-2</v>
      </c>
      <c r="D19" s="27">
        <v>0.17191646599999999</v>
      </c>
      <c r="E19" s="27">
        <v>0.32497085625386501</v>
      </c>
      <c r="F19" s="37">
        <v>0</v>
      </c>
      <c r="G19" s="27">
        <v>0.12099999999999998</v>
      </c>
      <c r="H19" s="27">
        <v>5.2999999999999999E-2</v>
      </c>
      <c r="I19" s="27">
        <v>0.15156096499999999</v>
      </c>
      <c r="J19" s="27">
        <v>0.25609828499925802</v>
      </c>
      <c r="K19" s="9">
        <v>0</v>
      </c>
      <c r="L19" s="45">
        <v>0.77362125528354786</v>
      </c>
      <c r="M19" s="45">
        <f>1</f>
        <v>1</v>
      </c>
      <c r="N19" s="35">
        <v>1</v>
      </c>
      <c r="O19" s="36">
        <v>0</v>
      </c>
      <c r="P19" s="36">
        <v>1</v>
      </c>
      <c r="Q19" s="36">
        <v>1240</v>
      </c>
      <c r="R19" s="36">
        <v>330</v>
      </c>
    </row>
    <row r="20" spans="1:18" x14ac:dyDescent="0.3">
      <c r="A20" s="27">
        <v>0</v>
      </c>
      <c r="B20" s="27">
        <v>0</v>
      </c>
      <c r="C20" s="27">
        <v>0</v>
      </c>
      <c r="D20" s="27">
        <v>0.158973279</v>
      </c>
      <c r="E20" s="27">
        <v>0.18531099265309814</v>
      </c>
      <c r="F20" s="37">
        <v>0</v>
      </c>
      <c r="G20" s="27">
        <v>0</v>
      </c>
      <c r="H20" s="27">
        <v>0</v>
      </c>
      <c r="I20" s="27">
        <v>0.13066192300000001</v>
      </c>
      <c r="J20" s="27">
        <v>0.10460849959667608</v>
      </c>
      <c r="K20" s="9">
        <v>0</v>
      </c>
      <c r="L20" s="45">
        <v>0.77362125528354786</v>
      </c>
      <c r="M20" s="45">
        <f>1</f>
        <v>1</v>
      </c>
      <c r="N20" s="35">
        <v>1</v>
      </c>
      <c r="O20" s="36">
        <v>0</v>
      </c>
      <c r="P20" s="36">
        <v>1</v>
      </c>
      <c r="Q20" s="36">
        <v>1240</v>
      </c>
      <c r="R20" s="36">
        <v>330</v>
      </c>
    </row>
    <row r="21" spans="1:18" x14ac:dyDescent="0.3">
      <c r="A21" s="27">
        <v>0</v>
      </c>
      <c r="B21" s="27">
        <v>0</v>
      </c>
      <c r="C21" s="27">
        <v>0</v>
      </c>
      <c r="D21" s="27">
        <v>0.15493874299999999</v>
      </c>
      <c r="E21" s="27">
        <v>0.18059869003855825</v>
      </c>
      <c r="F21" s="37">
        <v>0</v>
      </c>
      <c r="G21" s="27">
        <v>0</v>
      </c>
      <c r="H21" s="27">
        <v>0</v>
      </c>
      <c r="I21" s="27">
        <v>0.13792420799999999</v>
      </c>
      <c r="J21" s="27">
        <v>0.10872006536904585</v>
      </c>
      <c r="K21" s="9">
        <v>0</v>
      </c>
      <c r="L21" s="45">
        <v>0.77362125528354786</v>
      </c>
      <c r="M21" s="45">
        <f>1</f>
        <v>1</v>
      </c>
      <c r="N21" s="35">
        <v>1</v>
      </c>
      <c r="O21" s="36">
        <v>0</v>
      </c>
      <c r="P21" s="36">
        <v>1</v>
      </c>
      <c r="Q21" s="36">
        <v>1240</v>
      </c>
      <c r="R21" s="36">
        <v>330</v>
      </c>
    </row>
    <row r="22" spans="1:18" x14ac:dyDescent="0.3">
      <c r="A22" s="27">
        <v>0</v>
      </c>
      <c r="B22" s="27">
        <v>0</v>
      </c>
      <c r="C22" s="27">
        <v>0</v>
      </c>
      <c r="D22" s="27">
        <v>0.15646373499999999</v>
      </c>
      <c r="E22" s="27">
        <v>0.1823762412964724</v>
      </c>
      <c r="F22" s="37">
        <v>0</v>
      </c>
      <c r="G22" s="27">
        <v>0</v>
      </c>
      <c r="H22" s="27">
        <v>0</v>
      </c>
      <c r="I22" s="27">
        <v>0.142036675</v>
      </c>
      <c r="J22" s="27">
        <v>0.11190486128357323</v>
      </c>
      <c r="K22" s="9">
        <v>0</v>
      </c>
      <c r="L22" s="45">
        <v>0.77362125528354786</v>
      </c>
      <c r="M22" s="45">
        <f>1</f>
        <v>1</v>
      </c>
      <c r="N22" s="35">
        <v>1</v>
      </c>
      <c r="O22" s="36">
        <v>0</v>
      </c>
      <c r="P22" s="36">
        <v>1</v>
      </c>
      <c r="Q22" s="36">
        <v>1240</v>
      </c>
      <c r="R22" s="36">
        <v>330</v>
      </c>
    </row>
    <row r="23" spans="1:18" x14ac:dyDescent="0.3">
      <c r="A23" s="27">
        <v>0</v>
      </c>
      <c r="B23" s="27">
        <v>0</v>
      </c>
      <c r="C23" s="27">
        <v>0</v>
      </c>
      <c r="D23" s="27">
        <v>0.161745637</v>
      </c>
      <c r="E23" s="27">
        <v>0.18853289755714725</v>
      </c>
      <c r="F23" s="37">
        <v>0</v>
      </c>
      <c r="G23" s="27">
        <v>0</v>
      </c>
      <c r="H23" s="27">
        <v>0</v>
      </c>
      <c r="I23" s="27">
        <v>0.16612885499999999</v>
      </c>
      <c r="J23" s="27">
        <v>0.11391570460454074</v>
      </c>
      <c r="K23" s="9">
        <v>0</v>
      </c>
      <c r="L23" s="45">
        <v>0.77362125528354786</v>
      </c>
      <c r="M23" s="45">
        <f>1</f>
        <v>1</v>
      </c>
      <c r="N23" s="35">
        <v>1</v>
      </c>
      <c r="O23" s="36">
        <v>0</v>
      </c>
      <c r="P23" s="36">
        <v>1</v>
      </c>
      <c r="Q23" s="36">
        <v>1240</v>
      </c>
      <c r="R23" s="36">
        <v>330</v>
      </c>
    </row>
    <row r="24" spans="1:18" x14ac:dyDescent="0.3">
      <c r="A24" s="27">
        <v>0</v>
      </c>
      <c r="B24" s="27">
        <v>0</v>
      </c>
      <c r="C24" s="27">
        <v>0</v>
      </c>
      <c r="D24" s="27">
        <v>0.172932218</v>
      </c>
      <c r="E24" s="27">
        <v>0.20157212735527608</v>
      </c>
      <c r="F24" s="37">
        <v>0</v>
      </c>
      <c r="G24" s="27">
        <v>0</v>
      </c>
      <c r="H24" s="27">
        <v>0</v>
      </c>
      <c r="I24" s="27">
        <v>0.17007567200000001</v>
      </c>
      <c r="J24" s="27">
        <v>0.10984830653628136</v>
      </c>
      <c r="K24" s="9">
        <v>0</v>
      </c>
      <c r="L24" s="45">
        <v>0.77362125528354786</v>
      </c>
      <c r="M24" s="45">
        <f>1</f>
        <v>1</v>
      </c>
      <c r="N24" s="35">
        <v>1</v>
      </c>
      <c r="O24" s="36">
        <v>0</v>
      </c>
      <c r="P24" s="36">
        <v>1</v>
      </c>
      <c r="Q24" s="36">
        <v>1240</v>
      </c>
      <c r="R24" s="36">
        <v>330</v>
      </c>
    </row>
    <row r="25" spans="1:18" x14ac:dyDescent="0.3">
      <c r="A25" s="27">
        <v>0</v>
      </c>
      <c r="B25" s="27">
        <v>0</v>
      </c>
      <c r="C25" s="27">
        <v>0</v>
      </c>
      <c r="D25" s="27">
        <v>0.18310457299999999</v>
      </c>
      <c r="E25" s="27">
        <v>0.21342916163886502</v>
      </c>
      <c r="F25" s="37">
        <v>0</v>
      </c>
      <c r="G25" s="27">
        <v>0</v>
      </c>
      <c r="H25" s="27">
        <v>0</v>
      </c>
      <c r="I25" s="27">
        <v>0.189750056</v>
      </c>
      <c r="J25" s="27">
        <v>0.1043831912693278</v>
      </c>
      <c r="K25" s="9">
        <v>0</v>
      </c>
      <c r="L25" s="45">
        <v>0.77362125528354786</v>
      </c>
      <c r="M25" s="45">
        <f>1</f>
        <v>1</v>
      </c>
      <c r="N25" s="35">
        <v>1</v>
      </c>
      <c r="O25" s="36">
        <v>0</v>
      </c>
      <c r="P25" s="36">
        <v>1</v>
      </c>
      <c r="Q25" s="36">
        <v>1240</v>
      </c>
      <c r="R25" s="36">
        <v>330</v>
      </c>
    </row>
    <row r="26" spans="1:18" x14ac:dyDescent="0.3">
      <c r="A26" s="27">
        <v>0</v>
      </c>
      <c r="B26" s="27">
        <v>0</v>
      </c>
      <c r="C26" s="27">
        <v>0</v>
      </c>
      <c r="D26" s="27">
        <v>0.191308168</v>
      </c>
      <c r="E26" s="27">
        <v>0.22299138269423313</v>
      </c>
      <c r="F26" s="37">
        <v>0</v>
      </c>
      <c r="G26" s="27">
        <v>0</v>
      </c>
      <c r="H26" s="27">
        <v>0</v>
      </c>
      <c r="I26" s="27">
        <v>0.207967875</v>
      </c>
      <c r="J26" s="27">
        <v>9.7894825739723995E-2</v>
      </c>
      <c r="K26" s="9">
        <v>0</v>
      </c>
      <c r="L26" s="45">
        <v>0.83886932004309223</v>
      </c>
      <c r="M26" s="45">
        <f>1</f>
        <v>1</v>
      </c>
      <c r="N26" s="35">
        <v>1</v>
      </c>
      <c r="O26" s="36">
        <v>0</v>
      </c>
      <c r="P26" s="36">
        <v>1</v>
      </c>
      <c r="Q26" s="36">
        <v>1240</v>
      </c>
      <c r="R26" s="36">
        <v>330</v>
      </c>
    </row>
    <row r="27" spans="1:18" x14ac:dyDescent="0.3">
      <c r="A27" s="27">
        <v>0</v>
      </c>
      <c r="B27" s="27">
        <v>0</v>
      </c>
      <c r="C27" s="27">
        <v>0</v>
      </c>
      <c r="D27" s="27">
        <v>0.18462990100000001</v>
      </c>
      <c r="E27" s="27">
        <v>0.21520710454291414</v>
      </c>
      <c r="F27" s="37">
        <v>0</v>
      </c>
      <c r="G27" s="27">
        <v>0</v>
      </c>
      <c r="H27" s="27">
        <v>0</v>
      </c>
      <c r="I27" s="27">
        <v>0.235890868</v>
      </c>
      <c r="J27" s="27">
        <v>9.2014504440124642E-2</v>
      </c>
      <c r="K27" s="9">
        <v>0</v>
      </c>
      <c r="L27" s="45">
        <v>0.83886932004309223</v>
      </c>
      <c r="M27" s="45">
        <f>1</f>
        <v>1</v>
      </c>
      <c r="N27" s="35">
        <v>1</v>
      </c>
      <c r="O27" s="36">
        <v>0</v>
      </c>
      <c r="P27" s="36">
        <v>1</v>
      </c>
      <c r="Q27" s="36">
        <v>1240</v>
      </c>
      <c r="R27" s="36">
        <v>330</v>
      </c>
    </row>
    <row r="28" spans="1:18" x14ac:dyDescent="0.3">
      <c r="A28" s="27">
        <v>0</v>
      </c>
      <c r="B28" s="27">
        <v>0</v>
      </c>
      <c r="C28" s="27">
        <v>0</v>
      </c>
      <c r="D28" s="27">
        <v>0.175203316</v>
      </c>
      <c r="E28" s="27">
        <v>0.20421934983693249</v>
      </c>
      <c r="F28" s="37">
        <v>0</v>
      </c>
      <c r="G28" s="27">
        <v>0</v>
      </c>
      <c r="H28" s="27">
        <v>0</v>
      </c>
      <c r="I28" s="27">
        <v>0.24929546599999999</v>
      </c>
      <c r="J28" s="27">
        <v>8.5238154529455407E-2</v>
      </c>
      <c r="K28" s="9">
        <v>0</v>
      </c>
      <c r="L28" s="45">
        <v>0.83886932004309223</v>
      </c>
      <c r="M28" s="45">
        <f>1</f>
        <v>1</v>
      </c>
      <c r="N28" s="35">
        <v>1</v>
      </c>
      <c r="O28" s="36">
        <v>0</v>
      </c>
      <c r="P28" s="36">
        <v>1</v>
      </c>
      <c r="Q28" s="36">
        <v>1240</v>
      </c>
      <c r="R28" s="36">
        <v>330</v>
      </c>
    </row>
    <row r="29" spans="1:18" x14ac:dyDescent="0.3">
      <c r="A29" s="27">
        <v>0</v>
      </c>
      <c r="B29" s="27">
        <v>0</v>
      </c>
      <c r="C29" s="27">
        <v>0</v>
      </c>
      <c r="D29" s="27">
        <v>0.164087805</v>
      </c>
      <c r="E29" s="27">
        <v>0.1912629601900307</v>
      </c>
      <c r="F29" s="37">
        <v>0</v>
      </c>
      <c r="G29" s="27">
        <v>0</v>
      </c>
      <c r="H29" s="27">
        <v>0</v>
      </c>
      <c r="I29" s="27">
        <v>0.24791831</v>
      </c>
      <c r="J29" s="27">
        <v>7.9252758474551127E-2</v>
      </c>
      <c r="K29" s="9">
        <v>0</v>
      </c>
      <c r="L29" s="45">
        <v>0.83886932004309223</v>
      </c>
      <c r="M29" s="45">
        <f>1</f>
        <v>1</v>
      </c>
      <c r="N29" s="35">
        <v>1</v>
      </c>
      <c r="O29" s="36">
        <v>0</v>
      </c>
      <c r="P29" s="36">
        <v>1</v>
      </c>
      <c r="Q29" s="36">
        <v>1240</v>
      </c>
      <c r="R29" s="36">
        <v>330</v>
      </c>
    </row>
    <row r="30" spans="1:18" x14ac:dyDescent="0.3">
      <c r="A30" s="27">
        <v>0</v>
      </c>
      <c r="B30" s="27">
        <v>0</v>
      </c>
      <c r="C30" s="27">
        <v>0</v>
      </c>
      <c r="D30" s="27">
        <v>0.15585540000000001</v>
      </c>
      <c r="E30" s="27">
        <v>0.18166715780981596</v>
      </c>
      <c r="F30" s="37">
        <v>0</v>
      </c>
      <c r="G30" s="27">
        <v>0</v>
      </c>
      <c r="H30" s="27">
        <v>0</v>
      </c>
      <c r="I30" s="27">
        <v>0.25390801499999999</v>
      </c>
      <c r="J30" s="27">
        <v>7.4230829166048368E-2</v>
      </c>
      <c r="K30" s="9">
        <v>0</v>
      </c>
      <c r="L30" s="45">
        <v>0.83886932004309223</v>
      </c>
      <c r="M30" s="45">
        <f>1</f>
        <v>1</v>
      </c>
      <c r="N30" s="35">
        <v>1</v>
      </c>
      <c r="O30" s="36">
        <v>0</v>
      </c>
      <c r="P30" s="36">
        <v>1</v>
      </c>
      <c r="Q30" s="36">
        <v>1240</v>
      </c>
      <c r="R30" s="36">
        <v>330</v>
      </c>
    </row>
    <row r="31" spans="1:18" x14ac:dyDescent="0.3">
      <c r="A31" s="27">
        <v>0</v>
      </c>
      <c r="B31" s="27">
        <v>0</v>
      </c>
      <c r="C31" s="27">
        <v>0</v>
      </c>
      <c r="D31" s="27">
        <v>0.148141731</v>
      </c>
      <c r="E31" s="27">
        <v>0.17267600111254602</v>
      </c>
      <c r="F31" s="37">
        <v>0</v>
      </c>
      <c r="G31" s="27">
        <v>0</v>
      </c>
      <c r="H31" s="27">
        <v>0</v>
      </c>
      <c r="I31" s="27">
        <v>0.231294791</v>
      </c>
      <c r="J31" s="27">
        <v>6.8519858705149136E-2</v>
      </c>
      <c r="K31" s="9">
        <v>0</v>
      </c>
      <c r="L31" s="45">
        <v>0.83886932004309223</v>
      </c>
      <c r="M31" s="45">
        <f>1</f>
        <v>1</v>
      </c>
      <c r="N31" s="35">
        <v>1</v>
      </c>
      <c r="O31" s="36">
        <v>0</v>
      </c>
      <c r="P31" s="36">
        <v>1</v>
      </c>
      <c r="Q31" s="36">
        <v>1240</v>
      </c>
      <c r="R31" s="36">
        <v>330</v>
      </c>
    </row>
    <row r="32" spans="1:18" x14ac:dyDescent="0.3">
      <c r="A32" s="27">
        <v>0</v>
      </c>
      <c r="B32" s="27">
        <v>0</v>
      </c>
      <c r="C32" s="27">
        <v>0</v>
      </c>
      <c r="D32" s="27">
        <v>0.133788193</v>
      </c>
      <c r="E32" s="27">
        <v>0.15594532349101228</v>
      </c>
      <c r="F32" s="37">
        <v>0</v>
      </c>
      <c r="G32" s="27">
        <v>0</v>
      </c>
      <c r="H32" s="27">
        <v>0</v>
      </c>
      <c r="I32" s="27">
        <v>0.21932707000000001</v>
      </c>
      <c r="J32" s="27">
        <v>6.6121519590443684E-2</v>
      </c>
      <c r="K32" s="9">
        <v>0</v>
      </c>
      <c r="L32" s="45">
        <v>0.83886932004309223</v>
      </c>
      <c r="M32" s="45">
        <f>1</f>
        <v>1</v>
      </c>
      <c r="N32" s="35">
        <v>1</v>
      </c>
      <c r="O32" s="36">
        <v>0</v>
      </c>
      <c r="P32" s="36">
        <v>1</v>
      </c>
      <c r="Q32" s="36">
        <v>1240</v>
      </c>
      <c r="R32" s="36">
        <v>330</v>
      </c>
    </row>
    <row r="33" spans="1:18" x14ac:dyDescent="0.3">
      <c r="A33" s="27">
        <v>0</v>
      </c>
      <c r="B33" s="27">
        <v>0</v>
      </c>
      <c r="C33" s="27">
        <v>0</v>
      </c>
      <c r="D33" s="27">
        <v>0.115257552</v>
      </c>
      <c r="E33" s="27">
        <v>0.13434575823460124</v>
      </c>
      <c r="F33" s="37">
        <v>0</v>
      </c>
      <c r="G33" s="27">
        <v>0</v>
      </c>
      <c r="H33" s="27">
        <v>0</v>
      </c>
      <c r="I33" s="27">
        <v>0.221008696</v>
      </c>
      <c r="J33" s="27">
        <v>6.8034689642973739E-2</v>
      </c>
      <c r="K33" s="9">
        <v>0</v>
      </c>
      <c r="L33" s="45">
        <v>0.83886932004309223</v>
      </c>
      <c r="M33" s="45">
        <f>1</f>
        <v>1</v>
      </c>
      <c r="N33" s="35">
        <v>1</v>
      </c>
      <c r="O33" s="36">
        <v>0</v>
      </c>
      <c r="P33" s="36">
        <v>1</v>
      </c>
      <c r="Q33" s="36">
        <v>1240</v>
      </c>
      <c r="R33" s="36">
        <v>330</v>
      </c>
    </row>
    <row r="34" spans="1:18" x14ac:dyDescent="0.3">
      <c r="A34" s="27">
        <v>0</v>
      </c>
      <c r="B34" s="27">
        <v>0</v>
      </c>
      <c r="C34" s="27">
        <v>0</v>
      </c>
      <c r="D34" s="27">
        <v>0.113440635</v>
      </c>
      <c r="E34" s="27">
        <v>0.14147520637947852</v>
      </c>
      <c r="F34" s="37">
        <v>0</v>
      </c>
      <c r="G34" s="27">
        <v>0</v>
      </c>
      <c r="H34" s="27">
        <v>0</v>
      </c>
      <c r="I34" s="27">
        <v>0.23509508200000001</v>
      </c>
      <c r="J34" s="27">
        <v>7.0901234568630359E-2</v>
      </c>
      <c r="K34" s="9">
        <v>0</v>
      </c>
      <c r="L34" s="45">
        <v>0.83886932004309223</v>
      </c>
      <c r="M34" s="45">
        <f>1</f>
        <v>1</v>
      </c>
      <c r="N34" s="35">
        <v>1</v>
      </c>
      <c r="O34" s="36">
        <v>0</v>
      </c>
      <c r="P34" s="36">
        <v>1</v>
      </c>
      <c r="Q34" s="36">
        <v>1240</v>
      </c>
      <c r="R34" s="36">
        <v>330</v>
      </c>
    </row>
    <row r="35" spans="1:18" x14ac:dyDescent="0.3">
      <c r="A35" s="27">
        <v>0.107</v>
      </c>
      <c r="B35" s="27">
        <v>6.6000000000000003E-2</v>
      </c>
      <c r="C35" s="27">
        <v>0.113</v>
      </c>
      <c r="D35" s="27">
        <v>0.103052199</v>
      </c>
      <c r="E35" s="27">
        <v>0.37635916874088954</v>
      </c>
      <c r="F35" s="37">
        <v>0</v>
      </c>
      <c r="G35" s="27">
        <v>6.699999999999999E-2</v>
      </c>
      <c r="H35" s="27">
        <v>3.6999999999999998E-2</v>
      </c>
      <c r="I35" s="27">
        <v>0.26235456600000001</v>
      </c>
      <c r="J35" s="27">
        <v>0.16883210920967504</v>
      </c>
      <c r="K35" s="9">
        <v>0</v>
      </c>
      <c r="L35" s="45">
        <v>0.83886932004309223</v>
      </c>
      <c r="M35" s="45">
        <f>1</f>
        <v>1</v>
      </c>
      <c r="N35" s="35">
        <v>1</v>
      </c>
      <c r="O35" s="36">
        <v>0</v>
      </c>
      <c r="P35" s="36">
        <v>1</v>
      </c>
      <c r="Q35" s="36">
        <v>1240</v>
      </c>
      <c r="R35" s="36">
        <v>330</v>
      </c>
    </row>
    <row r="36" spans="1:18" x14ac:dyDescent="0.3">
      <c r="A36" s="27">
        <v>0.28100000000000003</v>
      </c>
      <c r="B36" s="27">
        <v>0.17</v>
      </c>
      <c r="C36" s="27">
        <v>0.27399999999999997</v>
      </c>
      <c r="D36" s="27">
        <v>8.6513140000000002E-2</v>
      </c>
      <c r="E36" s="27">
        <v>0.74699356899644176</v>
      </c>
      <c r="F36" s="37">
        <v>0</v>
      </c>
      <c r="G36" s="27">
        <v>0.24399999999999999</v>
      </c>
      <c r="H36" s="27">
        <v>0.14100000000000001</v>
      </c>
      <c r="I36" s="27">
        <v>0.25087034699999999</v>
      </c>
      <c r="J36" s="27">
        <v>0.4294760421261315</v>
      </c>
      <c r="K36" s="9">
        <v>0</v>
      </c>
      <c r="L36" s="45">
        <v>0.78977169096992472</v>
      </c>
      <c r="M36" s="45">
        <f>1</f>
        <v>1</v>
      </c>
      <c r="N36" s="35">
        <v>1</v>
      </c>
      <c r="O36" s="36">
        <v>0</v>
      </c>
      <c r="P36" s="36">
        <v>1</v>
      </c>
      <c r="Q36" s="36">
        <v>1240</v>
      </c>
      <c r="R36" s="36">
        <v>330</v>
      </c>
    </row>
    <row r="37" spans="1:18" x14ac:dyDescent="0.3">
      <c r="A37" s="27">
        <v>0.35199999999999998</v>
      </c>
      <c r="B37" s="27">
        <v>0.28299999999999903</v>
      </c>
      <c r="C37" s="27">
        <v>0.40600000000000003</v>
      </c>
      <c r="D37" s="27">
        <v>8.1672468999999998E-2</v>
      </c>
      <c r="E37" s="27">
        <v>0.97861329486843562</v>
      </c>
      <c r="F37" s="37">
        <v>0</v>
      </c>
      <c r="G37" s="27">
        <v>0.41299999999999998</v>
      </c>
      <c r="H37" s="27">
        <v>0.25</v>
      </c>
      <c r="I37" s="27">
        <v>0.19917035199999999</v>
      </c>
      <c r="J37" s="27">
        <v>0.68106644409675032</v>
      </c>
      <c r="K37" s="9">
        <v>0</v>
      </c>
      <c r="L37" s="45">
        <v>0</v>
      </c>
      <c r="M37" s="45">
        <f>1</f>
        <v>1</v>
      </c>
      <c r="N37" s="35">
        <v>0</v>
      </c>
      <c r="O37" s="36">
        <v>0</v>
      </c>
      <c r="P37" s="36">
        <v>1</v>
      </c>
      <c r="Q37" s="36">
        <v>194.64011808999999</v>
      </c>
      <c r="R37" s="36">
        <v>330</v>
      </c>
    </row>
    <row r="38" spans="1:18" x14ac:dyDescent="0.3">
      <c r="A38" s="27">
        <v>0.38300000000000001</v>
      </c>
      <c r="B38" s="27">
        <v>0.36899999999999999</v>
      </c>
      <c r="C38" s="27">
        <v>0.49</v>
      </c>
      <c r="D38" s="27">
        <v>8.7381510999999995E-2</v>
      </c>
      <c r="E38" s="27">
        <v>1</v>
      </c>
      <c r="F38" s="37">
        <v>8.9597589216807119E-2</v>
      </c>
      <c r="G38" s="27">
        <v>0.52699999999999991</v>
      </c>
      <c r="H38" s="27">
        <v>0.33100000000000002</v>
      </c>
      <c r="I38" s="27">
        <v>0.13528069400000001</v>
      </c>
      <c r="J38" s="27">
        <v>0.85178789699154178</v>
      </c>
      <c r="K38" s="9">
        <v>0</v>
      </c>
      <c r="L38" s="45">
        <v>0</v>
      </c>
      <c r="M38" s="45">
        <f>1</f>
        <v>1</v>
      </c>
      <c r="N38" s="35">
        <v>0</v>
      </c>
      <c r="O38" s="36">
        <v>0</v>
      </c>
      <c r="P38" s="36">
        <v>0.45244581614125873</v>
      </c>
      <c r="Q38" s="36">
        <v>0</v>
      </c>
      <c r="R38" s="36">
        <v>129.57841562999999</v>
      </c>
    </row>
    <row r="39" spans="1:18" x14ac:dyDescent="0.3">
      <c r="A39" s="27">
        <v>0.39400000000000002</v>
      </c>
      <c r="B39" s="27">
        <v>0.4</v>
      </c>
      <c r="C39" s="27">
        <v>0.51100000000000001</v>
      </c>
      <c r="D39" s="27">
        <v>8.9404032999999994E-2</v>
      </c>
      <c r="E39" s="27">
        <v>1</v>
      </c>
      <c r="F39" s="37">
        <v>0.12021310980632743</v>
      </c>
      <c r="G39" s="27">
        <v>0.57200000000000006</v>
      </c>
      <c r="H39" s="27">
        <v>0.36399999999999999</v>
      </c>
      <c r="I39" s="27">
        <v>9.0309238999999999E-2</v>
      </c>
      <c r="J39" s="27">
        <v>0.91594941120730078</v>
      </c>
      <c r="K39" s="9">
        <v>0</v>
      </c>
      <c r="L39" s="45">
        <v>0</v>
      </c>
      <c r="M39" s="45">
        <f>1</f>
        <v>1</v>
      </c>
      <c r="N39" s="35">
        <v>0.204938505864</v>
      </c>
      <c r="O39" s="36">
        <v>0</v>
      </c>
      <c r="P39" s="36">
        <v>0.96052432728201087</v>
      </c>
      <c r="Q39" s="36">
        <v>0</v>
      </c>
      <c r="R39" s="36">
        <v>330</v>
      </c>
    </row>
    <row r="40" spans="1:18" x14ac:dyDescent="0.3">
      <c r="A40" s="27">
        <v>0.39800000000000002</v>
      </c>
      <c r="B40" s="27">
        <v>0.36299999999999999</v>
      </c>
      <c r="C40" s="27">
        <v>0.47</v>
      </c>
      <c r="D40" s="27">
        <v>8.3889897000000005E-2</v>
      </c>
      <c r="E40" s="27">
        <v>1</v>
      </c>
      <c r="F40" s="37">
        <v>8.2397632420319056E-2</v>
      </c>
      <c r="G40" s="27">
        <v>0.54399999999999993</v>
      </c>
      <c r="H40" s="27">
        <v>0.34299999999999997</v>
      </c>
      <c r="I40" s="27">
        <v>8.8416000999999994E-2</v>
      </c>
      <c r="J40" s="27">
        <v>0.86852362447751885</v>
      </c>
      <c r="K40" s="9">
        <v>0</v>
      </c>
      <c r="L40" s="45">
        <v>0</v>
      </c>
      <c r="M40" s="45">
        <f>1</f>
        <v>1</v>
      </c>
      <c r="N40" s="35">
        <v>0.40402203442199996</v>
      </c>
      <c r="O40" s="36">
        <v>0</v>
      </c>
      <c r="P40" s="36">
        <v>1</v>
      </c>
      <c r="Q40" s="36">
        <v>984.02762299999995</v>
      </c>
      <c r="R40" s="36">
        <v>330</v>
      </c>
    </row>
    <row r="41" spans="1:18" x14ac:dyDescent="0.3">
      <c r="A41" s="27">
        <v>0.375</v>
      </c>
      <c r="B41" s="27">
        <v>0.26500000000000001</v>
      </c>
      <c r="C41" s="27">
        <v>0.36199999999999904</v>
      </c>
      <c r="D41" s="27">
        <v>7.8523670000000004E-2</v>
      </c>
      <c r="E41" s="27">
        <v>0.9503845149898773</v>
      </c>
      <c r="F41" s="37">
        <v>0</v>
      </c>
      <c r="G41" s="27">
        <v>0.44700000000000001</v>
      </c>
      <c r="H41" s="27">
        <v>0.26999999999999996</v>
      </c>
      <c r="I41" s="27">
        <v>0.109440445</v>
      </c>
      <c r="J41" s="27">
        <v>0.71125098950140964</v>
      </c>
      <c r="K41" s="9">
        <v>0</v>
      </c>
      <c r="L41" s="45">
        <v>0</v>
      </c>
      <c r="M41" s="45">
        <f>1</f>
        <v>1</v>
      </c>
      <c r="N41" s="35">
        <v>0.73645597202000002</v>
      </c>
      <c r="O41" s="36">
        <v>0</v>
      </c>
      <c r="P41" s="36">
        <v>1</v>
      </c>
      <c r="Q41" s="36">
        <v>1240</v>
      </c>
      <c r="R41" s="36">
        <v>330</v>
      </c>
    </row>
    <row r="42" spans="1:18" x14ac:dyDescent="0.3">
      <c r="A42" s="27">
        <v>0.26400000000000001</v>
      </c>
      <c r="B42" s="27">
        <v>0.13300000000000001</v>
      </c>
      <c r="C42" s="27">
        <v>0.21299999999999999</v>
      </c>
      <c r="D42" s="27">
        <v>7.2706811999999996E-2</v>
      </c>
      <c r="E42" s="27">
        <v>0.64035485154865035</v>
      </c>
      <c r="F42" s="37">
        <v>0</v>
      </c>
      <c r="G42" s="27">
        <v>0.30099999999999999</v>
      </c>
      <c r="H42" s="27">
        <v>0.16600000000000001</v>
      </c>
      <c r="I42" s="27">
        <v>0.19130698099999999</v>
      </c>
      <c r="J42" s="27">
        <v>0.49063856106603354</v>
      </c>
      <c r="K42" s="9">
        <v>0</v>
      </c>
      <c r="L42" s="45">
        <v>0.83886932004309223</v>
      </c>
      <c r="M42" s="45">
        <f>1</f>
        <v>1</v>
      </c>
      <c r="N42" s="35">
        <v>1</v>
      </c>
      <c r="O42" s="36">
        <v>0</v>
      </c>
      <c r="P42" s="36">
        <v>1</v>
      </c>
      <c r="Q42" s="36">
        <v>1240</v>
      </c>
      <c r="R42" s="36">
        <v>330</v>
      </c>
    </row>
    <row r="43" spans="1:18" x14ac:dyDescent="0.3">
      <c r="A43" s="27">
        <v>5.8000000000000003E-2</v>
      </c>
      <c r="B43" s="27">
        <v>1.3000000000000001E-2</v>
      </c>
      <c r="C43" s="27">
        <v>5.4000000000000006E-2</v>
      </c>
      <c r="D43" s="27">
        <v>7.3486639000000006E-2</v>
      </c>
      <c r="E43" s="27">
        <v>0.21586356291141107</v>
      </c>
      <c r="F43" s="37">
        <v>0</v>
      </c>
      <c r="G43" s="27">
        <v>0.126</v>
      </c>
      <c r="H43" s="27">
        <v>6.0000000000000005E-2</v>
      </c>
      <c r="I43" s="27">
        <v>0.313722263</v>
      </c>
      <c r="J43" s="27">
        <v>0.24945497940080133</v>
      </c>
      <c r="K43" s="9">
        <v>0</v>
      </c>
      <c r="L43" s="45">
        <v>0.83886932004309223</v>
      </c>
      <c r="M43" s="45">
        <f>1</f>
        <v>1</v>
      </c>
      <c r="N43" s="35">
        <v>1</v>
      </c>
      <c r="O43" s="36">
        <v>0</v>
      </c>
      <c r="P43" s="36">
        <v>1</v>
      </c>
      <c r="Q43" s="36">
        <v>1240</v>
      </c>
      <c r="R43" s="36">
        <v>330</v>
      </c>
    </row>
    <row r="44" spans="1:18" x14ac:dyDescent="0.3">
      <c r="A44" s="27">
        <v>0</v>
      </c>
      <c r="B44" s="27">
        <v>0</v>
      </c>
      <c r="C44" s="27">
        <v>0</v>
      </c>
      <c r="D44" s="27">
        <v>0.115611123</v>
      </c>
      <c r="E44" s="27">
        <v>0.13477711798702452</v>
      </c>
      <c r="F44" s="37">
        <v>0</v>
      </c>
      <c r="G44" s="27">
        <v>0</v>
      </c>
      <c r="H44" s="27">
        <v>0</v>
      </c>
      <c r="I44" s="27">
        <v>0.40253363399999997</v>
      </c>
      <c r="J44" s="27">
        <v>0.1020421906389672</v>
      </c>
      <c r="K44" s="9">
        <v>0</v>
      </c>
      <c r="L44" s="45">
        <v>0.83886932004309223</v>
      </c>
      <c r="M44" s="45">
        <f>1</f>
        <v>1</v>
      </c>
      <c r="N44" s="35">
        <v>1</v>
      </c>
      <c r="O44" s="36">
        <v>0</v>
      </c>
      <c r="P44" s="36">
        <v>1</v>
      </c>
      <c r="Q44" s="36">
        <v>1240</v>
      </c>
      <c r="R44" s="36">
        <v>330</v>
      </c>
    </row>
    <row r="45" spans="1:18" x14ac:dyDescent="0.3">
      <c r="A45" s="27">
        <v>0</v>
      </c>
      <c r="B45" s="27">
        <v>0</v>
      </c>
      <c r="C45" s="27">
        <v>0</v>
      </c>
      <c r="D45" s="27">
        <v>0.13827661499999999</v>
      </c>
      <c r="E45" s="27">
        <v>0.16117708875414108</v>
      </c>
      <c r="F45" s="37">
        <v>0</v>
      </c>
      <c r="G45" s="27">
        <v>0</v>
      </c>
      <c r="H45" s="27">
        <v>0</v>
      </c>
      <c r="I45" s="27">
        <v>0.45652726999999999</v>
      </c>
      <c r="J45" s="27">
        <v>0.11529016369639412</v>
      </c>
      <c r="K45" s="9">
        <v>0</v>
      </c>
      <c r="L45" s="45">
        <v>0.83886932004309223</v>
      </c>
      <c r="M45" s="45">
        <f>1</f>
        <v>1</v>
      </c>
      <c r="N45" s="35">
        <v>1</v>
      </c>
      <c r="O45" s="36">
        <v>0</v>
      </c>
      <c r="P45" s="36">
        <v>1</v>
      </c>
      <c r="Q45" s="36">
        <v>1240</v>
      </c>
      <c r="R45" s="36">
        <v>330</v>
      </c>
    </row>
    <row r="46" spans="1:18" x14ac:dyDescent="0.3">
      <c r="A46" s="27">
        <v>0</v>
      </c>
      <c r="B46" s="27">
        <v>0</v>
      </c>
      <c r="C46" s="27">
        <v>0</v>
      </c>
      <c r="D46" s="27">
        <v>0.13061771899999999</v>
      </c>
      <c r="E46" s="27">
        <v>0.15224977620493865</v>
      </c>
      <c r="F46" s="37">
        <v>0</v>
      </c>
      <c r="G46" s="27">
        <v>0</v>
      </c>
      <c r="H46" s="27">
        <v>0</v>
      </c>
      <c r="I46" s="27">
        <v>0.47166936100000001</v>
      </c>
      <c r="J46" s="27">
        <v>0.12076607667369046</v>
      </c>
      <c r="K46" s="9">
        <v>0</v>
      </c>
      <c r="L46" s="45">
        <v>0.83886932004309223</v>
      </c>
      <c r="M46" s="45">
        <f>1</f>
        <v>1</v>
      </c>
      <c r="N46" s="35">
        <v>1</v>
      </c>
      <c r="O46" s="36">
        <v>0</v>
      </c>
      <c r="P46" s="36">
        <v>1</v>
      </c>
      <c r="Q46" s="36">
        <v>1240</v>
      </c>
      <c r="R46" s="36">
        <v>330</v>
      </c>
    </row>
    <row r="47" spans="1:18" x14ac:dyDescent="0.3">
      <c r="A47" s="27">
        <v>0</v>
      </c>
      <c r="B47" s="27">
        <v>0</v>
      </c>
      <c r="C47" s="27">
        <v>0</v>
      </c>
      <c r="D47" s="27">
        <v>0.11403063400000001</v>
      </c>
      <c r="E47" s="27">
        <v>0.1329156460541718</v>
      </c>
      <c r="F47" s="37">
        <v>0</v>
      </c>
      <c r="G47" s="27">
        <v>0</v>
      </c>
      <c r="H47" s="27">
        <v>0</v>
      </c>
      <c r="I47" s="27">
        <v>0.49320202699999999</v>
      </c>
      <c r="J47" s="27">
        <v>0.12176602135598753</v>
      </c>
      <c r="K47" s="9">
        <v>0</v>
      </c>
      <c r="L47" s="45">
        <v>0.83886932004309223</v>
      </c>
      <c r="M47" s="45">
        <f>1</f>
        <v>1</v>
      </c>
      <c r="N47" s="35">
        <v>1</v>
      </c>
      <c r="O47" s="36">
        <v>0</v>
      </c>
      <c r="P47" s="36">
        <v>1</v>
      </c>
      <c r="Q47" s="36">
        <v>1240</v>
      </c>
      <c r="R47" s="36">
        <v>330</v>
      </c>
    </row>
    <row r="48" spans="1:18" x14ac:dyDescent="0.3">
      <c r="A48" s="27">
        <v>0</v>
      </c>
      <c r="B48" s="27">
        <v>0</v>
      </c>
      <c r="C48" s="27">
        <v>0</v>
      </c>
      <c r="D48" s="27">
        <v>0.107394823</v>
      </c>
      <c r="E48" s="27">
        <v>0.12518085518947852</v>
      </c>
      <c r="F48" s="37">
        <v>0</v>
      </c>
      <c r="G48" s="27">
        <v>0</v>
      </c>
      <c r="H48" s="27">
        <v>0</v>
      </c>
      <c r="I48" s="27">
        <v>0.54198934799999998</v>
      </c>
      <c r="J48" s="27">
        <v>0.12298570986674581</v>
      </c>
      <c r="K48" s="9">
        <v>0</v>
      </c>
      <c r="L48" s="45">
        <v>0.83886932004309223</v>
      </c>
      <c r="M48" s="45">
        <f>1</f>
        <v>1</v>
      </c>
      <c r="N48" s="35">
        <v>1</v>
      </c>
      <c r="O48" s="36">
        <v>0</v>
      </c>
      <c r="P48" s="36">
        <v>1</v>
      </c>
      <c r="Q48" s="36">
        <v>1240</v>
      </c>
      <c r="R48" s="36">
        <v>330</v>
      </c>
    </row>
    <row r="49" spans="1:18" x14ac:dyDescent="0.3">
      <c r="A49" s="27">
        <v>0</v>
      </c>
      <c r="B49" s="27">
        <v>0</v>
      </c>
      <c r="C49" s="27">
        <v>0</v>
      </c>
      <c r="D49" s="27">
        <v>0.103424957</v>
      </c>
      <c r="E49" s="27">
        <v>0.12055352579886504</v>
      </c>
      <c r="F49" s="37">
        <v>0</v>
      </c>
      <c r="G49" s="27">
        <v>0</v>
      </c>
      <c r="H49" s="27">
        <v>0</v>
      </c>
      <c r="I49" s="27">
        <v>0.55967809000000002</v>
      </c>
      <c r="J49" s="27">
        <v>0.11759107197358661</v>
      </c>
      <c r="K49" s="9">
        <v>0</v>
      </c>
      <c r="L49" s="45">
        <v>0.83886932004309223</v>
      </c>
      <c r="M49" s="45">
        <f>1</f>
        <v>1</v>
      </c>
      <c r="N49" s="35">
        <v>1</v>
      </c>
      <c r="O49" s="36">
        <v>0</v>
      </c>
      <c r="P49" s="36">
        <v>1</v>
      </c>
      <c r="Q49" s="36">
        <v>1240</v>
      </c>
      <c r="R49" s="36">
        <v>330</v>
      </c>
    </row>
    <row r="50" spans="1:18" x14ac:dyDescent="0.3">
      <c r="A50" s="27">
        <v>0</v>
      </c>
      <c r="B50" s="27">
        <v>0</v>
      </c>
      <c r="C50" s="27">
        <v>0</v>
      </c>
      <c r="D50" s="27">
        <v>0.107749769</v>
      </c>
      <c r="E50" s="27">
        <v>0.12559458503776072</v>
      </c>
      <c r="F50" s="37">
        <v>0</v>
      </c>
      <c r="G50" s="27">
        <v>0</v>
      </c>
      <c r="H50" s="27">
        <v>0</v>
      </c>
      <c r="I50" s="27">
        <v>0.55800049299999999</v>
      </c>
      <c r="J50" s="27">
        <v>0.11309323699094821</v>
      </c>
      <c r="K50" s="9">
        <v>0</v>
      </c>
      <c r="L50" s="45">
        <v>0.83005541447393671</v>
      </c>
      <c r="M50" s="45">
        <f>1</f>
        <v>1</v>
      </c>
      <c r="N50" s="35">
        <v>1</v>
      </c>
      <c r="O50" s="36">
        <v>0</v>
      </c>
      <c r="P50" s="36">
        <v>1</v>
      </c>
      <c r="Q50" s="36">
        <v>1240</v>
      </c>
      <c r="R50" s="36">
        <v>330</v>
      </c>
    </row>
    <row r="51" spans="1:18" x14ac:dyDescent="0.3">
      <c r="A51" s="27">
        <v>0</v>
      </c>
      <c r="B51" s="27">
        <v>0</v>
      </c>
      <c r="C51" s="27">
        <v>0</v>
      </c>
      <c r="D51" s="27">
        <v>0.111496518</v>
      </c>
      <c r="E51" s="27">
        <v>0.12996184624177914</v>
      </c>
      <c r="F51" s="37">
        <v>0</v>
      </c>
      <c r="G51" s="27">
        <v>0</v>
      </c>
      <c r="H51" s="27">
        <v>0</v>
      </c>
      <c r="I51" s="27">
        <v>0.58219734999999995</v>
      </c>
      <c r="J51" s="27">
        <v>0.11207257960083099</v>
      </c>
      <c r="K51" s="9">
        <v>0</v>
      </c>
      <c r="L51" s="45">
        <v>0.83005541447393671</v>
      </c>
      <c r="M51" s="45">
        <f>1</f>
        <v>1</v>
      </c>
      <c r="N51" s="35">
        <v>1</v>
      </c>
      <c r="O51" s="36">
        <v>0</v>
      </c>
      <c r="P51" s="36">
        <v>1</v>
      </c>
      <c r="Q51" s="36">
        <v>1240</v>
      </c>
      <c r="R51" s="36">
        <v>330</v>
      </c>
    </row>
    <row r="52" spans="1:18" x14ac:dyDescent="0.3">
      <c r="A52" s="27">
        <v>0</v>
      </c>
      <c r="B52" s="27">
        <v>0</v>
      </c>
      <c r="C52" s="27">
        <v>0</v>
      </c>
      <c r="D52" s="27">
        <v>0.11350845499999999</v>
      </c>
      <c r="E52" s="27">
        <v>0.13230698716395706</v>
      </c>
      <c r="F52" s="37">
        <v>0</v>
      </c>
      <c r="G52" s="27">
        <v>0</v>
      </c>
      <c r="H52" s="27">
        <v>0</v>
      </c>
      <c r="I52" s="27">
        <v>0.60079771199999998</v>
      </c>
      <c r="J52" s="27">
        <v>0.11605561479566702</v>
      </c>
      <c r="K52" s="9">
        <v>0</v>
      </c>
      <c r="L52" s="45">
        <v>0.83005541447393671</v>
      </c>
      <c r="M52" s="45">
        <f>1</f>
        <v>1</v>
      </c>
      <c r="N52" s="35">
        <v>1</v>
      </c>
      <c r="O52" s="36">
        <v>0</v>
      </c>
      <c r="P52" s="36">
        <v>1</v>
      </c>
      <c r="Q52" s="36">
        <v>1240</v>
      </c>
      <c r="R52" s="36">
        <v>330</v>
      </c>
    </row>
    <row r="53" spans="1:18" x14ac:dyDescent="0.3">
      <c r="A53" s="27">
        <v>0</v>
      </c>
      <c r="B53" s="27">
        <v>0</v>
      </c>
      <c r="C53" s="27">
        <v>0</v>
      </c>
      <c r="D53" s="27">
        <v>0.10916308</v>
      </c>
      <c r="E53" s="27">
        <v>0.12724195941472391</v>
      </c>
      <c r="F53" s="37">
        <v>0</v>
      </c>
      <c r="G53" s="27">
        <v>0</v>
      </c>
      <c r="H53" s="27">
        <v>0</v>
      </c>
      <c r="I53" s="27">
        <v>0.62124931800000005</v>
      </c>
      <c r="J53" s="27">
        <v>0.1183865675577979</v>
      </c>
      <c r="K53" s="9">
        <v>0</v>
      </c>
      <c r="L53" s="45">
        <v>0.83005541447393671</v>
      </c>
      <c r="M53" s="45">
        <f>1</f>
        <v>1</v>
      </c>
      <c r="N53" s="35">
        <v>1</v>
      </c>
      <c r="O53" s="36">
        <v>0</v>
      </c>
      <c r="P53" s="36">
        <v>1</v>
      </c>
      <c r="Q53" s="36">
        <v>1240</v>
      </c>
      <c r="R53" s="36">
        <v>330</v>
      </c>
    </row>
    <row r="54" spans="1:18" x14ac:dyDescent="0.3">
      <c r="A54" s="27">
        <v>0</v>
      </c>
      <c r="B54" s="27">
        <v>0</v>
      </c>
      <c r="C54" s="27">
        <v>0</v>
      </c>
      <c r="D54" s="27">
        <v>0.104742366</v>
      </c>
      <c r="E54" s="27">
        <v>0.1220891155102454</v>
      </c>
      <c r="F54" s="37">
        <v>0</v>
      </c>
      <c r="G54" s="27">
        <v>0</v>
      </c>
      <c r="H54" s="27">
        <v>0</v>
      </c>
      <c r="I54" s="27">
        <v>0.62616103099999998</v>
      </c>
      <c r="J54" s="27">
        <v>0.11942170257367561</v>
      </c>
      <c r="K54" s="9">
        <v>0</v>
      </c>
      <c r="L54" s="45">
        <v>0.83005541447393671</v>
      </c>
      <c r="M54" s="45">
        <f>1</f>
        <v>1</v>
      </c>
      <c r="N54" s="35">
        <v>1</v>
      </c>
      <c r="O54" s="36">
        <v>0</v>
      </c>
      <c r="P54" s="36">
        <v>1</v>
      </c>
      <c r="Q54" s="36">
        <v>1240</v>
      </c>
      <c r="R54" s="36">
        <v>330</v>
      </c>
    </row>
    <row r="55" spans="1:18" x14ac:dyDescent="0.3">
      <c r="A55" s="27">
        <v>0</v>
      </c>
      <c r="B55" s="27">
        <v>0</v>
      </c>
      <c r="C55" s="27">
        <v>0</v>
      </c>
      <c r="D55" s="27">
        <v>0.10133547399999999</v>
      </c>
      <c r="E55" s="27">
        <v>0.11811799621245397</v>
      </c>
      <c r="F55" s="37">
        <v>0</v>
      </c>
      <c r="G55" s="27">
        <v>0</v>
      </c>
      <c r="H55" s="27">
        <v>0</v>
      </c>
      <c r="I55" s="27">
        <v>0.668107334</v>
      </c>
      <c r="J55" s="27">
        <v>0.12108407562635407</v>
      </c>
      <c r="K55" s="9">
        <v>0</v>
      </c>
      <c r="L55" s="45">
        <v>0.83005541447393671</v>
      </c>
      <c r="M55" s="45">
        <f>1</f>
        <v>1</v>
      </c>
      <c r="N55" s="35">
        <v>1</v>
      </c>
      <c r="O55" s="36">
        <v>1.0057257668049571E-2</v>
      </c>
      <c r="P55" s="36">
        <v>1</v>
      </c>
      <c r="Q55" s="36">
        <v>1240</v>
      </c>
      <c r="R55" s="36">
        <v>330</v>
      </c>
    </row>
    <row r="56" spans="1:18" x14ac:dyDescent="0.3">
      <c r="A56" s="27">
        <v>0</v>
      </c>
      <c r="B56" s="27">
        <v>0</v>
      </c>
      <c r="C56" s="27">
        <v>0</v>
      </c>
      <c r="D56" s="27">
        <v>9.3626618999999994E-2</v>
      </c>
      <c r="E56" s="27">
        <v>0.10913245077855828</v>
      </c>
      <c r="F56" s="37">
        <v>0</v>
      </c>
      <c r="G56" s="27">
        <v>0</v>
      </c>
      <c r="H56" s="27">
        <v>0</v>
      </c>
      <c r="I56" s="27">
        <v>0.69437964299999999</v>
      </c>
      <c r="J56" s="27">
        <v>0.11921791243092446</v>
      </c>
      <c r="K56" s="9">
        <v>0</v>
      </c>
      <c r="L56" s="45">
        <v>0.83005541447393671</v>
      </c>
      <c r="M56" s="45">
        <f>1</f>
        <v>1</v>
      </c>
      <c r="N56" s="35">
        <v>1</v>
      </c>
      <c r="O56" s="36">
        <v>0</v>
      </c>
      <c r="P56" s="36">
        <v>1</v>
      </c>
      <c r="Q56" s="36">
        <v>1240</v>
      </c>
      <c r="R56" s="36">
        <v>55.778239650000003</v>
      </c>
    </row>
    <row r="57" spans="1:18" x14ac:dyDescent="0.3">
      <c r="A57" s="27">
        <v>0</v>
      </c>
      <c r="B57" s="27">
        <v>0</v>
      </c>
      <c r="C57" s="27">
        <v>0</v>
      </c>
      <c r="D57" s="27">
        <v>8.0518063000000001E-2</v>
      </c>
      <c r="E57" s="27">
        <v>9.3852940979662569E-2</v>
      </c>
      <c r="F57" s="37">
        <v>0</v>
      </c>
      <c r="G57" s="27">
        <v>0</v>
      </c>
      <c r="H57" s="27">
        <v>0</v>
      </c>
      <c r="I57" s="27">
        <v>0.703386803</v>
      </c>
      <c r="J57" s="27">
        <v>0.11391848176910521</v>
      </c>
      <c r="K57" s="9">
        <v>0</v>
      </c>
      <c r="L57" s="45">
        <v>0.83005541447393671</v>
      </c>
      <c r="M57" s="45">
        <f>1</f>
        <v>1</v>
      </c>
      <c r="N57" s="35">
        <v>1</v>
      </c>
      <c r="O57" s="36">
        <v>0</v>
      </c>
      <c r="P57" s="36">
        <v>1</v>
      </c>
      <c r="Q57" s="36">
        <v>1240</v>
      </c>
      <c r="R57" s="36">
        <v>330</v>
      </c>
    </row>
    <row r="58" spans="1:18" x14ac:dyDescent="0.3">
      <c r="A58" s="27">
        <v>0</v>
      </c>
      <c r="B58" s="27">
        <v>0</v>
      </c>
      <c r="C58" s="27">
        <v>0</v>
      </c>
      <c r="D58" s="27">
        <v>7.7173868000000007E-2</v>
      </c>
      <c r="E58" s="27">
        <v>0.10176235240233131</v>
      </c>
      <c r="F58" s="37">
        <v>0</v>
      </c>
      <c r="G58" s="27">
        <v>0</v>
      </c>
      <c r="H58" s="27">
        <v>0</v>
      </c>
      <c r="I58" s="27">
        <v>0.67987870699999997</v>
      </c>
      <c r="J58" s="27">
        <v>0.10583036785991987</v>
      </c>
      <c r="K58" s="9">
        <v>0</v>
      </c>
      <c r="L58" s="45">
        <v>0.83005541447393671</v>
      </c>
      <c r="M58" s="45">
        <f>1</f>
        <v>1</v>
      </c>
      <c r="N58" s="35">
        <v>1</v>
      </c>
      <c r="O58" s="36">
        <v>0</v>
      </c>
      <c r="P58" s="36">
        <v>1</v>
      </c>
      <c r="Q58" s="36">
        <v>1240</v>
      </c>
      <c r="R58" s="36">
        <v>330</v>
      </c>
    </row>
    <row r="59" spans="1:18" x14ac:dyDescent="0.3">
      <c r="A59" s="27">
        <v>0.113</v>
      </c>
      <c r="B59" s="27">
        <v>6.5000000000000002E-2</v>
      </c>
      <c r="C59" s="27">
        <v>0.128</v>
      </c>
      <c r="D59" s="27">
        <v>6.3607421999999997E-2</v>
      </c>
      <c r="E59" s="27">
        <v>0.35477086214524534</v>
      </c>
      <c r="F59" s="37">
        <v>0</v>
      </c>
      <c r="G59" s="27">
        <v>5.3999999999999999E-2</v>
      </c>
      <c r="H59" s="27">
        <v>3.5000000000000003E-2</v>
      </c>
      <c r="I59" s="27">
        <v>0.64580971799999998</v>
      </c>
      <c r="J59" s="27">
        <v>0.17988008701172278</v>
      </c>
      <c r="K59" s="9">
        <v>0</v>
      </c>
      <c r="L59" s="45">
        <v>0.83005541447393671</v>
      </c>
      <c r="M59" s="45">
        <f>1</f>
        <v>1</v>
      </c>
      <c r="N59" s="35">
        <v>1</v>
      </c>
      <c r="O59" s="36">
        <v>0</v>
      </c>
      <c r="P59" s="36">
        <v>1</v>
      </c>
      <c r="Q59" s="36">
        <v>1240</v>
      </c>
      <c r="R59" s="36">
        <v>330</v>
      </c>
    </row>
    <row r="60" spans="1:18" x14ac:dyDescent="0.3">
      <c r="A60" s="27">
        <v>0.28000000000000003</v>
      </c>
      <c r="B60" s="27">
        <v>0.16800000000000001</v>
      </c>
      <c r="C60" s="27">
        <v>0.29099999999999898</v>
      </c>
      <c r="D60" s="27">
        <v>3.2033387000000003E-2</v>
      </c>
      <c r="E60" s="27">
        <v>0.70262498429021469</v>
      </c>
      <c r="F60" s="37">
        <v>0</v>
      </c>
      <c r="G60" s="27">
        <v>0.21099999999999999</v>
      </c>
      <c r="H60" s="27">
        <v>0.13900000000000001</v>
      </c>
      <c r="I60" s="27">
        <v>0.62409871299999997</v>
      </c>
      <c r="J60" s="27">
        <v>0.41367958513310582</v>
      </c>
      <c r="K60" s="9">
        <v>0</v>
      </c>
      <c r="L60" s="45">
        <v>0.83005541447393671</v>
      </c>
      <c r="M60" s="45">
        <f>1</f>
        <v>1</v>
      </c>
      <c r="N60" s="35">
        <v>1</v>
      </c>
      <c r="O60" s="36">
        <v>0</v>
      </c>
      <c r="P60" s="36">
        <v>1</v>
      </c>
      <c r="Q60" s="36">
        <v>1240</v>
      </c>
      <c r="R60" s="36">
        <v>330</v>
      </c>
    </row>
    <row r="61" spans="1:18" x14ac:dyDescent="0.3">
      <c r="A61" s="27">
        <v>0.34599999999999997</v>
      </c>
      <c r="B61" s="27">
        <v>0.27399999999999997</v>
      </c>
      <c r="C61" s="27">
        <v>0.41799999999999998</v>
      </c>
      <c r="D61" s="27">
        <v>1.5442123E-2</v>
      </c>
      <c r="E61" s="27">
        <v>0.90860627082665635</v>
      </c>
      <c r="F61" s="37">
        <v>0</v>
      </c>
      <c r="G61" s="27">
        <v>0.36699999999999999</v>
      </c>
      <c r="H61" s="27">
        <v>0.25</v>
      </c>
      <c r="I61" s="27">
        <v>0.57198777899999997</v>
      </c>
      <c r="J61" s="27">
        <v>0.65317095511292478</v>
      </c>
      <c r="K61" s="9">
        <v>0</v>
      </c>
      <c r="L61" s="45">
        <v>0</v>
      </c>
      <c r="M61" s="45">
        <f>1</f>
        <v>1</v>
      </c>
      <c r="N61" s="35">
        <v>1</v>
      </c>
      <c r="O61" s="36">
        <v>0</v>
      </c>
      <c r="P61" s="36">
        <v>1</v>
      </c>
      <c r="Q61" s="36">
        <v>1240</v>
      </c>
      <c r="R61" s="36">
        <v>330</v>
      </c>
    </row>
    <row r="62" spans="1:18" x14ac:dyDescent="0.3">
      <c r="A62" s="27">
        <v>0.371</v>
      </c>
      <c r="B62" s="27">
        <v>0.34299999999999997</v>
      </c>
      <c r="C62" s="27">
        <v>0.48899999999999999</v>
      </c>
      <c r="D62" s="27">
        <v>1.1414298999999999E-2</v>
      </c>
      <c r="E62" s="27">
        <v>1</v>
      </c>
      <c r="F62" s="37">
        <v>1.2338342533734271E-2</v>
      </c>
      <c r="G62" s="27">
        <v>0.47399999999999998</v>
      </c>
      <c r="H62" s="27">
        <v>0.32900000000000001</v>
      </c>
      <c r="I62" s="27">
        <v>0.53693294999999996</v>
      </c>
      <c r="J62" s="27">
        <v>0.81956640960973448</v>
      </c>
      <c r="K62" s="9">
        <v>0</v>
      </c>
      <c r="L62" s="45">
        <v>0</v>
      </c>
      <c r="M62" s="45">
        <f>1</f>
        <v>1</v>
      </c>
      <c r="N62" s="35">
        <v>1</v>
      </c>
      <c r="O62" s="36">
        <v>0</v>
      </c>
      <c r="P62" s="36">
        <v>1</v>
      </c>
      <c r="Q62" s="36">
        <v>1231.96830185</v>
      </c>
      <c r="R62" s="36">
        <v>330</v>
      </c>
    </row>
    <row r="63" spans="1:18" x14ac:dyDescent="0.3">
      <c r="A63" s="27">
        <v>0.378</v>
      </c>
      <c r="B63" s="27">
        <v>0.35299999999999998</v>
      </c>
      <c r="C63" s="27">
        <v>0.498</v>
      </c>
      <c r="D63" s="27">
        <v>1.0335405000000001E-2</v>
      </c>
      <c r="E63" s="27">
        <v>1</v>
      </c>
      <c r="F63" s="37">
        <v>2.414658825950524E-2</v>
      </c>
      <c r="G63" s="27">
        <v>0.5179999999999999</v>
      </c>
      <c r="H63" s="27">
        <v>0.36099999999999999</v>
      </c>
      <c r="I63" s="27">
        <v>0.50912878100000003</v>
      </c>
      <c r="J63" s="27">
        <v>0.88616368332156104</v>
      </c>
      <c r="K63" s="9">
        <v>0</v>
      </c>
      <c r="L63" s="45">
        <v>0</v>
      </c>
      <c r="M63" s="45">
        <f>1</f>
        <v>1</v>
      </c>
      <c r="N63" s="35">
        <v>1</v>
      </c>
      <c r="O63" s="36">
        <v>0</v>
      </c>
      <c r="P63" s="36">
        <v>1</v>
      </c>
      <c r="Q63" s="36">
        <v>880.96992571999999</v>
      </c>
      <c r="R63" s="36">
        <v>330</v>
      </c>
    </row>
    <row r="64" spans="1:18" x14ac:dyDescent="0.3">
      <c r="A64" s="27">
        <v>0.372</v>
      </c>
      <c r="B64" s="27">
        <v>0.30399999999999999</v>
      </c>
      <c r="C64" s="27">
        <v>0.44700000000000001</v>
      </c>
      <c r="D64" s="27">
        <v>1.0208371000000001E-2</v>
      </c>
      <c r="E64" s="27">
        <v>0.96591377146785284</v>
      </c>
      <c r="F64" s="37">
        <v>0</v>
      </c>
      <c r="G64" s="27">
        <v>0.49199999999999999</v>
      </c>
      <c r="H64" s="27">
        <v>0.33800000000000002</v>
      </c>
      <c r="I64" s="27">
        <v>0.48730130500000002</v>
      </c>
      <c r="J64" s="27">
        <v>0.8449269973645942</v>
      </c>
      <c r="K64" s="9">
        <v>0</v>
      </c>
      <c r="L64" s="45">
        <v>0</v>
      </c>
      <c r="M64" s="45">
        <f>1</f>
        <v>1</v>
      </c>
      <c r="N64" s="35">
        <v>1</v>
      </c>
      <c r="O64" s="36">
        <v>0</v>
      </c>
      <c r="P64" s="36">
        <v>1</v>
      </c>
      <c r="Q64" s="36">
        <v>1240</v>
      </c>
      <c r="R64" s="36">
        <v>330</v>
      </c>
    </row>
    <row r="65" spans="1:18" x14ac:dyDescent="0.3">
      <c r="A65" s="27">
        <v>0.34499999999999997</v>
      </c>
      <c r="B65" s="27">
        <v>0.21099999999999899</v>
      </c>
      <c r="C65" s="27">
        <v>0.34299999999999997</v>
      </c>
      <c r="D65" s="27">
        <v>1.1060390999999999E-2</v>
      </c>
      <c r="E65" s="27">
        <v>0.81497789694331291</v>
      </c>
      <c r="F65" s="37">
        <v>0</v>
      </c>
      <c r="G65" s="27">
        <v>0.40600000000000003</v>
      </c>
      <c r="H65" s="27">
        <v>0.26800000000000002</v>
      </c>
      <c r="I65" s="27">
        <v>0.44490525199999997</v>
      </c>
      <c r="J65" s="27">
        <v>0.7082887352200623</v>
      </c>
      <c r="K65" s="9">
        <v>0</v>
      </c>
      <c r="L65" s="45">
        <v>0</v>
      </c>
      <c r="M65" s="45">
        <f>1</f>
        <v>1</v>
      </c>
      <c r="N65" s="35">
        <v>1</v>
      </c>
      <c r="O65" s="36">
        <v>0</v>
      </c>
      <c r="P65" s="36">
        <v>1</v>
      </c>
      <c r="Q65" s="36">
        <v>1240</v>
      </c>
      <c r="R65" s="36">
        <v>330</v>
      </c>
    </row>
    <row r="66" spans="1:18" x14ac:dyDescent="0.3">
      <c r="A66" s="27">
        <v>0.24099999999999999</v>
      </c>
      <c r="B66" s="27">
        <v>0.1</v>
      </c>
      <c r="C66" s="27">
        <v>0.2</v>
      </c>
      <c r="D66" s="27">
        <v>9.8989430000000003E-3</v>
      </c>
      <c r="E66" s="27">
        <v>0.52570687506042957</v>
      </c>
      <c r="F66" s="37">
        <v>0</v>
      </c>
      <c r="G66" s="27">
        <v>0.27899999999999997</v>
      </c>
      <c r="H66" s="27">
        <v>0.16500000000000001</v>
      </c>
      <c r="I66" s="27">
        <v>0.40203759700000002</v>
      </c>
      <c r="J66" s="27">
        <v>0.50347388227155365</v>
      </c>
      <c r="K66" s="9">
        <v>0</v>
      </c>
      <c r="L66" s="45">
        <v>0.83005541447393671</v>
      </c>
      <c r="M66" s="45">
        <f>1</f>
        <v>1</v>
      </c>
      <c r="N66" s="35">
        <v>1</v>
      </c>
      <c r="O66" s="36">
        <v>0</v>
      </c>
      <c r="P66" s="36">
        <v>1</v>
      </c>
      <c r="Q66" s="36">
        <v>1240</v>
      </c>
      <c r="R66" s="36">
        <v>330</v>
      </c>
    </row>
    <row r="67" spans="1:18" x14ac:dyDescent="0.3">
      <c r="A67" s="27">
        <v>5.5E-2</v>
      </c>
      <c r="B67" s="27">
        <v>0</v>
      </c>
      <c r="C67" s="27">
        <v>5.2000000000000005E-2</v>
      </c>
      <c r="D67" s="27">
        <v>1.7780221999999998E-2</v>
      </c>
      <c r="E67" s="27">
        <v>0.14465671228533741</v>
      </c>
      <c r="F67" s="37">
        <v>0</v>
      </c>
      <c r="G67" s="27">
        <v>0.123</v>
      </c>
      <c r="H67" s="27">
        <v>6.0000000000000005E-2</v>
      </c>
      <c r="I67" s="27">
        <v>0.41274400300000003</v>
      </c>
      <c r="J67" s="27">
        <v>0.27169370674907256</v>
      </c>
      <c r="K67" s="9">
        <v>0</v>
      </c>
      <c r="L67" s="45">
        <v>0.83005541447393671</v>
      </c>
      <c r="M67" s="45">
        <f>1</f>
        <v>1</v>
      </c>
      <c r="N67" s="35">
        <v>1</v>
      </c>
      <c r="O67" s="36">
        <v>0</v>
      </c>
      <c r="P67" s="36">
        <v>1</v>
      </c>
      <c r="Q67" s="36">
        <v>1240</v>
      </c>
      <c r="R67" s="36">
        <v>330</v>
      </c>
    </row>
    <row r="68" spans="1:18" x14ac:dyDescent="0.3">
      <c r="A68" s="27">
        <v>0</v>
      </c>
      <c r="B68" s="27">
        <v>0</v>
      </c>
      <c r="C68" s="27">
        <v>0</v>
      </c>
      <c r="D68" s="27">
        <v>3.2348742999999999E-2</v>
      </c>
      <c r="E68" s="27">
        <v>3.7750891007883439E-2</v>
      </c>
      <c r="F68" s="37">
        <v>0</v>
      </c>
      <c r="G68" s="27">
        <v>0</v>
      </c>
      <c r="H68" s="27">
        <v>0</v>
      </c>
      <c r="I68" s="27">
        <v>0.430525885</v>
      </c>
      <c r="J68" s="27">
        <v>0.11658670972251074</v>
      </c>
      <c r="K68" s="9">
        <v>0</v>
      </c>
      <c r="L68" s="45">
        <v>0.83005541447393671</v>
      </c>
      <c r="M68" s="45">
        <f>1</f>
        <v>1</v>
      </c>
      <c r="N68" s="35">
        <v>1</v>
      </c>
      <c r="O68" s="36">
        <v>0</v>
      </c>
      <c r="P68" s="36">
        <v>0.58114907585672515</v>
      </c>
      <c r="Q68" s="36">
        <v>1240</v>
      </c>
      <c r="R68" s="36">
        <v>330</v>
      </c>
    </row>
    <row r="69" spans="1:18" x14ac:dyDescent="0.3">
      <c r="A69" s="27">
        <v>0</v>
      </c>
      <c r="B69" s="27">
        <v>0</v>
      </c>
      <c r="C69" s="27">
        <v>0</v>
      </c>
      <c r="D69" s="27">
        <v>3.3034015999999999E-2</v>
      </c>
      <c r="E69" s="27">
        <v>3.8504894907484662E-2</v>
      </c>
      <c r="F69" s="37">
        <v>0</v>
      </c>
      <c r="G69" s="27">
        <v>0</v>
      </c>
      <c r="H69" s="27">
        <v>0</v>
      </c>
      <c r="I69" s="27">
        <v>0.46852065799999998</v>
      </c>
      <c r="J69" s="27">
        <v>0.12157653370411041</v>
      </c>
      <c r="K69" s="9">
        <v>0</v>
      </c>
      <c r="L69" s="45">
        <v>0.83005541447393671</v>
      </c>
      <c r="M69" s="45">
        <f>1</f>
        <v>1</v>
      </c>
      <c r="N69" s="35">
        <v>1</v>
      </c>
      <c r="O69" s="36">
        <v>0</v>
      </c>
      <c r="P69" s="36">
        <v>0.62393142958875658</v>
      </c>
      <c r="Q69" s="36">
        <v>1240</v>
      </c>
      <c r="R69" s="36">
        <v>330</v>
      </c>
    </row>
    <row r="70" spans="1:18" x14ac:dyDescent="0.3">
      <c r="A70" s="27">
        <v>0</v>
      </c>
      <c r="B70" s="27">
        <v>0</v>
      </c>
      <c r="C70" s="27">
        <v>0</v>
      </c>
      <c r="D70" s="27">
        <v>2.1762911999999999E-2</v>
      </c>
      <c r="E70" s="27">
        <v>2.53671439597546E-2</v>
      </c>
      <c r="F70" s="37">
        <v>0</v>
      </c>
      <c r="G70" s="27">
        <v>0</v>
      </c>
      <c r="H70" s="27">
        <v>0</v>
      </c>
      <c r="I70" s="27">
        <v>0.47032052600000002</v>
      </c>
      <c r="J70" s="27">
        <v>0.12203718194301827</v>
      </c>
      <c r="K70" s="9">
        <v>0</v>
      </c>
      <c r="L70" s="45">
        <v>0.83005541447393671</v>
      </c>
      <c r="M70" s="45">
        <f>1</f>
        <v>1</v>
      </c>
      <c r="N70" s="35">
        <v>1</v>
      </c>
      <c r="O70" s="36">
        <v>2.5834481454281241E-2</v>
      </c>
      <c r="P70" s="36">
        <v>1</v>
      </c>
      <c r="Q70" s="36">
        <v>1240</v>
      </c>
      <c r="R70" s="36">
        <v>330</v>
      </c>
    </row>
    <row r="71" spans="1:18" x14ac:dyDescent="0.3">
      <c r="A71" s="27">
        <v>0</v>
      </c>
      <c r="B71" s="27">
        <v>0</v>
      </c>
      <c r="C71" s="27">
        <v>0</v>
      </c>
      <c r="D71" s="27">
        <v>1.7486972E-2</v>
      </c>
      <c r="E71" s="27">
        <v>2.0383050583680982E-2</v>
      </c>
      <c r="F71" s="37">
        <v>0</v>
      </c>
      <c r="G71" s="27">
        <v>0</v>
      </c>
      <c r="H71" s="27">
        <v>0</v>
      </c>
      <c r="I71" s="27">
        <v>0.434396636</v>
      </c>
      <c r="J71" s="27">
        <v>0.11404656153494583</v>
      </c>
      <c r="K71" s="9">
        <v>0</v>
      </c>
      <c r="L71" s="45">
        <v>0.83005541447393671</v>
      </c>
      <c r="M71" s="45">
        <f>1</f>
        <v>1</v>
      </c>
      <c r="N71" s="35">
        <v>1</v>
      </c>
      <c r="O71" s="36">
        <v>0.1798893988699258</v>
      </c>
      <c r="P71" s="36">
        <v>1</v>
      </c>
      <c r="Q71" s="36">
        <v>1240</v>
      </c>
      <c r="R71" s="36">
        <v>330</v>
      </c>
    </row>
    <row r="72" spans="1:18" x14ac:dyDescent="0.3">
      <c r="A72" s="27">
        <v>0</v>
      </c>
      <c r="B72" s="27">
        <v>0</v>
      </c>
      <c r="C72" s="27">
        <v>0</v>
      </c>
      <c r="D72" s="27">
        <v>1.8721867E-2</v>
      </c>
      <c r="E72" s="27">
        <v>2.182246086297546E-2</v>
      </c>
      <c r="F72" s="37">
        <v>0</v>
      </c>
      <c r="G72" s="27">
        <v>0</v>
      </c>
      <c r="H72" s="27">
        <v>0</v>
      </c>
      <c r="I72" s="27">
        <v>0.41418176400000001</v>
      </c>
      <c r="J72" s="27">
        <v>0.10923232726309541</v>
      </c>
      <c r="K72" s="9">
        <v>0</v>
      </c>
      <c r="L72" s="45">
        <v>0.83005541447393671</v>
      </c>
      <c r="M72" s="45">
        <f>1</f>
        <v>1</v>
      </c>
      <c r="N72" s="35">
        <v>1</v>
      </c>
      <c r="O72" s="36">
        <v>0.33394431628704541</v>
      </c>
      <c r="P72" s="36">
        <v>1</v>
      </c>
      <c r="Q72" s="36">
        <v>1240</v>
      </c>
      <c r="R72" s="36">
        <v>330</v>
      </c>
    </row>
    <row r="73" spans="1:18" x14ac:dyDescent="0.3">
      <c r="A73" s="27">
        <v>0</v>
      </c>
      <c r="B73" s="27">
        <v>0</v>
      </c>
      <c r="C73" s="27">
        <v>0</v>
      </c>
      <c r="D73" s="27">
        <v>1.9438409E-2</v>
      </c>
      <c r="E73" s="27">
        <v>2.2657671889294476E-2</v>
      </c>
      <c r="F73" s="37">
        <v>0</v>
      </c>
      <c r="G73" s="27">
        <v>0</v>
      </c>
      <c r="H73" s="27">
        <v>0</v>
      </c>
      <c r="I73" s="27">
        <v>0.442272624</v>
      </c>
      <c r="J73" s="27">
        <v>0.10407688121472028</v>
      </c>
      <c r="K73" s="9">
        <v>0</v>
      </c>
      <c r="L73" s="45">
        <v>1.0491679074103448</v>
      </c>
      <c r="M73" s="45">
        <f>1</f>
        <v>1</v>
      </c>
      <c r="N73" s="35">
        <v>1</v>
      </c>
      <c r="O73" s="36">
        <v>0.29240005938043201</v>
      </c>
      <c r="P73" s="36">
        <v>1</v>
      </c>
      <c r="Q73" s="36">
        <v>1240</v>
      </c>
      <c r="R73" s="36">
        <v>330</v>
      </c>
    </row>
    <row r="74" spans="1:18" x14ac:dyDescent="0.3">
      <c r="A74" s="27">
        <v>0</v>
      </c>
      <c r="B74" s="27">
        <v>0</v>
      </c>
      <c r="C74" s="27">
        <v>0</v>
      </c>
      <c r="D74" s="27">
        <v>2.2797543E-2</v>
      </c>
      <c r="E74" s="27">
        <v>2.6573123817699388E-2</v>
      </c>
      <c r="F74" s="37">
        <v>0</v>
      </c>
      <c r="G74" s="27">
        <v>0</v>
      </c>
      <c r="H74" s="27">
        <v>0</v>
      </c>
      <c r="I74" s="27">
        <v>0.45234127600000001</v>
      </c>
      <c r="J74" s="27">
        <v>0.10053002823475292</v>
      </c>
      <c r="K74" s="9">
        <v>0</v>
      </c>
      <c r="L74" s="45">
        <v>1.0491679074103448</v>
      </c>
      <c r="M74" s="45">
        <f>1</f>
        <v>1</v>
      </c>
      <c r="N74" s="35">
        <v>1</v>
      </c>
      <c r="O74" s="36">
        <v>0.27429636860559276</v>
      </c>
      <c r="P74" s="36">
        <v>1</v>
      </c>
      <c r="Q74" s="36">
        <v>1240</v>
      </c>
      <c r="R74" s="36">
        <v>330</v>
      </c>
    </row>
    <row r="75" spans="1:18" x14ac:dyDescent="0.3">
      <c r="A75" s="27">
        <v>0</v>
      </c>
      <c r="B75" s="27">
        <v>0</v>
      </c>
      <c r="C75" s="27">
        <v>0</v>
      </c>
      <c r="D75" s="27">
        <v>2.6731528000000001E-2</v>
      </c>
      <c r="E75" s="27">
        <v>3.1158629830429448E-2</v>
      </c>
      <c r="F75" s="37">
        <v>0</v>
      </c>
      <c r="G75" s="27">
        <v>0</v>
      </c>
      <c r="H75" s="27">
        <v>0</v>
      </c>
      <c r="I75" s="27">
        <v>0.43515850099999998</v>
      </c>
      <c r="J75" s="27">
        <v>9.4340097543255674E-2</v>
      </c>
      <c r="K75" s="9">
        <v>0</v>
      </c>
      <c r="L75" s="45">
        <v>1.0491679074103448</v>
      </c>
      <c r="M75" s="45">
        <f>1</f>
        <v>1</v>
      </c>
      <c r="N75" s="35">
        <v>1</v>
      </c>
      <c r="O75" s="36">
        <v>0.26737792093064466</v>
      </c>
      <c r="P75" s="36">
        <v>1</v>
      </c>
      <c r="Q75" s="36">
        <v>1240</v>
      </c>
      <c r="R75" s="36">
        <v>330</v>
      </c>
    </row>
    <row r="76" spans="1:18" x14ac:dyDescent="0.3">
      <c r="A76" s="27">
        <v>0</v>
      </c>
      <c r="B76" s="27">
        <v>0</v>
      </c>
      <c r="C76" s="27">
        <v>0</v>
      </c>
      <c r="D76" s="27">
        <v>3.2651092999999999E-2</v>
      </c>
      <c r="E76" s="27">
        <v>3.8058554690398767E-2</v>
      </c>
      <c r="F76" s="37">
        <v>0</v>
      </c>
      <c r="G76" s="27">
        <v>0</v>
      </c>
      <c r="H76" s="27">
        <v>0</v>
      </c>
      <c r="I76" s="27">
        <v>0.437757654</v>
      </c>
      <c r="J76" s="27">
        <v>9.3465996021071376E-2</v>
      </c>
      <c r="K76" s="9">
        <v>0</v>
      </c>
      <c r="L76" s="45">
        <v>1.0491679074103448</v>
      </c>
      <c r="M76" s="45">
        <f>1</f>
        <v>1</v>
      </c>
      <c r="N76" s="35">
        <v>1</v>
      </c>
      <c r="O76" s="36">
        <v>0.24505473993081206</v>
      </c>
      <c r="P76" s="36">
        <v>1</v>
      </c>
      <c r="Q76" s="36">
        <v>1240</v>
      </c>
      <c r="R76" s="36">
        <v>330</v>
      </c>
    </row>
    <row r="77" spans="1:18" x14ac:dyDescent="0.3">
      <c r="A77" s="27">
        <v>0</v>
      </c>
      <c r="B77" s="27">
        <v>0</v>
      </c>
      <c r="C77" s="27">
        <v>0</v>
      </c>
      <c r="D77" s="27">
        <v>4.0581737999999999E-2</v>
      </c>
      <c r="E77" s="27">
        <v>4.7302621541779138E-2</v>
      </c>
      <c r="F77" s="37">
        <v>0</v>
      </c>
      <c r="G77" s="27">
        <v>0</v>
      </c>
      <c r="H77" s="27">
        <v>0</v>
      </c>
      <c r="I77" s="27">
        <v>0.45019028300000002</v>
      </c>
      <c r="J77" s="27">
        <v>9.4142161868526489E-2</v>
      </c>
      <c r="K77" s="9">
        <v>0</v>
      </c>
      <c r="L77" s="45">
        <v>1.0491679074103448</v>
      </c>
      <c r="M77" s="45">
        <f>1</f>
        <v>1</v>
      </c>
      <c r="N77" s="35">
        <v>1</v>
      </c>
      <c r="O77" s="36">
        <v>0.21254024555605594</v>
      </c>
      <c r="P77" s="36">
        <v>1</v>
      </c>
      <c r="Q77" s="36">
        <v>1240</v>
      </c>
      <c r="R77" s="36">
        <v>330</v>
      </c>
    </row>
    <row r="78" spans="1:18" x14ac:dyDescent="0.3">
      <c r="A78" s="27">
        <v>0</v>
      </c>
      <c r="B78" s="27">
        <v>0</v>
      </c>
      <c r="C78" s="27">
        <v>0</v>
      </c>
      <c r="D78" s="27">
        <v>5.0982284000000003E-2</v>
      </c>
      <c r="E78" s="27">
        <v>5.9425638334846632E-2</v>
      </c>
      <c r="F78" s="37">
        <v>0</v>
      </c>
      <c r="G78" s="27">
        <v>0</v>
      </c>
      <c r="H78" s="27">
        <v>0</v>
      </c>
      <c r="I78" s="27">
        <v>0.43919060599999998</v>
      </c>
      <c r="J78" s="27">
        <v>9.712807023208192E-2</v>
      </c>
      <c r="K78" s="9">
        <v>0</v>
      </c>
      <c r="L78" s="45">
        <v>1.0491679074103448</v>
      </c>
      <c r="M78" s="45">
        <f>1</f>
        <v>1</v>
      </c>
      <c r="N78" s="35">
        <v>1</v>
      </c>
      <c r="O78" s="36">
        <v>0.16932165003848007</v>
      </c>
      <c r="P78" s="36">
        <v>1</v>
      </c>
      <c r="Q78" s="36">
        <v>1240</v>
      </c>
      <c r="R78" s="36">
        <v>330</v>
      </c>
    </row>
    <row r="79" spans="1:18" x14ac:dyDescent="0.3">
      <c r="A79" s="27">
        <v>0</v>
      </c>
      <c r="B79" s="27">
        <v>0</v>
      </c>
      <c r="C79" s="27">
        <v>0</v>
      </c>
      <c r="D79" s="27">
        <v>5.9373763000000003E-2</v>
      </c>
      <c r="E79" s="27">
        <v>6.9206859516472388E-2</v>
      </c>
      <c r="F79" s="37">
        <v>0</v>
      </c>
      <c r="G79" s="27">
        <v>0</v>
      </c>
      <c r="H79" s="27">
        <v>0</v>
      </c>
      <c r="I79" s="27">
        <v>0.428092158</v>
      </c>
      <c r="J79" s="27">
        <v>0.10142727758302419</v>
      </c>
      <c r="K79" s="9">
        <v>0</v>
      </c>
      <c r="L79" s="45">
        <v>1.0491679074103448</v>
      </c>
      <c r="M79" s="45">
        <f>1</f>
        <v>1</v>
      </c>
      <c r="N79" s="35">
        <v>1</v>
      </c>
      <c r="O79" s="36">
        <v>4.1559052109463306E-2</v>
      </c>
      <c r="P79" s="36">
        <v>1</v>
      </c>
      <c r="Q79" s="36">
        <v>1240</v>
      </c>
      <c r="R79" s="36">
        <v>330</v>
      </c>
    </row>
    <row r="80" spans="1:18" x14ac:dyDescent="0.3">
      <c r="A80" s="27">
        <v>0</v>
      </c>
      <c r="B80" s="27">
        <v>0</v>
      </c>
      <c r="C80" s="27">
        <v>0</v>
      </c>
      <c r="D80" s="27">
        <v>6.6060953000000006E-2</v>
      </c>
      <c r="E80" s="27">
        <v>7.700153843702455E-2</v>
      </c>
      <c r="F80" s="37">
        <v>0</v>
      </c>
      <c r="G80" s="27">
        <v>0</v>
      </c>
      <c r="H80" s="27">
        <v>0</v>
      </c>
      <c r="I80" s="27">
        <v>0.416221964</v>
      </c>
      <c r="J80" s="27">
        <v>0.10650952346134442</v>
      </c>
      <c r="K80" s="9">
        <v>0</v>
      </c>
      <c r="L80" s="45">
        <v>1.0491679074103448</v>
      </c>
      <c r="M80" s="45">
        <f>1</f>
        <v>1</v>
      </c>
      <c r="N80" s="35">
        <v>1</v>
      </c>
      <c r="O80" s="36">
        <v>0</v>
      </c>
      <c r="P80" s="36">
        <v>1</v>
      </c>
      <c r="Q80" s="36">
        <v>1240</v>
      </c>
      <c r="R80" s="36">
        <v>330</v>
      </c>
    </row>
    <row r="81" spans="1:18" x14ac:dyDescent="0.3">
      <c r="A81" s="27">
        <v>0</v>
      </c>
      <c r="B81" s="27">
        <v>0</v>
      </c>
      <c r="C81" s="27">
        <v>0</v>
      </c>
      <c r="D81" s="27">
        <v>6.9969826999999998E-2</v>
      </c>
      <c r="E81" s="27">
        <v>8.1557774729233132E-2</v>
      </c>
      <c r="F81" s="37">
        <v>0</v>
      </c>
      <c r="G81" s="27">
        <v>0</v>
      </c>
      <c r="H81" s="27">
        <v>0</v>
      </c>
      <c r="I81" s="27">
        <v>0.39057711099999998</v>
      </c>
      <c r="J81" s="27">
        <v>0.10783352593025672</v>
      </c>
      <c r="K81" s="9">
        <v>0</v>
      </c>
      <c r="L81" s="45">
        <v>1.0491679074103448</v>
      </c>
      <c r="M81" s="45">
        <f>1</f>
        <v>1</v>
      </c>
      <c r="N81" s="35">
        <v>1</v>
      </c>
      <c r="O81" s="36">
        <v>0</v>
      </c>
      <c r="P81" s="36">
        <v>1</v>
      </c>
      <c r="Q81" s="36">
        <v>1240</v>
      </c>
      <c r="R81" s="36">
        <v>330</v>
      </c>
    </row>
    <row r="82" spans="1:18" x14ac:dyDescent="0.3">
      <c r="A82" s="27">
        <v>0</v>
      </c>
      <c r="B82" s="27">
        <v>0</v>
      </c>
      <c r="C82" s="27">
        <v>0</v>
      </c>
      <c r="D82" s="27">
        <v>7.8754295000000002E-2</v>
      </c>
      <c r="E82" s="27">
        <v>9.979335845245399E-2</v>
      </c>
      <c r="F82" s="37">
        <v>0</v>
      </c>
      <c r="G82" s="27">
        <v>0</v>
      </c>
      <c r="H82" s="27">
        <v>0</v>
      </c>
      <c r="I82" s="27">
        <v>0.36758099500000002</v>
      </c>
      <c r="J82" s="27">
        <v>0.11039642633773555</v>
      </c>
      <c r="K82" s="9">
        <v>0</v>
      </c>
      <c r="L82" s="45">
        <v>1.0491679074103448</v>
      </c>
      <c r="M82" s="45">
        <f>1</f>
        <v>1</v>
      </c>
      <c r="N82" s="35">
        <v>1</v>
      </c>
      <c r="O82" s="36">
        <v>0</v>
      </c>
      <c r="P82" s="36">
        <v>1</v>
      </c>
      <c r="Q82" s="36">
        <v>1240</v>
      </c>
      <c r="R82" s="36">
        <v>330</v>
      </c>
    </row>
    <row r="83" spans="1:18" x14ac:dyDescent="0.3">
      <c r="A83" s="27">
        <v>6.7000000000000004E-2</v>
      </c>
      <c r="B83" s="27">
        <v>2.3E-2</v>
      </c>
      <c r="C83" s="27">
        <v>8.199999999999999E-2</v>
      </c>
      <c r="D83" s="27">
        <v>9.0938508000000001E-2</v>
      </c>
      <c r="E83" s="27">
        <v>0.27956679646641103</v>
      </c>
      <c r="F83" s="37">
        <v>0</v>
      </c>
      <c r="G83" s="27">
        <v>0.03</v>
      </c>
      <c r="H83" s="27">
        <v>2.5000000000000001E-2</v>
      </c>
      <c r="I83" s="27">
        <v>0.30572628600000001</v>
      </c>
      <c r="J83" s="27">
        <v>0.16014798779106693</v>
      </c>
      <c r="K83" s="9">
        <v>0</v>
      </c>
      <c r="L83" s="45">
        <v>1.0491679074103448</v>
      </c>
      <c r="M83" s="45">
        <f>1</f>
        <v>1</v>
      </c>
      <c r="N83" s="35">
        <v>1</v>
      </c>
      <c r="O83" s="36">
        <v>0</v>
      </c>
      <c r="P83" s="36">
        <v>1</v>
      </c>
      <c r="Q83" s="36">
        <v>1240</v>
      </c>
      <c r="R83" s="36">
        <v>330</v>
      </c>
    </row>
    <row r="84" spans="1:18" x14ac:dyDescent="0.3">
      <c r="A84" s="27">
        <v>0.17</v>
      </c>
      <c r="B84" s="27">
        <v>5.4000000000000006E-2</v>
      </c>
      <c r="C84" s="27">
        <v>0.19399999999999998</v>
      </c>
      <c r="D84" s="27">
        <v>0.100598005</v>
      </c>
      <c r="E84" s="27">
        <v>0.54092350467361971</v>
      </c>
      <c r="F84" s="37">
        <v>0</v>
      </c>
      <c r="G84" s="27">
        <v>0.124</v>
      </c>
      <c r="H84" s="27">
        <v>0.10100000000000001</v>
      </c>
      <c r="I84" s="27">
        <v>0.26020889800000002</v>
      </c>
      <c r="J84" s="27">
        <v>0.3162349570888856</v>
      </c>
      <c r="K84" s="9">
        <v>0</v>
      </c>
      <c r="L84" s="45">
        <v>1.0491679074103448</v>
      </c>
      <c r="M84" s="45">
        <f>1</f>
        <v>1</v>
      </c>
      <c r="N84" s="35">
        <v>1</v>
      </c>
      <c r="O84" s="36">
        <v>0</v>
      </c>
      <c r="P84" s="36">
        <v>1</v>
      </c>
      <c r="Q84" s="36">
        <v>1240</v>
      </c>
      <c r="R84" s="36">
        <v>330</v>
      </c>
    </row>
    <row r="85" spans="1:18" x14ac:dyDescent="0.3">
      <c r="A85" s="27">
        <v>0.23699999999999999</v>
      </c>
      <c r="B85" s="27">
        <v>8.5999999999999993E-2</v>
      </c>
      <c r="C85" s="27">
        <v>0.28499999999999903</v>
      </c>
      <c r="D85" s="27">
        <v>0.11549854399999999</v>
      </c>
      <c r="E85" s="27">
        <v>0.74392364727064408</v>
      </c>
      <c r="F85" s="37">
        <v>0</v>
      </c>
      <c r="G85" s="27">
        <v>0.223</v>
      </c>
      <c r="H85" s="27">
        <v>0.184</v>
      </c>
      <c r="I85" s="27">
        <v>0.219158145</v>
      </c>
      <c r="J85" s="27">
        <v>0.48194535932482563</v>
      </c>
      <c r="K85" s="9">
        <v>0</v>
      </c>
      <c r="L85" s="45">
        <v>0</v>
      </c>
      <c r="M85" s="45">
        <f>1</f>
        <v>1</v>
      </c>
      <c r="N85" s="35">
        <v>0</v>
      </c>
      <c r="O85" s="36">
        <v>0</v>
      </c>
      <c r="P85" s="36">
        <v>1</v>
      </c>
      <c r="Q85" s="36">
        <v>1240</v>
      </c>
      <c r="R85" s="36">
        <v>330</v>
      </c>
    </row>
    <row r="86" spans="1:18" x14ac:dyDescent="0.3">
      <c r="A86" s="27">
        <v>0.28100000000000003</v>
      </c>
      <c r="B86" s="27">
        <v>0.11199999999999999</v>
      </c>
      <c r="C86" s="27">
        <v>0.34</v>
      </c>
      <c r="D86" s="27">
        <v>0.13827719199999999</v>
      </c>
      <c r="E86" s="27">
        <v>0.88440612744389568</v>
      </c>
      <c r="F86" s="37">
        <v>0</v>
      </c>
      <c r="G86" s="27">
        <v>0.30499999999999994</v>
      </c>
      <c r="H86" s="27">
        <v>0.245</v>
      </c>
      <c r="I86" s="27">
        <v>0.20642691799999999</v>
      </c>
      <c r="J86" s="27">
        <v>0.61537316962190236</v>
      </c>
      <c r="K86" s="9">
        <v>0</v>
      </c>
      <c r="L86" s="45">
        <v>0</v>
      </c>
      <c r="M86" s="45">
        <f>1</f>
        <v>1</v>
      </c>
      <c r="N86" s="35">
        <v>0</v>
      </c>
      <c r="O86" s="36">
        <v>0</v>
      </c>
      <c r="P86" s="36">
        <v>1</v>
      </c>
      <c r="Q86" s="36">
        <v>987.11730249000004</v>
      </c>
      <c r="R86" s="36">
        <v>330</v>
      </c>
    </row>
    <row r="87" spans="1:18" x14ac:dyDescent="0.3">
      <c r="A87" s="27">
        <v>0.29399999999999998</v>
      </c>
      <c r="B87" s="27">
        <v>0.122</v>
      </c>
      <c r="C87" s="27">
        <v>0.34599999999999903</v>
      </c>
      <c r="D87" s="27">
        <v>0.16269359799999999</v>
      </c>
      <c r="E87" s="27">
        <v>0.93557822095846621</v>
      </c>
      <c r="F87" s="37">
        <v>0</v>
      </c>
      <c r="G87" s="27">
        <v>0.34500000000000003</v>
      </c>
      <c r="H87" s="27">
        <v>0.26999999999999996</v>
      </c>
      <c r="I87" s="27">
        <v>0.19712173099999999</v>
      </c>
      <c r="J87" s="27">
        <v>0.69094465229618629</v>
      </c>
      <c r="K87" s="9">
        <v>0</v>
      </c>
      <c r="L87" s="45">
        <v>0</v>
      </c>
      <c r="M87" s="45">
        <f>1</f>
        <v>1</v>
      </c>
      <c r="N87" s="35">
        <v>0</v>
      </c>
      <c r="O87" s="36">
        <v>0</v>
      </c>
      <c r="P87" s="36">
        <v>0.96280895410986711</v>
      </c>
      <c r="Q87" s="36">
        <v>0</v>
      </c>
      <c r="R87" s="36">
        <v>330</v>
      </c>
    </row>
    <row r="88" spans="1:18" x14ac:dyDescent="0.3">
      <c r="A88" s="27">
        <v>0.28199999999999997</v>
      </c>
      <c r="B88" s="27">
        <v>0.114</v>
      </c>
      <c r="C88" s="27">
        <v>0.307</v>
      </c>
      <c r="D88" s="27">
        <v>0.18848293999999999</v>
      </c>
      <c r="E88" s="27">
        <v>0.90524874679223921</v>
      </c>
      <c r="F88" s="37">
        <v>0</v>
      </c>
      <c r="G88" s="27">
        <v>0.33499999999999996</v>
      </c>
      <c r="H88" s="27">
        <v>0.254</v>
      </c>
      <c r="I88" s="27">
        <v>0.191929553</v>
      </c>
      <c r="J88" s="27">
        <v>0.691891916312806</v>
      </c>
      <c r="K88" s="9">
        <v>0</v>
      </c>
      <c r="L88" s="45">
        <v>0</v>
      </c>
      <c r="M88" s="45">
        <f>1</f>
        <v>1</v>
      </c>
      <c r="N88" s="35">
        <v>0</v>
      </c>
      <c r="O88" s="36">
        <v>0</v>
      </c>
      <c r="P88" s="36">
        <v>0.58114971051437148</v>
      </c>
      <c r="Q88" s="36">
        <v>0</v>
      </c>
      <c r="R88" s="36">
        <v>330</v>
      </c>
    </row>
    <row r="89" spans="1:18" x14ac:dyDescent="0.3">
      <c r="A89" s="27">
        <v>0.255</v>
      </c>
      <c r="B89" s="27">
        <v>0.09</v>
      </c>
      <c r="C89" s="27">
        <v>0.245</v>
      </c>
      <c r="D89" s="27">
        <v>0.20757709799999999</v>
      </c>
      <c r="E89" s="27">
        <v>0.82392602152150318</v>
      </c>
      <c r="F89" s="37">
        <v>0</v>
      </c>
      <c r="G89" s="27">
        <v>0.25700000000000001</v>
      </c>
      <c r="H89" s="27">
        <v>0.192</v>
      </c>
      <c r="I89" s="27">
        <v>0.19359531899999999</v>
      </c>
      <c r="J89" s="27">
        <v>0.58857415116871947</v>
      </c>
      <c r="K89" s="9">
        <v>0</v>
      </c>
      <c r="L89" s="45">
        <v>0</v>
      </c>
      <c r="M89" s="45">
        <f>1</f>
        <v>1</v>
      </c>
      <c r="N89" s="35">
        <v>0.62782949274599997</v>
      </c>
      <c r="O89" s="36">
        <v>0</v>
      </c>
      <c r="P89" s="36">
        <v>0.58085371378947137</v>
      </c>
      <c r="Q89" s="36">
        <v>0</v>
      </c>
      <c r="R89" s="36">
        <v>330</v>
      </c>
    </row>
    <row r="90" spans="1:18" x14ac:dyDescent="0.3">
      <c r="A90" s="27">
        <v>0.189</v>
      </c>
      <c r="B90" s="27">
        <v>5.0999999999999997E-2</v>
      </c>
      <c r="C90" s="27">
        <v>0.157</v>
      </c>
      <c r="D90" s="27">
        <v>0.21244671500000001</v>
      </c>
      <c r="E90" s="27">
        <v>0.65132831816438652</v>
      </c>
      <c r="F90" s="37">
        <v>0</v>
      </c>
      <c r="G90" s="27">
        <v>0.15699999999999997</v>
      </c>
      <c r="H90" s="27">
        <v>0.11100000000000002</v>
      </c>
      <c r="I90" s="27">
        <v>0.199729502</v>
      </c>
      <c r="J90" s="27">
        <v>0.44207258242884695</v>
      </c>
      <c r="K90" s="9">
        <v>0</v>
      </c>
      <c r="L90" s="45">
        <v>0</v>
      </c>
      <c r="M90" s="45">
        <f>1</f>
        <v>1</v>
      </c>
      <c r="N90" s="35">
        <v>0</v>
      </c>
      <c r="O90" s="36">
        <v>0</v>
      </c>
      <c r="P90" s="36">
        <v>1</v>
      </c>
      <c r="Q90" s="36">
        <v>0</v>
      </c>
      <c r="R90" s="36">
        <v>330</v>
      </c>
    </row>
    <row r="91" spans="1:18" x14ac:dyDescent="0.3">
      <c r="A91" s="27">
        <v>5.1999999999999998E-2</v>
      </c>
      <c r="B91" s="27">
        <v>0</v>
      </c>
      <c r="C91" s="27">
        <v>5.0999999999999997E-2</v>
      </c>
      <c r="D91" s="27">
        <v>0.20457370999999999</v>
      </c>
      <c r="E91" s="27">
        <v>0.35899591733702452</v>
      </c>
      <c r="F91" s="37">
        <v>0</v>
      </c>
      <c r="G91" s="27">
        <v>6.4000000000000001E-2</v>
      </c>
      <c r="H91" s="27">
        <v>3.6999999999999998E-2</v>
      </c>
      <c r="I91" s="27">
        <v>0.29827052900000001</v>
      </c>
      <c r="J91" s="27">
        <v>0.3250494925828758</v>
      </c>
      <c r="K91" s="9">
        <v>0</v>
      </c>
      <c r="L91" s="45">
        <v>0</v>
      </c>
      <c r="M91" s="45">
        <f>1</f>
        <v>1</v>
      </c>
      <c r="N91" s="35">
        <v>1</v>
      </c>
      <c r="O91" s="36">
        <v>0</v>
      </c>
      <c r="P91" s="36">
        <v>0.87442654348372717</v>
      </c>
      <c r="Q91" s="36">
        <v>1240</v>
      </c>
      <c r="R91" s="36">
        <v>330</v>
      </c>
    </row>
    <row r="92" spans="1:18" x14ac:dyDescent="0.3">
      <c r="A92" s="27">
        <v>0</v>
      </c>
      <c r="B92" s="27">
        <v>0</v>
      </c>
      <c r="C92" s="27">
        <v>0</v>
      </c>
      <c r="D92" s="27">
        <v>0.22267505300000001</v>
      </c>
      <c r="E92" s="27">
        <v>0.25964291600757672</v>
      </c>
      <c r="F92" s="37">
        <v>0</v>
      </c>
      <c r="G92" s="27">
        <v>0</v>
      </c>
      <c r="H92" s="27">
        <v>0</v>
      </c>
      <c r="I92" s="27">
        <v>0.38407385399999999</v>
      </c>
      <c r="J92" s="27">
        <v>0.27338270578067964</v>
      </c>
      <c r="K92" s="9">
        <v>0</v>
      </c>
      <c r="L92" s="45">
        <v>0</v>
      </c>
      <c r="M92" s="45">
        <f>1</f>
        <v>1</v>
      </c>
      <c r="N92" s="35">
        <v>1</v>
      </c>
      <c r="O92" s="36">
        <v>0</v>
      </c>
      <c r="P92" s="36">
        <v>1</v>
      </c>
      <c r="Q92" s="36">
        <v>1240</v>
      </c>
      <c r="R92" s="36">
        <v>330</v>
      </c>
    </row>
    <row r="93" spans="1:18" x14ac:dyDescent="0.3">
      <c r="A93" s="27">
        <v>0</v>
      </c>
      <c r="B93" s="27">
        <v>0</v>
      </c>
      <c r="C93" s="27">
        <v>0</v>
      </c>
      <c r="D93" s="27">
        <v>0.254737767</v>
      </c>
      <c r="E93" s="27">
        <v>0.29692577939365034</v>
      </c>
      <c r="F93" s="37">
        <v>0</v>
      </c>
      <c r="G93" s="27">
        <v>0</v>
      </c>
      <c r="H93" s="27">
        <v>0</v>
      </c>
      <c r="I93" s="27">
        <v>0.433266816</v>
      </c>
      <c r="J93" s="27">
        <v>0.28904426518682297</v>
      </c>
      <c r="K93" s="9">
        <v>0</v>
      </c>
      <c r="L93" s="45">
        <v>0</v>
      </c>
      <c r="M93" s="45">
        <f>1</f>
        <v>1</v>
      </c>
      <c r="N93" s="35">
        <v>1</v>
      </c>
      <c r="O93" s="36">
        <v>0</v>
      </c>
      <c r="P93" s="36">
        <v>1</v>
      </c>
      <c r="Q93" s="36">
        <v>1240</v>
      </c>
      <c r="R93" s="36">
        <v>330</v>
      </c>
    </row>
    <row r="94" spans="1:18" x14ac:dyDescent="0.3">
      <c r="A94" s="27">
        <v>0</v>
      </c>
      <c r="B94" s="27">
        <v>0</v>
      </c>
      <c r="C94" s="27">
        <v>0</v>
      </c>
      <c r="D94" s="27">
        <v>0.27501555100000002</v>
      </c>
      <c r="E94" s="27">
        <v>0.32056183811193256</v>
      </c>
      <c r="F94" s="37">
        <v>0</v>
      </c>
      <c r="G94" s="27">
        <v>0</v>
      </c>
      <c r="H94" s="27">
        <v>0</v>
      </c>
      <c r="I94" s="27">
        <v>0.46246677899999999</v>
      </c>
      <c r="J94" s="27">
        <v>0.31937469637720728</v>
      </c>
      <c r="K94" s="9">
        <v>0</v>
      </c>
      <c r="L94" s="45">
        <v>0</v>
      </c>
      <c r="M94" s="45">
        <f>1</f>
        <v>1</v>
      </c>
      <c r="N94" s="35">
        <v>1</v>
      </c>
      <c r="O94" s="36">
        <v>0</v>
      </c>
      <c r="P94" s="36">
        <v>1</v>
      </c>
      <c r="Q94" s="36">
        <v>1240</v>
      </c>
      <c r="R94" s="36">
        <v>330</v>
      </c>
    </row>
    <row r="95" spans="1:18" x14ac:dyDescent="0.3">
      <c r="A95" s="27">
        <v>0</v>
      </c>
      <c r="B95" s="27">
        <v>0</v>
      </c>
      <c r="C95" s="27">
        <v>0</v>
      </c>
      <c r="D95" s="27">
        <v>0.28818690899999999</v>
      </c>
      <c r="E95" s="27">
        <v>0.33591455076966253</v>
      </c>
      <c r="F95" s="37">
        <v>0</v>
      </c>
      <c r="G95" s="27">
        <v>0</v>
      </c>
      <c r="H95" s="27">
        <v>0</v>
      </c>
      <c r="I95" s="27">
        <v>0.45493865900000002</v>
      </c>
      <c r="J95" s="27">
        <v>0.36329312911648609</v>
      </c>
      <c r="K95" s="9">
        <v>0</v>
      </c>
      <c r="L95" s="45">
        <v>0</v>
      </c>
      <c r="M95" s="45">
        <f>1</f>
        <v>1</v>
      </c>
      <c r="N95" s="35">
        <v>1</v>
      </c>
      <c r="O95" s="36">
        <v>0</v>
      </c>
      <c r="P95" s="36">
        <v>1</v>
      </c>
      <c r="Q95" s="36">
        <v>1240</v>
      </c>
      <c r="R95" s="36">
        <v>330</v>
      </c>
    </row>
    <row r="96" spans="1:18" x14ac:dyDescent="0.3">
      <c r="A96" s="27">
        <v>0</v>
      </c>
      <c r="B96" s="27">
        <v>0</v>
      </c>
      <c r="C96" s="27">
        <v>0</v>
      </c>
      <c r="D96" s="27">
        <v>0.31947301099999997</v>
      </c>
      <c r="E96" s="27">
        <v>0.37238205352726989</v>
      </c>
      <c r="F96" s="37">
        <v>0</v>
      </c>
      <c r="G96" s="27">
        <v>0</v>
      </c>
      <c r="H96" s="27">
        <v>0</v>
      </c>
      <c r="I96" s="27">
        <v>0.42993732000000001</v>
      </c>
      <c r="J96" s="27">
        <v>0.38648346597418021</v>
      </c>
      <c r="K96" s="9">
        <v>0</v>
      </c>
      <c r="L96" s="45">
        <v>0</v>
      </c>
      <c r="M96" s="45">
        <f>1</f>
        <v>1</v>
      </c>
      <c r="N96" s="35">
        <v>0.14925558578000001</v>
      </c>
      <c r="O96" s="36">
        <v>0</v>
      </c>
      <c r="P96" s="36">
        <v>1</v>
      </c>
      <c r="Q96" s="36">
        <v>194.64011808999999</v>
      </c>
      <c r="R96" s="36">
        <v>330</v>
      </c>
    </row>
    <row r="97" spans="1:18" x14ac:dyDescent="0.3">
      <c r="A97" s="27">
        <v>0</v>
      </c>
      <c r="B97" s="27">
        <v>0</v>
      </c>
      <c r="C97" s="27">
        <v>0</v>
      </c>
      <c r="D97" s="27">
        <v>0.353982937</v>
      </c>
      <c r="E97" s="27">
        <v>0.41260728905101229</v>
      </c>
      <c r="F97" s="37">
        <v>0</v>
      </c>
      <c r="G97" s="27">
        <v>0</v>
      </c>
      <c r="H97" s="27">
        <v>0</v>
      </c>
      <c r="I97" s="27">
        <v>0.33522970699999999</v>
      </c>
      <c r="J97" s="27">
        <v>0.39477331616827416</v>
      </c>
      <c r="K97" s="9">
        <v>0</v>
      </c>
      <c r="L97" s="45">
        <v>0</v>
      </c>
      <c r="M97" s="45">
        <f>1</f>
        <v>1</v>
      </c>
      <c r="N97" s="35">
        <v>0</v>
      </c>
      <c r="O97" s="36">
        <v>0</v>
      </c>
      <c r="P97" s="36">
        <v>0.45274181287259513</v>
      </c>
      <c r="Q97" s="36">
        <v>0</v>
      </c>
      <c r="R97" s="36">
        <v>128.65667970999999</v>
      </c>
    </row>
    <row r="98" spans="1:18" x14ac:dyDescent="0.3">
      <c r="A98" s="27">
        <v>0</v>
      </c>
      <c r="B98" s="27">
        <v>0</v>
      </c>
      <c r="C98" s="27">
        <v>0</v>
      </c>
      <c r="D98" s="27">
        <v>0.36701989000000002</v>
      </c>
      <c r="E98" s="27">
        <v>0.42780333742668714</v>
      </c>
      <c r="F98" s="37">
        <v>0</v>
      </c>
      <c r="G98" s="27">
        <v>0</v>
      </c>
      <c r="H98" s="27">
        <v>0</v>
      </c>
      <c r="I98" s="27">
        <v>0.203586559</v>
      </c>
      <c r="J98" s="27">
        <v>0.39723248950081613</v>
      </c>
      <c r="K98" s="9">
        <v>0</v>
      </c>
      <c r="L98" s="45">
        <v>0</v>
      </c>
      <c r="M98" s="45">
        <f>1</f>
        <v>1</v>
      </c>
      <c r="N98" s="35">
        <v>0</v>
      </c>
      <c r="O98" s="36">
        <v>0</v>
      </c>
      <c r="P98" s="36">
        <v>0.58233433207805452</v>
      </c>
      <c r="Q98" s="36">
        <v>0</v>
      </c>
      <c r="R98" s="36">
        <v>330</v>
      </c>
    </row>
    <row r="99" spans="1:18" x14ac:dyDescent="0.3">
      <c r="A99" s="27">
        <v>0</v>
      </c>
      <c r="B99" s="27">
        <v>0</v>
      </c>
      <c r="C99" s="27">
        <v>0</v>
      </c>
      <c r="D99" s="27">
        <v>0.342508282</v>
      </c>
      <c r="E99" s="27">
        <v>0.39923227631036806</v>
      </c>
      <c r="F99" s="37">
        <v>0</v>
      </c>
      <c r="G99" s="27">
        <v>0</v>
      </c>
      <c r="H99" s="27">
        <v>0</v>
      </c>
      <c r="I99" s="27">
        <v>0.12626482999999999</v>
      </c>
      <c r="J99" s="27">
        <v>0.40193977309541473</v>
      </c>
      <c r="K99" s="9">
        <v>0</v>
      </c>
      <c r="L99" s="45">
        <v>0</v>
      </c>
      <c r="M99" s="45">
        <f>1</f>
        <v>1</v>
      </c>
      <c r="N99" s="35">
        <v>0</v>
      </c>
      <c r="O99" s="36">
        <v>0</v>
      </c>
      <c r="P99" s="36">
        <v>0.58233433207805452</v>
      </c>
      <c r="Q99" s="36">
        <v>0</v>
      </c>
      <c r="R99" s="36">
        <v>330</v>
      </c>
    </row>
    <row r="100" spans="1:18" x14ac:dyDescent="0.3">
      <c r="A100" s="27">
        <v>0</v>
      </c>
      <c r="B100" s="27">
        <v>0</v>
      </c>
      <c r="C100" s="27">
        <v>0</v>
      </c>
      <c r="D100" s="27">
        <v>0.33470191500000002</v>
      </c>
      <c r="E100" s="27">
        <v>0.39013306957315952</v>
      </c>
      <c r="F100" s="37">
        <v>0</v>
      </c>
      <c r="G100" s="27">
        <v>0</v>
      </c>
      <c r="H100" s="27">
        <v>0</v>
      </c>
      <c r="I100" s="27">
        <v>0.10752729</v>
      </c>
      <c r="J100" s="27">
        <v>0.40435105513429287</v>
      </c>
      <c r="K100" s="9">
        <v>0</v>
      </c>
      <c r="L100" s="45">
        <v>0</v>
      </c>
      <c r="M100" s="45">
        <f>1</f>
        <v>1</v>
      </c>
      <c r="N100" s="35">
        <v>0</v>
      </c>
      <c r="O100" s="36">
        <v>0</v>
      </c>
      <c r="P100" s="36">
        <v>0.43258373855327792</v>
      </c>
      <c r="Q100" s="36">
        <v>0</v>
      </c>
      <c r="R100" s="36">
        <v>97.336652130000004</v>
      </c>
    </row>
    <row r="101" spans="1:18" x14ac:dyDescent="0.3">
      <c r="A101" s="27">
        <v>0</v>
      </c>
      <c r="B101" s="27">
        <v>0</v>
      </c>
      <c r="C101" s="27">
        <v>0</v>
      </c>
      <c r="D101" s="27">
        <v>0.35738882900000002</v>
      </c>
      <c r="E101" s="27">
        <v>0.41657724273530677</v>
      </c>
      <c r="F101" s="37">
        <v>0</v>
      </c>
      <c r="G101" s="27">
        <v>0</v>
      </c>
      <c r="H101" s="27">
        <v>0</v>
      </c>
      <c r="I101" s="27">
        <v>8.8586193999999993E-2</v>
      </c>
      <c r="J101" s="27">
        <v>0.39393186500311622</v>
      </c>
      <c r="K101" s="9">
        <v>0</v>
      </c>
      <c r="L101" s="45">
        <v>0</v>
      </c>
      <c r="M101" s="45">
        <f>1</f>
        <v>1</v>
      </c>
      <c r="N101" s="35">
        <v>0</v>
      </c>
      <c r="O101" s="36">
        <v>0</v>
      </c>
      <c r="P101" s="36">
        <v>0.36993432874453297</v>
      </c>
      <c r="Q101" s="36">
        <v>0</v>
      </c>
      <c r="R101" s="36">
        <v>0</v>
      </c>
    </row>
    <row r="102" spans="1:18" x14ac:dyDescent="0.3">
      <c r="A102" s="27">
        <v>0</v>
      </c>
      <c r="B102" s="27">
        <v>0</v>
      </c>
      <c r="C102" s="27">
        <v>0</v>
      </c>
      <c r="D102" s="27">
        <v>0.41485719700000001</v>
      </c>
      <c r="E102" s="27">
        <v>0.48356314812279144</v>
      </c>
      <c r="F102" s="37">
        <v>0</v>
      </c>
      <c r="G102" s="27">
        <v>0</v>
      </c>
      <c r="H102" s="27">
        <v>0</v>
      </c>
      <c r="I102" s="27">
        <v>7.3950930999999998E-2</v>
      </c>
      <c r="J102" s="27">
        <v>0.37934732127971504</v>
      </c>
      <c r="K102" s="9">
        <v>0</v>
      </c>
      <c r="L102" s="45">
        <v>0</v>
      </c>
      <c r="M102" s="45">
        <f>1</f>
        <v>1</v>
      </c>
      <c r="N102" s="35">
        <v>0</v>
      </c>
      <c r="O102" s="36">
        <v>0</v>
      </c>
      <c r="P102" s="36">
        <v>0.58203833535315441</v>
      </c>
      <c r="Q102" s="36">
        <v>0</v>
      </c>
      <c r="R102" s="36">
        <v>330</v>
      </c>
    </row>
    <row r="103" spans="1:18" x14ac:dyDescent="0.3">
      <c r="A103" s="27">
        <v>0</v>
      </c>
      <c r="B103" s="27">
        <v>0</v>
      </c>
      <c r="C103" s="27">
        <v>0</v>
      </c>
      <c r="D103" s="27">
        <v>0.47076277500000002</v>
      </c>
      <c r="E103" s="27">
        <v>0.54872744439340493</v>
      </c>
      <c r="F103" s="37">
        <v>0</v>
      </c>
      <c r="G103" s="27">
        <v>0</v>
      </c>
      <c r="H103" s="27">
        <v>0</v>
      </c>
      <c r="I103" s="27">
        <v>6.5380405000000003E-2</v>
      </c>
      <c r="J103" s="27">
        <v>0.37455350769253604</v>
      </c>
      <c r="K103" s="9">
        <v>0</v>
      </c>
      <c r="L103" s="45">
        <v>0</v>
      </c>
      <c r="M103" s="45">
        <f>1</f>
        <v>1</v>
      </c>
      <c r="N103" s="35">
        <v>0</v>
      </c>
      <c r="O103" s="36">
        <v>0</v>
      </c>
      <c r="P103" s="36">
        <v>0.58144634189691791</v>
      </c>
      <c r="Q103" s="36">
        <v>0</v>
      </c>
      <c r="R103" s="36">
        <v>330</v>
      </c>
    </row>
    <row r="104" spans="1:18" x14ac:dyDescent="0.3">
      <c r="A104" s="27">
        <v>0</v>
      </c>
      <c r="B104" s="27">
        <v>0</v>
      </c>
      <c r="C104" s="27">
        <v>0</v>
      </c>
      <c r="D104" s="27">
        <v>0.49756946400000002</v>
      </c>
      <c r="E104" s="27">
        <v>0.57997368289987727</v>
      </c>
      <c r="F104" s="37">
        <v>0</v>
      </c>
      <c r="G104" s="27">
        <v>0</v>
      </c>
      <c r="H104" s="27">
        <v>0</v>
      </c>
      <c r="I104" s="27">
        <v>6.5133287999999998E-2</v>
      </c>
      <c r="J104" s="27">
        <v>0.37719064248879658</v>
      </c>
      <c r="K104" s="9">
        <v>0</v>
      </c>
      <c r="L104" s="45">
        <v>0</v>
      </c>
      <c r="M104" s="45">
        <f>1</f>
        <v>1</v>
      </c>
      <c r="N104" s="35">
        <v>0</v>
      </c>
      <c r="O104" s="36">
        <v>0</v>
      </c>
      <c r="P104" s="36">
        <v>0.36875034183849625</v>
      </c>
      <c r="Q104" s="36">
        <v>0</v>
      </c>
      <c r="R104" s="36">
        <v>0</v>
      </c>
    </row>
    <row r="105" spans="1:18" x14ac:dyDescent="0.3">
      <c r="A105" s="27">
        <v>0</v>
      </c>
      <c r="B105" s="27">
        <v>0</v>
      </c>
      <c r="C105" s="27">
        <v>0</v>
      </c>
      <c r="D105" s="27">
        <v>0.51359013099999995</v>
      </c>
      <c r="E105" s="27">
        <v>0.59864758858493861</v>
      </c>
      <c r="F105" s="37">
        <v>0</v>
      </c>
      <c r="G105" s="27">
        <v>0</v>
      </c>
      <c r="H105" s="27">
        <v>0</v>
      </c>
      <c r="I105" s="27">
        <v>6.3689152999999998E-2</v>
      </c>
      <c r="J105" s="27">
        <v>0.36183307578453777</v>
      </c>
      <c r="K105" s="9">
        <v>0</v>
      </c>
      <c r="L105" s="45">
        <v>0</v>
      </c>
      <c r="M105" s="45">
        <f>1</f>
        <v>1</v>
      </c>
      <c r="N105" s="35">
        <v>0</v>
      </c>
      <c r="O105" s="36">
        <v>0</v>
      </c>
      <c r="P105" s="36">
        <v>0.3684543451135962</v>
      </c>
      <c r="Q105" s="36">
        <v>0</v>
      </c>
      <c r="R105" s="36">
        <v>0</v>
      </c>
    </row>
    <row r="106" spans="1:18" x14ac:dyDescent="0.3">
      <c r="A106" s="27">
        <v>0</v>
      </c>
      <c r="B106" s="27">
        <v>0</v>
      </c>
      <c r="C106" s="27">
        <v>0</v>
      </c>
      <c r="D106" s="27">
        <v>0.54317550699999995</v>
      </c>
      <c r="E106" s="27">
        <v>0.63896250524552145</v>
      </c>
      <c r="F106" s="37">
        <v>0</v>
      </c>
      <c r="G106" s="27">
        <v>0</v>
      </c>
      <c r="H106" s="27">
        <v>0</v>
      </c>
      <c r="I106" s="27">
        <v>5.3750457000000001E-2</v>
      </c>
      <c r="J106" s="27">
        <v>0.33695295803650388</v>
      </c>
      <c r="K106" s="9">
        <v>0</v>
      </c>
      <c r="L106" s="45">
        <v>0</v>
      </c>
      <c r="M106" s="45">
        <f>1</f>
        <v>1</v>
      </c>
      <c r="N106" s="35">
        <v>0</v>
      </c>
      <c r="O106" s="36">
        <v>0</v>
      </c>
      <c r="P106" s="36">
        <v>0.3684543451135962</v>
      </c>
      <c r="Q106" s="36">
        <v>0</v>
      </c>
      <c r="R106" s="36">
        <v>0</v>
      </c>
    </row>
    <row r="107" spans="1:18" x14ac:dyDescent="0.3">
      <c r="A107" s="27">
        <v>6.3E-2</v>
      </c>
      <c r="B107" s="27">
        <v>1.9E-2</v>
      </c>
      <c r="C107" s="27">
        <v>7.1999999999999897E-2</v>
      </c>
      <c r="D107" s="27">
        <v>0.57570690099999999</v>
      </c>
      <c r="E107" s="27">
        <v>0.82807058061079741</v>
      </c>
      <c r="F107" s="37">
        <v>0</v>
      </c>
      <c r="G107" s="27">
        <v>4.7999999999999994E-2</v>
      </c>
      <c r="H107" s="27">
        <v>3.1000000000000003E-2</v>
      </c>
      <c r="I107" s="27">
        <v>4.8695901E-2</v>
      </c>
      <c r="J107" s="27">
        <v>0.38874320193411488</v>
      </c>
      <c r="K107" s="9">
        <v>0</v>
      </c>
      <c r="L107" s="45">
        <v>0</v>
      </c>
      <c r="M107" s="45">
        <f>1</f>
        <v>1</v>
      </c>
      <c r="N107" s="35">
        <v>0</v>
      </c>
      <c r="O107" s="36">
        <v>0</v>
      </c>
      <c r="P107" s="36">
        <v>0.15605434178007468</v>
      </c>
      <c r="Q107" s="36">
        <v>0</v>
      </c>
      <c r="R107" s="36">
        <v>0</v>
      </c>
    </row>
    <row r="108" spans="1:18" x14ac:dyDescent="0.3">
      <c r="A108" s="27">
        <v>0.187</v>
      </c>
      <c r="B108" s="27">
        <v>0.05</v>
      </c>
      <c r="C108" s="27">
        <v>0.19600000000000001</v>
      </c>
      <c r="D108" s="27">
        <v>0.61551767300000004</v>
      </c>
      <c r="E108" s="27">
        <v>1</v>
      </c>
      <c r="F108" s="37">
        <v>0.12310887211795472</v>
      </c>
      <c r="G108" s="27">
        <v>0.19499999999999998</v>
      </c>
      <c r="H108" s="27">
        <v>0.125</v>
      </c>
      <c r="I108" s="27">
        <v>3.6469240999999999E-2</v>
      </c>
      <c r="J108" s="27">
        <v>0.59005906231696093</v>
      </c>
      <c r="K108" s="9">
        <v>0</v>
      </c>
      <c r="L108" s="45">
        <v>0</v>
      </c>
      <c r="M108" s="45">
        <f>1</f>
        <v>1</v>
      </c>
      <c r="N108" s="35">
        <v>0</v>
      </c>
      <c r="O108" s="36">
        <v>0</v>
      </c>
      <c r="P108" s="36">
        <v>0.15605434178007468</v>
      </c>
      <c r="Q108" s="36">
        <v>0</v>
      </c>
      <c r="R108" s="36">
        <v>0</v>
      </c>
    </row>
    <row r="109" spans="1:18" x14ac:dyDescent="0.3">
      <c r="A109" s="27">
        <v>0.27200000000000002</v>
      </c>
      <c r="B109" s="27">
        <v>9.3000000000000013E-2</v>
      </c>
      <c r="C109" s="27">
        <v>0.313</v>
      </c>
      <c r="D109" s="27">
        <v>0.64408793200000003</v>
      </c>
      <c r="E109" s="27">
        <v>1</v>
      </c>
      <c r="F109" s="37">
        <v>0.32492136060707877</v>
      </c>
      <c r="G109" s="27">
        <v>0.34699999999999998</v>
      </c>
      <c r="H109" s="27">
        <v>0.22799999999999998</v>
      </c>
      <c r="I109" s="27">
        <v>2.6071022999999999E-2</v>
      </c>
      <c r="J109" s="27">
        <v>0.80423682013236386</v>
      </c>
      <c r="K109" s="9">
        <v>0</v>
      </c>
      <c r="L109" s="45">
        <v>0</v>
      </c>
      <c r="M109" s="45">
        <f>1</f>
        <v>1</v>
      </c>
      <c r="N109" s="35">
        <v>0</v>
      </c>
      <c r="O109" s="36">
        <v>0</v>
      </c>
      <c r="P109" s="36">
        <v>0.15635033850497476</v>
      </c>
      <c r="Q109" s="36">
        <v>0</v>
      </c>
      <c r="R109" s="36">
        <v>0</v>
      </c>
    </row>
    <row r="110" spans="1:18" x14ac:dyDescent="0.3">
      <c r="A110" s="27">
        <v>0.32200000000000001</v>
      </c>
      <c r="B110" s="27">
        <v>0.14099999999999902</v>
      </c>
      <c r="C110" s="27">
        <v>0.40600000000000003</v>
      </c>
      <c r="D110" s="27">
        <v>0.67036331400000004</v>
      </c>
      <c r="E110" s="27">
        <v>1</v>
      </c>
      <c r="F110" s="37">
        <v>0.47353348652679855</v>
      </c>
      <c r="G110" s="27">
        <v>0.45299999999999996</v>
      </c>
      <c r="H110" s="27">
        <v>0.29500000000000004</v>
      </c>
      <c r="I110" s="27">
        <v>1.8317462999999999E-2</v>
      </c>
      <c r="J110" s="27">
        <v>0.94993070514646094</v>
      </c>
      <c r="K110" s="9">
        <v>0</v>
      </c>
      <c r="L110" s="45">
        <v>0</v>
      </c>
      <c r="M110" s="45">
        <f>1</f>
        <v>1</v>
      </c>
      <c r="N110" s="35">
        <v>0</v>
      </c>
      <c r="O110" s="36">
        <v>0</v>
      </c>
      <c r="P110" s="36">
        <v>0.15664633522987487</v>
      </c>
      <c r="Q110" s="36">
        <v>0</v>
      </c>
      <c r="R110" s="36">
        <v>0</v>
      </c>
    </row>
    <row r="111" spans="1:18" x14ac:dyDescent="0.3">
      <c r="A111" s="27">
        <v>0.34499999999999997</v>
      </c>
      <c r="B111" s="27">
        <v>0.17800000000000002</v>
      </c>
      <c r="C111" s="27">
        <v>0.44900000000000001</v>
      </c>
      <c r="D111" s="27">
        <v>0.68859970000000004</v>
      </c>
      <c r="E111" s="27">
        <v>1</v>
      </c>
      <c r="F111" s="37">
        <v>0.54744899019938698</v>
      </c>
      <c r="G111" s="27">
        <v>0.498</v>
      </c>
      <c r="H111" s="27">
        <v>0.318</v>
      </c>
      <c r="I111" s="27">
        <v>1.1744621E-2</v>
      </c>
      <c r="J111" s="27">
        <v>1</v>
      </c>
      <c r="K111" s="9">
        <v>1.2947126319706735E-2</v>
      </c>
      <c r="L111" s="45">
        <v>0</v>
      </c>
      <c r="M111" s="45">
        <f>1</f>
        <v>1</v>
      </c>
      <c r="N111" s="35">
        <v>0</v>
      </c>
      <c r="O111" s="36">
        <v>0</v>
      </c>
      <c r="P111" s="36">
        <v>0.15664633522987487</v>
      </c>
      <c r="Q111" s="36">
        <v>0</v>
      </c>
      <c r="R111" s="36">
        <v>0</v>
      </c>
    </row>
    <row r="112" spans="1:18" x14ac:dyDescent="0.3">
      <c r="A112" s="27">
        <v>0.35</v>
      </c>
      <c r="B112" s="27">
        <v>0.184</v>
      </c>
      <c r="C112" s="27">
        <v>0.43200000000000005</v>
      </c>
      <c r="D112" s="27">
        <v>0.69667436500000002</v>
      </c>
      <c r="E112" s="27">
        <v>1</v>
      </c>
      <c r="F112" s="37">
        <v>0.54326682453228248</v>
      </c>
      <c r="G112" s="27">
        <v>0.47599999999999992</v>
      </c>
      <c r="H112" s="27">
        <v>0.29199999999999998</v>
      </c>
      <c r="I112" s="27">
        <v>1.0696641999999999E-2</v>
      </c>
      <c r="J112" s="27">
        <v>0.96232817523341752</v>
      </c>
      <c r="K112" s="9">
        <v>0</v>
      </c>
      <c r="L112" s="45">
        <v>0</v>
      </c>
      <c r="M112" s="45">
        <f>1</f>
        <v>1</v>
      </c>
      <c r="N112" s="35">
        <v>0</v>
      </c>
      <c r="O112" s="36">
        <v>0</v>
      </c>
      <c r="P112" s="36">
        <v>0.15635033850497476</v>
      </c>
      <c r="Q112" s="36">
        <v>0</v>
      </c>
      <c r="R112" s="36">
        <v>0</v>
      </c>
    </row>
    <row r="113" spans="1:18" x14ac:dyDescent="0.3">
      <c r="A113" s="27">
        <v>0.32100000000000001</v>
      </c>
      <c r="B113" s="27">
        <v>0.14899999999999902</v>
      </c>
      <c r="C113" s="27">
        <v>0.33500000000000002</v>
      </c>
      <c r="D113" s="27">
        <v>0.68744846599999998</v>
      </c>
      <c r="E113" s="27">
        <v>1</v>
      </c>
      <c r="F113" s="37">
        <v>0.42522351505304395</v>
      </c>
      <c r="G113" s="27">
        <v>0.38700000000000001</v>
      </c>
      <c r="H113" s="27">
        <v>0.22500000000000001</v>
      </c>
      <c r="I113" s="27">
        <v>9.5392069999999992E-3</v>
      </c>
      <c r="J113" s="27">
        <v>0.81669089114527371</v>
      </c>
      <c r="K113" s="9">
        <v>0</v>
      </c>
      <c r="L113" s="45">
        <v>0</v>
      </c>
      <c r="M113" s="45">
        <f>1</f>
        <v>1</v>
      </c>
      <c r="N113" s="35">
        <v>0</v>
      </c>
      <c r="O113" s="36">
        <v>0</v>
      </c>
      <c r="P113" s="36">
        <v>0.15605434178007468</v>
      </c>
      <c r="Q113" s="36">
        <v>0</v>
      </c>
      <c r="R113" s="36">
        <v>0</v>
      </c>
    </row>
    <row r="114" spans="1:18" x14ac:dyDescent="0.3">
      <c r="A114" s="27">
        <v>0.22800000000000001</v>
      </c>
      <c r="B114" s="27">
        <v>8.4000000000000005E-2</v>
      </c>
      <c r="C114" s="27">
        <v>0.2</v>
      </c>
      <c r="D114" s="27">
        <v>0.67320856200000001</v>
      </c>
      <c r="E114" s="27">
        <v>1</v>
      </c>
      <c r="F114" s="37">
        <v>0.21334228711355374</v>
      </c>
      <c r="G114" s="27">
        <v>0.25700000000000001</v>
      </c>
      <c r="H114" s="27">
        <v>0.13400000000000001</v>
      </c>
      <c r="I114" s="27">
        <v>1.4732021E-2</v>
      </c>
      <c r="J114" s="27">
        <v>0.61136237513191871</v>
      </c>
      <c r="K114" s="9">
        <v>0</v>
      </c>
      <c r="L114" s="45">
        <v>0</v>
      </c>
      <c r="M114" s="45">
        <f>1</f>
        <v>1</v>
      </c>
      <c r="N114" s="35">
        <v>0</v>
      </c>
      <c r="O114" s="36">
        <v>0</v>
      </c>
      <c r="P114" s="36">
        <v>0.15605434178007468</v>
      </c>
      <c r="Q114" s="36">
        <v>0</v>
      </c>
      <c r="R114" s="36">
        <v>0</v>
      </c>
    </row>
    <row r="115" spans="1:18" x14ac:dyDescent="0.3">
      <c r="A115" s="27">
        <v>5.8000000000000003E-2</v>
      </c>
      <c r="B115" s="27">
        <v>1.09999999999999E-2</v>
      </c>
      <c r="C115" s="27">
        <v>5.5999999999999994E-2</v>
      </c>
      <c r="D115" s="27">
        <v>0.61049664199999998</v>
      </c>
      <c r="E115" s="27">
        <v>0.8452555805706442</v>
      </c>
      <c r="F115" s="37">
        <v>0</v>
      </c>
      <c r="G115" s="27">
        <v>0.11</v>
      </c>
      <c r="H115" s="27">
        <v>4.7000000000000007E-2</v>
      </c>
      <c r="I115" s="27">
        <v>2.9396372E-2</v>
      </c>
      <c r="J115" s="27">
        <v>0.39376936384745509</v>
      </c>
      <c r="K115" s="9">
        <v>0</v>
      </c>
      <c r="L115" s="45">
        <v>0</v>
      </c>
      <c r="M115" s="45">
        <f>1</f>
        <v>1</v>
      </c>
      <c r="N115" s="35">
        <v>0</v>
      </c>
      <c r="O115" s="36">
        <v>0</v>
      </c>
      <c r="P115" s="36">
        <v>0.3684543451135962</v>
      </c>
      <c r="Q115" s="36">
        <v>0</v>
      </c>
      <c r="R115" s="36">
        <v>0</v>
      </c>
    </row>
    <row r="116" spans="1:18" x14ac:dyDescent="0.3">
      <c r="A116" s="27">
        <v>0</v>
      </c>
      <c r="B116" s="27">
        <v>0</v>
      </c>
      <c r="C116" s="27">
        <v>0</v>
      </c>
      <c r="D116" s="27">
        <v>0.53394372199999995</v>
      </c>
      <c r="E116" s="27">
        <v>0.62253000088141097</v>
      </c>
      <c r="F116" s="37">
        <v>0</v>
      </c>
      <c r="G116" s="27">
        <v>0</v>
      </c>
      <c r="H116" s="27">
        <v>0</v>
      </c>
      <c r="I116" s="27">
        <v>4.3483551000000002E-2</v>
      </c>
      <c r="J116" s="27">
        <v>0.24944872624187564</v>
      </c>
      <c r="K116" s="9">
        <v>0</v>
      </c>
      <c r="L116" s="45">
        <v>0</v>
      </c>
      <c r="M116" s="45">
        <f>1</f>
        <v>1</v>
      </c>
      <c r="N116" s="35">
        <v>0</v>
      </c>
      <c r="O116" s="36">
        <v>0</v>
      </c>
      <c r="P116" s="36">
        <v>0.36875034183849625</v>
      </c>
      <c r="Q116" s="36">
        <v>0</v>
      </c>
      <c r="R116" s="36">
        <v>0</v>
      </c>
    </row>
    <row r="117" spans="1:18" x14ac:dyDescent="0.3">
      <c r="A117" s="27">
        <v>0</v>
      </c>
      <c r="B117" s="27">
        <v>0</v>
      </c>
      <c r="C117" s="27">
        <v>0</v>
      </c>
      <c r="D117" s="27">
        <v>0.48341007800000002</v>
      </c>
      <c r="E117" s="27">
        <v>0.56346931147000001</v>
      </c>
      <c r="F117" s="37">
        <v>0</v>
      </c>
      <c r="G117" s="27">
        <v>0</v>
      </c>
      <c r="H117" s="27">
        <v>0</v>
      </c>
      <c r="I117" s="27">
        <v>4.9958465000000001E-2</v>
      </c>
      <c r="J117" s="27">
        <v>0.22885969266953554</v>
      </c>
      <c r="K117" s="9">
        <v>0</v>
      </c>
      <c r="L117" s="45">
        <v>0</v>
      </c>
      <c r="M117" s="45">
        <f>1</f>
        <v>1</v>
      </c>
      <c r="N117" s="35">
        <v>0</v>
      </c>
      <c r="O117" s="36">
        <v>0</v>
      </c>
      <c r="P117" s="36">
        <v>0.58144634189691791</v>
      </c>
      <c r="Q117" s="36">
        <v>0</v>
      </c>
      <c r="R117" s="36">
        <v>330</v>
      </c>
    </row>
    <row r="118" spans="1:18" x14ac:dyDescent="0.3">
      <c r="A118" s="27">
        <v>0</v>
      </c>
      <c r="B118" s="27">
        <v>0</v>
      </c>
      <c r="C118" s="27">
        <v>0</v>
      </c>
      <c r="D118" s="27">
        <v>0.46995061100000002</v>
      </c>
      <c r="E118" s="27">
        <v>0.54778077507328216</v>
      </c>
      <c r="F118" s="37">
        <v>0</v>
      </c>
      <c r="G118" s="27">
        <v>0</v>
      </c>
      <c r="H118" s="27">
        <v>0</v>
      </c>
      <c r="I118" s="27">
        <v>4.8439449000000002E-2</v>
      </c>
      <c r="J118" s="27">
        <v>0.21291006098916754</v>
      </c>
      <c r="K118" s="9">
        <v>0</v>
      </c>
      <c r="L118" s="45">
        <v>0</v>
      </c>
      <c r="M118" s="45">
        <f>1</f>
        <v>1</v>
      </c>
      <c r="N118" s="35">
        <v>0</v>
      </c>
      <c r="O118" s="36">
        <v>0</v>
      </c>
      <c r="P118" s="36">
        <v>0.58174233862181801</v>
      </c>
      <c r="Q118" s="36">
        <v>0</v>
      </c>
      <c r="R118" s="36">
        <v>330</v>
      </c>
    </row>
    <row r="119" spans="1:18" x14ac:dyDescent="0.3">
      <c r="A119" s="27">
        <v>0</v>
      </c>
      <c r="B119" s="27">
        <v>0</v>
      </c>
      <c r="C119" s="27">
        <v>0</v>
      </c>
      <c r="D119" s="27">
        <v>0.47026385700000001</v>
      </c>
      <c r="E119" s="27">
        <v>0.54814589883874232</v>
      </c>
      <c r="F119" s="37">
        <v>0</v>
      </c>
      <c r="G119" s="27">
        <v>0</v>
      </c>
      <c r="H119" s="27">
        <v>0</v>
      </c>
      <c r="I119" s="27">
        <v>4.7261485999999998E-2</v>
      </c>
      <c r="J119" s="27">
        <v>0.19269104318801009</v>
      </c>
      <c r="K119" s="9">
        <v>0</v>
      </c>
      <c r="L119" s="45">
        <v>0</v>
      </c>
      <c r="M119" s="45">
        <f>1</f>
        <v>1</v>
      </c>
      <c r="N119" s="35">
        <v>0</v>
      </c>
      <c r="O119" s="36">
        <v>0</v>
      </c>
      <c r="P119" s="36">
        <v>0.36963833201963286</v>
      </c>
      <c r="Q119" s="36">
        <v>0</v>
      </c>
      <c r="R119" s="36">
        <v>0</v>
      </c>
    </row>
    <row r="120" spans="1:18" x14ac:dyDescent="0.3">
      <c r="A120" s="27">
        <v>0</v>
      </c>
      <c r="B120" s="27">
        <v>0</v>
      </c>
      <c r="C120" s="27">
        <v>0</v>
      </c>
      <c r="D120" s="27">
        <v>0.469347454</v>
      </c>
      <c r="E120" s="27">
        <v>0.54707772713331282</v>
      </c>
      <c r="F120" s="37">
        <v>0</v>
      </c>
      <c r="G120" s="27">
        <v>0</v>
      </c>
      <c r="H120" s="27">
        <v>0</v>
      </c>
      <c r="I120" s="27">
        <v>4.5927082000000001E-2</v>
      </c>
      <c r="J120" s="27">
        <v>0.16659630499599345</v>
      </c>
      <c r="K120" s="9">
        <v>0</v>
      </c>
      <c r="L120" s="45">
        <v>0</v>
      </c>
      <c r="M120" s="45">
        <f>1</f>
        <v>1</v>
      </c>
      <c r="N120" s="35">
        <v>0</v>
      </c>
      <c r="O120" s="36">
        <v>0</v>
      </c>
      <c r="P120" s="36">
        <v>0.58233433207805452</v>
      </c>
      <c r="Q120" s="36">
        <v>0</v>
      </c>
      <c r="R120" s="36">
        <v>330</v>
      </c>
    </row>
    <row r="121" spans="1:18" x14ac:dyDescent="0.3">
      <c r="A121" s="27">
        <v>0</v>
      </c>
      <c r="B121" s="27">
        <v>0</v>
      </c>
      <c r="C121" s="27">
        <v>0</v>
      </c>
      <c r="D121" s="27">
        <v>0.47874165400000002</v>
      </c>
      <c r="E121" s="27">
        <v>0.55802773344619627</v>
      </c>
      <c r="F121" s="37">
        <v>0</v>
      </c>
      <c r="G121" s="27">
        <v>0</v>
      </c>
      <c r="H121" s="27">
        <v>0</v>
      </c>
      <c r="I121" s="27">
        <v>4.8277766999999999E-2</v>
      </c>
      <c r="J121" s="27">
        <v>0.14411261575129841</v>
      </c>
      <c r="K121" s="9">
        <v>0</v>
      </c>
      <c r="L121" s="45">
        <v>0</v>
      </c>
      <c r="M121" s="45">
        <f>1</f>
        <v>1</v>
      </c>
      <c r="N121" s="35">
        <v>0</v>
      </c>
      <c r="O121" s="36">
        <v>0</v>
      </c>
      <c r="P121" s="36">
        <v>0.36993432874453297</v>
      </c>
      <c r="Q121" s="36">
        <v>0</v>
      </c>
      <c r="R121" s="36">
        <v>0</v>
      </c>
    </row>
    <row r="122" spans="1:18" x14ac:dyDescent="0.3">
      <c r="A122" s="27">
        <v>0</v>
      </c>
      <c r="B122" s="27">
        <v>0</v>
      </c>
      <c r="C122" s="27">
        <v>0</v>
      </c>
      <c r="D122" s="27">
        <v>0.49302268599999999</v>
      </c>
      <c r="E122" s="27">
        <v>0.57467389709552152</v>
      </c>
      <c r="F122" s="37">
        <v>0</v>
      </c>
      <c r="G122" s="27">
        <v>0</v>
      </c>
      <c r="H122" s="27">
        <v>0</v>
      </c>
      <c r="I122" s="27">
        <v>5.5345301E-2</v>
      </c>
      <c r="J122" s="27">
        <v>0.12256720288084286</v>
      </c>
      <c r="K122" s="9">
        <v>0</v>
      </c>
      <c r="L122" s="45">
        <v>0</v>
      </c>
      <c r="M122" s="45">
        <f>1</f>
        <v>1</v>
      </c>
      <c r="N122" s="35">
        <v>0</v>
      </c>
      <c r="O122" s="36">
        <v>0</v>
      </c>
      <c r="P122" s="36">
        <v>0.15758813974523786</v>
      </c>
      <c r="Q122" s="36">
        <v>0</v>
      </c>
      <c r="R122" s="36">
        <v>0</v>
      </c>
    </row>
    <row r="123" spans="1:18" x14ac:dyDescent="0.3">
      <c r="A123" s="27">
        <v>0</v>
      </c>
      <c r="B123" s="27">
        <v>0</v>
      </c>
      <c r="C123" s="27">
        <v>0</v>
      </c>
      <c r="D123" s="27">
        <v>0.493862256</v>
      </c>
      <c r="E123" s="27">
        <v>0.57565251121914107</v>
      </c>
      <c r="F123" s="37">
        <v>0</v>
      </c>
      <c r="G123" s="27">
        <v>0</v>
      </c>
      <c r="H123" s="27">
        <v>0</v>
      </c>
      <c r="I123" s="27">
        <v>6.0449507E-2</v>
      </c>
      <c r="J123" s="27">
        <v>0.10278822083662265</v>
      </c>
      <c r="K123" s="9">
        <v>0</v>
      </c>
      <c r="L123" s="45">
        <v>0</v>
      </c>
      <c r="M123" s="45">
        <f>1</f>
        <v>1</v>
      </c>
      <c r="N123" s="35">
        <v>0</v>
      </c>
      <c r="O123" s="36">
        <v>0</v>
      </c>
      <c r="P123" s="36">
        <v>0.18151701415551796</v>
      </c>
      <c r="Q123" s="36">
        <v>0</v>
      </c>
      <c r="R123" s="36">
        <v>0</v>
      </c>
    </row>
    <row r="124" spans="1:18" x14ac:dyDescent="0.3">
      <c r="A124" s="27">
        <v>0</v>
      </c>
      <c r="B124" s="27">
        <v>0</v>
      </c>
      <c r="C124" s="27">
        <v>0</v>
      </c>
      <c r="D124" s="27">
        <v>0.48728855799999998</v>
      </c>
      <c r="E124" s="27">
        <v>0.56799012010558281</v>
      </c>
      <c r="F124" s="37">
        <v>0</v>
      </c>
      <c r="G124" s="27">
        <v>0</v>
      </c>
      <c r="H124" s="27">
        <v>0</v>
      </c>
      <c r="I124" s="27">
        <v>7.5065536000000002E-2</v>
      </c>
      <c r="J124" s="27">
        <v>8.9796371582430631E-2</v>
      </c>
      <c r="K124" s="9">
        <v>0</v>
      </c>
      <c r="L124" s="45">
        <v>0</v>
      </c>
      <c r="M124" s="45">
        <f>1</f>
        <v>1</v>
      </c>
      <c r="N124" s="35">
        <v>0</v>
      </c>
      <c r="O124" s="36">
        <v>0</v>
      </c>
      <c r="P124" s="36">
        <v>0.36998814307875938</v>
      </c>
      <c r="Q124" s="36">
        <v>0</v>
      </c>
      <c r="R124" s="36">
        <v>0</v>
      </c>
    </row>
    <row r="125" spans="1:18" x14ac:dyDescent="0.3">
      <c r="A125" s="27">
        <v>0</v>
      </c>
      <c r="B125" s="27">
        <v>0</v>
      </c>
      <c r="C125" s="27">
        <v>0</v>
      </c>
      <c r="D125" s="27">
        <v>0.486031353</v>
      </c>
      <c r="E125" s="27">
        <v>0.56652470498917173</v>
      </c>
      <c r="F125" s="37">
        <v>0</v>
      </c>
      <c r="G125" s="27">
        <v>0</v>
      </c>
      <c r="H125" s="27">
        <v>0</v>
      </c>
      <c r="I125" s="27">
        <v>9.2767712000000002E-2</v>
      </c>
      <c r="J125" s="27">
        <v>8.1837162946728007E-2</v>
      </c>
      <c r="K125" s="9">
        <v>0</v>
      </c>
      <c r="L125" s="45">
        <v>0</v>
      </c>
      <c r="M125" s="45">
        <f>1</f>
        <v>1</v>
      </c>
      <c r="N125" s="35">
        <v>0</v>
      </c>
      <c r="O125" s="36">
        <v>0</v>
      </c>
      <c r="P125" s="36">
        <v>0.15758813974523786</v>
      </c>
      <c r="Q125" s="36">
        <v>0</v>
      </c>
      <c r="R125" s="36">
        <v>0</v>
      </c>
    </row>
    <row r="126" spans="1:18" x14ac:dyDescent="0.3">
      <c r="A126" s="27">
        <v>0</v>
      </c>
      <c r="B126" s="27">
        <v>0</v>
      </c>
      <c r="C126" s="27">
        <v>0</v>
      </c>
      <c r="D126" s="27">
        <v>0.48435212300000002</v>
      </c>
      <c r="E126" s="27">
        <v>0.56456737183671779</v>
      </c>
      <c r="F126" s="37">
        <v>0</v>
      </c>
      <c r="G126" s="27">
        <v>0</v>
      </c>
      <c r="H126" s="27">
        <v>0</v>
      </c>
      <c r="I126" s="27">
        <v>0.116973836</v>
      </c>
      <c r="J126" s="27">
        <v>7.9417057298412225E-2</v>
      </c>
      <c r="K126" s="9">
        <v>0</v>
      </c>
      <c r="L126" s="45">
        <v>0</v>
      </c>
      <c r="M126" s="45">
        <f>1</f>
        <v>1</v>
      </c>
      <c r="N126" s="35">
        <v>0</v>
      </c>
      <c r="O126" s="36">
        <v>0</v>
      </c>
      <c r="P126" s="36">
        <v>0.15699101644917537</v>
      </c>
      <c r="Q126" s="36">
        <v>0</v>
      </c>
      <c r="R126" s="36">
        <v>0</v>
      </c>
    </row>
    <row r="127" spans="1:18" x14ac:dyDescent="0.3">
      <c r="A127" s="27">
        <v>0</v>
      </c>
      <c r="B127" s="27">
        <v>0</v>
      </c>
      <c r="C127" s="27">
        <v>0</v>
      </c>
      <c r="D127" s="27">
        <v>0.478839827</v>
      </c>
      <c r="E127" s="27">
        <v>0.55814216522003068</v>
      </c>
      <c r="F127" s="37">
        <v>0</v>
      </c>
      <c r="G127" s="27">
        <v>0</v>
      </c>
      <c r="H127" s="27">
        <v>0</v>
      </c>
      <c r="I127" s="27">
        <v>0.13659716699999999</v>
      </c>
      <c r="J127" s="27">
        <v>8.3844245733491612E-2</v>
      </c>
      <c r="K127" s="9">
        <v>0</v>
      </c>
      <c r="L127" s="45">
        <v>0</v>
      </c>
      <c r="M127" s="45">
        <f>1</f>
        <v>1</v>
      </c>
      <c r="N127" s="35">
        <v>0</v>
      </c>
      <c r="O127" s="36">
        <v>0</v>
      </c>
      <c r="P127" s="36">
        <v>0.15639389315954927</v>
      </c>
      <c r="Q127" s="36">
        <v>0</v>
      </c>
      <c r="R127" s="36">
        <v>0</v>
      </c>
    </row>
    <row r="128" spans="1:18" x14ac:dyDescent="0.3">
      <c r="A128" s="27">
        <v>0</v>
      </c>
      <c r="B128" s="27">
        <v>0</v>
      </c>
      <c r="C128" s="27">
        <v>0</v>
      </c>
      <c r="D128" s="27">
        <v>0.47275232099999998</v>
      </c>
      <c r="E128" s="27">
        <v>0.55104648606377293</v>
      </c>
      <c r="F128" s="37">
        <v>0</v>
      </c>
      <c r="G128" s="27">
        <v>0</v>
      </c>
      <c r="H128" s="27">
        <v>0</v>
      </c>
      <c r="I128" s="27">
        <v>0.14696115800000001</v>
      </c>
      <c r="J128" s="27">
        <v>8.4606672030271557E-2</v>
      </c>
      <c r="K128" s="9">
        <v>0</v>
      </c>
      <c r="L128" s="45">
        <v>0</v>
      </c>
      <c r="M128" s="45">
        <f>1</f>
        <v>1</v>
      </c>
      <c r="N128" s="35">
        <v>0</v>
      </c>
      <c r="O128" s="36">
        <v>0</v>
      </c>
      <c r="P128" s="36">
        <v>0.156095331511518</v>
      </c>
      <c r="Q128" s="36">
        <v>0</v>
      </c>
      <c r="R128" s="36">
        <v>0</v>
      </c>
    </row>
    <row r="129" spans="1:18" x14ac:dyDescent="0.3">
      <c r="A129" s="27">
        <v>0</v>
      </c>
      <c r="B129" s="27">
        <v>0</v>
      </c>
      <c r="C129" s="27">
        <v>0</v>
      </c>
      <c r="D129" s="27">
        <v>0.45748428800000002</v>
      </c>
      <c r="E129" s="27">
        <v>0.53324986072736202</v>
      </c>
      <c r="F129" s="37">
        <v>0</v>
      </c>
      <c r="G129" s="27">
        <v>0</v>
      </c>
      <c r="H129" s="27">
        <v>0</v>
      </c>
      <c r="I129" s="27">
        <v>0.141617462</v>
      </c>
      <c r="J129" s="27">
        <v>8.2918136260275999E-2</v>
      </c>
      <c r="K129" s="9">
        <v>0</v>
      </c>
      <c r="L129" s="45">
        <v>0</v>
      </c>
      <c r="M129" s="45">
        <f>1</f>
        <v>1</v>
      </c>
      <c r="N129" s="35">
        <v>0</v>
      </c>
      <c r="O129" s="36">
        <v>0</v>
      </c>
      <c r="P129" s="36">
        <v>0.36879389649307076</v>
      </c>
      <c r="Q129" s="36">
        <v>0</v>
      </c>
      <c r="R129" s="36">
        <v>0</v>
      </c>
    </row>
    <row r="130" spans="1:18" x14ac:dyDescent="0.3">
      <c r="A130" s="27">
        <v>0</v>
      </c>
      <c r="B130" s="27">
        <v>0</v>
      </c>
      <c r="C130" s="27">
        <v>0</v>
      </c>
      <c r="D130" s="27">
        <v>0.43651181900000002</v>
      </c>
      <c r="E130" s="27">
        <v>0.51957921110426386</v>
      </c>
      <c r="F130" s="37">
        <v>0</v>
      </c>
      <c r="G130" s="29">
        <v>0</v>
      </c>
      <c r="H130" s="27">
        <v>0</v>
      </c>
      <c r="I130" s="27">
        <v>0.106674166</v>
      </c>
      <c r="J130" s="27">
        <v>8.1072287473512375E-2</v>
      </c>
      <c r="K130" s="9">
        <v>0</v>
      </c>
      <c r="L130" s="45">
        <v>0</v>
      </c>
      <c r="M130" s="45">
        <f>1</f>
        <v>1</v>
      </c>
      <c r="N130" s="35">
        <v>0</v>
      </c>
      <c r="O130" s="36">
        <v>0</v>
      </c>
      <c r="P130" s="36">
        <v>0.36879389649307076</v>
      </c>
      <c r="Q130" s="36">
        <v>0</v>
      </c>
      <c r="R130" s="36">
        <v>0</v>
      </c>
    </row>
    <row r="131" spans="1:18" x14ac:dyDescent="0.3">
      <c r="A131" s="27">
        <v>0.12</v>
      </c>
      <c r="B131" s="27">
        <v>8.1000000000000003E-2</v>
      </c>
      <c r="C131" s="27">
        <v>0.127</v>
      </c>
      <c r="D131" s="27">
        <v>0.43123141399999998</v>
      </c>
      <c r="E131" s="27">
        <v>0.79080307418254592</v>
      </c>
      <c r="F131" s="37">
        <v>0</v>
      </c>
      <c r="G131" s="27">
        <v>5.5E-2</v>
      </c>
      <c r="H131" s="27">
        <v>3.1000000000000003E-2</v>
      </c>
      <c r="I131" s="27">
        <v>5.4148719999999997E-2</v>
      </c>
      <c r="J131" s="27">
        <v>0.16246384433150318</v>
      </c>
      <c r="K131" s="9">
        <v>0</v>
      </c>
      <c r="L131" s="45">
        <v>0</v>
      </c>
      <c r="M131" s="45">
        <f>1</f>
        <v>1</v>
      </c>
      <c r="N131" s="35">
        <v>0</v>
      </c>
      <c r="O131" s="36">
        <v>0</v>
      </c>
      <c r="P131" s="36">
        <v>0.15639389315954927</v>
      </c>
      <c r="Q131" s="36">
        <v>0</v>
      </c>
      <c r="R131" s="36">
        <v>0</v>
      </c>
    </row>
    <row r="132" spans="1:18" x14ac:dyDescent="0.3">
      <c r="A132" s="27">
        <v>0.30599999999999999</v>
      </c>
      <c r="B132" s="27">
        <v>0.21600000000000003</v>
      </c>
      <c r="C132" s="27">
        <v>0.29699999999999999</v>
      </c>
      <c r="D132" s="27">
        <v>0.43856399200000001</v>
      </c>
      <c r="E132" s="27">
        <v>1</v>
      </c>
      <c r="F132" s="37">
        <v>0.16082502044368407</v>
      </c>
      <c r="G132" s="27">
        <v>0.20399999999999999</v>
      </c>
      <c r="H132" s="27">
        <v>0.11700000000000001</v>
      </c>
      <c r="I132" s="27">
        <v>2.3289418999999999E-2</v>
      </c>
      <c r="J132" s="27">
        <v>0.38375393635198096</v>
      </c>
      <c r="K132" s="9">
        <v>0</v>
      </c>
      <c r="L132" s="45">
        <v>0</v>
      </c>
      <c r="M132" s="45">
        <f>1</f>
        <v>1</v>
      </c>
      <c r="N132" s="35">
        <v>0</v>
      </c>
      <c r="O132" s="36">
        <v>0</v>
      </c>
      <c r="P132" s="36">
        <v>0.15639389315954927</v>
      </c>
      <c r="Q132" s="36">
        <v>0</v>
      </c>
      <c r="R132" s="36">
        <v>0</v>
      </c>
    </row>
    <row r="133" spans="1:18" x14ac:dyDescent="0.3">
      <c r="A133" s="27">
        <v>0.373</v>
      </c>
      <c r="B133" s="27">
        <v>0.36</v>
      </c>
      <c r="C133" s="27">
        <v>0.43200000000000005</v>
      </c>
      <c r="D133" s="27">
        <v>0.450905371</v>
      </c>
      <c r="E133" s="27">
        <v>1</v>
      </c>
      <c r="F133" s="37">
        <v>0.348192967222614</v>
      </c>
      <c r="G133" s="27">
        <v>0.34899999999999998</v>
      </c>
      <c r="H133" s="27">
        <v>0.20500000000000002</v>
      </c>
      <c r="I133" s="27">
        <v>1.3258752E-2</v>
      </c>
      <c r="J133" s="27">
        <v>0.60546267873393689</v>
      </c>
      <c r="K133" s="9">
        <v>0</v>
      </c>
      <c r="L133" s="45">
        <v>0</v>
      </c>
      <c r="M133" s="45">
        <f>1</f>
        <v>1</v>
      </c>
      <c r="N133" s="35">
        <v>0</v>
      </c>
      <c r="O133" s="36">
        <v>0</v>
      </c>
      <c r="P133" s="36">
        <v>0.156095331511518</v>
      </c>
      <c r="Q133" s="36">
        <v>0</v>
      </c>
      <c r="R133" s="36">
        <v>0</v>
      </c>
    </row>
    <row r="134" spans="1:18" x14ac:dyDescent="0.3">
      <c r="A134" s="27">
        <v>0.38400000000000001</v>
      </c>
      <c r="B134" s="27">
        <v>0.45799999999999996</v>
      </c>
      <c r="C134" s="27">
        <v>0.496</v>
      </c>
      <c r="D134" s="27">
        <v>0.47123206899999998</v>
      </c>
      <c r="E134" s="27">
        <v>1</v>
      </c>
      <c r="F134" s="37">
        <v>0.43234135345204838</v>
      </c>
      <c r="G134" s="27">
        <v>0.41099999999999998</v>
      </c>
      <c r="H134" s="27">
        <v>0.251</v>
      </c>
      <c r="I134" s="27">
        <v>1.0386128999999999E-2</v>
      </c>
      <c r="J134" s="27">
        <v>0.71757748810446631</v>
      </c>
      <c r="K134" s="9">
        <v>0</v>
      </c>
      <c r="L134" s="45">
        <v>0</v>
      </c>
      <c r="M134" s="45">
        <f>1</f>
        <v>1</v>
      </c>
      <c r="N134" s="35">
        <v>0</v>
      </c>
      <c r="O134" s="36">
        <v>0</v>
      </c>
      <c r="P134" s="36">
        <v>0.15639389315954927</v>
      </c>
      <c r="Q134" s="36">
        <v>0</v>
      </c>
      <c r="R134" s="36">
        <v>0</v>
      </c>
    </row>
    <row r="135" spans="1:18" x14ac:dyDescent="0.3">
      <c r="A135" s="27">
        <v>0.38100000000000001</v>
      </c>
      <c r="B135" s="27">
        <v>0.48</v>
      </c>
      <c r="C135" s="27">
        <v>0.496</v>
      </c>
      <c r="D135" s="27">
        <v>0.47521060700000001</v>
      </c>
      <c r="E135" s="27">
        <v>1</v>
      </c>
      <c r="F135" s="37">
        <v>0.43233067996916924</v>
      </c>
      <c r="G135" s="27">
        <v>0.40799999999999997</v>
      </c>
      <c r="H135" s="27">
        <v>0.255</v>
      </c>
      <c r="I135" s="27">
        <v>8.1810189999999994E-3</v>
      </c>
      <c r="J135" s="27">
        <v>0.73652962943997624</v>
      </c>
      <c r="K135" s="9">
        <v>0</v>
      </c>
      <c r="L135" s="45">
        <v>0</v>
      </c>
      <c r="M135" s="45">
        <f>1</f>
        <v>1</v>
      </c>
      <c r="N135" s="35">
        <v>0</v>
      </c>
      <c r="O135" s="36">
        <v>0</v>
      </c>
      <c r="P135" s="36">
        <v>0.15639389315954927</v>
      </c>
      <c r="Q135" s="36">
        <v>0</v>
      </c>
      <c r="R135" s="36">
        <v>0</v>
      </c>
    </row>
    <row r="136" spans="1:18" x14ac:dyDescent="0.3">
      <c r="A136" s="27">
        <v>0.36899999999999999</v>
      </c>
      <c r="B136" s="27">
        <v>0.41699999999999904</v>
      </c>
      <c r="C136" s="27">
        <v>0.43799999999999994</v>
      </c>
      <c r="D136" s="27">
        <v>0.46109752100000001</v>
      </c>
      <c r="E136" s="27">
        <v>1</v>
      </c>
      <c r="F136" s="37">
        <v>0.35896806621210664</v>
      </c>
      <c r="G136" s="27">
        <v>0.35099999999999998</v>
      </c>
      <c r="H136" s="27">
        <v>0.22200000000000003</v>
      </c>
      <c r="I136" s="27">
        <v>5.0300149999999997E-3</v>
      </c>
      <c r="J136" s="27">
        <v>0.68188764435821336</v>
      </c>
      <c r="K136" s="9">
        <v>0</v>
      </c>
      <c r="L136" s="45">
        <v>0</v>
      </c>
      <c r="M136" s="45">
        <f>1</f>
        <v>1</v>
      </c>
      <c r="N136" s="35">
        <v>0</v>
      </c>
      <c r="O136" s="36">
        <v>0</v>
      </c>
      <c r="P136" s="36">
        <v>0.156095331511518</v>
      </c>
      <c r="Q136" s="36">
        <v>0</v>
      </c>
      <c r="R136" s="36">
        <v>0</v>
      </c>
    </row>
    <row r="137" spans="1:18" x14ac:dyDescent="0.3">
      <c r="A137" s="27">
        <v>0.33900000000000002</v>
      </c>
      <c r="B137" s="27">
        <v>0.28899999999999998</v>
      </c>
      <c r="C137" s="27">
        <v>0.33500000000000002</v>
      </c>
      <c r="D137" s="27">
        <v>0.43415106799999997</v>
      </c>
      <c r="E137" s="27">
        <v>1</v>
      </c>
      <c r="F137" s="37">
        <v>0.21836997124574875</v>
      </c>
      <c r="G137" s="27">
        <v>0.27299999999999996</v>
      </c>
      <c r="H137" s="27">
        <v>0.17400000000000002</v>
      </c>
      <c r="I137" s="27">
        <v>2.7232129999999999E-3</v>
      </c>
      <c r="J137" s="27">
        <v>0.61120301438670421</v>
      </c>
      <c r="K137" s="9">
        <v>0</v>
      </c>
      <c r="L137" s="45">
        <v>0</v>
      </c>
      <c r="M137" s="45">
        <f>1</f>
        <v>1</v>
      </c>
      <c r="N137" s="35">
        <v>0</v>
      </c>
      <c r="O137" s="36">
        <v>0</v>
      </c>
      <c r="P137" s="36">
        <v>0.15639389315954927</v>
      </c>
      <c r="Q137" s="36">
        <v>0</v>
      </c>
      <c r="R137" s="36">
        <v>0</v>
      </c>
    </row>
    <row r="138" spans="1:18" x14ac:dyDescent="0.3">
      <c r="A138" s="27">
        <v>0.23899999999999999</v>
      </c>
      <c r="B138" s="27">
        <v>0.13699999999999998</v>
      </c>
      <c r="C138" s="27">
        <v>0.19800000000000001</v>
      </c>
      <c r="D138" s="27">
        <v>0.412526432</v>
      </c>
      <c r="E138" s="27">
        <v>0.98949077088147241</v>
      </c>
      <c r="F138" s="37">
        <v>0</v>
      </c>
      <c r="G138" s="27">
        <v>0.16999999999999998</v>
      </c>
      <c r="H138" s="27">
        <v>0.10700000000000001</v>
      </c>
      <c r="I138" s="27">
        <v>2.5477299999999998E-3</v>
      </c>
      <c r="J138" s="27">
        <v>0.493595365310877</v>
      </c>
      <c r="K138" s="9">
        <v>0</v>
      </c>
      <c r="L138" s="45">
        <v>0</v>
      </c>
      <c r="M138" s="45">
        <f>1</f>
        <v>1</v>
      </c>
      <c r="N138" s="35">
        <v>0</v>
      </c>
      <c r="O138" s="36">
        <v>0</v>
      </c>
      <c r="P138" s="36">
        <v>0.15639389315954927</v>
      </c>
      <c r="Q138" s="36">
        <v>0</v>
      </c>
      <c r="R138" s="36">
        <v>0</v>
      </c>
    </row>
    <row r="139" spans="1:18" x14ac:dyDescent="0.3">
      <c r="A139" s="27">
        <v>5.6000000000000001E-2</v>
      </c>
      <c r="B139" s="27">
        <v>1.7000000000000001E-2</v>
      </c>
      <c r="C139" s="27">
        <v>5.5E-2</v>
      </c>
      <c r="D139" s="27">
        <v>0.34461741800000001</v>
      </c>
      <c r="E139" s="27">
        <v>0.53168625899242328</v>
      </c>
      <c r="F139" s="37">
        <v>0</v>
      </c>
      <c r="G139" s="27">
        <v>6.9999999999999993E-2</v>
      </c>
      <c r="H139" s="27">
        <v>3.7999999999999999E-2</v>
      </c>
      <c r="I139" s="27">
        <v>4.1940969999999999E-3</v>
      </c>
      <c r="J139" s="27">
        <v>0.36842110586259086</v>
      </c>
      <c r="K139" s="9">
        <v>0</v>
      </c>
      <c r="L139" s="45">
        <v>0</v>
      </c>
      <c r="M139" s="45">
        <f>1</f>
        <v>1</v>
      </c>
      <c r="N139" s="35">
        <v>0</v>
      </c>
      <c r="O139" s="36">
        <v>0</v>
      </c>
      <c r="P139" s="36">
        <v>0.30183786306462623</v>
      </c>
      <c r="Q139" s="36">
        <v>0</v>
      </c>
      <c r="R139" s="36">
        <v>0</v>
      </c>
    </row>
    <row r="140" spans="1:18" x14ac:dyDescent="0.3">
      <c r="A140" s="27">
        <v>0</v>
      </c>
      <c r="B140" s="27">
        <v>0</v>
      </c>
      <c r="C140" s="27">
        <v>0</v>
      </c>
      <c r="D140" s="27">
        <v>0.34607711600000002</v>
      </c>
      <c r="E140" s="27">
        <v>0.40366212513110433</v>
      </c>
      <c r="F140" s="37">
        <v>0</v>
      </c>
      <c r="G140" s="27">
        <v>0</v>
      </c>
      <c r="H140" s="27">
        <v>0</v>
      </c>
      <c r="I140" s="27">
        <v>8.3360640000000007E-3</v>
      </c>
      <c r="J140" s="27">
        <v>0.31159934092684372</v>
      </c>
      <c r="K140" s="9">
        <v>0</v>
      </c>
      <c r="L140" s="45">
        <v>0</v>
      </c>
      <c r="M140" s="45">
        <f>1</f>
        <v>1</v>
      </c>
      <c r="N140" s="35">
        <v>0</v>
      </c>
      <c r="O140" s="36">
        <v>0</v>
      </c>
      <c r="P140" s="36">
        <v>0.156095331511518</v>
      </c>
      <c r="Q140" s="36">
        <v>0</v>
      </c>
      <c r="R140" s="36">
        <v>0</v>
      </c>
    </row>
    <row r="141" spans="1:18" x14ac:dyDescent="0.3">
      <c r="A141" s="27">
        <v>0</v>
      </c>
      <c r="B141" s="27">
        <v>0</v>
      </c>
      <c r="C141" s="27">
        <v>0</v>
      </c>
      <c r="D141" s="27">
        <v>0.38436776900000003</v>
      </c>
      <c r="E141" s="27">
        <v>0.44802425933223927</v>
      </c>
      <c r="F141" s="37">
        <v>0</v>
      </c>
      <c r="G141" s="27">
        <v>0</v>
      </c>
      <c r="H141" s="27">
        <v>0</v>
      </c>
      <c r="I141" s="27">
        <v>8.3495459999999994E-3</v>
      </c>
      <c r="J141" s="27">
        <v>0.33690654937438791</v>
      </c>
      <c r="K141" s="9">
        <v>0</v>
      </c>
      <c r="L141" s="45">
        <v>0</v>
      </c>
      <c r="M141" s="45">
        <f>1</f>
        <v>1</v>
      </c>
      <c r="N141" s="35">
        <v>0</v>
      </c>
      <c r="O141" s="36">
        <v>0</v>
      </c>
      <c r="P141" s="36">
        <v>0.36879389649307076</v>
      </c>
      <c r="Q141" s="36">
        <v>0</v>
      </c>
      <c r="R141" s="36">
        <v>0</v>
      </c>
    </row>
    <row r="142" spans="1:18" x14ac:dyDescent="0.3">
      <c r="A142" s="27">
        <v>0</v>
      </c>
      <c r="B142" s="27">
        <v>0</v>
      </c>
      <c r="C142" s="27">
        <v>0</v>
      </c>
      <c r="D142" s="27">
        <v>0.41364261899999999</v>
      </c>
      <c r="E142" s="27">
        <v>0.48214741961291413</v>
      </c>
      <c r="F142" s="37">
        <v>0</v>
      </c>
      <c r="G142" s="27">
        <v>0</v>
      </c>
      <c r="H142" s="27">
        <v>0</v>
      </c>
      <c r="I142" s="27">
        <v>6.3382209999999998E-3</v>
      </c>
      <c r="J142" s="27">
        <v>0.36460607819320379</v>
      </c>
      <c r="K142" s="9">
        <v>0</v>
      </c>
      <c r="L142" s="45">
        <v>0</v>
      </c>
      <c r="M142" s="45">
        <f>1</f>
        <v>1</v>
      </c>
      <c r="N142" s="35">
        <v>0</v>
      </c>
      <c r="O142" s="36">
        <v>0</v>
      </c>
      <c r="P142" s="36">
        <v>0.15669245480758048</v>
      </c>
      <c r="Q142" s="36">
        <v>0</v>
      </c>
      <c r="R142" s="36">
        <v>0</v>
      </c>
    </row>
    <row r="143" spans="1:18" x14ac:dyDescent="0.3">
      <c r="A143" s="27">
        <v>0</v>
      </c>
      <c r="B143" s="27">
        <v>0</v>
      </c>
      <c r="C143" s="27">
        <v>0</v>
      </c>
      <c r="D143" s="27">
        <v>0.43220439799999999</v>
      </c>
      <c r="E143" s="27">
        <v>0.50378327974239256</v>
      </c>
      <c r="F143" s="37">
        <v>0</v>
      </c>
      <c r="G143" s="27">
        <v>0</v>
      </c>
      <c r="H143" s="27">
        <v>0</v>
      </c>
      <c r="I143" s="27">
        <v>4.4935219999999998E-3</v>
      </c>
      <c r="J143" s="27">
        <v>0.38848806175218881</v>
      </c>
      <c r="K143" s="9">
        <v>0</v>
      </c>
      <c r="L143" s="45">
        <v>0</v>
      </c>
      <c r="M143" s="45">
        <f>1</f>
        <v>1</v>
      </c>
      <c r="N143" s="35">
        <v>0</v>
      </c>
      <c r="O143" s="36">
        <v>0</v>
      </c>
      <c r="P143" s="36">
        <v>0.36939101978269684</v>
      </c>
      <c r="Q143" s="36">
        <v>0</v>
      </c>
      <c r="R143" s="36">
        <v>0</v>
      </c>
    </row>
    <row r="144" spans="1:18" x14ac:dyDescent="0.3">
      <c r="A144" s="27">
        <v>0</v>
      </c>
      <c r="B144" s="27">
        <v>0</v>
      </c>
      <c r="C144" s="27">
        <v>0</v>
      </c>
      <c r="D144" s="27">
        <v>0.45847632599999999</v>
      </c>
      <c r="E144" s="27">
        <v>0.53440619360963193</v>
      </c>
      <c r="F144" s="37">
        <v>0</v>
      </c>
      <c r="G144" s="27">
        <v>0</v>
      </c>
      <c r="H144" s="27">
        <v>0</v>
      </c>
      <c r="I144" s="27">
        <v>5.5655720000000004E-3</v>
      </c>
      <c r="J144" s="27">
        <v>0.4113483301451254</v>
      </c>
      <c r="K144" s="9">
        <v>0</v>
      </c>
      <c r="L144" s="45">
        <v>0</v>
      </c>
      <c r="M144" s="45">
        <f>1</f>
        <v>1</v>
      </c>
      <c r="N144" s="35">
        <v>0</v>
      </c>
      <c r="O144" s="36">
        <v>0</v>
      </c>
      <c r="P144" s="36">
        <v>0.15758813974523786</v>
      </c>
      <c r="Q144" s="36">
        <v>0</v>
      </c>
      <c r="R144" s="36">
        <v>0</v>
      </c>
    </row>
    <row r="145" spans="1:18" x14ac:dyDescent="0.3">
      <c r="A145" s="27">
        <v>0</v>
      </c>
      <c r="B145" s="27">
        <v>0</v>
      </c>
      <c r="C145" s="27">
        <v>0</v>
      </c>
      <c r="D145" s="27">
        <v>0.48614243400000001</v>
      </c>
      <c r="E145" s="27">
        <v>0.56665418250202459</v>
      </c>
      <c r="F145" s="37">
        <v>0</v>
      </c>
      <c r="G145" s="27">
        <v>0</v>
      </c>
      <c r="H145" s="27">
        <v>0</v>
      </c>
      <c r="I145" s="27">
        <v>6.1054760000000003E-3</v>
      </c>
      <c r="J145" s="27">
        <v>0.4342770062893605</v>
      </c>
      <c r="K145" s="9">
        <v>0</v>
      </c>
      <c r="L145" s="45">
        <v>0</v>
      </c>
      <c r="M145" s="45">
        <f>1</f>
        <v>1</v>
      </c>
      <c r="N145" s="35">
        <v>0</v>
      </c>
      <c r="O145" s="36">
        <v>0</v>
      </c>
      <c r="P145" s="36">
        <v>0.36998814307875938</v>
      </c>
      <c r="Q145" s="36">
        <v>0</v>
      </c>
      <c r="R145" s="36">
        <v>0</v>
      </c>
    </row>
    <row r="146" spans="1:18" x14ac:dyDescent="0.3">
      <c r="A146" s="27">
        <v>0</v>
      </c>
      <c r="B146" s="27">
        <v>0</v>
      </c>
      <c r="C146" s="27">
        <v>0</v>
      </c>
      <c r="D146" s="27">
        <v>0.52357058199999995</v>
      </c>
      <c r="E146" s="27">
        <v>0.61028093697601227</v>
      </c>
      <c r="F146" s="37">
        <v>0</v>
      </c>
      <c r="G146" s="27">
        <v>0</v>
      </c>
      <c r="H146" s="27">
        <v>0</v>
      </c>
      <c r="I146" s="27">
        <v>4.779564E-3</v>
      </c>
      <c r="J146" s="27">
        <v>0.45401902715180298</v>
      </c>
      <c r="K146" s="9">
        <v>0</v>
      </c>
      <c r="L146" s="45">
        <v>0</v>
      </c>
      <c r="M146" s="45">
        <f>1</f>
        <v>1</v>
      </c>
      <c r="N146" s="35">
        <v>0</v>
      </c>
      <c r="O146" s="36">
        <v>0</v>
      </c>
      <c r="P146" s="36">
        <v>0.15758877440288419</v>
      </c>
      <c r="Q146" s="36">
        <v>0</v>
      </c>
      <c r="R146" s="36">
        <v>0</v>
      </c>
    </row>
    <row r="147" spans="1:18" x14ac:dyDescent="0.3">
      <c r="A147" s="27">
        <v>0</v>
      </c>
      <c r="B147" s="27">
        <v>0</v>
      </c>
      <c r="C147" s="27">
        <v>0</v>
      </c>
      <c r="D147" s="27">
        <v>0.564047148</v>
      </c>
      <c r="E147" s="27">
        <v>0.65746096861509207</v>
      </c>
      <c r="F147" s="37">
        <v>0</v>
      </c>
      <c r="G147" s="27">
        <v>0</v>
      </c>
      <c r="H147" s="27">
        <v>0</v>
      </c>
      <c r="I147" s="27">
        <v>5.3244670000000003E-3</v>
      </c>
      <c r="J147" s="27">
        <v>0.46781759319157146</v>
      </c>
      <c r="K147" s="9">
        <v>0</v>
      </c>
      <c r="L147" s="45">
        <v>0</v>
      </c>
      <c r="M147" s="45">
        <f>1</f>
        <v>1</v>
      </c>
      <c r="N147" s="35">
        <v>0</v>
      </c>
      <c r="O147" s="36">
        <v>0</v>
      </c>
      <c r="P147" s="36">
        <v>0.15758877440288419</v>
      </c>
      <c r="Q147" s="36">
        <v>0</v>
      </c>
      <c r="R147" s="36">
        <v>0</v>
      </c>
    </row>
    <row r="148" spans="1:18" x14ac:dyDescent="0.3">
      <c r="A148" s="27">
        <v>0</v>
      </c>
      <c r="B148" s="27">
        <v>0</v>
      </c>
      <c r="C148" s="27">
        <v>0</v>
      </c>
      <c r="D148" s="27">
        <v>0.60432528500000005</v>
      </c>
      <c r="E148" s="27">
        <v>0.70440970873358899</v>
      </c>
      <c r="F148" s="37">
        <v>0</v>
      </c>
      <c r="G148" s="27">
        <v>0</v>
      </c>
      <c r="H148" s="27">
        <v>0</v>
      </c>
      <c r="I148" s="27">
        <v>5.7672899999999996E-3</v>
      </c>
      <c r="J148" s="27">
        <v>0.48282628743136968</v>
      </c>
      <c r="K148" s="9">
        <v>0</v>
      </c>
      <c r="L148" s="45">
        <v>0</v>
      </c>
      <c r="M148" s="45">
        <f>1</f>
        <v>1</v>
      </c>
      <c r="N148" s="35">
        <v>0</v>
      </c>
      <c r="O148" s="36">
        <v>0</v>
      </c>
      <c r="P148" s="36">
        <v>0.15758877440288419</v>
      </c>
      <c r="Q148" s="36">
        <v>0</v>
      </c>
      <c r="R148" s="36">
        <v>0</v>
      </c>
    </row>
    <row r="149" spans="1:18" x14ac:dyDescent="0.3">
      <c r="A149" s="27">
        <v>0</v>
      </c>
      <c r="B149" s="27">
        <v>0</v>
      </c>
      <c r="C149" s="27">
        <v>0</v>
      </c>
      <c r="D149" s="27">
        <v>0.64680523499999998</v>
      </c>
      <c r="E149" s="27">
        <v>0.75392491180260734</v>
      </c>
      <c r="F149" s="37">
        <v>0</v>
      </c>
      <c r="G149" s="27">
        <v>0</v>
      </c>
      <c r="H149" s="27">
        <v>0</v>
      </c>
      <c r="I149" s="27">
        <v>7.4155230000000003E-3</v>
      </c>
      <c r="J149" s="27">
        <v>0.4872661157429885</v>
      </c>
      <c r="K149" s="9">
        <v>0</v>
      </c>
      <c r="L149" s="45">
        <v>0</v>
      </c>
      <c r="M149" s="45">
        <f>1</f>
        <v>1</v>
      </c>
      <c r="N149" s="35">
        <v>0</v>
      </c>
      <c r="O149" s="36">
        <v>0</v>
      </c>
      <c r="P149" s="36">
        <v>0.15758877440288419</v>
      </c>
      <c r="Q149" s="36">
        <v>0</v>
      </c>
      <c r="R149" s="36">
        <v>0</v>
      </c>
    </row>
    <row r="150" spans="1:18" x14ac:dyDescent="0.3">
      <c r="A150" s="27">
        <v>0</v>
      </c>
      <c r="B150" s="27">
        <v>0</v>
      </c>
      <c r="C150" s="27">
        <v>0</v>
      </c>
      <c r="D150" s="27">
        <v>0.68888568299999997</v>
      </c>
      <c r="E150" s="27">
        <v>0.8029744499483743</v>
      </c>
      <c r="F150" s="37">
        <v>0</v>
      </c>
      <c r="G150" s="27">
        <v>0</v>
      </c>
      <c r="H150" s="27">
        <v>0</v>
      </c>
      <c r="I150" s="27">
        <v>6.7567870000000002E-3</v>
      </c>
      <c r="J150" s="27">
        <v>0.47855559392165009</v>
      </c>
      <c r="K150" s="9">
        <v>0</v>
      </c>
      <c r="L150" s="45">
        <v>0</v>
      </c>
      <c r="M150" s="45">
        <f>1</f>
        <v>1</v>
      </c>
      <c r="N150" s="35">
        <v>0</v>
      </c>
      <c r="O150" s="36">
        <v>0</v>
      </c>
      <c r="P150" s="36">
        <v>0.1569916511068217</v>
      </c>
      <c r="Q150" s="36">
        <v>0</v>
      </c>
      <c r="R150" s="36">
        <v>0</v>
      </c>
    </row>
    <row r="151" spans="1:18" x14ac:dyDescent="0.3">
      <c r="A151" s="27">
        <v>0</v>
      </c>
      <c r="B151" s="27">
        <v>0</v>
      </c>
      <c r="C151" s="27">
        <v>0</v>
      </c>
      <c r="D151" s="27">
        <v>0.70893419700000004</v>
      </c>
      <c r="E151" s="27">
        <v>0.82634326846021477</v>
      </c>
      <c r="F151" s="37">
        <v>0</v>
      </c>
      <c r="G151" s="27">
        <v>0</v>
      </c>
      <c r="H151" s="27">
        <v>0</v>
      </c>
      <c r="I151" s="27">
        <v>7.8822000000000007E-3</v>
      </c>
      <c r="J151" s="27">
        <v>0.45816941682000295</v>
      </c>
      <c r="K151" s="9">
        <v>0</v>
      </c>
      <c r="L151" s="45">
        <v>0</v>
      </c>
      <c r="M151" s="45">
        <f>1</f>
        <v>1</v>
      </c>
      <c r="N151" s="35">
        <v>0</v>
      </c>
      <c r="O151" s="36">
        <v>0</v>
      </c>
      <c r="P151" s="36">
        <v>0.15639452781719557</v>
      </c>
      <c r="Q151" s="36">
        <v>0</v>
      </c>
      <c r="R151" s="36">
        <v>0</v>
      </c>
    </row>
    <row r="152" spans="1:18" x14ac:dyDescent="0.3">
      <c r="A152" s="27">
        <v>0</v>
      </c>
      <c r="B152" s="27">
        <v>0</v>
      </c>
      <c r="C152" s="27">
        <v>0</v>
      </c>
      <c r="D152" s="27">
        <v>0.69710707999999999</v>
      </c>
      <c r="E152" s="27">
        <v>0.81255742125521468</v>
      </c>
      <c r="F152" s="37">
        <v>0</v>
      </c>
      <c r="G152" s="27">
        <v>0</v>
      </c>
      <c r="H152" s="27">
        <v>0</v>
      </c>
      <c r="I152" s="27">
        <v>9.7945170000000008E-3</v>
      </c>
      <c r="J152" s="27">
        <v>0.46185738923252706</v>
      </c>
      <c r="K152" s="9">
        <v>0</v>
      </c>
      <c r="L152" s="45">
        <v>0</v>
      </c>
      <c r="M152" s="45">
        <f>1</f>
        <v>1</v>
      </c>
      <c r="N152" s="35">
        <v>0</v>
      </c>
      <c r="O152" s="36">
        <v>0</v>
      </c>
      <c r="P152" s="36">
        <v>0.15609596616916432</v>
      </c>
      <c r="Q152" s="36">
        <v>0</v>
      </c>
      <c r="R152" s="36">
        <v>0</v>
      </c>
    </row>
    <row r="153" spans="1:18" x14ac:dyDescent="0.3">
      <c r="A153" s="27">
        <v>0</v>
      </c>
      <c r="B153" s="27">
        <v>0</v>
      </c>
      <c r="C153" s="27">
        <v>0</v>
      </c>
      <c r="D153" s="27">
        <v>0.67072794400000002</v>
      </c>
      <c r="E153" s="27">
        <v>0.78180954429619631</v>
      </c>
      <c r="F153" s="37">
        <v>0</v>
      </c>
      <c r="G153" s="27">
        <v>0</v>
      </c>
      <c r="H153" s="27">
        <v>0</v>
      </c>
      <c r="I153" s="27">
        <v>1.2242453E-2</v>
      </c>
      <c r="J153" s="27">
        <v>0.44929821953138449</v>
      </c>
      <c r="K153" s="9">
        <v>0</v>
      </c>
      <c r="L153" s="45">
        <v>0</v>
      </c>
      <c r="M153" s="45">
        <f>1</f>
        <v>1</v>
      </c>
      <c r="N153" s="35">
        <v>0</v>
      </c>
      <c r="O153" s="36">
        <v>0</v>
      </c>
      <c r="P153" s="36">
        <v>0.15639452781719557</v>
      </c>
      <c r="Q153" s="36">
        <v>0</v>
      </c>
      <c r="R153" s="36">
        <v>0</v>
      </c>
    </row>
    <row r="154" spans="1:18" x14ac:dyDescent="0.3">
      <c r="A154" s="27">
        <v>0</v>
      </c>
      <c r="B154" s="27">
        <v>0</v>
      </c>
      <c r="C154" s="27">
        <v>0</v>
      </c>
      <c r="D154" s="27">
        <v>0.63980309599999996</v>
      </c>
      <c r="E154" s="27">
        <v>0.74863616902052144</v>
      </c>
      <c r="F154" s="37">
        <v>0</v>
      </c>
      <c r="G154" s="27">
        <v>0</v>
      </c>
      <c r="H154" s="27">
        <v>0</v>
      </c>
      <c r="I154" s="27">
        <v>1.4765313E-2</v>
      </c>
      <c r="J154" s="27">
        <v>0.40280014776999551</v>
      </c>
      <c r="K154" s="9">
        <v>0</v>
      </c>
      <c r="L154" s="45">
        <v>0</v>
      </c>
      <c r="M154" s="45">
        <f>1</f>
        <v>1</v>
      </c>
      <c r="N154" s="35">
        <v>0</v>
      </c>
      <c r="O154" s="36">
        <v>0</v>
      </c>
      <c r="P154" s="36">
        <v>0.15639452781719557</v>
      </c>
      <c r="Q154" s="36">
        <v>0</v>
      </c>
      <c r="R154" s="36">
        <v>0</v>
      </c>
    </row>
    <row r="155" spans="1:18" x14ac:dyDescent="0.3">
      <c r="A155" s="27">
        <v>0.03</v>
      </c>
      <c r="B155" s="27">
        <v>0</v>
      </c>
      <c r="C155" s="27">
        <v>3.6999999999999901E-2</v>
      </c>
      <c r="D155" s="27">
        <v>0.60584827900000005</v>
      </c>
      <c r="E155" s="27">
        <v>0.7843030235232209</v>
      </c>
      <c r="F155" s="37">
        <v>0</v>
      </c>
      <c r="G155" s="27">
        <v>1.1999999999999999E-2</v>
      </c>
      <c r="H155" s="27">
        <v>1.2E-2</v>
      </c>
      <c r="I155" s="27">
        <v>1.3564065E-2</v>
      </c>
      <c r="J155" s="27">
        <v>0.37409166075678885</v>
      </c>
      <c r="K155" s="9">
        <v>0</v>
      </c>
      <c r="L155" s="45">
        <v>0</v>
      </c>
      <c r="M155" s="45">
        <f>1</f>
        <v>1</v>
      </c>
      <c r="N155" s="35">
        <v>0</v>
      </c>
      <c r="O155" s="36">
        <v>0</v>
      </c>
      <c r="P155" s="36">
        <v>0.15639452781719557</v>
      </c>
      <c r="Q155" s="36">
        <v>0</v>
      </c>
      <c r="R155" s="36">
        <v>0</v>
      </c>
    </row>
    <row r="156" spans="1:18" x14ac:dyDescent="0.3">
      <c r="A156" s="27">
        <v>8.2000000000000003E-2</v>
      </c>
      <c r="B156" s="27">
        <v>1.7000000000000001E-2</v>
      </c>
      <c r="C156" s="27">
        <v>0.107</v>
      </c>
      <c r="D156" s="27">
        <v>0.60256063999999998</v>
      </c>
      <c r="E156" s="27">
        <v>0.92267591344659516</v>
      </c>
      <c r="F156" s="37">
        <v>0</v>
      </c>
      <c r="G156" s="27">
        <v>4.8999999999999995E-2</v>
      </c>
      <c r="H156" s="27">
        <v>5.6000000000000001E-2</v>
      </c>
      <c r="I156" s="27">
        <v>1.4959175999999999E-2</v>
      </c>
      <c r="J156" s="27">
        <v>0.39545631109125984</v>
      </c>
      <c r="K156" s="9">
        <v>0</v>
      </c>
      <c r="L156" s="45">
        <v>0</v>
      </c>
      <c r="M156" s="45">
        <f>1</f>
        <v>1</v>
      </c>
      <c r="N156" s="35">
        <v>0</v>
      </c>
      <c r="O156" s="36">
        <v>0</v>
      </c>
      <c r="P156" s="36">
        <v>0.15639452781719557</v>
      </c>
      <c r="Q156" s="36">
        <v>0</v>
      </c>
      <c r="R156" s="36">
        <v>0</v>
      </c>
    </row>
    <row r="157" spans="1:18" x14ac:dyDescent="0.3">
      <c r="A157" s="27">
        <v>0.13600000000000001</v>
      </c>
      <c r="B157" s="27">
        <v>2.7999999999999997E-2</v>
      </c>
      <c r="C157" s="27">
        <v>0.17899999999999999</v>
      </c>
      <c r="D157" s="27">
        <v>0.61838280300000004</v>
      </c>
      <c r="E157" s="27">
        <v>1</v>
      </c>
      <c r="F157" s="37">
        <v>6.6089800927899872E-2</v>
      </c>
      <c r="G157" s="27">
        <v>0.09</v>
      </c>
      <c r="H157" s="27">
        <v>0.108</v>
      </c>
      <c r="I157" s="27">
        <v>2.0590111000000001E-2</v>
      </c>
      <c r="J157" s="27">
        <v>0.43222901928387003</v>
      </c>
      <c r="K157" s="9">
        <v>0</v>
      </c>
      <c r="L157" s="45">
        <v>0</v>
      </c>
      <c r="M157" s="45">
        <f>1</f>
        <v>1</v>
      </c>
      <c r="N157" s="35">
        <v>0</v>
      </c>
      <c r="O157" s="36">
        <v>0</v>
      </c>
      <c r="P157" s="36">
        <v>0.15609596616916432</v>
      </c>
      <c r="Q157" s="36">
        <v>0</v>
      </c>
      <c r="R157" s="36">
        <v>0</v>
      </c>
    </row>
    <row r="158" spans="1:18" x14ac:dyDescent="0.3">
      <c r="A158" s="27">
        <v>0.184</v>
      </c>
      <c r="B158" s="27">
        <v>3.59999999999999E-2</v>
      </c>
      <c r="C158" s="27">
        <v>0.24</v>
      </c>
      <c r="D158" s="27">
        <v>0.65846688499999995</v>
      </c>
      <c r="E158" s="27">
        <v>1</v>
      </c>
      <c r="F158" s="37">
        <v>0.19684529768837272</v>
      </c>
      <c r="G158" s="27">
        <v>0.15199999999999997</v>
      </c>
      <c r="H158" s="27">
        <v>0.16400000000000001</v>
      </c>
      <c r="I158" s="27">
        <v>2.8362847E-2</v>
      </c>
      <c r="J158" s="27">
        <v>0.51657799270485227</v>
      </c>
      <c r="K158" s="9">
        <v>0</v>
      </c>
      <c r="L158" s="45">
        <v>0</v>
      </c>
      <c r="M158" s="45">
        <f>1</f>
        <v>1</v>
      </c>
      <c r="N158" s="35">
        <v>0</v>
      </c>
      <c r="O158" s="36">
        <v>0</v>
      </c>
      <c r="P158" s="36">
        <v>0.15639452781719557</v>
      </c>
      <c r="Q158" s="36">
        <v>0</v>
      </c>
      <c r="R158" s="36">
        <v>0</v>
      </c>
    </row>
    <row r="159" spans="1:18" x14ac:dyDescent="0.3">
      <c r="A159" s="27">
        <v>0.20899999999999999</v>
      </c>
      <c r="B159" s="27">
        <v>3.9E-2</v>
      </c>
      <c r="C159" s="27">
        <v>0.27200000000000002</v>
      </c>
      <c r="D159" s="27">
        <v>0.69550253799999995</v>
      </c>
      <c r="E159" s="27">
        <v>1</v>
      </c>
      <c r="F159" s="37">
        <v>0.27876875131854001</v>
      </c>
      <c r="G159" s="27">
        <v>0.20699999999999999</v>
      </c>
      <c r="H159" s="27">
        <v>0.20400000000000001</v>
      </c>
      <c r="I159" s="27">
        <v>2.7896361000000001E-2</v>
      </c>
      <c r="J159" s="27">
        <v>0.60069289200979381</v>
      </c>
      <c r="K159" s="9">
        <v>0</v>
      </c>
      <c r="L159" s="45">
        <v>0</v>
      </c>
      <c r="M159" s="45">
        <f>1</f>
        <v>1</v>
      </c>
      <c r="N159" s="35">
        <v>0</v>
      </c>
      <c r="O159" s="36">
        <v>0</v>
      </c>
      <c r="P159" s="36">
        <v>0.15639452781719557</v>
      </c>
      <c r="Q159" s="36">
        <v>0</v>
      </c>
      <c r="R159" s="36">
        <v>0</v>
      </c>
    </row>
    <row r="160" spans="1:18" x14ac:dyDescent="0.3">
      <c r="A160" s="27">
        <v>0.20899999999999999</v>
      </c>
      <c r="B160" s="27">
        <v>3.4000000000000002E-2</v>
      </c>
      <c r="C160" s="27">
        <v>0.26400000000000001</v>
      </c>
      <c r="D160" s="27">
        <v>0.72059707900000003</v>
      </c>
      <c r="E160" s="27">
        <v>1</v>
      </c>
      <c r="F160" s="37">
        <v>0.29436189112555872</v>
      </c>
      <c r="G160" s="27">
        <v>0.23899999999999999</v>
      </c>
      <c r="H160" s="27">
        <v>0.21300000000000002</v>
      </c>
      <c r="I160" s="27">
        <v>2.4776212999999998E-2</v>
      </c>
      <c r="J160" s="27">
        <v>0.64461079759786322</v>
      </c>
      <c r="K160" s="9">
        <v>0</v>
      </c>
      <c r="L160" s="45">
        <v>0</v>
      </c>
      <c r="M160" s="45">
        <f>1</f>
        <v>1</v>
      </c>
      <c r="N160" s="35">
        <v>0</v>
      </c>
      <c r="O160" s="36">
        <v>0</v>
      </c>
      <c r="P160" s="36">
        <v>0.15609596616916432</v>
      </c>
      <c r="Q160" s="36">
        <v>0</v>
      </c>
      <c r="R160" s="36">
        <v>0</v>
      </c>
    </row>
    <row r="161" spans="1:18" x14ac:dyDescent="0.3">
      <c r="A161" s="27">
        <v>0.17399999999999999</v>
      </c>
      <c r="B161" s="27">
        <v>2.1999999999999898E-2</v>
      </c>
      <c r="C161" s="27">
        <v>0.20399999999999999</v>
      </c>
      <c r="D161" s="27">
        <v>0.739312894</v>
      </c>
      <c r="E161" s="27">
        <v>1</v>
      </c>
      <c r="F161" s="37">
        <v>0.22696561682992308</v>
      </c>
      <c r="G161" s="27">
        <v>0.21199999999999997</v>
      </c>
      <c r="H161" s="27">
        <v>0.17400000000000002</v>
      </c>
      <c r="I161" s="27">
        <v>2.6833296999999999E-2</v>
      </c>
      <c r="J161" s="27">
        <v>0.59000497674847896</v>
      </c>
      <c r="K161" s="9">
        <v>0</v>
      </c>
      <c r="L161" s="45">
        <v>0</v>
      </c>
      <c r="M161" s="45">
        <f>1</f>
        <v>1</v>
      </c>
      <c r="N161" s="35">
        <v>0</v>
      </c>
      <c r="O161" s="36">
        <v>0</v>
      </c>
      <c r="P161" s="36">
        <v>0.15639452781719557</v>
      </c>
      <c r="Q161" s="36">
        <v>0</v>
      </c>
      <c r="R161" s="36">
        <v>0</v>
      </c>
    </row>
    <row r="162" spans="1:18" x14ac:dyDescent="0.3">
      <c r="A162" s="27">
        <v>0.112</v>
      </c>
      <c r="B162" s="27">
        <v>0</v>
      </c>
      <c r="C162" s="27">
        <v>0.11899999999999901</v>
      </c>
      <c r="D162" s="27">
        <v>0.77701201099999995</v>
      </c>
      <c r="E162" s="27">
        <v>1</v>
      </c>
      <c r="F162" s="37">
        <v>0.13091532353016261</v>
      </c>
      <c r="G162" s="27">
        <v>0.16</v>
      </c>
      <c r="H162" s="27">
        <v>0.112</v>
      </c>
      <c r="I162" s="27">
        <v>3.1570761000000003E-2</v>
      </c>
      <c r="J162" s="27">
        <v>0.48271115095622497</v>
      </c>
      <c r="K162" s="9">
        <v>0</v>
      </c>
      <c r="L162" s="45">
        <v>0</v>
      </c>
      <c r="M162" s="45">
        <f>1</f>
        <v>1</v>
      </c>
      <c r="N162" s="35">
        <v>0</v>
      </c>
      <c r="O162" s="36">
        <v>0</v>
      </c>
      <c r="P162" s="36">
        <v>0.15639452781719557</v>
      </c>
      <c r="Q162" s="36">
        <v>0</v>
      </c>
      <c r="R162" s="36">
        <v>0</v>
      </c>
    </row>
    <row r="163" spans="1:18" x14ac:dyDescent="0.3">
      <c r="A163" s="27">
        <v>2.8000000000000001E-2</v>
      </c>
      <c r="B163" s="27">
        <v>0</v>
      </c>
      <c r="C163" s="27">
        <v>3.2000000000000001E-2</v>
      </c>
      <c r="D163" s="27">
        <v>0.76608125500000002</v>
      </c>
      <c r="E163" s="27">
        <v>0.9624251089213498</v>
      </c>
      <c r="F163" s="37">
        <v>0</v>
      </c>
      <c r="G163" s="27">
        <v>9.0999999999999984E-2</v>
      </c>
      <c r="H163" s="27">
        <v>4.4999999999999998E-2</v>
      </c>
      <c r="I163" s="27">
        <v>3.6470654999999998E-2</v>
      </c>
      <c r="J163" s="27">
        <v>0.12914362781718353</v>
      </c>
      <c r="K163" s="9">
        <v>0</v>
      </c>
      <c r="L163" s="45">
        <v>0</v>
      </c>
      <c r="M163" s="45">
        <f>1</f>
        <v>1</v>
      </c>
      <c r="N163" s="35">
        <v>0</v>
      </c>
      <c r="O163" s="36">
        <v>0</v>
      </c>
      <c r="P163" s="36">
        <v>0.15639452781719557</v>
      </c>
      <c r="Q163" s="36">
        <v>0</v>
      </c>
      <c r="R163" s="36">
        <v>0</v>
      </c>
    </row>
    <row r="164" spans="1:18" x14ac:dyDescent="0.3">
      <c r="A164" s="27">
        <v>0</v>
      </c>
      <c r="B164" s="27">
        <v>0</v>
      </c>
      <c r="C164" s="27">
        <v>0</v>
      </c>
      <c r="D164" s="27">
        <v>0.71677553000000005</v>
      </c>
      <c r="E164" s="27">
        <v>0.83568117885423321</v>
      </c>
      <c r="F164" s="37">
        <v>0</v>
      </c>
      <c r="G164" s="27">
        <v>0</v>
      </c>
      <c r="H164" s="27">
        <v>0</v>
      </c>
      <c r="I164" s="27">
        <v>3.7986382999999999E-2</v>
      </c>
      <c r="J164" s="27">
        <v>1.0749753499332245E-2</v>
      </c>
      <c r="K164" s="9">
        <v>0</v>
      </c>
      <c r="L164" s="45">
        <v>0</v>
      </c>
      <c r="M164" s="45">
        <f>1</f>
        <v>1</v>
      </c>
      <c r="N164" s="35">
        <v>0</v>
      </c>
      <c r="O164" s="36">
        <v>0</v>
      </c>
      <c r="P164" s="36">
        <v>0.15609596616916432</v>
      </c>
      <c r="Q164" s="36">
        <v>0</v>
      </c>
      <c r="R164" s="36">
        <v>0</v>
      </c>
    </row>
    <row r="165" spans="1:18" x14ac:dyDescent="0.3">
      <c r="A165" s="27">
        <v>0</v>
      </c>
      <c r="B165" s="27">
        <v>0</v>
      </c>
      <c r="C165" s="27">
        <v>0</v>
      </c>
      <c r="D165" s="27">
        <v>0.69716506300000003</v>
      </c>
      <c r="E165" s="27">
        <v>0.81262500702260732</v>
      </c>
      <c r="F165" s="37">
        <v>0</v>
      </c>
      <c r="G165" s="27">
        <v>0</v>
      </c>
      <c r="H165" s="27">
        <v>0</v>
      </c>
      <c r="I165" s="27">
        <v>4.0044106000000003E-2</v>
      </c>
      <c r="J165" s="27">
        <v>2.8759975224810805E-3</v>
      </c>
      <c r="K165" s="9">
        <v>0</v>
      </c>
      <c r="L165" s="45">
        <v>0</v>
      </c>
      <c r="M165" s="45">
        <f>1</f>
        <v>1</v>
      </c>
      <c r="N165" s="35">
        <v>0</v>
      </c>
      <c r="O165" s="36">
        <v>0</v>
      </c>
      <c r="P165" s="36">
        <v>0.15639452781719557</v>
      </c>
      <c r="Q165" s="36">
        <v>0</v>
      </c>
      <c r="R165" s="36">
        <v>0</v>
      </c>
    </row>
    <row r="166" spans="1:18" x14ac:dyDescent="0.3">
      <c r="A166" s="27">
        <v>0</v>
      </c>
      <c r="B166" s="27">
        <v>0</v>
      </c>
      <c r="C166" s="27">
        <v>0</v>
      </c>
      <c r="D166" s="27">
        <v>0.702644457</v>
      </c>
      <c r="E166" s="27">
        <v>0.81901186262401848</v>
      </c>
      <c r="F166" s="37">
        <v>0</v>
      </c>
      <c r="G166" s="27">
        <v>0</v>
      </c>
      <c r="H166" s="27">
        <v>0</v>
      </c>
      <c r="I166" s="27">
        <v>4.3377423999999998E-2</v>
      </c>
      <c r="J166" s="27">
        <v>3.1153989042884698E-3</v>
      </c>
      <c r="K166" s="9">
        <v>0</v>
      </c>
      <c r="L166" s="45">
        <v>0</v>
      </c>
      <c r="M166" s="45">
        <f>1</f>
        <v>1</v>
      </c>
      <c r="N166" s="35">
        <v>0</v>
      </c>
      <c r="O166" s="36">
        <v>0</v>
      </c>
      <c r="P166" s="36">
        <v>0.15669308946522681</v>
      </c>
      <c r="Q166" s="36">
        <v>0</v>
      </c>
      <c r="R166" s="36">
        <v>0</v>
      </c>
    </row>
    <row r="167" spans="1:18" x14ac:dyDescent="0.3">
      <c r="A167" s="27">
        <v>0</v>
      </c>
      <c r="B167" s="27">
        <v>0</v>
      </c>
      <c r="C167" s="27">
        <v>0</v>
      </c>
      <c r="D167" s="27">
        <v>0.71687946599999997</v>
      </c>
      <c r="E167" s="27">
        <v>0.83560438124337422</v>
      </c>
      <c r="F167" s="37">
        <v>0</v>
      </c>
      <c r="G167" s="27">
        <v>0</v>
      </c>
      <c r="H167" s="27">
        <v>0</v>
      </c>
      <c r="I167" s="27">
        <v>3.6588979000000001E-2</v>
      </c>
      <c r="J167" s="27">
        <v>2.6278477275560172E-3</v>
      </c>
      <c r="K167" s="9">
        <v>0</v>
      </c>
      <c r="L167" s="45">
        <v>0</v>
      </c>
      <c r="M167" s="45">
        <f>1</f>
        <v>1</v>
      </c>
      <c r="N167" s="35">
        <v>0</v>
      </c>
      <c r="O167" s="36">
        <v>0</v>
      </c>
      <c r="P167" s="36">
        <v>0.1569916511068217</v>
      </c>
      <c r="Q167" s="36">
        <v>0</v>
      </c>
      <c r="R167" s="36">
        <v>0</v>
      </c>
    </row>
    <row r="168" spans="1:18" x14ac:dyDescent="0.3">
      <c r="A168" s="27">
        <v>0</v>
      </c>
      <c r="B168" s="27">
        <v>0</v>
      </c>
      <c r="C168" s="27">
        <v>0</v>
      </c>
      <c r="D168" s="27">
        <v>0.73354011799999996</v>
      </c>
      <c r="E168" s="27">
        <v>0.85502426208226989</v>
      </c>
      <c r="F168" s="37">
        <v>0</v>
      </c>
      <c r="G168" s="27">
        <v>0</v>
      </c>
      <c r="H168" s="27">
        <v>0</v>
      </c>
      <c r="I168" s="27">
        <v>3.7629095000000001E-2</v>
      </c>
      <c r="J168" s="27">
        <v>2.7025496334767769E-3</v>
      </c>
      <c r="K168" s="9">
        <v>0</v>
      </c>
      <c r="L168" s="45">
        <v>0</v>
      </c>
      <c r="M168" s="45">
        <f>1</f>
        <v>1</v>
      </c>
      <c r="N168" s="35">
        <v>0</v>
      </c>
      <c r="O168" s="36">
        <v>0</v>
      </c>
      <c r="P168" s="36">
        <v>0.15758877440288419</v>
      </c>
      <c r="Q168" s="36">
        <v>0</v>
      </c>
      <c r="R168" s="36">
        <v>0</v>
      </c>
    </row>
    <row r="169" spans="1:18" x14ac:dyDescent="0.3">
      <c r="A169" s="27">
        <v>0</v>
      </c>
      <c r="B169" s="27">
        <v>0</v>
      </c>
      <c r="C169" s="27">
        <v>0</v>
      </c>
      <c r="D169" s="27">
        <v>0.75291925000000004</v>
      </c>
      <c r="E169" s="27">
        <v>0.87761283990030681</v>
      </c>
      <c r="F169" s="37">
        <v>0</v>
      </c>
      <c r="G169" s="27">
        <v>0</v>
      </c>
      <c r="H169" s="27">
        <v>0</v>
      </c>
      <c r="I169" s="27">
        <v>4.4449984999999997E-2</v>
      </c>
      <c r="J169" s="27">
        <v>3.1924310342780829E-3</v>
      </c>
      <c r="K169" s="9">
        <v>0</v>
      </c>
      <c r="L169" s="45">
        <v>0</v>
      </c>
      <c r="M169" s="45">
        <f>1</f>
        <v>1</v>
      </c>
      <c r="N169" s="35">
        <v>0</v>
      </c>
      <c r="O169" s="36">
        <v>0</v>
      </c>
      <c r="P169" s="36">
        <v>0.15758877440288419</v>
      </c>
      <c r="Q169" s="36">
        <v>0</v>
      </c>
      <c r="R169" s="36">
        <v>0</v>
      </c>
    </row>
    <row r="170" spans="1:18" x14ac:dyDescent="0.3">
      <c r="A170" s="27">
        <v>0</v>
      </c>
      <c r="B170" s="27"/>
      <c r="C170" s="27"/>
      <c r="D170" s="27">
        <v>0.77290304499999996</v>
      </c>
      <c r="E170" s="27">
        <v>0.90090622107223928</v>
      </c>
      <c r="F170" s="37">
        <v>0</v>
      </c>
      <c r="G170" s="27">
        <v>0</v>
      </c>
      <c r="H170" s="27"/>
      <c r="I170" s="27">
        <v>4.2180932999999997E-2</v>
      </c>
      <c r="J170" s="27">
        <v>3.0294660293812134E-3</v>
      </c>
      <c r="K170" s="9">
        <v>0</v>
      </c>
      <c r="L170" s="46">
        <v>0.6525735857029008</v>
      </c>
      <c r="M170" s="45">
        <f>1</f>
        <v>1</v>
      </c>
      <c r="N170" s="35">
        <v>0.3</v>
      </c>
      <c r="O170" s="36">
        <v>0</v>
      </c>
      <c r="P170" s="36">
        <v>8.4713936843510362E-2</v>
      </c>
      <c r="Q170" s="36">
        <v>0</v>
      </c>
      <c r="R170" s="36">
        <v>0</v>
      </c>
    </row>
    <row r="171" spans="1:18" x14ac:dyDescent="0.3">
      <c r="Q171" s="39"/>
      <c r="R171" s="39"/>
    </row>
    <row r="172" spans="1:18" x14ac:dyDescent="0.3">
      <c r="Q172" s="39"/>
      <c r="R172" s="39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Z170"/>
  <sheetViews>
    <sheetView topLeftCell="N1" workbookViewId="0">
      <selection activeCell="Y13" sqref="Y13"/>
    </sheetView>
  </sheetViews>
  <sheetFormatPr baseColWidth="10" defaultRowHeight="14" x14ac:dyDescent="0.3"/>
  <cols>
    <col min="1" max="1" width="18.7265625" style="64" customWidth="1"/>
    <col min="2" max="3" width="10.90625" style="64"/>
    <col min="4" max="4" width="7.1796875" style="64" bestFit="1" customWidth="1"/>
    <col min="5" max="7" width="19.1796875" style="66" bestFit="1" customWidth="1"/>
    <col min="8" max="10" width="22.1796875" style="66" bestFit="1" customWidth="1"/>
    <col min="11" max="11" width="22.1796875" style="66" customWidth="1"/>
    <col min="12" max="12" width="19.08984375" style="66" bestFit="1" customWidth="1"/>
    <col min="13" max="13" width="19.08984375" style="66" customWidth="1"/>
    <col min="14" max="14" width="19.08984375" style="66" bestFit="1" customWidth="1"/>
    <col min="15" max="15" width="19.08984375" style="66" customWidth="1"/>
    <col min="16" max="23" width="10.90625" style="78"/>
    <col min="24" max="16384" width="10.90625" style="64"/>
  </cols>
  <sheetData>
    <row r="1" spans="1:26" ht="24.5" x14ac:dyDescent="0.45">
      <c r="A1" s="65" t="s">
        <v>146</v>
      </c>
    </row>
    <row r="2" spans="1:26" x14ac:dyDescent="0.3">
      <c r="D2" s="77" t="s">
        <v>147</v>
      </c>
      <c r="E2" s="74" t="s">
        <v>155</v>
      </c>
      <c r="F2" s="74" t="s">
        <v>141</v>
      </c>
      <c r="G2" s="74" t="s">
        <v>142</v>
      </c>
      <c r="H2" s="73" t="s">
        <v>158</v>
      </c>
      <c r="I2" s="73" t="s">
        <v>154</v>
      </c>
      <c r="J2" s="87" t="s">
        <v>59</v>
      </c>
      <c r="K2" s="76" t="s">
        <v>156</v>
      </c>
      <c r="L2" s="76" t="s">
        <v>144</v>
      </c>
      <c r="M2" s="75" t="s">
        <v>159</v>
      </c>
      <c r="N2" s="75" t="s">
        <v>157</v>
      </c>
      <c r="O2" s="76" t="s">
        <v>61</v>
      </c>
      <c r="P2" s="78" t="s">
        <v>155</v>
      </c>
      <c r="Q2" s="78" t="s">
        <v>165</v>
      </c>
      <c r="R2" s="78" t="s">
        <v>164</v>
      </c>
      <c r="S2" s="78" t="s">
        <v>165</v>
      </c>
      <c r="T2" s="78" t="s">
        <v>156</v>
      </c>
      <c r="U2" s="78" t="s">
        <v>165</v>
      </c>
      <c r="V2" s="78" t="s">
        <v>166</v>
      </c>
    </row>
    <row r="3" spans="1:26" x14ac:dyDescent="0.3">
      <c r="A3" s="78"/>
      <c r="B3" s="78"/>
      <c r="D3" s="67">
        <f>1</f>
        <v>1</v>
      </c>
      <c r="E3" s="85">
        <v>0</v>
      </c>
      <c r="F3" s="69">
        <v>0</v>
      </c>
      <c r="G3" s="69">
        <v>0</v>
      </c>
      <c r="H3" s="69">
        <v>31741.699000000001</v>
      </c>
      <c r="I3" s="69">
        <v>1169.32010313</v>
      </c>
      <c r="J3" s="69">
        <f>H3+I3</f>
        <v>32911.019103129998</v>
      </c>
      <c r="K3" s="85">
        <v>0</v>
      </c>
      <c r="L3" s="69">
        <v>0</v>
      </c>
      <c r="M3" s="69">
        <v>5108.7860000000001</v>
      </c>
      <c r="N3" s="69">
        <v>0</v>
      </c>
      <c r="O3" s="70">
        <f>M3+N3</f>
        <v>5108.7860000000001</v>
      </c>
      <c r="P3" s="78">
        <v>0</v>
      </c>
      <c r="Q3" s="78">
        <f>P3/$B$5</f>
        <v>0</v>
      </c>
      <c r="R3" s="78">
        <v>0</v>
      </c>
      <c r="S3" s="78">
        <f>R3/$B$6</f>
        <v>0</v>
      </c>
      <c r="T3" s="78">
        <v>0</v>
      </c>
      <c r="U3" s="78">
        <f>T3/$B$8</f>
        <v>0</v>
      </c>
      <c r="V3" s="78">
        <v>0</v>
      </c>
      <c r="W3" s="78">
        <f>V3/$B$9</f>
        <v>0</v>
      </c>
      <c r="Y3" s="64">
        <v>3.4298386637589148E-2</v>
      </c>
      <c r="Z3" s="64">
        <v>4.2872983276627835E-2</v>
      </c>
    </row>
    <row r="4" spans="1:26" x14ac:dyDescent="0.3">
      <c r="A4" s="88" t="s">
        <v>148</v>
      </c>
      <c r="B4" s="89"/>
      <c r="D4" s="67">
        <f>1+D3</f>
        <v>2</v>
      </c>
      <c r="E4" s="85">
        <v>0</v>
      </c>
      <c r="F4" s="69">
        <v>0</v>
      </c>
      <c r="G4" s="69">
        <v>0</v>
      </c>
      <c r="H4" s="69">
        <v>30099.562999999998</v>
      </c>
      <c r="I4" s="69">
        <v>888.66789827000002</v>
      </c>
      <c r="J4" s="69">
        <f t="shared" ref="J4:J67" si="0">H4+I4</f>
        <v>30988.230898269998</v>
      </c>
      <c r="K4" s="85">
        <v>0</v>
      </c>
      <c r="L4" s="69">
        <v>0</v>
      </c>
      <c r="M4" s="69">
        <v>4819.1030000000001</v>
      </c>
      <c r="N4" s="69">
        <v>0</v>
      </c>
      <c r="O4" s="70">
        <f t="shared" ref="O4:O67" si="1">M4+N4</f>
        <v>4819.1030000000001</v>
      </c>
      <c r="P4" s="78">
        <v>0</v>
      </c>
      <c r="Q4" s="78">
        <f t="shared" ref="Q4:Q67" si="2">P4/$B$5</f>
        <v>0</v>
      </c>
      <c r="R4" s="78">
        <v>0</v>
      </c>
      <c r="S4" s="78">
        <f t="shared" ref="S4:S67" si="3">R4/$B$6</f>
        <v>0</v>
      </c>
      <c r="T4" s="78">
        <v>0</v>
      </c>
      <c r="U4" s="78">
        <f t="shared" ref="U4:U67" si="4">T4/$B$8</f>
        <v>0</v>
      </c>
      <c r="V4" s="78">
        <v>0</v>
      </c>
      <c r="W4" s="78">
        <f t="shared" ref="W4:W67" si="5">V4/$B$9</f>
        <v>0</v>
      </c>
    </row>
    <row r="5" spans="1:26" x14ac:dyDescent="0.3">
      <c r="A5" s="79" t="s">
        <v>151</v>
      </c>
      <c r="B5" s="80">
        <v>83000</v>
      </c>
      <c r="D5" s="67">
        <f t="shared" ref="D5:D68" si="6">1+D4</f>
        <v>3</v>
      </c>
      <c r="E5" s="85">
        <v>0</v>
      </c>
      <c r="F5" s="69">
        <v>0</v>
      </c>
      <c r="G5" s="69">
        <v>0</v>
      </c>
      <c r="H5" s="69">
        <v>28885.16</v>
      </c>
      <c r="I5" s="69">
        <v>1460.14500662</v>
      </c>
      <c r="J5" s="69">
        <f t="shared" si="0"/>
        <v>30345.305006620001</v>
      </c>
      <c r="K5" s="85">
        <v>0</v>
      </c>
      <c r="L5" s="69">
        <v>0</v>
      </c>
      <c r="M5" s="69">
        <v>4387.7039999999997</v>
      </c>
      <c r="N5" s="69">
        <v>0</v>
      </c>
      <c r="O5" s="70">
        <f t="shared" si="1"/>
        <v>4387.7039999999997</v>
      </c>
      <c r="P5" s="78">
        <v>0</v>
      </c>
      <c r="Q5" s="78">
        <f t="shared" si="2"/>
        <v>0</v>
      </c>
      <c r="R5" s="78">
        <v>0</v>
      </c>
      <c r="S5" s="78">
        <f t="shared" si="3"/>
        <v>0</v>
      </c>
      <c r="T5" s="78">
        <v>0</v>
      </c>
      <c r="U5" s="78">
        <f t="shared" si="4"/>
        <v>0</v>
      </c>
      <c r="V5" s="78">
        <v>0</v>
      </c>
      <c r="W5" s="78">
        <f t="shared" si="5"/>
        <v>0</v>
      </c>
    </row>
    <row r="6" spans="1:26" x14ac:dyDescent="0.3">
      <c r="A6" s="81" t="s">
        <v>150</v>
      </c>
      <c r="B6" s="82">
        <v>4805</v>
      </c>
      <c r="D6" s="67">
        <f t="shared" si="6"/>
        <v>4</v>
      </c>
      <c r="E6" s="85">
        <v>0</v>
      </c>
      <c r="F6" s="69">
        <v>0</v>
      </c>
      <c r="G6" s="69">
        <v>0</v>
      </c>
      <c r="H6" s="69">
        <v>28278.065999999999</v>
      </c>
      <c r="I6" s="69">
        <v>2313.93280177</v>
      </c>
      <c r="J6" s="69">
        <f t="shared" si="0"/>
        <v>30591.998801769998</v>
      </c>
      <c r="K6" s="85">
        <v>0</v>
      </c>
      <c r="L6" s="69">
        <v>0</v>
      </c>
      <c r="M6" s="69">
        <v>4234.8289999999997</v>
      </c>
      <c r="N6" s="69">
        <v>0</v>
      </c>
      <c r="O6" s="70">
        <f t="shared" si="1"/>
        <v>4234.8289999999997</v>
      </c>
      <c r="P6" s="78">
        <v>0</v>
      </c>
      <c r="Q6" s="78">
        <f t="shared" si="2"/>
        <v>0</v>
      </c>
      <c r="R6" s="78">
        <v>0</v>
      </c>
      <c r="S6" s="78">
        <f t="shared" si="3"/>
        <v>0</v>
      </c>
      <c r="T6" s="78">
        <v>0</v>
      </c>
      <c r="U6" s="78">
        <f t="shared" si="4"/>
        <v>0</v>
      </c>
      <c r="V6" s="78">
        <v>0</v>
      </c>
      <c r="W6" s="78">
        <f t="shared" si="5"/>
        <v>0</v>
      </c>
    </row>
    <row r="7" spans="1:26" x14ac:dyDescent="0.3">
      <c r="A7" s="83" t="s">
        <v>149</v>
      </c>
      <c r="B7" s="84">
        <v>30000</v>
      </c>
      <c r="D7" s="67">
        <f t="shared" si="6"/>
        <v>5</v>
      </c>
      <c r="E7" s="85">
        <v>0</v>
      </c>
      <c r="F7" s="69">
        <v>0</v>
      </c>
      <c r="G7" s="69">
        <v>0</v>
      </c>
      <c r="H7" s="69">
        <v>28514.219000000001</v>
      </c>
      <c r="I7" s="69">
        <v>2602.54615109</v>
      </c>
      <c r="J7" s="69">
        <f t="shared" si="0"/>
        <v>31116.76515109</v>
      </c>
      <c r="K7" s="85">
        <v>0</v>
      </c>
      <c r="L7" s="69">
        <v>0</v>
      </c>
      <c r="M7" s="69">
        <v>4222.5379999999996</v>
      </c>
      <c r="N7" s="69">
        <v>0</v>
      </c>
      <c r="O7" s="70">
        <f t="shared" si="1"/>
        <v>4222.5379999999996</v>
      </c>
      <c r="P7" s="78">
        <v>0</v>
      </c>
      <c r="Q7" s="78">
        <f t="shared" si="2"/>
        <v>0</v>
      </c>
      <c r="R7" s="78">
        <v>0</v>
      </c>
      <c r="S7" s="78">
        <f t="shared" si="3"/>
        <v>0</v>
      </c>
      <c r="T7" s="78">
        <v>0</v>
      </c>
      <c r="U7" s="78">
        <f t="shared" si="4"/>
        <v>0</v>
      </c>
      <c r="V7" s="78">
        <v>0</v>
      </c>
      <c r="W7" s="78">
        <f t="shared" si="5"/>
        <v>0</v>
      </c>
    </row>
    <row r="8" spans="1:26" x14ac:dyDescent="0.3">
      <c r="A8" s="79" t="s">
        <v>152</v>
      </c>
      <c r="B8" s="80">
        <v>14378.2</v>
      </c>
      <c r="D8" s="67">
        <f t="shared" si="6"/>
        <v>6</v>
      </c>
      <c r="E8" s="85">
        <v>0</v>
      </c>
      <c r="F8" s="69">
        <v>0</v>
      </c>
      <c r="G8" s="69">
        <v>0</v>
      </c>
      <c r="H8" s="69">
        <v>29517.69</v>
      </c>
      <c r="I8" s="69">
        <v>2801.3606452399999</v>
      </c>
      <c r="J8" s="69">
        <f t="shared" si="0"/>
        <v>32319.05064524</v>
      </c>
      <c r="K8" s="85">
        <v>0</v>
      </c>
      <c r="L8" s="69">
        <v>0</v>
      </c>
      <c r="M8" s="69">
        <v>4353.5569999999998</v>
      </c>
      <c r="N8" s="69">
        <v>0</v>
      </c>
      <c r="O8" s="70">
        <f t="shared" si="1"/>
        <v>4353.5569999999998</v>
      </c>
      <c r="P8" s="78">
        <v>0</v>
      </c>
      <c r="Q8" s="78">
        <f t="shared" si="2"/>
        <v>0</v>
      </c>
      <c r="R8" s="78">
        <v>0</v>
      </c>
      <c r="S8" s="78">
        <f t="shared" si="3"/>
        <v>0</v>
      </c>
      <c r="T8" s="78">
        <v>0</v>
      </c>
      <c r="U8" s="78">
        <f t="shared" si="4"/>
        <v>0</v>
      </c>
      <c r="V8" s="78">
        <v>0</v>
      </c>
      <c r="W8" s="78">
        <f t="shared" si="5"/>
        <v>0</v>
      </c>
    </row>
    <row r="9" spans="1:26" x14ac:dyDescent="0.3">
      <c r="A9" s="83" t="s">
        <v>153</v>
      </c>
      <c r="B9" s="84">
        <v>9659.9</v>
      </c>
      <c r="D9" s="67">
        <f t="shared" si="6"/>
        <v>7</v>
      </c>
      <c r="E9" s="85">
        <v>0</v>
      </c>
      <c r="F9" s="69">
        <v>0</v>
      </c>
      <c r="G9" s="69">
        <v>0</v>
      </c>
      <c r="H9" s="69">
        <v>31303.323</v>
      </c>
      <c r="I9" s="69">
        <v>3547.0086195099998</v>
      </c>
      <c r="J9" s="69">
        <f t="shared" si="0"/>
        <v>34850.331619509998</v>
      </c>
      <c r="K9" s="85">
        <v>0</v>
      </c>
      <c r="L9" s="69">
        <v>0</v>
      </c>
      <c r="M9" s="69">
        <v>4546.4669999999996</v>
      </c>
      <c r="N9" s="69">
        <v>0</v>
      </c>
      <c r="O9" s="70">
        <f t="shared" si="1"/>
        <v>4546.4669999999996</v>
      </c>
      <c r="P9" s="78">
        <v>0</v>
      </c>
      <c r="Q9" s="78">
        <f t="shared" si="2"/>
        <v>0</v>
      </c>
      <c r="R9" s="78">
        <v>0</v>
      </c>
      <c r="S9" s="78">
        <f t="shared" si="3"/>
        <v>0</v>
      </c>
      <c r="T9" s="78">
        <v>0</v>
      </c>
      <c r="U9" s="78">
        <f t="shared" si="4"/>
        <v>0</v>
      </c>
      <c r="V9" s="78">
        <v>0</v>
      </c>
      <c r="W9" s="78">
        <f t="shared" si="5"/>
        <v>0</v>
      </c>
      <c r="Y9" s="64">
        <v>1.7686072218128224E-3</v>
      </c>
      <c r="Z9" s="64">
        <v>2.2107590272660281E-3</v>
      </c>
    </row>
    <row r="10" spans="1:26" x14ac:dyDescent="0.3">
      <c r="A10" s="78"/>
      <c r="B10" s="78"/>
      <c r="D10" s="67">
        <f t="shared" si="6"/>
        <v>8</v>
      </c>
      <c r="E10" s="85">
        <v>0</v>
      </c>
      <c r="F10" s="69">
        <v>0</v>
      </c>
      <c r="G10" s="69">
        <v>0</v>
      </c>
      <c r="H10" s="69">
        <v>33072.214</v>
      </c>
      <c r="I10" s="69">
        <v>3967.9018050700001</v>
      </c>
      <c r="J10" s="69">
        <f t="shared" si="0"/>
        <v>37040.115805070003</v>
      </c>
      <c r="K10" s="85">
        <v>0</v>
      </c>
      <c r="L10" s="69">
        <v>0</v>
      </c>
      <c r="M10" s="69">
        <v>4670.4759999999997</v>
      </c>
      <c r="N10" s="69">
        <v>0</v>
      </c>
      <c r="O10" s="70">
        <f t="shared" si="1"/>
        <v>4670.4759999999997</v>
      </c>
      <c r="P10" s="78">
        <v>0</v>
      </c>
      <c r="Q10" s="78">
        <f t="shared" si="2"/>
        <v>0</v>
      </c>
      <c r="R10" s="78">
        <v>0</v>
      </c>
      <c r="S10" s="78">
        <f t="shared" si="3"/>
        <v>0</v>
      </c>
      <c r="T10" s="78">
        <v>0</v>
      </c>
      <c r="U10" s="78">
        <f t="shared" si="4"/>
        <v>0</v>
      </c>
      <c r="V10" s="78">
        <v>0</v>
      </c>
      <c r="W10" s="78">
        <f t="shared" si="5"/>
        <v>0</v>
      </c>
    </row>
    <row r="11" spans="1:26" x14ac:dyDescent="0.3">
      <c r="D11" s="67">
        <f t="shared" si="6"/>
        <v>9</v>
      </c>
      <c r="E11" s="85">
        <v>0</v>
      </c>
      <c r="F11" s="69">
        <v>0</v>
      </c>
      <c r="G11" s="69">
        <v>0</v>
      </c>
      <c r="H11" s="69">
        <v>34068.637999999999</v>
      </c>
      <c r="I11" s="69">
        <v>3830.0583072999998</v>
      </c>
      <c r="J11" s="69">
        <f t="shared" si="0"/>
        <v>37898.696307300001</v>
      </c>
      <c r="K11" s="85">
        <v>0</v>
      </c>
      <c r="L11" s="69">
        <v>0</v>
      </c>
      <c r="M11" s="69">
        <v>4713.0320000000002</v>
      </c>
      <c r="N11" s="69">
        <v>0</v>
      </c>
      <c r="O11" s="70">
        <f t="shared" si="1"/>
        <v>4713.0320000000002</v>
      </c>
      <c r="P11" s="78">
        <v>0</v>
      </c>
      <c r="Q11" s="78">
        <f t="shared" si="2"/>
        <v>0</v>
      </c>
      <c r="R11" s="78">
        <v>0</v>
      </c>
      <c r="S11" s="78">
        <f t="shared" si="3"/>
        <v>0</v>
      </c>
      <c r="T11" s="78">
        <v>0</v>
      </c>
      <c r="U11" s="78">
        <f t="shared" si="4"/>
        <v>0</v>
      </c>
      <c r="V11" s="78">
        <v>0</v>
      </c>
      <c r="W11" s="78">
        <f t="shared" si="5"/>
        <v>0</v>
      </c>
    </row>
    <row r="12" spans="1:26" x14ac:dyDescent="0.3">
      <c r="D12" s="67">
        <f t="shared" si="6"/>
        <v>10</v>
      </c>
      <c r="E12" s="85">
        <v>4.2000000000000003E-2</v>
      </c>
      <c r="F12" s="69">
        <v>7.0999999999999994E-2</v>
      </c>
      <c r="G12" s="69">
        <v>0.13100000000000001</v>
      </c>
      <c r="H12" s="69">
        <v>35359.432999999997</v>
      </c>
      <c r="I12" s="69">
        <v>2387.89148776</v>
      </c>
      <c r="J12" s="69">
        <f t="shared" si="0"/>
        <v>37747.324487759994</v>
      </c>
      <c r="K12" s="85">
        <v>1.4999999999999999E-2</v>
      </c>
      <c r="L12" s="69">
        <v>1.4999999999999999E-2</v>
      </c>
      <c r="M12" s="69">
        <v>4911.3090000000002</v>
      </c>
      <c r="N12" s="69">
        <v>0</v>
      </c>
      <c r="O12" s="70">
        <f t="shared" si="1"/>
        <v>4911.3090000000002</v>
      </c>
      <c r="P12" s="78">
        <v>10126</v>
      </c>
      <c r="Q12" s="78">
        <f t="shared" si="2"/>
        <v>0.122</v>
      </c>
      <c r="R12" s="78">
        <v>341.15499999999997</v>
      </c>
      <c r="S12" s="78">
        <f t="shared" si="3"/>
        <v>7.0999999999999994E-2</v>
      </c>
      <c r="T12" s="78">
        <v>1063.9867999999999</v>
      </c>
      <c r="U12" s="78">
        <f t="shared" si="4"/>
        <v>7.3999999999999996E-2</v>
      </c>
      <c r="V12" s="78">
        <v>367.07619999999997</v>
      </c>
      <c r="W12" s="78">
        <f t="shared" si="5"/>
        <v>3.7999999999999999E-2</v>
      </c>
    </row>
    <row r="13" spans="1:26" x14ac:dyDescent="0.3">
      <c r="D13" s="67">
        <f t="shared" si="6"/>
        <v>11</v>
      </c>
      <c r="E13" s="85">
        <v>0.157</v>
      </c>
      <c r="F13" s="69">
        <v>0.188</v>
      </c>
      <c r="G13" s="69">
        <v>0.30499999999999999</v>
      </c>
      <c r="H13" s="69">
        <v>35771.872000000003</v>
      </c>
      <c r="I13" s="69">
        <v>1889.8543081600001</v>
      </c>
      <c r="J13" s="69">
        <f t="shared" si="0"/>
        <v>37661.726308160003</v>
      </c>
      <c r="K13" s="85">
        <v>5.7999999999999996E-2</v>
      </c>
      <c r="L13" s="69">
        <v>6.5000000000000002E-2</v>
      </c>
      <c r="M13" s="69">
        <v>5033.2820000000002</v>
      </c>
      <c r="N13" s="69">
        <v>0</v>
      </c>
      <c r="O13" s="70">
        <f t="shared" si="1"/>
        <v>5033.2820000000002</v>
      </c>
      <c r="P13" s="78">
        <v>25979</v>
      </c>
      <c r="Q13" s="78">
        <f t="shared" si="2"/>
        <v>0.313</v>
      </c>
      <c r="R13" s="78">
        <v>903.34</v>
      </c>
      <c r="S13" s="78">
        <f t="shared" si="3"/>
        <v>0.188</v>
      </c>
      <c r="T13" s="78">
        <v>3810.223</v>
      </c>
      <c r="U13" s="78">
        <f t="shared" si="4"/>
        <v>0.26499999999999996</v>
      </c>
      <c r="V13" s="78">
        <v>1371.7058</v>
      </c>
      <c r="W13" s="78">
        <f t="shared" si="5"/>
        <v>0.14199999999999999</v>
      </c>
    </row>
    <row r="14" spans="1:26" x14ac:dyDescent="0.3">
      <c r="D14" s="67">
        <f t="shared" si="6"/>
        <v>12</v>
      </c>
      <c r="E14" s="85">
        <v>0.22800000000000001</v>
      </c>
      <c r="F14" s="69">
        <v>0.31</v>
      </c>
      <c r="G14" s="69">
        <v>0.442</v>
      </c>
      <c r="H14" s="69">
        <v>36558.857000000004</v>
      </c>
      <c r="I14" s="69">
        <v>2380.3125980899999</v>
      </c>
      <c r="J14" s="69">
        <f t="shared" si="0"/>
        <v>38939.169598090004</v>
      </c>
      <c r="K14" s="85">
        <v>9.0999999999999998E-2</v>
      </c>
      <c r="L14" s="69">
        <v>0.115</v>
      </c>
      <c r="M14" s="69">
        <v>5241.0720000000001</v>
      </c>
      <c r="N14" s="69">
        <v>0</v>
      </c>
      <c r="O14" s="70">
        <f t="shared" si="1"/>
        <v>5241.0720000000001</v>
      </c>
      <c r="P14" s="78">
        <v>31457</v>
      </c>
      <c r="Q14" s="78">
        <f t="shared" si="2"/>
        <v>0.379</v>
      </c>
      <c r="R14" s="78">
        <v>1489.55</v>
      </c>
      <c r="S14" s="78">
        <f t="shared" si="3"/>
        <v>0.31</v>
      </c>
      <c r="T14" s="78">
        <v>6355.1643999999997</v>
      </c>
      <c r="U14" s="78">
        <f t="shared" si="4"/>
        <v>0.44199999999999995</v>
      </c>
      <c r="V14" s="78">
        <v>2424.6349</v>
      </c>
      <c r="W14" s="78">
        <f t="shared" si="5"/>
        <v>0.251</v>
      </c>
    </row>
    <row r="15" spans="1:26" x14ac:dyDescent="0.3">
      <c r="D15" s="67">
        <f t="shared" si="6"/>
        <v>13</v>
      </c>
      <c r="E15" s="85">
        <v>0.245</v>
      </c>
      <c r="F15" s="69">
        <v>0.38900000000000001</v>
      </c>
      <c r="G15" s="69">
        <v>0.51</v>
      </c>
      <c r="H15" s="69">
        <v>37443.358999999997</v>
      </c>
      <c r="I15" s="69">
        <v>2602.6944411600002</v>
      </c>
      <c r="J15" s="69">
        <f t="shared" si="0"/>
        <v>40046.053441159995</v>
      </c>
      <c r="K15" s="85">
        <v>0.10199999999999999</v>
      </c>
      <c r="L15" s="69">
        <v>0.13699999999999998</v>
      </c>
      <c r="M15" s="69">
        <v>5572.7849999999999</v>
      </c>
      <c r="N15" s="69">
        <v>0</v>
      </c>
      <c r="O15" s="70">
        <f t="shared" si="1"/>
        <v>5572.7849999999999</v>
      </c>
      <c r="P15" s="78">
        <v>32453</v>
      </c>
      <c r="Q15" s="78">
        <f t="shared" si="2"/>
        <v>0.39100000000000001</v>
      </c>
      <c r="R15" s="78">
        <v>1869.145</v>
      </c>
      <c r="S15" s="78">
        <f t="shared" si="3"/>
        <v>0.38900000000000001</v>
      </c>
      <c r="T15" s="78">
        <v>7879.2536</v>
      </c>
      <c r="U15" s="78">
        <f t="shared" si="4"/>
        <v>0.54799999999999993</v>
      </c>
      <c r="V15" s="78">
        <v>3120.1477</v>
      </c>
      <c r="W15" s="78">
        <f t="shared" si="5"/>
        <v>0.32300000000000001</v>
      </c>
    </row>
    <row r="16" spans="1:26" x14ac:dyDescent="0.3">
      <c r="D16" s="67">
        <f t="shared" si="6"/>
        <v>14</v>
      </c>
      <c r="E16" s="85">
        <v>0.23500000000000001</v>
      </c>
      <c r="F16" s="69">
        <v>0.39899999999999997</v>
      </c>
      <c r="G16" s="69">
        <v>0.51100000000000001</v>
      </c>
      <c r="H16" s="69">
        <v>37784.137000000002</v>
      </c>
      <c r="I16" s="69">
        <v>2314.1030445299998</v>
      </c>
      <c r="J16" s="69">
        <f t="shared" si="0"/>
        <v>40098.240044530001</v>
      </c>
      <c r="K16" s="85">
        <v>9.8000000000000004E-2</v>
      </c>
      <c r="L16" s="69">
        <v>0.13</v>
      </c>
      <c r="M16" s="69">
        <v>5282.482</v>
      </c>
      <c r="N16" s="69">
        <v>0</v>
      </c>
      <c r="O16" s="70">
        <f t="shared" si="1"/>
        <v>5282.482</v>
      </c>
      <c r="P16" s="78">
        <v>32287</v>
      </c>
      <c r="Q16" s="78">
        <f t="shared" si="2"/>
        <v>0.38900000000000001</v>
      </c>
      <c r="R16" s="78">
        <v>1917.1949999999999</v>
      </c>
      <c r="S16" s="78">
        <f t="shared" si="3"/>
        <v>0.39899999999999997</v>
      </c>
      <c r="T16" s="78">
        <v>8353.7342000000008</v>
      </c>
      <c r="U16" s="78">
        <f t="shared" si="4"/>
        <v>0.58100000000000007</v>
      </c>
      <c r="V16" s="78">
        <v>3361.6451999999999</v>
      </c>
      <c r="W16" s="78">
        <f t="shared" si="5"/>
        <v>0.34800000000000003</v>
      </c>
    </row>
    <row r="17" spans="4:23" x14ac:dyDescent="0.3">
      <c r="D17" s="67">
        <f t="shared" si="6"/>
        <v>15</v>
      </c>
      <c r="E17" s="85">
        <v>0.15</v>
      </c>
      <c r="F17" s="69">
        <v>0.34799999999999998</v>
      </c>
      <c r="G17" s="69">
        <v>0.45100000000000001</v>
      </c>
      <c r="H17" s="69">
        <v>37011.836000000003</v>
      </c>
      <c r="I17" s="69">
        <v>1735.9122407699999</v>
      </c>
      <c r="J17" s="69">
        <f t="shared" si="0"/>
        <v>38747.748240770001</v>
      </c>
      <c r="K17" s="85">
        <v>0.09</v>
      </c>
      <c r="L17" s="69">
        <v>9.9000000000000005E-2</v>
      </c>
      <c r="M17" s="69">
        <v>5002.3549999999996</v>
      </c>
      <c r="N17" s="69">
        <v>0</v>
      </c>
      <c r="O17" s="70">
        <f t="shared" si="1"/>
        <v>5002.3549999999996</v>
      </c>
      <c r="P17" s="78">
        <v>31374</v>
      </c>
      <c r="Q17" s="78">
        <f t="shared" si="2"/>
        <v>0.378</v>
      </c>
      <c r="R17" s="78">
        <v>1672.14</v>
      </c>
      <c r="S17" s="78">
        <f t="shared" si="3"/>
        <v>0.34800000000000003</v>
      </c>
      <c r="T17" s="78">
        <v>7792.9844000000003</v>
      </c>
      <c r="U17" s="78">
        <f t="shared" si="4"/>
        <v>0.54200000000000004</v>
      </c>
      <c r="V17" s="78">
        <v>3120.1477</v>
      </c>
      <c r="W17" s="78">
        <f t="shared" si="5"/>
        <v>0.32300000000000001</v>
      </c>
    </row>
    <row r="18" spans="4:23" x14ac:dyDescent="0.3">
      <c r="D18" s="67">
        <f t="shared" si="6"/>
        <v>16</v>
      </c>
      <c r="E18" s="85">
        <v>0.03</v>
      </c>
      <c r="F18" s="69">
        <v>0.253</v>
      </c>
      <c r="G18" s="69">
        <v>0.34899999999999998</v>
      </c>
      <c r="H18" s="69">
        <v>36719.425000000003</v>
      </c>
      <c r="I18" s="69">
        <v>1480.27747864</v>
      </c>
      <c r="J18" s="69">
        <f t="shared" si="0"/>
        <v>38199.70247864</v>
      </c>
      <c r="K18" s="85">
        <v>3.59999999999999E-2</v>
      </c>
      <c r="L18" s="69">
        <v>4.4999999999999998E-2</v>
      </c>
      <c r="M18" s="69">
        <v>5027.03</v>
      </c>
      <c r="N18" s="69">
        <v>0</v>
      </c>
      <c r="O18" s="70">
        <f t="shared" si="1"/>
        <v>5027.03</v>
      </c>
      <c r="P18" s="78">
        <v>29465</v>
      </c>
      <c r="Q18" s="78">
        <f t="shared" si="2"/>
        <v>0.35499999999999998</v>
      </c>
      <c r="R18" s="78">
        <v>1215.665</v>
      </c>
      <c r="S18" s="78">
        <f t="shared" si="3"/>
        <v>0.253</v>
      </c>
      <c r="T18" s="78">
        <v>6340.7861999999996</v>
      </c>
      <c r="U18" s="78">
        <f t="shared" si="4"/>
        <v>0.44099999999999995</v>
      </c>
      <c r="V18" s="78">
        <v>2424.6349</v>
      </c>
      <c r="W18" s="78">
        <f t="shared" si="5"/>
        <v>0.251</v>
      </c>
    </row>
    <row r="19" spans="4:23" x14ac:dyDescent="0.3">
      <c r="D19" s="67">
        <f t="shared" si="6"/>
        <v>17</v>
      </c>
      <c r="E19" s="85">
        <v>0</v>
      </c>
      <c r="F19" s="69">
        <v>0.128</v>
      </c>
      <c r="G19" s="69">
        <v>0.20699999999999999</v>
      </c>
      <c r="H19" s="69">
        <v>37509.415000000001</v>
      </c>
      <c r="I19" s="69">
        <v>1494.42451018</v>
      </c>
      <c r="J19" s="69">
        <f t="shared" si="0"/>
        <v>39003.839510179998</v>
      </c>
      <c r="K19" s="85">
        <v>0</v>
      </c>
      <c r="L19" s="69">
        <v>0</v>
      </c>
      <c r="M19" s="69">
        <v>5250.4759999999997</v>
      </c>
      <c r="N19" s="69">
        <v>0</v>
      </c>
      <c r="O19" s="70">
        <f t="shared" si="1"/>
        <v>5250.4759999999997</v>
      </c>
      <c r="P19" s="78">
        <v>20916</v>
      </c>
      <c r="Q19" s="78">
        <f t="shared" si="2"/>
        <v>0.252</v>
      </c>
      <c r="R19" s="78">
        <v>615.04</v>
      </c>
      <c r="S19" s="78">
        <f t="shared" si="3"/>
        <v>0.128</v>
      </c>
      <c r="T19" s="78">
        <v>4227.1908000000003</v>
      </c>
      <c r="U19" s="78">
        <f t="shared" si="4"/>
        <v>0.29399999999999998</v>
      </c>
      <c r="V19" s="78">
        <v>1468.3047999999999</v>
      </c>
      <c r="W19" s="78">
        <f t="shared" si="5"/>
        <v>0.152</v>
      </c>
    </row>
    <row r="20" spans="4:23" x14ac:dyDescent="0.3">
      <c r="D20" s="67">
        <f t="shared" si="6"/>
        <v>18</v>
      </c>
      <c r="E20" s="85">
        <v>0</v>
      </c>
      <c r="F20" s="69">
        <v>1.3000000000000001E-2</v>
      </c>
      <c r="G20" s="69">
        <v>5.2000000000000005E-2</v>
      </c>
      <c r="H20" s="69">
        <v>40069.400999999998</v>
      </c>
      <c r="I20" s="69">
        <v>1594.91699021</v>
      </c>
      <c r="J20" s="69">
        <f t="shared" si="0"/>
        <v>41664.317990209995</v>
      </c>
      <c r="K20" s="85">
        <v>0</v>
      </c>
      <c r="L20" s="69">
        <v>0</v>
      </c>
      <c r="M20" s="69">
        <v>5897.9110000000001</v>
      </c>
      <c r="N20" s="69">
        <v>0</v>
      </c>
      <c r="O20" s="70">
        <f t="shared" si="1"/>
        <v>5897.9110000000001</v>
      </c>
      <c r="P20" s="78">
        <v>4565</v>
      </c>
      <c r="Q20" s="78">
        <f t="shared" si="2"/>
        <v>5.5E-2</v>
      </c>
      <c r="R20" s="78">
        <v>62.465000000000003</v>
      </c>
      <c r="S20" s="78">
        <f t="shared" si="3"/>
        <v>1.3000000000000001E-2</v>
      </c>
      <c r="T20" s="78">
        <v>1739.7621999999999</v>
      </c>
      <c r="U20" s="78">
        <f t="shared" si="4"/>
        <v>0.12099999999999998</v>
      </c>
      <c r="V20" s="78">
        <v>511.97469999999998</v>
      </c>
      <c r="W20" s="78">
        <f t="shared" si="5"/>
        <v>5.2999999999999999E-2</v>
      </c>
    </row>
    <row r="21" spans="4:23" x14ac:dyDescent="0.3">
      <c r="D21" s="67">
        <f t="shared" si="6"/>
        <v>19</v>
      </c>
      <c r="E21" s="85">
        <v>0</v>
      </c>
      <c r="F21" s="69">
        <v>0</v>
      </c>
      <c r="G21" s="69">
        <v>0</v>
      </c>
      <c r="H21" s="69">
        <v>41869.760999999999</v>
      </c>
      <c r="I21" s="69">
        <v>1721.6878512000001</v>
      </c>
      <c r="J21" s="69">
        <f t="shared" si="0"/>
        <v>43591.448851199995</v>
      </c>
      <c r="K21" s="85">
        <v>0</v>
      </c>
      <c r="L21" s="69">
        <v>0</v>
      </c>
      <c r="M21" s="69">
        <v>6460.5529999999999</v>
      </c>
      <c r="N21" s="69">
        <v>202.78072</v>
      </c>
      <c r="O21" s="70">
        <f t="shared" si="1"/>
        <v>6663.3337199999996</v>
      </c>
      <c r="P21" s="78">
        <v>0</v>
      </c>
      <c r="Q21" s="78">
        <f t="shared" si="2"/>
        <v>0</v>
      </c>
      <c r="R21" s="78">
        <v>0</v>
      </c>
      <c r="S21" s="78">
        <f t="shared" si="3"/>
        <v>0</v>
      </c>
      <c r="T21" s="78">
        <v>0</v>
      </c>
      <c r="U21" s="78">
        <f t="shared" si="4"/>
        <v>0</v>
      </c>
      <c r="V21" s="78">
        <v>0</v>
      </c>
      <c r="W21" s="78">
        <f t="shared" si="5"/>
        <v>0</v>
      </c>
    </row>
    <row r="22" spans="4:23" x14ac:dyDescent="0.3">
      <c r="D22" s="67">
        <f t="shared" si="6"/>
        <v>20</v>
      </c>
      <c r="E22" s="85">
        <v>0</v>
      </c>
      <c r="F22" s="69">
        <v>0</v>
      </c>
      <c r="G22" s="69">
        <v>0</v>
      </c>
      <c r="H22" s="69">
        <v>42326.976000000002</v>
      </c>
      <c r="I22" s="69">
        <v>1856.2611563999999</v>
      </c>
      <c r="J22" s="69">
        <f t="shared" si="0"/>
        <v>44183.237156400006</v>
      </c>
      <c r="K22" s="85">
        <v>0</v>
      </c>
      <c r="L22" s="69">
        <v>0</v>
      </c>
      <c r="M22" s="69">
        <v>6579.66</v>
      </c>
      <c r="N22" s="69">
        <v>199.60531915000001</v>
      </c>
      <c r="O22" s="70">
        <f t="shared" si="1"/>
        <v>6779.2653191499994</v>
      </c>
      <c r="P22" s="78">
        <v>0</v>
      </c>
      <c r="Q22" s="78">
        <f t="shared" si="2"/>
        <v>0</v>
      </c>
      <c r="R22" s="78">
        <v>0</v>
      </c>
      <c r="S22" s="78">
        <f t="shared" si="3"/>
        <v>0</v>
      </c>
      <c r="T22" s="78">
        <v>0</v>
      </c>
      <c r="U22" s="78">
        <f t="shared" si="4"/>
        <v>0</v>
      </c>
      <c r="V22" s="78">
        <v>0</v>
      </c>
      <c r="W22" s="78">
        <f t="shared" si="5"/>
        <v>0</v>
      </c>
    </row>
    <row r="23" spans="4:23" x14ac:dyDescent="0.3">
      <c r="D23" s="67">
        <f t="shared" si="6"/>
        <v>21</v>
      </c>
      <c r="E23" s="85">
        <v>0</v>
      </c>
      <c r="F23" s="69">
        <v>0</v>
      </c>
      <c r="G23" s="69">
        <v>0</v>
      </c>
      <c r="H23" s="69">
        <v>41738.434000000001</v>
      </c>
      <c r="I23" s="69">
        <v>1829.2845996900001</v>
      </c>
      <c r="J23" s="69">
        <f t="shared" si="0"/>
        <v>43567.718599690001</v>
      </c>
      <c r="K23" s="85">
        <v>0</v>
      </c>
      <c r="L23" s="69">
        <v>0</v>
      </c>
      <c r="M23" s="69">
        <v>6401.134</v>
      </c>
      <c r="N23" s="69">
        <v>122.0287234</v>
      </c>
      <c r="O23" s="70">
        <f t="shared" si="1"/>
        <v>6523.1627233999998</v>
      </c>
      <c r="P23" s="78">
        <v>0</v>
      </c>
      <c r="Q23" s="78">
        <f t="shared" si="2"/>
        <v>0</v>
      </c>
      <c r="R23" s="78">
        <v>0</v>
      </c>
      <c r="S23" s="78">
        <f t="shared" si="3"/>
        <v>0</v>
      </c>
      <c r="T23" s="78">
        <v>0</v>
      </c>
      <c r="U23" s="78">
        <f t="shared" si="4"/>
        <v>0</v>
      </c>
      <c r="V23" s="78">
        <v>0</v>
      </c>
      <c r="W23" s="78">
        <f t="shared" si="5"/>
        <v>0</v>
      </c>
    </row>
    <row r="24" spans="4:23" x14ac:dyDescent="0.3">
      <c r="D24" s="67">
        <f t="shared" si="6"/>
        <v>22</v>
      </c>
      <c r="E24" s="85">
        <v>0</v>
      </c>
      <c r="F24" s="69">
        <v>0</v>
      </c>
      <c r="G24" s="69">
        <v>0</v>
      </c>
      <c r="H24" s="69">
        <v>40187.006000000001</v>
      </c>
      <c r="I24" s="69">
        <v>1756.4523769</v>
      </c>
      <c r="J24" s="69">
        <f t="shared" si="0"/>
        <v>41943.458376900002</v>
      </c>
      <c r="K24" s="85">
        <v>0</v>
      </c>
      <c r="L24" s="69">
        <v>0</v>
      </c>
      <c r="M24" s="69">
        <v>6011.4380000000001</v>
      </c>
      <c r="N24" s="69">
        <v>65.879787230000005</v>
      </c>
      <c r="O24" s="70">
        <f t="shared" si="1"/>
        <v>6077.3177872300002</v>
      </c>
      <c r="P24" s="78">
        <v>0</v>
      </c>
      <c r="Q24" s="78">
        <f t="shared" si="2"/>
        <v>0</v>
      </c>
      <c r="R24" s="78">
        <v>0</v>
      </c>
      <c r="S24" s="78">
        <f t="shared" si="3"/>
        <v>0</v>
      </c>
      <c r="T24" s="78">
        <v>0</v>
      </c>
      <c r="U24" s="78">
        <f t="shared" si="4"/>
        <v>0</v>
      </c>
      <c r="V24" s="78">
        <v>0</v>
      </c>
      <c r="W24" s="78">
        <f t="shared" si="5"/>
        <v>0</v>
      </c>
    </row>
    <row r="25" spans="4:23" x14ac:dyDescent="0.3">
      <c r="D25" s="67">
        <f t="shared" si="6"/>
        <v>23</v>
      </c>
      <c r="E25" s="85">
        <v>0</v>
      </c>
      <c r="F25" s="69">
        <v>0</v>
      </c>
      <c r="G25" s="69">
        <v>0</v>
      </c>
      <c r="H25" s="69">
        <v>37830.438000000002</v>
      </c>
      <c r="I25" s="69">
        <v>1767.06476492</v>
      </c>
      <c r="J25" s="69">
        <f t="shared" si="0"/>
        <v>39597.502764920006</v>
      </c>
      <c r="K25" s="85">
        <v>0</v>
      </c>
      <c r="L25" s="69">
        <v>0</v>
      </c>
      <c r="M25" s="69">
        <v>6214.9660000000003</v>
      </c>
      <c r="N25" s="69">
        <v>233.64574468000001</v>
      </c>
      <c r="O25" s="70">
        <f t="shared" si="1"/>
        <v>6448.6117446799999</v>
      </c>
      <c r="P25" s="78">
        <v>0</v>
      </c>
      <c r="Q25" s="78">
        <f t="shared" si="2"/>
        <v>0</v>
      </c>
      <c r="R25" s="78">
        <v>0</v>
      </c>
      <c r="S25" s="78">
        <f t="shared" si="3"/>
        <v>0</v>
      </c>
      <c r="T25" s="78">
        <v>0</v>
      </c>
      <c r="U25" s="78">
        <f t="shared" si="4"/>
        <v>0</v>
      </c>
      <c r="V25" s="78">
        <v>0</v>
      </c>
      <c r="W25" s="78">
        <f t="shared" si="5"/>
        <v>0</v>
      </c>
    </row>
    <row r="26" spans="4:23" x14ac:dyDescent="0.3">
      <c r="D26" s="67">
        <f t="shared" si="6"/>
        <v>24</v>
      </c>
      <c r="E26" s="85">
        <v>0</v>
      </c>
      <c r="F26" s="69">
        <v>0</v>
      </c>
      <c r="G26" s="69">
        <v>0</v>
      </c>
      <c r="H26" s="69">
        <v>35243.232000000004</v>
      </c>
      <c r="I26" s="69">
        <v>1471.6367999399999</v>
      </c>
      <c r="J26" s="69">
        <f t="shared" si="0"/>
        <v>36714.868799940006</v>
      </c>
      <c r="K26" s="85">
        <v>0</v>
      </c>
      <c r="L26" s="69">
        <v>0</v>
      </c>
      <c r="M26" s="69">
        <v>5844.1</v>
      </c>
      <c r="N26" s="69">
        <v>273.91840000000002</v>
      </c>
      <c r="O26" s="70">
        <f t="shared" si="1"/>
        <v>6118.0184000000008</v>
      </c>
      <c r="P26" s="78">
        <v>0</v>
      </c>
      <c r="Q26" s="78">
        <f t="shared" si="2"/>
        <v>0</v>
      </c>
      <c r="R26" s="78">
        <v>0</v>
      </c>
      <c r="S26" s="78">
        <f t="shared" si="3"/>
        <v>0</v>
      </c>
      <c r="T26" s="78">
        <v>0</v>
      </c>
      <c r="U26" s="78">
        <f t="shared" si="4"/>
        <v>0</v>
      </c>
      <c r="V26" s="78">
        <v>0</v>
      </c>
      <c r="W26" s="78">
        <f t="shared" si="5"/>
        <v>0</v>
      </c>
    </row>
    <row r="27" spans="4:23" x14ac:dyDescent="0.3">
      <c r="D27" s="67">
        <f t="shared" si="6"/>
        <v>25</v>
      </c>
      <c r="E27" s="85">
        <v>0</v>
      </c>
      <c r="F27" s="69">
        <v>0</v>
      </c>
      <c r="G27" s="69">
        <v>0</v>
      </c>
      <c r="H27" s="69">
        <v>33915.038</v>
      </c>
      <c r="I27" s="69">
        <v>1181.2321245000001</v>
      </c>
      <c r="J27" s="69">
        <f t="shared" si="0"/>
        <v>35096.270124499999</v>
      </c>
      <c r="K27" s="85">
        <v>0</v>
      </c>
      <c r="L27" s="69">
        <v>0</v>
      </c>
      <c r="M27" s="69">
        <v>5660.5590000000002</v>
      </c>
      <c r="N27" s="69">
        <v>0</v>
      </c>
      <c r="O27" s="70">
        <f t="shared" si="1"/>
        <v>5660.5590000000002</v>
      </c>
      <c r="P27" s="78">
        <v>0</v>
      </c>
      <c r="Q27" s="78">
        <f t="shared" si="2"/>
        <v>0</v>
      </c>
      <c r="R27" s="78">
        <v>0</v>
      </c>
      <c r="S27" s="78">
        <f t="shared" si="3"/>
        <v>0</v>
      </c>
      <c r="T27" s="78">
        <v>0</v>
      </c>
      <c r="U27" s="78">
        <f t="shared" si="4"/>
        <v>0</v>
      </c>
      <c r="V27" s="78">
        <v>0</v>
      </c>
      <c r="W27" s="78">
        <f t="shared" si="5"/>
        <v>0</v>
      </c>
    </row>
    <row r="28" spans="4:23" x14ac:dyDescent="0.3">
      <c r="D28" s="67">
        <f t="shared" si="6"/>
        <v>26</v>
      </c>
      <c r="E28" s="85">
        <v>0</v>
      </c>
      <c r="F28" s="69">
        <v>0</v>
      </c>
      <c r="G28" s="69">
        <v>0</v>
      </c>
      <c r="H28" s="69">
        <v>32036.166489359999</v>
      </c>
      <c r="I28" s="69">
        <v>902.25761518000002</v>
      </c>
      <c r="J28" s="69">
        <f t="shared" si="0"/>
        <v>32938.424104539998</v>
      </c>
      <c r="K28" s="85">
        <v>0</v>
      </c>
      <c r="L28" s="69">
        <v>0</v>
      </c>
      <c r="M28" s="69">
        <v>5292.4740000000002</v>
      </c>
      <c r="N28" s="69">
        <v>0</v>
      </c>
      <c r="O28" s="70">
        <f t="shared" si="1"/>
        <v>5292.4740000000002</v>
      </c>
      <c r="P28" s="78">
        <v>0</v>
      </c>
      <c r="Q28" s="78">
        <f t="shared" si="2"/>
        <v>0</v>
      </c>
      <c r="R28" s="78">
        <v>0</v>
      </c>
      <c r="S28" s="78">
        <f t="shared" si="3"/>
        <v>0</v>
      </c>
      <c r="T28" s="78">
        <v>0</v>
      </c>
      <c r="U28" s="78">
        <f t="shared" si="4"/>
        <v>0</v>
      </c>
      <c r="V28" s="78">
        <v>0</v>
      </c>
      <c r="W28" s="78">
        <f t="shared" si="5"/>
        <v>0</v>
      </c>
    </row>
    <row r="29" spans="4:23" x14ac:dyDescent="0.3">
      <c r="D29" s="67">
        <f t="shared" si="6"/>
        <v>27</v>
      </c>
      <c r="E29" s="85">
        <v>0</v>
      </c>
      <c r="F29" s="69">
        <v>0</v>
      </c>
      <c r="G29" s="69">
        <v>0</v>
      </c>
      <c r="H29" s="69">
        <v>30970.332893620001</v>
      </c>
      <c r="I29" s="69">
        <v>1468.14928678</v>
      </c>
      <c r="J29" s="69">
        <f t="shared" si="0"/>
        <v>32438.482180400002</v>
      </c>
      <c r="K29" s="85">
        <v>0</v>
      </c>
      <c r="L29" s="69">
        <v>0</v>
      </c>
      <c r="M29" s="69">
        <v>4865.9650000000001</v>
      </c>
      <c r="N29" s="69">
        <v>0</v>
      </c>
      <c r="O29" s="70">
        <f t="shared" si="1"/>
        <v>4865.9650000000001</v>
      </c>
      <c r="P29" s="78">
        <v>0</v>
      </c>
      <c r="Q29" s="78">
        <f t="shared" si="2"/>
        <v>0</v>
      </c>
      <c r="R29" s="78">
        <v>0</v>
      </c>
      <c r="S29" s="78">
        <f t="shared" si="3"/>
        <v>0</v>
      </c>
      <c r="T29" s="78">
        <v>0</v>
      </c>
      <c r="U29" s="78">
        <f t="shared" si="4"/>
        <v>0</v>
      </c>
      <c r="V29" s="78">
        <v>0</v>
      </c>
      <c r="W29" s="78">
        <f t="shared" si="5"/>
        <v>0</v>
      </c>
    </row>
    <row r="30" spans="4:23" x14ac:dyDescent="0.3">
      <c r="D30" s="67">
        <f t="shared" si="6"/>
        <v>28</v>
      </c>
      <c r="E30" s="85">
        <v>0</v>
      </c>
      <c r="F30" s="69">
        <v>0</v>
      </c>
      <c r="G30" s="69">
        <v>0</v>
      </c>
      <c r="H30" s="69">
        <v>30609.32887234</v>
      </c>
      <c r="I30" s="69">
        <v>2313.1030811800001</v>
      </c>
      <c r="J30" s="69">
        <f t="shared" si="0"/>
        <v>32922.431953519997</v>
      </c>
      <c r="K30" s="85">
        <v>0</v>
      </c>
      <c r="L30" s="69">
        <v>0</v>
      </c>
      <c r="M30" s="69">
        <v>4748.2039999999997</v>
      </c>
      <c r="N30" s="69">
        <v>0</v>
      </c>
      <c r="O30" s="70">
        <f t="shared" si="1"/>
        <v>4748.2039999999997</v>
      </c>
      <c r="P30" s="78">
        <v>0</v>
      </c>
      <c r="Q30" s="78">
        <f t="shared" si="2"/>
        <v>0</v>
      </c>
      <c r="R30" s="78">
        <v>0</v>
      </c>
      <c r="S30" s="78">
        <f t="shared" si="3"/>
        <v>0</v>
      </c>
      <c r="T30" s="78">
        <v>0</v>
      </c>
      <c r="U30" s="78">
        <f t="shared" si="4"/>
        <v>0</v>
      </c>
      <c r="V30" s="78">
        <v>0</v>
      </c>
      <c r="W30" s="78">
        <f t="shared" si="5"/>
        <v>0</v>
      </c>
    </row>
    <row r="31" spans="4:23" x14ac:dyDescent="0.3">
      <c r="D31" s="67">
        <f t="shared" si="6"/>
        <v>29</v>
      </c>
      <c r="E31" s="85">
        <v>0</v>
      </c>
      <c r="F31" s="69">
        <v>0</v>
      </c>
      <c r="G31" s="69">
        <v>0</v>
      </c>
      <c r="H31" s="69">
        <v>31420.484063830001</v>
      </c>
      <c r="I31" s="69">
        <v>2597.9589715799998</v>
      </c>
      <c r="J31" s="69">
        <f t="shared" si="0"/>
        <v>34018.443035410004</v>
      </c>
      <c r="K31" s="85">
        <v>0</v>
      </c>
      <c r="L31" s="69">
        <v>0</v>
      </c>
      <c r="M31" s="69">
        <v>4751.924</v>
      </c>
      <c r="N31" s="69">
        <v>164.99893617000001</v>
      </c>
      <c r="O31" s="70">
        <f t="shared" si="1"/>
        <v>4916.92293617</v>
      </c>
      <c r="P31" s="78">
        <v>0</v>
      </c>
      <c r="Q31" s="78">
        <f t="shared" si="2"/>
        <v>0</v>
      </c>
      <c r="R31" s="78">
        <v>0</v>
      </c>
      <c r="S31" s="78">
        <f t="shared" si="3"/>
        <v>0</v>
      </c>
      <c r="T31" s="78">
        <v>0</v>
      </c>
      <c r="U31" s="78">
        <f t="shared" si="4"/>
        <v>0</v>
      </c>
      <c r="V31" s="78">
        <v>0</v>
      </c>
      <c r="W31" s="78">
        <f t="shared" si="5"/>
        <v>0</v>
      </c>
    </row>
    <row r="32" spans="4:23" x14ac:dyDescent="0.3">
      <c r="D32" s="67">
        <f t="shared" si="6"/>
        <v>30</v>
      </c>
      <c r="E32" s="85">
        <v>0</v>
      </c>
      <c r="F32" s="69">
        <v>0</v>
      </c>
      <c r="G32" s="69">
        <v>0</v>
      </c>
      <c r="H32" s="69">
        <v>33647.227234040001</v>
      </c>
      <c r="I32" s="69">
        <v>2814.0393533400002</v>
      </c>
      <c r="J32" s="69">
        <f t="shared" si="0"/>
        <v>36461.26658738</v>
      </c>
      <c r="K32" s="85">
        <v>0</v>
      </c>
      <c r="L32" s="69">
        <v>0</v>
      </c>
      <c r="M32" s="69">
        <v>4887.5929999999998</v>
      </c>
      <c r="N32" s="69">
        <v>99.419740000000004</v>
      </c>
      <c r="O32" s="70">
        <f t="shared" si="1"/>
        <v>4987.0127400000001</v>
      </c>
      <c r="P32" s="78">
        <v>0</v>
      </c>
      <c r="Q32" s="78">
        <f t="shared" si="2"/>
        <v>0</v>
      </c>
      <c r="R32" s="78">
        <v>0</v>
      </c>
      <c r="S32" s="78">
        <f t="shared" si="3"/>
        <v>0</v>
      </c>
      <c r="T32" s="78">
        <v>0</v>
      </c>
      <c r="U32" s="78">
        <f t="shared" si="4"/>
        <v>0</v>
      </c>
      <c r="V32" s="78">
        <v>0</v>
      </c>
      <c r="W32" s="78">
        <f t="shared" si="5"/>
        <v>0</v>
      </c>
    </row>
    <row r="33" spans="4:23" x14ac:dyDescent="0.3">
      <c r="D33" s="67">
        <f t="shared" si="6"/>
        <v>31</v>
      </c>
      <c r="E33" s="85">
        <v>0</v>
      </c>
      <c r="F33" s="69">
        <v>0</v>
      </c>
      <c r="G33" s="69">
        <v>0</v>
      </c>
      <c r="H33" s="69">
        <v>36828.191680000004</v>
      </c>
      <c r="I33" s="69">
        <v>3569.18761709</v>
      </c>
      <c r="J33" s="69">
        <f t="shared" si="0"/>
        <v>40397.379297090003</v>
      </c>
      <c r="K33" s="85">
        <v>0</v>
      </c>
      <c r="L33" s="69">
        <v>0</v>
      </c>
      <c r="M33" s="69">
        <v>5244.3310000000001</v>
      </c>
      <c r="N33" s="69">
        <v>78.138080000000002</v>
      </c>
      <c r="O33" s="70">
        <f t="shared" si="1"/>
        <v>5322.4690799999998</v>
      </c>
      <c r="P33" s="78">
        <v>0</v>
      </c>
      <c r="Q33" s="78">
        <f t="shared" si="2"/>
        <v>0</v>
      </c>
      <c r="R33" s="78">
        <v>0</v>
      </c>
      <c r="S33" s="78">
        <f t="shared" si="3"/>
        <v>0</v>
      </c>
      <c r="T33" s="78">
        <v>0</v>
      </c>
      <c r="U33" s="78">
        <f t="shared" si="4"/>
        <v>0</v>
      </c>
      <c r="V33" s="78">
        <v>0</v>
      </c>
      <c r="W33" s="78">
        <f t="shared" si="5"/>
        <v>0</v>
      </c>
    </row>
    <row r="34" spans="4:23" x14ac:dyDescent="0.3">
      <c r="D34" s="67">
        <f t="shared" si="6"/>
        <v>32</v>
      </c>
      <c r="E34" s="85">
        <v>0</v>
      </c>
      <c r="F34" s="69">
        <v>0</v>
      </c>
      <c r="G34" s="69">
        <v>0</v>
      </c>
      <c r="H34" s="69">
        <v>39652.996679999997</v>
      </c>
      <c r="I34" s="69">
        <v>3984.4754517000001</v>
      </c>
      <c r="J34" s="69">
        <f t="shared" si="0"/>
        <v>43637.472131699993</v>
      </c>
      <c r="K34" s="85">
        <v>0</v>
      </c>
      <c r="L34" s="69">
        <v>0</v>
      </c>
      <c r="M34" s="69">
        <v>5780.6540000000005</v>
      </c>
      <c r="N34" s="69">
        <v>78.138080000000002</v>
      </c>
      <c r="O34" s="70">
        <f t="shared" si="1"/>
        <v>5858.7920800000002</v>
      </c>
      <c r="P34" s="78">
        <v>0</v>
      </c>
      <c r="Q34" s="78">
        <f t="shared" si="2"/>
        <v>0</v>
      </c>
      <c r="R34" s="78">
        <v>0</v>
      </c>
      <c r="S34" s="78">
        <f t="shared" si="3"/>
        <v>0</v>
      </c>
      <c r="T34" s="78">
        <v>0</v>
      </c>
      <c r="U34" s="78">
        <f t="shared" si="4"/>
        <v>0</v>
      </c>
      <c r="V34" s="78">
        <v>0</v>
      </c>
      <c r="W34" s="78">
        <f t="shared" si="5"/>
        <v>0</v>
      </c>
    </row>
    <row r="35" spans="4:23" x14ac:dyDescent="0.3">
      <c r="D35" s="67">
        <f t="shared" si="6"/>
        <v>33</v>
      </c>
      <c r="E35" s="85">
        <v>0</v>
      </c>
      <c r="F35" s="69">
        <v>0</v>
      </c>
      <c r="G35" s="69">
        <v>0</v>
      </c>
      <c r="H35" s="69">
        <v>41504.08268</v>
      </c>
      <c r="I35" s="69">
        <v>3824.4200530399999</v>
      </c>
      <c r="J35" s="69">
        <f t="shared" si="0"/>
        <v>45328.502733039997</v>
      </c>
      <c r="K35" s="85">
        <v>0</v>
      </c>
      <c r="L35" s="69">
        <v>0</v>
      </c>
      <c r="M35" s="69">
        <v>6278.93</v>
      </c>
      <c r="N35" s="69">
        <v>78.138080000000002</v>
      </c>
      <c r="O35" s="70">
        <f t="shared" si="1"/>
        <v>6357.06808</v>
      </c>
      <c r="P35" s="78">
        <v>0</v>
      </c>
      <c r="Q35" s="78">
        <f t="shared" si="2"/>
        <v>0</v>
      </c>
      <c r="R35" s="78">
        <v>0</v>
      </c>
      <c r="S35" s="78">
        <f t="shared" si="3"/>
        <v>0</v>
      </c>
      <c r="T35" s="78">
        <v>0</v>
      </c>
      <c r="U35" s="78">
        <f t="shared" si="4"/>
        <v>0</v>
      </c>
      <c r="V35" s="78">
        <v>0</v>
      </c>
      <c r="W35" s="78">
        <f t="shared" si="5"/>
        <v>0</v>
      </c>
    </row>
    <row r="36" spans="4:23" x14ac:dyDescent="0.3">
      <c r="D36" s="67">
        <f t="shared" si="6"/>
        <v>34</v>
      </c>
      <c r="E36" s="85">
        <v>7.6999999999999999E-2</v>
      </c>
      <c r="F36" s="69">
        <v>6.6000000000000003E-2</v>
      </c>
      <c r="G36" s="69">
        <v>0.113</v>
      </c>
      <c r="H36" s="69">
        <v>42690.08668</v>
      </c>
      <c r="I36" s="69">
        <v>2379.3491193099999</v>
      </c>
      <c r="J36" s="69">
        <f t="shared" si="0"/>
        <v>45069.435799309998</v>
      </c>
      <c r="K36" s="85">
        <v>0</v>
      </c>
      <c r="L36" s="69">
        <v>0</v>
      </c>
      <c r="M36" s="69">
        <v>6491.9089999999997</v>
      </c>
      <c r="N36" s="69">
        <v>0</v>
      </c>
      <c r="O36" s="70">
        <f t="shared" si="1"/>
        <v>6491.9089999999997</v>
      </c>
      <c r="P36" s="78">
        <v>8881</v>
      </c>
      <c r="Q36" s="78">
        <f t="shared" si="2"/>
        <v>0.107</v>
      </c>
      <c r="R36" s="78">
        <v>317.13</v>
      </c>
      <c r="S36" s="78">
        <f t="shared" si="3"/>
        <v>6.6000000000000003E-2</v>
      </c>
      <c r="T36" s="78">
        <v>963.33939999999996</v>
      </c>
      <c r="U36" s="78">
        <f t="shared" si="4"/>
        <v>6.699999999999999E-2</v>
      </c>
      <c r="V36" s="78">
        <v>357.41629999999998</v>
      </c>
      <c r="W36" s="78">
        <f t="shared" si="5"/>
        <v>3.6999999999999998E-2</v>
      </c>
    </row>
    <row r="37" spans="4:23" x14ac:dyDescent="0.3">
      <c r="D37" s="67">
        <f t="shared" si="6"/>
        <v>35</v>
      </c>
      <c r="E37" s="85">
        <v>0.22</v>
      </c>
      <c r="F37" s="69">
        <v>0.17</v>
      </c>
      <c r="G37" s="69">
        <v>0.27399999999999997</v>
      </c>
      <c r="H37" s="69">
        <v>42575.571000000004</v>
      </c>
      <c r="I37" s="69">
        <v>1880.30818144</v>
      </c>
      <c r="J37" s="69">
        <f t="shared" si="0"/>
        <v>44455.879181440003</v>
      </c>
      <c r="K37" s="85">
        <v>0</v>
      </c>
      <c r="L37" s="69">
        <v>0</v>
      </c>
      <c r="M37" s="69">
        <v>6381.1840000000002</v>
      </c>
      <c r="N37" s="69">
        <v>0</v>
      </c>
      <c r="O37" s="70">
        <f t="shared" si="1"/>
        <v>6381.1840000000002</v>
      </c>
      <c r="P37" s="78">
        <v>23323</v>
      </c>
      <c r="Q37" s="78">
        <f t="shared" si="2"/>
        <v>0.28100000000000003</v>
      </c>
      <c r="R37" s="78">
        <v>816.85</v>
      </c>
      <c r="S37" s="78">
        <f t="shared" si="3"/>
        <v>0.17</v>
      </c>
      <c r="T37" s="78">
        <v>3508.2808</v>
      </c>
      <c r="U37" s="78">
        <f t="shared" si="4"/>
        <v>0.24399999999999999</v>
      </c>
      <c r="V37" s="78">
        <v>1362.0459000000001</v>
      </c>
      <c r="W37" s="78">
        <f t="shared" si="5"/>
        <v>0.14100000000000001</v>
      </c>
    </row>
    <row r="38" spans="4:23" x14ac:dyDescent="0.3">
      <c r="D38" s="67">
        <f t="shared" si="6"/>
        <v>36</v>
      </c>
      <c r="E38" s="85">
        <v>0.28399999999999997</v>
      </c>
      <c r="F38" s="69">
        <v>0.28299999999999903</v>
      </c>
      <c r="G38" s="69">
        <v>0.40600000000000003</v>
      </c>
      <c r="H38" s="69">
        <v>42837.446000000004</v>
      </c>
      <c r="I38" s="69">
        <v>2343.1471163800002</v>
      </c>
      <c r="J38" s="69">
        <f t="shared" si="0"/>
        <v>45180.593116380005</v>
      </c>
      <c r="K38" s="85">
        <v>1.09999999999999E-2</v>
      </c>
      <c r="L38" s="69">
        <v>1.2E-2</v>
      </c>
      <c r="M38" s="69">
        <v>6459.91</v>
      </c>
      <c r="N38" s="69">
        <v>0</v>
      </c>
      <c r="O38" s="70">
        <f t="shared" si="1"/>
        <v>6459.91</v>
      </c>
      <c r="P38" s="78">
        <v>29216</v>
      </c>
      <c r="Q38" s="78">
        <f t="shared" si="2"/>
        <v>0.35199999999999998</v>
      </c>
      <c r="R38" s="78">
        <v>1359.8150000000001</v>
      </c>
      <c r="S38" s="78">
        <f t="shared" si="3"/>
        <v>0.28300000000000003</v>
      </c>
      <c r="T38" s="78">
        <v>5938.1966000000002</v>
      </c>
      <c r="U38" s="78">
        <f t="shared" si="4"/>
        <v>0.41299999999999998</v>
      </c>
      <c r="V38" s="78">
        <v>2414.9749999999999</v>
      </c>
      <c r="W38" s="78">
        <f t="shared" si="5"/>
        <v>0.25</v>
      </c>
    </row>
    <row r="39" spans="4:23" x14ac:dyDescent="0.3">
      <c r="D39" s="67">
        <f t="shared" si="6"/>
        <v>37</v>
      </c>
      <c r="E39" s="85">
        <v>0.26</v>
      </c>
      <c r="F39" s="69">
        <v>0.36899999999999999</v>
      </c>
      <c r="G39" s="69">
        <v>0.49</v>
      </c>
      <c r="H39" s="69">
        <v>43054.642</v>
      </c>
      <c r="I39" s="69">
        <v>2542.0386568700001</v>
      </c>
      <c r="J39" s="69">
        <f t="shared" si="0"/>
        <v>45596.680656869998</v>
      </c>
      <c r="K39" s="85">
        <v>1.4999999999999999E-2</v>
      </c>
      <c r="L39" s="69">
        <v>1.3999999999999999E-2</v>
      </c>
      <c r="M39" s="69">
        <v>6512.3739999999998</v>
      </c>
      <c r="N39" s="69">
        <v>0</v>
      </c>
      <c r="O39" s="70">
        <f t="shared" si="1"/>
        <v>6512.3739999999998</v>
      </c>
      <c r="P39" s="78">
        <v>31789</v>
      </c>
      <c r="Q39" s="78">
        <f t="shared" si="2"/>
        <v>0.38300000000000001</v>
      </c>
      <c r="R39" s="78">
        <v>1773.0450000000001</v>
      </c>
      <c r="S39" s="78">
        <f t="shared" si="3"/>
        <v>0.36899999999999999</v>
      </c>
      <c r="T39" s="78">
        <v>7577.3113999999996</v>
      </c>
      <c r="U39" s="78">
        <f t="shared" si="4"/>
        <v>0.52699999999999991</v>
      </c>
      <c r="V39" s="78">
        <v>3197.4268999999999</v>
      </c>
      <c r="W39" s="78">
        <f t="shared" si="5"/>
        <v>0.33100000000000002</v>
      </c>
    </row>
    <row r="40" spans="4:23" x14ac:dyDescent="0.3">
      <c r="D40" s="67">
        <f t="shared" si="6"/>
        <v>38</v>
      </c>
      <c r="E40" s="85">
        <v>0.18</v>
      </c>
      <c r="F40" s="69">
        <v>0.4</v>
      </c>
      <c r="G40" s="69">
        <v>0.51100000000000001</v>
      </c>
      <c r="H40" s="69">
        <v>42919.839</v>
      </c>
      <c r="I40" s="69">
        <v>2244.6574105499999</v>
      </c>
      <c r="J40" s="69">
        <f t="shared" si="0"/>
        <v>45164.496410549997</v>
      </c>
      <c r="K40" s="85">
        <v>1.09999999999999E-2</v>
      </c>
      <c r="L40" s="69">
        <v>1.2E-2</v>
      </c>
      <c r="M40" s="69">
        <v>6237.08</v>
      </c>
      <c r="N40" s="69">
        <v>0</v>
      </c>
      <c r="O40" s="70">
        <f t="shared" si="1"/>
        <v>6237.08</v>
      </c>
      <c r="P40" s="78">
        <v>32702</v>
      </c>
      <c r="Q40" s="78">
        <f t="shared" si="2"/>
        <v>0.39400000000000002</v>
      </c>
      <c r="R40" s="78">
        <v>1922</v>
      </c>
      <c r="S40" s="78">
        <f t="shared" si="3"/>
        <v>0.4</v>
      </c>
      <c r="T40" s="78">
        <v>8224.3304000000007</v>
      </c>
      <c r="U40" s="78">
        <f t="shared" si="4"/>
        <v>0.57200000000000006</v>
      </c>
      <c r="V40" s="78">
        <v>3516.2035999999998</v>
      </c>
      <c r="W40" s="78">
        <f t="shared" si="5"/>
        <v>0.36399999999999999</v>
      </c>
    </row>
    <row r="41" spans="4:23" x14ac:dyDescent="0.3">
      <c r="D41" s="67">
        <f t="shared" si="6"/>
        <v>39</v>
      </c>
      <c r="E41" s="85">
        <v>6.7000000000000004E-2</v>
      </c>
      <c r="F41" s="69">
        <v>0.36299999999999999</v>
      </c>
      <c r="G41" s="69">
        <v>0.47</v>
      </c>
      <c r="H41" s="69">
        <v>42174.105000000003</v>
      </c>
      <c r="I41" s="69">
        <v>1668.47794946</v>
      </c>
      <c r="J41" s="69">
        <f t="shared" si="0"/>
        <v>43842.582949460004</v>
      </c>
      <c r="K41" s="85">
        <v>0</v>
      </c>
      <c r="L41" s="69">
        <v>0</v>
      </c>
      <c r="M41" s="69">
        <v>6179.3860000000004</v>
      </c>
      <c r="N41" s="69">
        <v>0</v>
      </c>
      <c r="O41" s="70">
        <f t="shared" si="1"/>
        <v>6179.3860000000004</v>
      </c>
      <c r="P41" s="78">
        <v>33034</v>
      </c>
      <c r="Q41" s="78">
        <f t="shared" si="2"/>
        <v>0.39800000000000002</v>
      </c>
      <c r="R41" s="78">
        <v>1744.2149999999999</v>
      </c>
      <c r="S41" s="78">
        <f t="shared" si="3"/>
        <v>0.36299999999999999</v>
      </c>
      <c r="T41" s="78">
        <v>7821.7407999999996</v>
      </c>
      <c r="U41" s="78">
        <f t="shared" si="4"/>
        <v>0.54399999999999993</v>
      </c>
      <c r="V41" s="78">
        <v>3313.3456999999999</v>
      </c>
      <c r="W41" s="78">
        <f t="shared" si="5"/>
        <v>0.34299999999999997</v>
      </c>
    </row>
    <row r="42" spans="4:23" x14ac:dyDescent="0.3">
      <c r="D42" s="67">
        <f t="shared" si="6"/>
        <v>40</v>
      </c>
      <c r="E42" s="85">
        <v>2.6000000000000002E-2</v>
      </c>
      <c r="F42" s="69">
        <v>0.26500000000000001</v>
      </c>
      <c r="G42" s="69">
        <v>0.36199999999999904</v>
      </c>
      <c r="H42" s="69">
        <v>42199.495000000003</v>
      </c>
      <c r="I42" s="69">
        <v>1405.1539164799999</v>
      </c>
      <c r="J42" s="69">
        <f t="shared" si="0"/>
        <v>43604.64891648</v>
      </c>
      <c r="K42" s="85">
        <v>0</v>
      </c>
      <c r="L42" s="69">
        <v>0</v>
      </c>
      <c r="M42" s="69">
        <v>6194.5559999999996</v>
      </c>
      <c r="N42" s="69">
        <v>0</v>
      </c>
      <c r="O42" s="70">
        <f t="shared" si="1"/>
        <v>6194.5559999999996</v>
      </c>
      <c r="P42" s="78">
        <v>31125</v>
      </c>
      <c r="Q42" s="78">
        <f t="shared" si="2"/>
        <v>0.375</v>
      </c>
      <c r="R42" s="78">
        <v>1273.325</v>
      </c>
      <c r="S42" s="78">
        <f t="shared" si="3"/>
        <v>0.26500000000000001</v>
      </c>
      <c r="T42" s="78">
        <v>6427.0554000000002</v>
      </c>
      <c r="U42" s="78">
        <f t="shared" si="4"/>
        <v>0.44700000000000001</v>
      </c>
      <c r="V42" s="78">
        <v>2608.1729999999998</v>
      </c>
      <c r="W42" s="78">
        <f t="shared" si="5"/>
        <v>0.26999999999999996</v>
      </c>
    </row>
    <row r="43" spans="4:23" x14ac:dyDescent="0.3">
      <c r="D43" s="67">
        <f t="shared" si="6"/>
        <v>41</v>
      </c>
      <c r="E43" s="85">
        <v>0</v>
      </c>
      <c r="F43" s="69">
        <v>0.13300000000000001</v>
      </c>
      <c r="G43" s="69">
        <v>0.21299999999999999</v>
      </c>
      <c r="H43" s="69">
        <v>42908.385000000002</v>
      </c>
      <c r="I43" s="69">
        <v>1406.3396975200001</v>
      </c>
      <c r="J43" s="69">
        <f t="shared" si="0"/>
        <v>44314.724697520003</v>
      </c>
      <c r="K43" s="85">
        <v>0</v>
      </c>
      <c r="L43" s="69">
        <v>0</v>
      </c>
      <c r="M43" s="69">
        <v>6425.3190000000004</v>
      </c>
      <c r="N43" s="69">
        <v>0</v>
      </c>
      <c r="O43" s="70">
        <f t="shared" si="1"/>
        <v>6425.3190000000004</v>
      </c>
      <c r="P43" s="78">
        <v>21912</v>
      </c>
      <c r="Q43" s="78">
        <f t="shared" si="2"/>
        <v>0.26400000000000001</v>
      </c>
      <c r="R43" s="78">
        <v>639.06500000000005</v>
      </c>
      <c r="S43" s="78">
        <f t="shared" si="3"/>
        <v>0.13300000000000001</v>
      </c>
      <c r="T43" s="78">
        <v>4327.8382000000001</v>
      </c>
      <c r="U43" s="78">
        <f t="shared" si="4"/>
        <v>0.30099999999999999</v>
      </c>
      <c r="V43" s="78">
        <v>1603.5434</v>
      </c>
      <c r="W43" s="78">
        <f t="shared" si="5"/>
        <v>0.16600000000000001</v>
      </c>
    </row>
    <row r="44" spans="4:23" x14ac:dyDescent="0.3">
      <c r="D44" s="67">
        <f t="shared" si="6"/>
        <v>42</v>
      </c>
      <c r="E44" s="85">
        <v>0</v>
      </c>
      <c r="F44" s="69">
        <v>1.3000000000000001E-2</v>
      </c>
      <c r="G44" s="69">
        <v>5.4000000000000006E-2</v>
      </c>
      <c r="H44" s="69">
        <v>45150.703999999998</v>
      </c>
      <c r="I44" s="69">
        <v>2605.3519441799999</v>
      </c>
      <c r="J44" s="69">
        <f t="shared" si="0"/>
        <v>47756.05594418</v>
      </c>
      <c r="K44" s="85">
        <v>0</v>
      </c>
      <c r="L44" s="69">
        <v>0</v>
      </c>
      <c r="M44" s="69">
        <v>6957.1009999999997</v>
      </c>
      <c r="N44" s="69">
        <v>0</v>
      </c>
      <c r="O44" s="70">
        <f t="shared" si="1"/>
        <v>6957.1009999999997</v>
      </c>
      <c r="P44" s="78">
        <v>4814</v>
      </c>
      <c r="Q44" s="78">
        <f t="shared" si="2"/>
        <v>5.8000000000000003E-2</v>
      </c>
      <c r="R44" s="78">
        <v>62.465000000000003</v>
      </c>
      <c r="S44" s="78">
        <f t="shared" si="3"/>
        <v>1.3000000000000001E-2</v>
      </c>
      <c r="T44" s="78">
        <v>1811.6532</v>
      </c>
      <c r="U44" s="78">
        <f t="shared" si="4"/>
        <v>0.126</v>
      </c>
      <c r="V44" s="78">
        <v>579.59400000000005</v>
      </c>
      <c r="W44" s="78">
        <f t="shared" si="5"/>
        <v>6.0000000000000005E-2</v>
      </c>
    </row>
    <row r="45" spans="4:23" x14ac:dyDescent="0.3">
      <c r="D45" s="67">
        <f t="shared" si="6"/>
        <v>43</v>
      </c>
      <c r="E45" s="85">
        <v>0</v>
      </c>
      <c r="F45" s="69">
        <v>0</v>
      </c>
      <c r="G45" s="69">
        <v>0</v>
      </c>
      <c r="H45" s="69">
        <v>46500.607000000004</v>
      </c>
      <c r="I45" s="69">
        <v>2788.4537903999999</v>
      </c>
      <c r="J45" s="69">
        <f t="shared" si="0"/>
        <v>49289.060790400006</v>
      </c>
      <c r="K45" s="85">
        <v>0</v>
      </c>
      <c r="L45" s="69">
        <v>0</v>
      </c>
      <c r="M45" s="69">
        <v>7451.1549999999997</v>
      </c>
      <c r="N45" s="69">
        <v>239.70212766</v>
      </c>
      <c r="O45" s="70">
        <f t="shared" si="1"/>
        <v>7690.8571276599996</v>
      </c>
      <c r="P45" s="78">
        <v>0</v>
      </c>
      <c r="Q45" s="78">
        <f t="shared" si="2"/>
        <v>0</v>
      </c>
      <c r="R45" s="78">
        <v>0</v>
      </c>
      <c r="S45" s="78">
        <f t="shared" si="3"/>
        <v>0</v>
      </c>
      <c r="T45" s="78">
        <v>0</v>
      </c>
      <c r="U45" s="78">
        <f t="shared" si="4"/>
        <v>0</v>
      </c>
      <c r="V45" s="78">
        <v>0</v>
      </c>
      <c r="W45" s="78">
        <f t="shared" si="5"/>
        <v>0</v>
      </c>
    </row>
    <row r="46" spans="4:23" x14ac:dyDescent="0.3">
      <c r="D46" s="67">
        <f t="shared" si="6"/>
        <v>44</v>
      </c>
      <c r="E46" s="85">
        <v>0</v>
      </c>
      <c r="F46" s="69">
        <v>0</v>
      </c>
      <c r="G46" s="69">
        <v>0</v>
      </c>
      <c r="H46" s="69">
        <v>46170.290999999997</v>
      </c>
      <c r="I46" s="69">
        <v>2607.1684842300001</v>
      </c>
      <c r="J46" s="69">
        <f t="shared" si="0"/>
        <v>48777.459484229999</v>
      </c>
      <c r="K46" s="85">
        <v>0</v>
      </c>
      <c r="L46" s="69">
        <v>0</v>
      </c>
      <c r="M46" s="69">
        <v>7554.1670000000004</v>
      </c>
      <c r="N46" s="69">
        <v>199.60531915000001</v>
      </c>
      <c r="O46" s="70">
        <f t="shared" si="1"/>
        <v>7753.7723191500008</v>
      </c>
      <c r="P46" s="78">
        <v>0</v>
      </c>
      <c r="Q46" s="78">
        <f t="shared" si="2"/>
        <v>0</v>
      </c>
      <c r="R46" s="78">
        <v>0</v>
      </c>
      <c r="S46" s="78">
        <f t="shared" si="3"/>
        <v>0</v>
      </c>
      <c r="T46" s="78">
        <v>0</v>
      </c>
      <c r="U46" s="78">
        <f t="shared" si="4"/>
        <v>0</v>
      </c>
      <c r="V46" s="78">
        <v>0</v>
      </c>
      <c r="W46" s="78">
        <f t="shared" si="5"/>
        <v>0</v>
      </c>
    </row>
    <row r="47" spans="4:23" x14ac:dyDescent="0.3">
      <c r="D47" s="67">
        <f t="shared" si="6"/>
        <v>45</v>
      </c>
      <c r="E47" s="85">
        <v>0</v>
      </c>
      <c r="F47" s="69">
        <v>0</v>
      </c>
      <c r="G47" s="69">
        <v>0</v>
      </c>
      <c r="H47" s="69">
        <v>44560.091</v>
      </c>
      <c r="I47" s="69">
        <v>2325.4370553099998</v>
      </c>
      <c r="J47" s="69">
        <f t="shared" si="0"/>
        <v>46885.528055310002</v>
      </c>
      <c r="K47" s="85">
        <v>0</v>
      </c>
      <c r="L47" s="69">
        <v>0</v>
      </c>
      <c r="M47" s="69">
        <v>7289.6319999999996</v>
      </c>
      <c r="N47" s="69">
        <v>122.0287234</v>
      </c>
      <c r="O47" s="70">
        <f t="shared" si="1"/>
        <v>7411.6607233999994</v>
      </c>
      <c r="P47" s="78">
        <v>0</v>
      </c>
      <c r="Q47" s="78">
        <f t="shared" si="2"/>
        <v>0</v>
      </c>
      <c r="R47" s="78">
        <v>0</v>
      </c>
      <c r="S47" s="78">
        <f t="shared" si="3"/>
        <v>0</v>
      </c>
      <c r="T47" s="78">
        <v>0</v>
      </c>
      <c r="U47" s="78">
        <f t="shared" si="4"/>
        <v>0</v>
      </c>
      <c r="V47" s="78">
        <v>0</v>
      </c>
      <c r="W47" s="78">
        <f t="shared" si="5"/>
        <v>0</v>
      </c>
    </row>
    <row r="48" spans="4:23" x14ac:dyDescent="0.3">
      <c r="D48" s="67">
        <f t="shared" si="6"/>
        <v>46</v>
      </c>
      <c r="E48" s="85">
        <v>0</v>
      </c>
      <c r="F48" s="69">
        <v>0</v>
      </c>
      <c r="G48" s="69">
        <v>0</v>
      </c>
      <c r="H48" s="69">
        <v>41967.483</v>
      </c>
      <c r="I48" s="69">
        <v>2062.1821264099999</v>
      </c>
      <c r="J48" s="69">
        <f t="shared" si="0"/>
        <v>44029.66512641</v>
      </c>
      <c r="K48" s="85">
        <v>0</v>
      </c>
      <c r="L48" s="69">
        <v>0</v>
      </c>
      <c r="M48" s="69">
        <v>6840.52</v>
      </c>
      <c r="N48" s="69">
        <v>65.879787230000005</v>
      </c>
      <c r="O48" s="70">
        <f t="shared" si="1"/>
        <v>6906.3997872300006</v>
      </c>
      <c r="P48" s="78">
        <v>0</v>
      </c>
      <c r="Q48" s="78">
        <f t="shared" si="2"/>
        <v>0</v>
      </c>
      <c r="R48" s="78">
        <v>0</v>
      </c>
      <c r="S48" s="78">
        <f t="shared" si="3"/>
        <v>0</v>
      </c>
      <c r="T48" s="78">
        <v>0</v>
      </c>
      <c r="U48" s="78">
        <f t="shared" si="4"/>
        <v>0</v>
      </c>
      <c r="V48" s="78">
        <v>0</v>
      </c>
      <c r="W48" s="78">
        <f t="shared" si="5"/>
        <v>0</v>
      </c>
    </row>
    <row r="49" spans="4:23" x14ac:dyDescent="0.3">
      <c r="D49" s="67">
        <f t="shared" si="6"/>
        <v>47</v>
      </c>
      <c r="E49" s="85">
        <v>0</v>
      </c>
      <c r="F49" s="69">
        <v>0</v>
      </c>
      <c r="G49" s="69">
        <v>0</v>
      </c>
      <c r="H49" s="69">
        <v>39356.019</v>
      </c>
      <c r="I49" s="69">
        <v>2047.4172926900001</v>
      </c>
      <c r="J49" s="69">
        <f t="shared" si="0"/>
        <v>41403.436292689999</v>
      </c>
      <c r="K49" s="85">
        <v>0</v>
      </c>
      <c r="L49" s="69">
        <v>0</v>
      </c>
      <c r="M49" s="69">
        <v>6945.6790000000001</v>
      </c>
      <c r="N49" s="69">
        <v>233.64574468000001</v>
      </c>
      <c r="O49" s="70">
        <f t="shared" si="1"/>
        <v>7179.3247446799996</v>
      </c>
      <c r="P49" s="78">
        <v>0</v>
      </c>
      <c r="Q49" s="78">
        <f t="shared" si="2"/>
        <v>0</v>
      </c>
      <c r="R49" s="78">
        <v>0</v>
      </c>
      <c r="S49" s="78">
        <f t="shared" si="3"/>
        <v>0</v>
      </c>
      <c r="T49" s="78">
        <v>0</v>
      </c>
      <c r="U49" s="78">
        <f t="shared" si="4"/>
        <v>0</v>
      </c>
      <c r="V49" s="78">
        <v>0</v>
      </c>
      <c r="W49" s="78">
        <f t="shared" si="5"/>
        <v>0</v>
      </c>
    </row>
    <row r="50" spans="4:23" x14ac:dyDescent="0.3">
      <c r="D50" s="67">
        <f t="shared" si="6"/>
        <v>48</v>
      </c>
      <c r="E50" s="85">
        <v>0</v>
      </c>
      <c r="F50" s="69">
        <v>0</v>
      </c>
      <c r="G50" s="69">
        <v>0</v>
      </c>
      <c r="H50" s="69">
        <v>36872.559000000001</v>
      </c>
      <c r="I50" s="69">
        <v>1731.3661337599999</v>
      </c>
      <c r="J50" s="69">
        <f t="shared" si="0"/>
        <v>38603.92513376</v>
      </c>
      <c r="K50" s="85">
        <v>0</v>
      </c>
      <c r="L50" s="69">
        <v>0</v>
      </c>
      <c r="M50" s="69">
        <v>6440.0559999999996</v>
      </c>
      <c r="N50" s="69">
        <v>304.68297871999999</v>
      </c>
      <c r="O50" s="70">
        <f t="shared" si="1"/>
        <v>6744.73897872</v>
      </c>
      <c r="P50" s="78">
        <v>0</v>
      </c>
      <c r="Q50" s="78">
        <f t="shared" si="2"/>
        <v>0</v>
      </c>
      <c r="R50" s="78">
        <v>0</v>
      </c>
      <c r="S50" s="78">
        <f t="shared" si="3"/>
        <v>0</v>
      </c>
      <c r="T50" s="78">
        <v>0</v>
      </c>
      <c r="U50" s="78">
        <f t="shared" si="4"/>
        <v>0</v>
      </c>
      <c r="V50" s="78">
        <v>0</v>
      </c>
      <c r="W50" s="78">
        <f t="shared" si="5"/>
        <v>0</v>
      </c>
    </row>
    <row r="51" spans="4:23" x14ac:dyDescent="0.3">
      <c r="D51" s="67">
        <f t="shared" si="6"/>
        <v>49</v>
      </c>
      <c r="E51" s="85">
        <v>0</v>
      </c>
      <c r="F51" s="69">
        <v>0</v>
      </c>
      <c r="G51" s="69">
        <v>0</v>
      </c>
      <c r="H51" s="69">
        <v>34091.993000000002</v>
      </c>
      <c r="I51" s="69">
        <v>1350.0807294900001</v>
      </c>
      <c r="J51" s="69">
        <f t="shared" si="0"/>
        <v>35442.073729490003</v>
      </c>
      <c r="K51" s="85">
        <v>0</v>
      </c>
      <c r="L51" s="69">
        <v>0</v>
      </c>
      <c r="M51" s="69">
        <v>5690.9629999999997</v>
      </c>
      <c r="N51" s="69">
        <v>246.98723404</v>
      </c>
      <c r="O51" s="70">
        <f t="shared" si="1"/>
        <v>5937.9502340399995</v>
      </c>
      <c r="P51" s="78">
        <v>0</v>
      </c>
      <c r="Q51" s="78">
        <f t="shared" si="2"/>
        <v>0</v>
      </c>
      <c r="R51" s="78">
        <v>0</v>
      </c>
      <c r="S51" s="78">
        <f t="shared" si="3"/>
        <v>0</v>
      </c>
      <c r="T51" s="78">
        <v>0</v>
      </c>
      <c r="U51" s="78">
        <f t="shared" si="4"/>
        <v>0</v>
      </c>
      <c r="V51" s="78">
        <v>0</v>
      </c>
      <c r="W51" s="78">
        <f t="shared" si="5"/>
        <v>0</v>
      </c>
    </row>
    <row r="52" spans="4:23" x14ac:dyDescent="0.3">
      <c r="D52" s="67">
        <f t="shared" si="6"/>
        <v>50</v>
      </c>
      <c r="E52" s="85">
        <v>0</v>
      </c>
      <c r="F52" s="69">
        <v>0</v>
      </c>
      <c r="G52" s="69">
        <v>0</v>
      </c>
      <c r="H52" s="69">
        <v>32214.328489359999</v>
      </c>
      <c r="I52" s="69">
        <v>900.23500904000002</v>
      </c>
      <c r="J52" s="69">
        <f t="shared" si="0"/>
        <v>33114.563498399999</v>
      </c>
      <c r="K52" s="85">
        <v>0</v>
      </c>
      <c r="L52" s="69">
        <v>0</v>
      </c>
      <c r="M52" s="69">
        <v>5321.1009999999997</v>
      </c>
      <c r="N52" s="69">
        <v>103.29766454999999</v>
      </c>
      <c r="O52" s="70">
        <f t="shared" si="1"/>
        <v>5424.3986645499999</v>
      </c>
      <c r="P52" s="78">
        <v>0</v>
      </c>
      <c r="Q52" s="78">
        <f t="shared" si="2"/>
        <v>0</v>
      </c>
      <c r="R52" s="78">
        <v>0</v>
      </c>
      <c r="S52" s="78">
        <f t="shared" si="3"/>
        <v>0</v>
      </c>
      <c r="T52" s="78">
        <v>0</v>
      </c>
      <c r="U52" s="78">
        <f t="shared" si="4"/>
        <v>0</v>
      </c>
      <c r="V52" s="78">
        <v>0</v>
      </c>
      <c r="W52" s="78">
        <f t="shared" si="5"/>
        <v>0</v>
      </c>
    </row>
    <row r="53" spans="4:23" x14ac:dyDescent="0.3">
      <c r="D53" s="67">
        <f t="shared" si="6"/>
        <v>51</v>
      </c>
      <c r="E53" s="85">
        <v>0</v>
      </c>
      <c r="F53" s="69">
        <v>0</v>
      </c>
      <c r="G53" s="69">
        <v>0</v>
      </c>
      <c r="H53" s="69">
        <v>31152.763893619998</v>
      </c>
      <c r="I53" s="69">
        <v>1494.0810072700001</v>
      </c>
      <c r="J53" s="69">
        <f t="shared" si="0"/>
        <v>32646.844900889999</v>
      </c>
      <c r="K53" s="85">
        <v>0</v>
      </c>
      <c r="L53" s="69">
        <v>0</v>
      </c>
      <c r="M53" s="69">
        <v>4892.9080000000004</v>
      </c>
      <c r="N53" s="69">
        <v>177.81170212999999</v>
      </c>
      <c r="O53" s="70">
        <f t="shared" si="1"/>
        <v>5070.7197021300008</v>
      </c>
      <c r="P53" s="78">
        <v>0</v>
      </c>
      <c r="Q53" s="78">
        <f t="shared" si="2"/>
        <v>0</v>
      </c>
      <c r="R53" s="78">
        <v>0</v>
      </c>
      <c r="S53" s="78">
        <f t="shared" si="3"/>
        <v>0</v>
      </c>
      <c r="T53" s="78">
        <v>0</v>
      </c>
      <c r="U53" s="78">
        <f t="shared" si="4"/>
        <v>0</v>
      </c>
      <c r="V53" s="78">
        <v>0</v>
      </c>
      <c r="W53" s="78">
        <f t="shared" si="5"/>
        <v>0</v>
      </c>
    </row>
    <row r="54" spans="4:23" x14ac:dyDescent="0.3">
      <c r="D54" s="67">
        <f t="shared" si="6"/>
        <v>52</v>
      </c>
      <c r="E54" s="85">
        <v>0</v>
      </c>
      <c r="F54" s="69">
        <v>0</v>
      </c>
      <c r="G54" s="69">
        <v>0</v>
      </c>
      <c r="H54" s="69">
        <v>30795.38287234</v>
      </c>
      <c r="I54" s="69">
        <v>2326.8062958999999</v>
      </c>
      <c r="J54" s="69">
        <f t="shared" si="0"/>
        <v>33122.189168240002</v>
      </c>
      <c r="K54" s="85">
        <v>0</v>
      </c>
      <c r="L54" s="69">
        <v>0</v>
      </c>
      <c r="M54" s="69">
        <v>4771.9589999999998</v>
      </c>
      <c r="N54" s="69">
        <v>161.65531915</v>
      </c>
      <c r="O54" s="70">
        <f t="shared" si="1"/>
        <v>4933.6143191499996</v>
      </c>
      <c r="P54" s="78">
        <v>0</v>
      </c>
      <c r="Q54" s="78">
        <f t="shared" si="2"/>
        <v>0</v>
      </c>
      <c r="R54" s="78">
        <v>0</v>
      </c>
      <c r="S54" s="78">
        <f t="shared" si="3"/>
        <v>0</v>
      </c>
      <c r="T54" s="78">
        <v>0</v>
      </c>
      <c r="U54" s="78">
        <f t="shared" si="4"/>
        <v>0</v>
      </c>
      <c r="V54" s="78">
        <v>0</v>
      </c>
      <c r="W54" s="78">
        <f t="shared" si="5"/>
        <v>0</v>
      </c>
    </row>
    <row r="55" spans="4:23" x14ac:dyDescent="0.3">
      <c r="D55" s="67">
        <f t="shared" si="6"/>
        <v>53</v>
      </c>
      <c r="E55" s="85">
        <v>0</v>
      </c>
      <c r="F55" s="69">
        <v>0</v>
      </c>
      <c r="G55" s="69">
        <v>0</v>
      </c>
      <c r="H55" s="69">
        <v>31572.450063830001</v>
      </c>
      <c r="I55" s="69">
        <v>2612.1293219499998</v>
      </c>
      <c r="J55" s="69">
        <f t="shared" si="0"/>
        <v>34184.579385780002</v>
      </c>
      <c r="K55" s="85">
        <v>0</v>
      </c>
      <c r="L55" s="69">
        <v>0</v>
      </c>
      <c r="M55" s="69">
        <v>4773.7979999999998</v>
      </c>
      <c r="N55" s="69">
        <v>164.99893617000001</v>
      </c>
      <c r="O55" s="70">
        <f t="shared" si="1"/>
        <v>4938.7969361699998</v>
      </c>
      <c r="P55" s="78">
        <v>0</v>
      </c>
      <c r="Q55" s="78">
        <f t="shared" si="2"/>
        <v>0</v>
      </c>
      <c r="R55" s="78">
        <v>0</v>
      </c>
      <c r="S55" s="78">
        <f t="shared" si="3"/>
        <v>0</v>
      </c>
      <c r="T55" s="78">
        <v>0</v>
      </c>
      <c r="U55" s="78">
        <f t="shared" si="4"/>
        <v>0</v>
      </c>
      <c r="V55" s="78">
        <v>0</v>
      </c>
      <c r="W55" s="78">
        <f t="shared" si="5"/>
        <v>0</v>
      </c>
    </row>
    <row r="56" spans="4:23" x14ac:dyDescent="0.3">
      <c r="D56" s="67">
        <f t="shared" si="6"/>
        <v>54</v>
      </c>
      <c r="E56" s="85">
        <v>0</v>
      </c>
      <c r="F56" s="69">
        <v>0</v>
      </c>
      <c r="G56" s="69">
        <v>0</v>
      </c>
      <c r="H56" s="69">
        <v>33783.608234040003</v>
      </c>
      <c r="I56" s="69">
        <v>2862.9311442500002</v>
      </c>
      <c r="J56" s="69">
        <f t="shared" si="0"/>
        <v>36646.539378290006</v>
      </c>
      <c r="K56" s="85">
        <v>0</v>
      </c>
      <c r="L56" s="69">
        <v>0</v>
      </c>
      <c r="M56" s="69">
        <v>4910.6890000000003</v>
      </c>
      <c r="N56" s="69">
        <v>99.419740000000004</v>
      </c>
      <c r="O56" s="70">
        <f t="shared" si="1"/>
        <v>5010.1087400000006</v>
      </c>
      <c r="P56" s="78">
        <v>0</v>
      </c>
      <c r="Q56" s="78">
        <f t="shared" si="2"/>
        <v>0</v>
      </c>
      <c r="R56" s="78">
        <v>0</v>
      </c>
      <c r="S56" s="78">
        <f t="shared" si="3"/>
        <v>0</v>
      </c>
      <c r="T56" s="78">
        <v>0</v>
      </c>
      <c r="U56" s="78">
        <f t="shared" si="4"/>
        <v>0</v>
      </c>
      <c r="V56" s="78">
        <v>0</v>
      </c>
      <c r="W56" s="78">
        <f t="shared" si="5"/>
        <v>0</v>
      </c>
    </row>
    <row r="57" spans="4:23" x14ac:dyDescent="0.3">
      <c r="D57" s="67">
        <f t="shared" si="6"/>
        <v>55</v>
      </c>
      <c r="E57" s="85">
        <v>0</v>
      </c>
      <c r="F57" s="69">
        <v>0</v>
      </c>
      <c r="G57" s="69">
        <v>0</v>
      </c>
      <c r="H57" s="69">
        <v>36932.321680000001</v>
      </c>
      <c r="I57" s="69">
        <v>3745.2898985900001</v>
      </c>
      <c r="J57" s="69">
        <f t="shared" si="0"/>
        <v>40677.611578590004</v>
      </c>
      <c r="K57" s="85">
        <v>0</v>
      </c>
      <c r="L57" s="69">
        <v>0</v>
      </c>
      <c r="M57" s="69">
        <v>5273.5649999999996</v>
      </c>
      <c r="N57" s="69">
        <v>78.138080000000002</v>
      </c>
      <c r="O57" s="70">
        <f t="shared" si="1"/>
        <v>5351.7030799999993</v>
      </c>
      <c r="P57" s="78">
        <v>0</v>
      </c>
      <c r="Q57" s="78">
        <f t="shared" si="2"/>
        <v>0</v>
      </c>
      <c r="R57" s="78">
        <v>0</v>
      </c>
      <c r="S57" s="78">
        <f t="shared" si="3"/>
        <v>0</v>
      </c>
      <c r="T57" s="78">
        <v>0</v>
      </c>
      <c r="U57" s="78">
        <f t="shared" si="4"/>
        <v>0</v>
      </c>
      <c r="V57" s="78">
        <v>0</v>
      </c>
      <c r="W57" s="78">
        <f t="shared" si="5"/>
        <v>0</v>
      </c>
    </row>
    <row r="58" spans="4:23" x14ac:dyDescent="0.3">
      <c r="D58" s="67">
        <f t="shared" si="6"/>
        <v>56</v>
      </c>
      <c r="E58" s="85">
        <v>0</v>
      </c>
      <c r="F58" s="69">
        <v>0</v>
      </c>
      <c r="G58" s="69">
        <v>0</v>
      </c>
      <c r="H58" s="69">
        <v>39744.099679999999</v>
      </c>
      <c r="I58" s="69">
        <v>4243.4760168900002</v>
      </c>
      <c r="J58" s="69">
        <f t="shared" si="0"/>
        <v>43987.575696890002</v>
      </c>
      <c r="K58" s="85">
        <v>0</v>
      </c>
      <c r="L58" s="69">
        <v>0</v>
      </c>
      <c r="M58" s="69">
        <v>5811.9470000000001</v>
      </c>
      <c r="N58" s="69">
        <v>78.138080000000002</v>
      </c>
      <c r="O58" s="70">
        <f t="shared" si="1"/>
        <v>5890.0850799999998</v>
      </c>
      <c r="P58" s="78">
        <v>0</v>
      </c>
      <c r="Q58" s="78">
        <f t="shared" si="2"/>
        <v>0</v>
      </c>
      <c r="R58" s="78">
        <v>0</v>
      </c>
      <c r="S58" s="78">
        <f t="shared" si="3"/>
        <v>0</v>
      </c>
      <c r="T58" s="78">
        <v>0</v>
      </c>
      <c r="U58" s="78">
        <f t="shared" si="4"/>
        <v>0</v>
      </c>
      <c r="V58" s="78">
        <v>0</v>
      </c>
      <c r="W58" s="78">
        <f t="shared" si="5"/>
        <v>0</v>
      </c>
    </row>
    <row r="59" spans="4:23" x14ac:dyDescent="0.3">
      <c r="D59" s="67">
        <f t="shared" si="6"/>
        <v>57</v>
      </c>
      <c r="E59" s="85">
        <v>0</v>
      </c>
      <c r="F59" s="69">
        <v>0</v>
      </c>
      <c r="G59" s="69">
        <v>0</v>
      </c>
      <c r="H59" s="69">
        <v>41669.138679999996</v>
      </c>
      <c r="I59" s="69">
        <v>4096.7091115900002</v>
      </c>
      <c r="J59" s="69">
        <f t="shared" si="0"/>
        <v>45765.84779159</v>
      </c>
      <c r="K59" s="85">
        <v>0</v>
      </c>
      <c r="L59" s="69">
        <v>0</v>
      </c>
      <c r="M59" s="69">
        <v>6314.1130000000003</v>
      </c>
      <c r="N59" s="69">
        <v>78.138080000000002</v>
      </c>
      <c r="O59" s="70">
        <f t="shared" si="1"/>
        <v>6392.25108</v>
      </c>
      <c r="P59" s="78">
        <v>0</v>
      </c>
      <c r="Q59" s="78">
        <f t="shared" si="2"/>
        <v>0</v>
      </c>
      <c r="R59" s="78">
        <v>0</v>
      </c>
      <c r="S59" s="78">
        <f t="shared" si="3"/>
        <v>0</v>
      </c>
      <c r="T59" s="78">
        <v>0</v>
      </c>
      <c r="U59" s="78">
        <f t="shared" si="4"/>
        <v>0</v>
      </c>
      <c r="V59" s="78">
        <v>0</v>
      </c>
      <c r="W59" s="78">
        <f t="shared" si="5"/>
        <v>0</v>
      </c>
    </row>
    <row r="60" spans="4:23" x14ac:dyDescent="0.3">
      <c r="D60" s="67">
        <f t="shared" si="6"/>
        <v>58</v>
      </c>
      <c r="E60" s="85">
        <v>4.8000000000000001E-2</v>
      </c>
      <c r="F60" s="69">
        <v>6.5000000000000002E-2</v>
      </c>
      <c r="G60" s="69">
        <v>0.128</v>
      </c>
      <c r="H60" s="69">
        <v>43050.735679999998</v>
      </c>
      <c r="I60" s="69">
        <v>2406.5811843299998</v>
      </c>
      <c r="J60" s="69">
        <f t="shared" si="0"/>
        <v>45457.316864330001</v>
      </c>
      <c r="K60" s="85">
        <v>2.1999999999999898E-2</v>
      </c>
      <c r="L60" s="69">
        <v>2.6000000000000002E-2</v>
      </c>
      <c r="M60" s="69">
        <v>6535.6229999999996</v>
      </c>
      <c r="N60" s="69">
        <v>0</v>
      </c>
      <c r="O60" s="70">
        <f t="shared" si="1"/>
        <v>6535.6229999999996</v>
      </c>
      <c r="P60" s="78">
        <v>9379</v>
      </c>
      <c r="Q60" s="78">
        <f t="shared" si="2"/>
        <v>0.113</v>
      </c>
      <c r="R60" s="78">
        <v>312.32499999999999</v>
      </c>
      <c r="S60" s="78">
        <f t="shared" si="3"/>
        <v>6.5000000000000002E-2</v>
      </c>
      <c r="T60" s="78">
        <v>776.42280000000005</v>
      </c>
      <c r="U60" s="78">
        <f t="shared" si="4"/>
        <v>5.3999999999999999E-2</v>
      </c>
      <c r="V60" s="78">
        <v>338.09649999999999</v>
      </c>
      <c r="W60" s="78">
        <f t="shared" si="5"/>
        <v>3.5000000000000003E-2</v>
      </c>
    </row>
    <row r="61" spans="4:23" x14ac:dyDescent="0.3">
      <c r="D61" s="67">
        <f t="shared" si="6"/>
        <v>59</v>
      </c>
      <c r="E61" s="85">
        <v>0.16300000000000001</v>
      </c>
      <c r="F61" s="69">
        <v>0.16800000000000001</v>
      </c>
      <c r="G61" s="69">
        <v>0.29099999999999898</v>
      </c>
      <c r="H61" s="69">
        <v>42980.409</v>
      </c>
      <c r="I61" s="69">
        <v>1892.06315967</v>
      </c>
      <c r="J61" s="69">
        <f t="shared" si="0"/>
        <v>44872.472159669996</v>
      </c>
      <c r="K61" s="85">
        <v>9.8000000000000004E-2</v>
      </c>
      <c r="L61" s="69">
        <v>0.10400000000000001</v>
      </c>
      <c r="M61" s="69">
        <v>6439.6170000000002</v>
      </c>
      <c r="N61" s="69">
        <v>0</v>
      </c>
      <c r="O61" s="70">
        <f t="shared" si="1"/>
        <v>6439.6170000000002</v>
      </c>
      <c r="P61" s="78">
        <v>23240</v>
      </c>
      <c r="Q61" s="78">
        <f t="shared" si="2"/>
        <v>0.28000000000000003</v>
      </c>
      <c r="R61" s="78">
        <v>807.24</v>
      </c>
      <c r="S61" s="78">
        <f t="shared" si="3"/>
        <v>0.16800000000000001</v>
      </c>
      <c r="T61" s="78">
        <v>3033.8002000000001</v>
      </c>
      <c r="U61" s="78">
        <f t="shared" si="4"/>
        <v>0.21099999999999999</v>
      </c>
      <c r="V61" s="78">
        <v>1342.7261000000001</v>
      </c>
      <c r="W61" s="78">
        <f t="shared" si="5"/>
        <v>0.13900000000000001</v>
      </c>
    </row>
    <row r="62" spans="4:23" x14ac:dyDescent="0.3">
      <c r="D62" s="67">
        <f t="shared" si="6"/>
        <v>60</v>
      </c>
      <c r="E62" s="85">
        <v>0.23</v>
      </c>
      <c r="F62" s="69">
        <v>0.27399999999999997</v>
      </c>
      <c r="G62" s="69">
        <v>0.41799999999999998</v>
      </c>
      <c r="H62" s="69">
        <v>42961.798999999999</v>
      </c>
      <c r="I62" s="69">
        <v>2331.6311476800001</v>
      </c>
      <c r="J62" s="69">
        <f t="shared" si="0"/>
        <v>45293.430147680003</v>
      </c>
      <c r="K62" s="85">
        <v>0.129</v>
      </c>
      <c r="L62" s="69">
        <v>0.17599999999999899</v>
      </c>
      <c r="M62" s="69">
        <v>6528.7719999999999</v>
      </c>
      <c r="N62" s="69">
        <v>0</v>
      </c>
      <c r="O62" s="70">
        <f t="shared" si="1"/>
        <v>6528.7719999999999</v>
      </c>
      <c r="P62" s="78">
        <v>28718</v>
      </c>
      <c r="Q62" s="78">
        <f t="shared" si="2"/>
        <v>0.34599999999999997</v>
      </c>
      <c r="R62" s="78">
        <v>1316.57</v>
      </c>
      <c r="S62" s="78">
        <f t="shared" si="3"/>
        <v>0.27399999999999997</v>
      </c>
      <c r="T62" s="78">
        <v>5276.7993999999999</v>
      </c>
      <c r="U62" s="78">
        <f t="shared" si="4"/>
        <v>0.36699999999999999</v>
      </c>
      <c r="V62" s="78">
        <v>2414.9749999999999</v>
      </c>
      <c r="W62" s="78">
        <f t="shared" si="5"/>
        <v>0.25</v>
      </c>
    </row>
    <row r="63" spans="4:23" x14ac:dyDescent="0.3">
      <c r="D63" s="67">
        <f t="shared" si="6"/>
        <v>61</v>
      </c>
      <c r="E63" s="85">
        <v>0.22600000000000001</v>
      </c>
      <c r="F63" s="69">
        <v>0.34299999999999997</v>
      </c>
      <c r="G63" s="69">
        <v>0.48899999999999999</v>
      </c>
      <c r="H63" s="69">
        <v>43064.267999999996</v>
      </c>
      <c r="I63" s="69">
        <v>2513.3795602300002</v>
      </c>
      <c r="J63" s="69">
        <f t="shared" si="0"/>
        <v>45577.647560229998</v>
      </c>
      <c r="K63" s="85">
        <v>0.13100000000000001</v>
      </c>
      <c r="L63" s="69">
        <v>0.223</v>
      </c>
      <c r="M63" s="69">
        <v>6583.1930000000002</v>
      </c>
      <c r="N63" s="69">
        <v>0</v>
      </c>
      <c r="O63" s="70">
        <f t="shared" si="1"/>
        <v>6583.1930000000002</v>
      </c>
      <c r="P63" s="78">
        <v>30793</v>
      </c>
      <c r="Q63" s="78">
        <f t="shared" si="2"/>
        <v>0.371</v>
      </c>
      <c r="R63" s="78">
        <v>1648.115</v>
      </c>
      <c r="S63" s="78">
        <f t="shared" si="3"/>
        <v>0.34300000000000003</v>
      </c>
      <c r="T63" s="78">
        <v>6815.2668000000003</v>
      </c>
      <c r="U63" s="78">
        <f t="shared" si="4"/>
        <v>0.47399999999999998</v>
      </c>
      <c r="V63" s="78">
        <v>3178.1071000000002</v>
      </c>
      <c r="W63" s="78">
        <f t="shared" si="5"/>
        <v>0.32900000000000001</v>
      </c>
    </row>
    <row r="64" spans="4:23" x14ac:dyDescent="0.3">
      <c r="D64" s="67">
        <f t="shared" si="6"/>
        <v>62</v>
      </c>
      <c r="E64" s="85">
        <v>0.19600000000000001</v>
      </c>
      <c r="F64" s="69">
        <v>0.35299999999999998</v>
      </c>
      <c r="G64" s="69">
        <v>0.498</v>
      </c>
      <c r="H64" s="69">
        <v>42777.860999999997</v>
      </c>
      <c r="I64" s="69">
        <v>2222.8491306199999</v>
      </c>
      <c r="J64" s="69">
        <f t="shared" si="0"/>
        <v>45000.710130619998</v>
      </c>
      <c r="K64" s="85">
        <v>0.151</v>
      </c>
      <c r="L64" s="69">
        <v>0.22899999999999998</v>
      </c>
      <c r="M64" s="69">
        <v>6305.54</v>
      </c>
      <c r="N64" s="69">
        <v>0</v>
      </c>
      <c r="O64" s="70">
        <f t="shared" si="1"/>
        <v>6305.54</v>
      </c>
      <c r="P64" s="78">
        <v>31374</v>
      </c>
      <c r="Q64" s="78">
        <f t="shared" si="2"/>
        <v>0.378</v>
      </c>
      <c r="R64" s="78">
        <v>1696.165</v>
      </c>
      <c r="S64" s="78">
        <f t="shared" si="3"/>
        <v>0.35299999999999998</v>
      </c>
      <c r="T64" s="78">
        <v>7447.9075999999995</v>
      </c>
      <c r="U64" s="78">
        <f t="shared" si="4"/>
        <v>0.5179999999999999</v>
      </c>
      <c r="V64" s="78">
        <v>3487.2239</v>
      </c>
      <c r="W64" s="78">
        <f t="shared" si="5"/>
        <v>0.36099999999999999</v>
      </c>
    </row>
    <row r="65" spans="4:23" x14ac:dyDescent="0.3">
      <c r="D65" s="67">
        <f t="shared" si="6"/>
        <v>63</v>
      </c>
      <c r="E65" s="85">
        <v>0.125</v>
      </c>
      <c r="F65" s="69">
        <v>0.30399999999999999</v>
      </c>
      <c r="G65" s="69">
        <v>0.44700000000000001</v>
      </c>
      <c r="H65" s="69">
        <v>42145.586000000003</v>
      </c>
      <c r="I65" s="69">
        <v>1662.0000772000001</v>
      </c>
      <c r="J65" s="69">
        <f t="shared" si="0"/>
        <v>43807.586077200001</v>
      </c>
      <c r="K65" s="85">
        <v>0.188</v>
      </c>
      <c r="L65" s="69">
        <v>0.193</v>
      </c>
      <c r="M65" s="69">
        <v>6245.7089999999998</v>
      </c>
      <c r="N65" s="69">
        <v>0</v>
      </c>
      <c r="O65" s="70">
        <f t="shared" si="1"/>
        <v>6245.7089999999998</v>
      </c>
      <c r="P65" s="78">
        <v>30876</v>
      </c>
      <c r="Q65" s="78">
        <f t="shared" si="2"/>
        <v>0.372</v>
      </c>
      <c r="R65" s="78">
        <v>1460.72</v>
      </c>
      <c r="S65" s="78">
        <f t="shared" si="3"/>
        <v>0.30399999999999999</v>
      </c>
      <c r="T65" s="78">
        <v>7074.0744000000004</v>
      </c>
      <c r="U65" s="78">
        <f t="shared" si="4"/>
        <v>0.49199999999999999</v>
      </c>
      <c r="V65" s="78">
        <v>3265.0462000000002</v>
      </c>
      <c r="W65" s="78">
        <f t="shared" si="5"/>
        <v>0.33800000000000002</v>
      </c>
    </row>
    <row r="66" spans="4:23" x14ac:dyDescent="0.3">
      <c r="D66" s="67">
        <f t="shared" si="6"/>
        <v>64</v>
      </c>
      <c r="E66" s="85">
        <v>3.1000000000000003E-2</v>
      </c>
      <c r="F66" s="69">
        <v>0.21099999999999899</v>
      </c>
      <c r="G66" s="69">
        <v>0.34299999999999997</v>
      </c>
      <c r="H66" s="69">
        <v>42152.853999999999</v>
      </c>
      <c r="I66" s="69">
        <v>1403.5900764800001</v>
      </c>
      <c r="J66" s="69">
        <f t="shared" si="0"/>
        <v>43556.444076480002</v>
      </c>
      <c r="K66" s="85">
        <v>8.3000000000000004E-2</v>
      </c>
      <c r="L66" s="69">
        <v>0.10400000000000001</v>
      </c>
      <c r="M66" s="69">
        <v>6248.9279999999999</v>
      </c>
      <c r="N66" s="69">
        <v>0</v>
      </c>
      <c r="O66" s="70">
        <f t="shared" si="1"/>
        <v>6248.9279999999999</v>
      </c>
      <c r="P66" s="78">
        <v>28635</v>
      </c>
      <c r="Q66" s="78">
        <f t="shared" si="2"/>
        <v>0.34499999999999997</v>
      </c>
      <c r="R66" s="78">
        <v>1013.855</v>
      </c>
      <c r="S66" s="78">
        <f t="shared" si="3"/>
        <v>0.21099999999999999</v>
      </c>
      <c r="T66" s="78">
        <v>5837.5492000000004</v>
      </c>
      <c r="U66" s="78">
        <f t="shared" si="4"/>
        <v>0.40600000000000003</v>
      </c>
      <c r="V66" s="78">
        <v>2588.8532</v>
      </c>
      <c r="W66" s="78">
        <f t="shared" si="5"/>
        <v>0.26800000000000002</v>
      </c>
    </row>
    <row r="67" spans="4:23" x14ac:dyDescent="0.3">
      <c r="D67" s="67">
        <f t="shared" si="6"/>
        <v>65</v>
      </c>
      <c r="E67" s="85">
        <v>0</v>
      </c>
      <c r="F67" s="69">
        <v>0.1</v>
      </c>
      <c r="G67" s="69">
        <v>0.2</v>
      </c>
      <c r="H67" s="69">
        <v>42840.686000000002</v>
      </c>
      <c r="I67" s="69">
        <v>1402.2078902400001</v>
      </c>
      <c r="J67" s="69">
        <f t="shared" si="0"/>
        <v>44242.893890240004</v>
      </c>
      <c r="K67" s="85">
        <v>0</v>
      </c>
      <c r="L67" s="69">
        <v>1.3000000000000001E-2</v>
      </c>
      <c r="M67" s="69">
        <v>6466.9210000000003</v>
      </c>
      <c r="N67" s="69">
        <v>0</v>
      </c>
      <c r="O67" s="70">
        <f t="shared" si="1"/>
        <v>6466.9210000000003</v>
      </c>
      <c r="P67" s="78">
        <v>20003</v>
      </c>
      <c r="Q67" s="78">
        <f t="shared" si="2"/>
        <v>0.24099999999999999</v>
      </c>
      <c r="R67" s="78">
        <v>480.5</v>
      </c>
      <c r="S67" s="78">
        <f t="shared" si="3"/>
        <v>0.1</v>
      </c>
      <c r="T67" s="78">
        <v>4011.5178000000001</v>
      </c>
      <c r="U67" s="78">
        <f t="shared" si="4"/>
        <v>0.27899999999999997</v>
      </c>
      <c r="V67" s="78">
        <v>1593.8834999999999</v>
      </c>
      <c r="W67" s="78">
        <f t="shared" si="5"/>
        <v>0.16500000000000001</v>
      </c>
    </row>
    <row r="68" spans="4:23" x14ac:dyDescent="0.3">
      <c r="D68" s="67">
        <f t="shared" si="6"/>
        <v>66</v>
      </c>
      <c r="E68" s="85">
        <v>0</v>
      </c>
      <c r="F68" s="69">
        <v>0</v>
      </c>
      <c r="G68" s="69">
        <v>5.2000000000000005E-2</v>
      </c>
      <c r="H68" s="69">
        <v>45019.576999999997</v>
      </c>
      <c r="I68" s="69">
        <v>2593.1497181200002</v>
      </c>
      <c r="J68" s="69">
        <f t="shared" ref="J68:J131" si="7">H68+I68</f>
        <v>47612.72671812</v>
      </c>
      <c r="K68" s="85">
        <v>0</v>
      </c>
      <c r="L68" s="69">
        <v>0</v>
      </c>
      <c r="M68" s="69">
        <v>6989.848</v>
      </c>
      <c r="N68" s="69">
        <v>0</v>
      </c>
      <c r="O68" s="70">
        <f t="shared" ref="O68:O131" si="8">M68+N68</f>
        <v>6989.848</v>
      </c>
      <c r="P68" s="78">
        <v>4565</v>
      </c>
      <c r="Q68" s="78">
        <f t="shared" ref="Q68:Q131" si="9">P68/$B$5</f>
        <v>5.5E-2</v>
      </c>
      <c r="R68" s="78">
        <v>0</v>
      </c>
      <c r="S68" s="78">
        <f t="shared" ref="S68:S131" si="10">R68/$B$6</f>
        <v>0</v>
      </c>
      <c r="T68" s="78">
        <v>1768.5186000000001</v>
      </c>
      <c r="U68" s="78">
        <f t="shared" ref="U68:U131" si="11">T68/$B$8</f>
        <v>0.123</v>
      </c>
      <c r="V68" s="78">
        <v>579.59400000000005</v>
      </c>
      <c r="W68" s="78">
        <f t="shared" ref="W68:W131" si="12">V68/$B$9</f>
        <v>6.0000000000000005E-2</v>
      </c>
    </row>
    <row r="69" spans="4:23" x14ac:dyDescent="0.3">
      <c r="D69" s="67">
        <f t="shared" ref="D69:D132" si="13">1+D68</f>
        <v>67</v>
      </c>
      <c r="E69" s="85">
        <v>0</v>
      </c>
      <c r="F69" s="69">
        <v>0</v>
      </c>
      <c r="G69" s="69">
        <v>0</v>
      </c>
      <c r="H69" s="69">
        <v>46198.184999999998</v>
      </c>
      <c r="I69" s="69">
        <v>2764.1255669000002</v>
      </c>
      <c r="J69" s="69">
        <f t="shared" si="7"/>
        <v>48962.3105669</v>
      </c>
      <c r="K69" s="85">
        <v>0</v>
      </c>
      <c r="L69" s="69">
        <v>0</v>
      </c>
      <c r="M69" s="69">
        <v>7462.5829999999996</v>
      </c>
      <c r="N69" s="69">
        <v>239.70212766</v>
      </c>
      <c r="O69" s="70">
        <f t="shared" si="8"/>
        <v>7702.2851276599995</v>
      </c>
      <c r="P69" s="78">
        <v>0</v>
      </c>
      <c r="Q69" s="78">
        <f t="shared" si="9"/>
        <v>0</v>
      </c>
      <c r="R69" s="78">
        <v>0</v>
      </c>
      <c r="S69" s="78">
        <f t="shared" si="10"/>
        <v>0</v>
      </c>
      <c r="T69" s="78">
        <v>0</v>
      </c>
      <c r="U69" s="78">
        <f t="shared" si="11"/>
        <v>0</v>
      </c>
      <c r="V69" s="78">
        <v>0</v>
      </c>
      <c r="W69" s="78">
        <f t="shared" si="12"/>
        <v>0</v>
      </c>
    </row>
    <row r="70" spans="4:23" x14ac:dyDescent="0.3">
      <c r="D70" s="67">
        <f t="shared" si="13"/>
        <v>68</v>
      </c>
      <c r="E70" s="85">
        <v>0</v>
      </c>
      <c r="F70" s="69">
        <v>0</v>
      </c>
      <c r="G70" s="69">
        <v>0</v>
      </c>
      <c r="H70" s="69">
        <v>45795.559000000001</v>
      </c>
      <c r="I70" s="69">
        <v>2578.7963349500001</v>
      </c>
      <c r="J70" s="69">
        <f t="shared" si="7"/>
        <v>48374.35533495</v>
      </c>
      <c r="K70" s="85">
        <v>0</v>
      </c>
      <c r="L70" s="69">
        <v>0</v>
      </c>
      <c r="M70" s="69">
        <v>7552.7650000000003</v>
      </c>
      <c r="N70" s="69">
        <v>199.60531915000001</v>
      </c>
      <c r="O70" s="70">
        <f t="shared" si="8"/>
        <v>7752.3703191500008</v>
      </c>
      <c r="P70" s="78">
        <v>0</v>
      </c>
      <c r="Q70" s="78">
        <f t="shared" si="9"/>
        <v>0</v>
      </c>
      <c r="R70" s="78">
        <v>0</v>
      </c>
      <c r="S70" s="78">
        <f t="shared" si="10"/>
        <v>0</v>
      </c>
      <c r="T70" s="78">
        <v>0</v>
      </c>
      <c r="U70" s="78">
        <f t="shared" si="11"/>
        <v>0</v>
      </c>
      <c r="V70" s="78">
        <v>0</v>
      </c>
      <c r="W70" s="78">
        <f t="shared" si="12"/>
        <v>0</v>
      </c>
    </row>
    <row r="71" spans="4:23" x14ac:dyDescent="0.3">
      <c r="D71" s="67">
        <f t="shared" si="13"/>
        <v>69</v>
      </c>
      <c r="E71" s="85">
        <v>0</v>
      </c>
      <c r="F71" s="69">
        <v>0</v>
      </c>
      <c r="G71" s="69">
        <v>0</v>
      </c>
      <c r="H71" s="69">
        <v>44206.544000000002</v>
      </c>
      <c r="I71" s="69">
        <v>2297.7748222499999</v>
      </c>
      <c r="J71" s="69">
        <f t="shared" si="7"/>
        <v>46504.318822250003</v>
      </c>
      <c r="K71" s="85">
        <v>0</v>
      </c>
      <c r="L71" s="69">
        <v>0</v>
      </c>
      <c r="M71" s="69">
        <v>7284.4</v>
      </c>
      <c r="N71" s="69">
        <v>122.0287234</v>
      </c>
      <c r="O71" s="70">
        <f t="shared" si="8"/>
        <v>7406.4287233999994</v>
      </c>
      <c r="P71" s="78">
        <v>0</v>
      </c>
      <c r="Q71" s="78">
        <f t="shared" si="9"/>
        <v>0</v>
      </c>
      <c r="R71" s="78">
        <v>0</v>
      </c>
      <c r="S71" s="78">
        <f t="shared" si="10"/>
        <v>0</v>
      </c>
      <c r="T71" s="78">
        <v>0</v>
      </c>
      <c r="U71" s="78">
        <f t="shared" si="11"/>
        <v>0</v>
      </c>
      <c r="V71" s="78">
        <v>0</v>
      </c>
      <c r="W71" s="78">
        <f t="shared" si="12"/>
        <v>0</v>
      </c>
    </row>
    <row r="72" spans="4:23" x14ac:dyDescent="0.3">
      <c r="D72" s="67">
        <f t="shared" si="13"/>
        <v>70</v>
      </c>
      <c r="E72" s="85">
        <v>0</v>
      </c>
      <c r="F72" s="69">
        <v>0</v>
      </c>
      <c r="G72" s="69">
        <v>0</v>
      </c>
      <c r="H72" s="69">
        <v>41637.482000000004</v>
      </c>
      <c r="I72" s="69">
        <v>2035.76717276</v>
      </c>
      <c r="J72" s="69">
        <f t="shared" si="7"/>
        <v>43673.249172760006</v>
      </c>
      <c r="K72" s="85">
        <v>0</v>
      </c>
      <c r="L72" s="69">
        <v>0</v>
      </c>
      <c r="M72" s="69">
        <v>6835.835</v>
      </c>
      <c r="N72" s="69">
        <v>65.879787230000005</v>
      </c>
      <c r="O72" s="70">
        <f t="shared" si="8"/>
        <v>6901.7147872300002</v>
      </c>
      <c r="P72" s="78">
        <v>0</v>
      </c>
      <c r="Q72" s="78">
        <f t="shared" si="9"/>
        <v>0</v>
      </c>
      <c r="R72" s="78">
        <v>0</v>
      </c>
      <c r="S72" s="78">
        <f t="shared" si="10"/>
        <v>0</v>
      </c>
      <c r="T72" s="78">
        <v>0</v>
      </c>
      <c r="U72" s="78">
        <f t="shared" si="11"/>
        <v>0</v>
      </c>
      <c r="V72" s="78">
        <v>0</v>
      </c>
      <c r="W72" s="78">
        <f t="shared" si="12"/>
        <v>0</v>
      </c>
    </row>
    <row r="73" spans="4:23" x14ac:dyDescent="0.3">
      <c r="D73" s="67">
        <f t="shared" si="13"/>
        <v>71</v>
      </c>
      <c r="E73" s="85">
        <v>0</v>
      </c>
      <c r="F73" s="69">
        <v>0</v>
      </c>
      <c r="G73" s="69">
        <v>0</v>
      </c>
      <c r="H73" s="69">
        <v>39045.247000000003</v>
      </c>
      <c r="I73" s="69">
        <v>2023.8073515599999</v>
      </c>
      <c r="J73" s="69">
        <f t="shared" si="7"/>
        <v>41069.05435156</v>
      </c>
      <c r="K73" s="85">
        <v>0</v>
      </c>
      <c r="L73" s="69">
        <v>0</v>
      </c>
      <c r="M73" s="69">
        <v>6946.1149999999998</v>
      </c>
      <c r="N73" s="69">
        <v>233.64574468000001</v>
      </c>
      <c r="O73" s="70">
        <f t="shared" si="8"/>
        <v>7179.7607446799993</v>
      </c>
      <c r="P73" s="78">
        <v>0</v>
      </c>
      <c r="Q73" s="78">
        <f t="shared" si="9"/>
        <v>0</v>
      </c>
      <c r="R73" s="78">
        <v>0</v>
      </c>
      <c r="S73" s="78">
        <f t="shared" si="10"/>
        <v>0</v>
      </c>
      <c r="T73" s="78">
        <v>0</v>
      </c>
      <c r="U73" s="78">
        <f t="shared" si="11"/>
        <v>0</v>
      </c>
      <c r="V73" s="78">
        <v>0</v>
      </c>
      <c r="W73" s="78">
        <f t="shared" si="12"/>
        <v>0</v>
      </c>
    </row>
    <row r="74" spans="4:23" x14ac:dyDescent="0.3">
      <c r="D74" s="67">
        <f t="shared" si="13"/>
        <v>72</v>
      </c>
      <c r="E74" s="85">
        <v>0</v>
      </c>
      <c r="F74" s="69">
        <v>0</v>
      </c>
      <c r="G74" s="69">
        <v>0</v>
      </c>
      <c r="H74" s="69">
        <v>36622.576000000001</v>
      </c>
      <c r="I74" s="69">
        <v>1711.51260791</v>
      </c>
      <c r="J74" s="69">
        <f t="shared" si="7"/>
        <v>38334.088607910002</v>
      </c>
      <c r="K74" s="85">
        <v>0</v>
      </c>
      <c r="L74" s="69">
        <v>0</v>
      </c>
      <c r="M74" s="69">
        <v>6435.9790000000003</v>
      </c>
      <c r="N74" s="69">
        <v>304.68297871999999</v>
      </c>
      <c r="O74" s="70">
        <f t="shared" si="8"/>
        <v>6740.6619787200007</v>
      </c>
      <c r="P74" s="78">
        <v>0</v>
      </c>
      <c r="Q74" s="78">
        <f t="shared" si="9"/>
        <v>0</v>
      </c>
      <c r="R74" s="78">
        <v>0</v>
      </c>
      <c r="S74" s="78">
        <f t="shared" si="10"/>
        <v>0</v>
      </c>
      <c r="T74" s="78">
        <v>0</v>
      </c>
      <c r="U74" s="78">
        <f t="shared" si="11"/>
        <v>0</v>
      </c>
      <c r="V74" s="78">
        <v>0</v>
      </c>
      <c r="W74" s="78">
        <f t="shared" si="12"/>
        <v>0</v>
      </c>
    </row>
    <row r="75" spans="4:23" x14ac:dyDescent="0.3">
      <c r="D75" s="67">
        <f t="shared" si="13"/>
        <v>73</v>
      </c>
      <c r="E75" s="85">
        <v>0</v>
      </c>
      <c r="F75" s="69">
        <v>0</v>
      </c>
      <c r="G75" s="69">
        <v>0</v>
      </c>
      <c r="H75" s="69">
        <v>34001.474000000002</v>
      </c>
      <c r="I75" s="69">
        <v>1352.5548862999999</v>
      </c>
      <c r="J75" s="69">
        <f t="shared" si="7"/>
        <v>35354.028886300002</v>
      </c>
      <c r="K75" s="85">
        <v>0</v>
      </c>
      <c r="L75" s="69">
        <v>0</v>
      </c>
      <c r="M75" s="69">
        <v>5688.5959999999995</v>
      </c>
      <c r="N75" s="69">
        <v>246.98723404</v>
      </c>
      <c r="O75" s="70">
        <f t="shared" si="8"/>
        <v>5935.5832340399993</v>
      </c>
      <c r="P75" s="78">
        <v>0</v>
      </c>
      <c r="Q75" s="78">
        <f t="shared" si="9"/>
        <v>0</v>
      </c>
      <c r="R75" s="78">
        <v>0</v>
      </c>
      <c r="S75" s="78">
        <f t="shared" si="10"/>
        <v>0</v>
      </c>
      <c r="T75" s="78">
        <v>0</v>
      </c>
      <c r="U75" s="78">
        <f t="shared" si="11"/>
        <v>0</v>
      </c>
      <c r="V75" s="78">
        <v>0</v>
      </c>
      <c r="W75" s="78">
        <f t="shared" si="12"/>
        <v>0</v>
      </c>
    </row>
    <row r="76" spans="4:23" x14ac:dyDescent="0.3">
      <c r="D76" s="67">
        <f t="shared" si="13"/>
        <v>74</v>
      </c>
      <c r="E76" s="85">
        <v>0</v>
      </c>
      <c r="F76" s="69">
        <v>0</v>
      </c>
      <c r="G76" s="69">
        <v>0</v>
      </c>
      <c r="H76" s="69">
        <v>32176.61948936</v>
      </c>
      <c r="I76" s="69">
        <v>960.92549794000001</v>
      </c>
      <c r="J76" s="69">
        <f t="shared" si="7"/>
        <v>33137.544987300003</v>
      </c>
      <c r="K76" s="85">
        <v>0</v>
      </c>
      <c r="L76" s="69">
        <v>0</v>
      </c>
      <c r="M76" s="69">
        <v>5314.6819999999998</v>
      </c>
      <c r="N76" s="69">
        <v>235.12978723000001</v>
      </c>
      <c r="O76" s="70">
        <f t="shared" si="8"/>
        <v>5549.8117872299999</v>
      </c>
      <c r="P76" s="78">
        <v>0</v>
      </c>
      <c r="Q76" s="78">
        <f t="shared" si="9"/>
        <v>0</v>
      </c>
      <c r="R76" s="78">
        <v>0</v>
      </c>
      <c r="S76" s="78">
        <f t="shared" si="10"/>
        <v>0</v>
      </c>
      <c r="T76" s="78">
        <v>0</v>
      </c>
      <c r="U76" s="78">
        <f t="shared" si="11"/>
        <v>0</v>
      </c>
      <c r="V76" s="78">
        <v>0</v>
      </c>
      <c r="W76" s="78">
        <f t="shared" si="12"/>
        <v>0</v>
      </c>
    </row>
    <row r="77" spans="4:23" x14ac:dyDescent="0.3">
      <c r="D77" s="67">
        <f t="shared" si="13"/>
        <v>75</v>
      </c>
      <c r="E77" s="85">
        <v>0</v>
      </c>
      <c r="F77" s="69">
        <v>0</v>
      </c>
      <c r="G77" s="69">
        <v>0</v>
      </c>
      <c r="H77" s="69">
        <v>31151.46689362</v>
      </c>
      <c r="I77" s="69">
        <v>1510.4932251099999</v>
      </c>
      <c r="J77" s="69">
        <f t="shared" si="7"/>
        <v>32661.96011873</v>
      </c>
      <c r="K77" s="85">
        <v>0</v>
      </c>
      <c r="L77" s="69">
        <v>0</v>
      </c>
      <c r="M77" s="69">
        <v>4886.3860000000004</v>
      </c>
      <c r="N77" s="69">
        <v>177.81170212999999</v>
      </c>
      <c r="O77" s="70">
        <f t="shared" si="8"/>
        <v>5064.1977021300008</v>
      </c>
      <c r="P77" s="78">
        <v>0</v>
      </c>
      <c r="Q77" s="78">
        <f t="shared" si="9"/>
        <v>0</v>
      </c>
      <c r="R77" s="78">
        <v>0</v>
      </c>
      <c r="S77" s="78">
        <f t="shared" si="10"/>
        <v>0</v>
      </c>
      <c r="T77" s="78">
        <v>0</v>
      </c>
      <c r="U77" s="78">
        <f t="shared" si="11"/>
        <v>0</v>
      </c>
      <c r="V77" s="78">
        <v>0</v>
      </c>
      <c r="W77" s="78">
        <f t="shared" si="12"/>
        <v>0</v>
      </c>
    </row>
    <row r="78" spans="4:23" x14ac:dyDescent="0.3">
      <c r="D78" s="67">
        <f t="shared" si="13"/>
        <v>76</v>
      </c>
      <c r="E78" s="85">
        <v>0</v>
      </c>
      <c r="F78" s="69">
        <v>0</v>
      </c>
      <c r="G78" s="69">
        <v>0</v>
      </c>
      <c r="H78" s="69">
        <v>30801.797872340001</v>
      </c>
      <c r="I78" s="69">
        <v>2372.71584089</v>
      </c>
      <c r="J78" s="69">
        <f t="shared" si="7"/>
        <v>33174.513713230001</v>
      </c>
      <c r="K78" s="85">
        <v>0</v>
      </c>
      <c r="L78" s="69">
        <v>0</v>
      </c>
      <c r="M78" s="69">
        <v>4766.4970000000003</v>
      </c>
      <c r="N78" s="69">
        <v>161.65531915</v>
      </c>
      <c r="O78" s="70">
        <f t="shared" si="8"/>
        <v>4928.15231915</v>
      </c>
      <c r="P78" s="78">
        <v>0</v>
      </c>
      <c r="Q78" s="78">
        <f t="shared" si="9"/>
        <v>0</v>
      </c>
      <c r="R78" s="78">
        <v>0</v>
      </c>
      <c r="S78" s="78">
        <f t="shared" si="10"/>
        <v>0</v>
      </c>
      <c r="T78" s="78">
        <v>0</v>
      </c>
      <c r="U78" s="78">
        <f t="shared" si="11"/>
        <v>0</v>
      </c>
      <c r="V78" s="78">
        <v>0</v>
      </c>
      <c r="W78" s="78">
        <f t="shared" si="12"/>
        <v>0</v>
      </c>
    </row>
    <row r="79" spans="4:23" x14ac:dyDescent="0.3">
      <c r="D79" s="67">
        <f t="shared" si="13"/>
        <v>77</v>
      </c>
      <c r="E79" s="85">
        <v>0</v>
      </c>
      <c r="F79" s="69">
        <v>0</v>
      </c>
      <c r="G79" s="69">
        <v>0</v>
      </c>
      <c r="H79" s="69">
        <v>31550.665063830002</v>
      </c>
      <c r="I79" s="69">
        <v>2669.0558326400001</v>
      </c>
      <c r="J79" s="69">
        <f t="shared" si="7"/>
        <v>34219.720896470004</v>
      </c>
      <c r="K79" s="85">
        <v>0</v>
      </c>
      <c r="L79" s="69">
        <v>0</v>
      </c>
      <c r="M79" s="69">
        <v>4766.549</v>
      </c>
      <c r="N79" s="69">
        <v>164.99893617000001</v>
      </c>
      <c r="O79" s="70">
        <f t="shared" si="8"/>
        <v>4931.54793617</v>
      </c>
      <c r="P79" s="78">
        <v>0</v>
      </c>
      <c r="Q79" s="78">
        <f t="shared" si="9"/>
        <v>0</v>
      </c>
      <c r="R79" s="78">
        <v>0</v>
      </c>
      <c r="S79" s="78">
        <f t="shared" si="10"/>
        <v>0</v>
      </c>
      <c r="T79" s="78">
        <v>0</v>
      </c>
      <c r="U79" s="78">
        <f t="shared" si="11"/>
        <v>0</v>
      </c>
      <c r="V79" s="78">
        <v>0</v>
      </c>
      <c r="W79" s="78">
        <f t="shared" si="12"/>
        <v>0</v>
      </c>
    </row>
    <row r="80" spans="4:23" x14ac:dyDescent="0.3">
      <c r="D80" s="67">
        <f t="shared" si="13"/>
        <v>78</v>
      </c>
      <c r="E80" s="85">
        <v>0</v>
      </c>
      <c r="F80" s="69">
        <v>0</v>
      </c>
      <c r="G80" s="69">
        <v>0</v>
      </c>
      <c r="H80" s="69">
        <v>33703.018234039999</v>
      </c>
      <c r="I80" s="69">
        <v>2910.9993967999999</v>
      </c>
      <c r="J80" s="69">
        <f t="shared" si="7"/>
        <v>36614.017630839997</v>
      </c>
      <c r="K80" s="85">
        <v>0</v>
      </c>
      <c r="L80" s="69">
        <v>0</v>
      </c>
      <c r="M80" s="69">
        <v>4897.4570000000003</v>
      </c>
      <c r="N80" s="69">
        <v>165.55531915</v>
      </c>
      <c r="O80" s="70">
        <f t="shared" si="8"/>
        <v>5063.0123191500006</v>
      </c>
      <c r="P80" s="78">
        <v>0</v>
      </c>
      <c r="Q80" s="78">
        <f t="shared" si="9"/>
        <v>0</v>
      </c>
      <c r="R80" s="78">
        <v>0</v>
      </c>
      <c r="S80" s="78">
        <f t="shared" si="10"/>
        <v>0</v>
      </c>
      <c r="T80" s="78">
        <v>0</v>
      </c>
      <c r="U80" s="78">
        <f t="shared" si="11"/>
        <v>0</v>
      </c>
      <c r="V80" s="78">
        <v>0</v>
      </c>
      <c r="W80" s="78">
        <f t="shared" si="12"/>
        <v>0</v>
      </c>
    </row>
    <row r="81" spans="4:23" x14ac:dyDescent="0.3">
      <c r="D81" s="67">
        <f t="shared" si="13"/>
        <v>79</v>
      </c>
      <c r="E81" s="85">
        <v>0</v>
      </c>
      <c r="F81" s="69">
        <v>0</v>
      </c>
      <c r="G81" s="69">
        <v>0</v>
      </c>
      <c r="H81" s="69">
        <v>36791.984680000001</v>
      </c>
      <c r="I81" s="69">
        <v>3802.97379714</v>
      </c>
      <c r="J81" s="69">
        <f t="shared" si="7"/>
        <v>40594.958477140004</v>
      </c>
      <c r="K81" s="85">
        <v>0</v>
      </c>
      <c r="L81" s="69">
        <v>0</v>
      </c>
      <c r="M81" s="69">
        <v>5246.8270000000002</v>
      </c>
      <c r="N81" s="69">
        <v>78.138080000000002</v>
      </c>
      <c r="O81" s="70">
        <f t="shared" si="8"/>
        <v>5324.9650799999999</v>
      </c>
      <c r="P81" s="78">
        <v>0</v>
      </c>
      <c r="Q81" s="78">
        <f t="shared" si="9"/>
        <v>0</v>
      </c>
      <c r="R81" s="78">
        <v>0</v>
      </c>
      <c r="S81" s="78">
        <f t="shared" si="10"/>
        <v>0</v>
      </c>
      <c r="T81" s="78">
        <v>0</v>
      </c>
      <c r="U81" s="78">
        <f t="shared" si="11"/>
        <v>0</v>
      </c>
      <c r="V81" s="78">
        <v>0</v>
      </c>
      <c r="W81" s="78">
        <f t="shared" si="12"/>
        <v>0</v>
      </c>
    </row>
    <row r="82" spans="4:23" x14ac:dyDescent="0.3">
      <c r="D82" s="67">
        <f t="shared" si="13"/>
        <v>80</v>
      </c>
      <c r="E82" s="85">
        <v>0</v>
      </c>
      <c r="F82" s="69">
        <v>0</v>
      </c>
      <c r="G82" s="69">
        <v>0</v>
      </c>
      <c r="H82" s="69">
        <v>39591.880680000002</v>
      </c>
      <c r="I82" s="69">
        <v>4309.5745655999999</v>
      </c>
      <c r="J82" s="69">
        <f t="shared" si="7"/>
        <v>43901.455245600002</v>
      </c>
      <c r="K82" s="85">
        <v>0</v>
      </c>
      <c r="L82" s="69">
        <v>0</v>
      </c>
      <c r="M82" s="69">
        <v>5773.9690000000001</v>
      </c>
      <c r="N82" s="69">
        <v>78.138080000000002</v>
      </c>
      <c r="O82" s="70">
        <f t="shared" si="8"/>
        <v>5852.1070799999998</v>
      </c>
      <c r="P82" s="78">
        <v>0</v>
      </c>
      <c r="Q82" s="78">
        <f t="shared" si="9"/>
        <v>0</v>
      </c>
      <c r="R82" s="78">
        <v>0</v>
      </c>
      <c r="S82" s="78">
        <f t="shared" si="10"/>
        <v>0</v>
      </c>
      <c r="T82" s="78">
        <v>0</v>
      </c>
      <c r="U82" s="78">
        <f t="shared" si="11"/>
        <v>0</v>
      </c>
      <c r="V82" s="78">
        <v>0</v>
      </c>
      <c r="W82" s="78">
        <f t="shared" si="12"/>
        <v>0</v>
      </c>
    </row>
    <row r="83" spans="4:23" x14ac:dyDescent="0.3">
      <c r="D83" s="67">
        <f t="shared" si="13"/>
        <v>81</v>
      </c>
      <c r="E83" s="85">
        <v>0</v>
      </c>
      <c r="F83" s="69">
        <v>0</v>
      </c>
      <c r="G83" s="69">
        <v>0</v>
      </c>
      <c r="H83" s="69">
        <v>41620.536679999997</v>
      </c>
      <c r="I83" s="69">
        <v>4168.54933695</v>
      </c>
      <c r="J83" s="69">
        <f t="shared" si="7"/>
        <v>45789.086016949994</v>
      </c>
      <c r="K83" s="85">
        <v>0</v>
      </c>
      <c r="L83" s="69">
        <v>0</v>
      </c>
      <c r="M83" s="69">
        <v>6262.2020000000002</v>
      </c>
      <c r="N83" s="69">
        <v>78.138080000000002</v>
      </c>
      <c r="O83" s="70">
        <f t="shared" si="8"/>
        <v>6340.3400799999999</v>
      </c>
      <c r="P83" s="78">
        <v>0</v>
      </c>
      <c r="Q83" s="78">
        <f t="shared" si="9"/>
        <v>0</v>
      </c>
      <c r="R83" s="78">
        <v>0</v>
      </c>
      <c r="S83" s="78">
        <f t="shared" si="10"/>
        <v>0</v>
      </c>
      <c r="T83" s="78">
        <v>0</v>
      </c>
      <c r="U83" s="78">
        <f t="shared" si="11"/>
        <v>0</v>
      </c>
      <c r="V83" s="78">
        <v>0</v>
      </c>
      <c r="W83" s="78">
        <f t="shared" si="12"/>
        <v>0</v>
      </c>
    </row>
    <row r="84" spans="4:23" x14ac:dyDescent="0.3">
      <c r="D84" s="67">
        <f t="shared" si="13"/>
        <v>82</v>
      </c>
      <c r="E84" s="85">
        <v>5.89999999999999E-2</v>
      </c>
      <c r="F84" s="69">
        <v>2.3E-2</v>
      </c>
      <c r="G84" s="69">
        <v>8.199999999999999E-2</v>
      </c>
      <c r="H84" s="69">
        <v>43145.327680000002</v>
      </c>
      <c r="I84" s="69">
        <v>2695.29612709</v>
      </c>
      <c r="J84" s="69">
        <f t="shared" si="7"/>
        <v>45840.62380709</v>
      </c>
      <c r="K84" s="85">
        <v>1.3999999999999999E-2</v>
      </c>
      <c r="L84" s="69">
        <v>1.3999999999999999E-2</v>
      </c>
      <c r="M84" s="69">
        <v>6477.848</v>
      </c>
      <c r="N84" s="69">
        <v>0</v>
      </c>
      <c r="O84" s="70">
        <f t="shared" si="8"/>
        <v>6477.848</v>
      </c>
      <c r="P84" s="78">
        <v>5561</v>
      </c>
      <c r="Q84" s="78">
        <f t="shared" si="9"/>
        <v>6.7000000000000004E-2</v>
      </c>
      <c r="R84" s="78">
        <v>110.515</v>
      </c>
      <c r="S84" s="78">
        <f t="shared" si="10"/>
        <v>2.3E-2</v>
      </c>
      <c r="T84" s="78">
        <v>431.346</v>
      </c>
      <c r="U84" s="78">
        <f t="shared" si="11"/>
        <v>0.03</v>
      </c>
      <c r="V84" s="78">
        <v>241.4975</v>
      </c>
      <c r="W84" s="78">
        <f t="shared" si="12"/>
        <v>2.5000000000000001E-2</v>
      </c>
    </row>
    <row r="85" spans="4:23" x14ac:dyDescent="0.3">
      <c r="D85" s="67">
        <f t="shared" si="13"/>
        <v>83</v>
      </c>
      <c r="E85" s="85">
        <v>0.20399999999999999</v>
      </c>
      <c r="F85" s="69">
        <v>5.4000000000000006E-2</v>
      </c>
      <c r="G85" s="69">
        <v>0.19399999999999998</v>
      </c>
      <c r="H85" s="69">
        <v>42899.063000000002</v>
      </c>
      <c r="I85" s="69">
        <v>1954.1065423</v>
      </c>
      <c r="J85" s="69">
        <f t="shared" si="7"/>
        <v>44853.169542300006</v>
      </c>
      <c r="K85" s="85">
        <v>5.2999999999999999E-2</v>
      </c>
      <c r="L85" s="69">
        <v>5.89999999999999E-2</v>
      </c>
      <c r="M85" s="69">
        <v>6399.0910000000003</v>
      </c>
      <c r="N85" s="69">
        <v>0</v>
      </c>
      <c r="O85" s="70">
        <f t="shared" si="8"/>
        <v>6399.0910000000003</v>
      </c>
      <c r="P85" s="78">
        <v>14110</v>
      </c>
      <c r="Q85" s="78">
        <f t="shared" si="9"/>
        <v>0.17</v>
      </c>
      <c r="R85" s="78">
        <v>259.47000000000003</v>
      </c>
      <c r="S85" s="78">
        <f t="shared" si="10"/>
        <v>5.4000000000000006E-2</v>
      </c>
      <c r="T85" s="78">
        <v>1782.8968</v>
      </c>
      <c r="U85" s="78">
        <f t="shared" si="11"/>
        <v>0.124</v>
      </c>
      <c r="V85" s="78">
        <v>975.6499</v>
      </c>
      <c r="W85" s="78">
        <f t="shared" si="12"/>
        <v>0.10100000000000001</v>
      </c>
    </row>
    <row r="86" spans="4:23" x14ac:dyDescent="0.3">
      <c r="D86" s="67">
        <f t="shared" si="13"/>
        <v>84</v>
      </c>
      <c r="E86" s="85">
        <v>0.27700000000000002</v>
      </c>
      <c r="F86" s="69">
        <v>8.5999999999999993E-2</v>
      </c>
      <c r="G86" s="69">
        <v>0.28499999999999903</v>
      </c>
      <c r="H86" s="69">
        <v>43329.033000000003</v>
      </c>
      <c r="I86" s="69">
        <v>2464.8719474300001</v>
      </c>
      <c r="J86" s="69">
        <f t="shared" si="7"/>
        <v>45793.904947430005</v>
      </c>
      <c r="K86" s="85">
        <v>8.4000000000000005E-2</v>
      </c>
      <c r="L86" s="69">
        <v>0.102999999999999</v>
      </c>
      <c r="M86" s="69">
        <v>6517.8050000000003</v>
      </c>
      <c r="N86" s="69">
        <v>0</v>
      </c>
      <c r="O86" s="70">
        <f t="shared" si="8"/>
        <v>6517.8050000000003</v>
      </c>
      <c r="P86" s="78">
        <v>19671</v>
      </c>
      <c r="Q86" s="78">
        <f t="shared" si="9"/>
        <v>0.23699999999999999</v>
      </c>
      <c r="R86" s="78">
        <v>413.23</v>
      </c>
      <c r="S86" s="78">
        <f t="shared" si="10"/>
        <v>8.6000000000000007E-2</v>
      </c>
      <c r="T86" s="78">
        <v>3206.3386</v>
      </c>
      <c r="U86" s="78">
        <f t="shared" si="11"/>
        <v>0.223</v>
      </c>
      <c r="V86" s="78">
        <v>1777.4215999999999</v>
      </c>
      <c r="W86" s="78">
        <f t="shared" si="12"/>
        <v>0.184</v>
      </c>
    </row>
    <row r="87" spans="4:23" x14ac:dyDescent="0.3">
      <c r="D87" s="67">
        <f t="shared" si="13"/>
        <v>85</v>
      </c>
      <c r="E87" s="85">
        <v>0.28100000000000003</v>
      </c>
      <c r="F87" s="69">
        <v>0.11199999999999999</v>
      </c>
      <c r="G87" s="69">
        <v>0.34</v>
      </c>
      <c r="H87" s="69">
        <v>43728.13</v>
      </c>
      <c r="I87" s="69">
        <v>2692.2592929000002</v>
      </c>
      <c r="J87" s="69">
        <f t="shared" si="7"/>
        <v>46420.389292899999</v>
      </c>
      <c r="K87" s="85">
        <v>9.4E-2</v>
      </c>
      <c r="L87" s="69">
        <v>0.12</v>
      </c>
      <c r="M87" s="69">
        <v>6604.152</v>
      </c>
      <c r="N87" s="69">
        <v>0</v>
      </c>
      <c r="O87" s="70">
        <f t="shared" si="8"/>
        <v>6604.152</v>
      </c>
      <c r="P87" s="78">
        <v>23323</v>
      </c>
      <c r="Q87" s="78">
        <f t="shared" si="9"/>
        <v>0.28100000000000003</v>
      </c>
      <c r="R87" s="78">
        <v>538.16</v>
      </c>
      <c r="S87" s="78">
        <f t="shared" si="10"/>
        <v>0.11199999999999999</v>
      </c>
      <c r="T87" s="78">
        <v>4385.3509999999997</v>
      </c>
      <c r="U87" s="78">
        <f t="shared" si="11"/>
        <v>0.30499999999999994</v>
      </c>
      <c r="V87" s="78">
        <v>2366.6754999999998</v>
      </c>
      <c r="W87" s="78">
        <f t="shared" si="12"/>
        <v>0.245</v>
      </c>
    </row>
    <row r="88" spans="4:23" x14ac:dyDescent="0.3">
      <c r="D88" s="67">
        <f t="shared" si="13"/>
        <v>86</v>
      </c>
      <c r="E88" s="85">
        <v>0.253</v>
      </c>
      <c r="F88" s="69">
        <v>0.122</v>
      </c>
      <c r="G88" s="69">
        <v>0.34599999999999903</v>
      </c>
      <c r="H88" s="69">
        <v>43650.438000000002</v>
      </c>
      <c r="I88" s="69">
        <v>2386.7889066500002</v>
      </c>
      <c r="J88" s="69">
        <f t="shared" si="7"/>
        <v>46037.226906650001</v>
      </c>
      <c r="K88" s="85">
        <v>8.6999999999999994E-2</v>
      </c>
      <c r="L88" s="69">
        <v>0.11</v>
      </c>
      <c r="M88" s="69">
        <v>6357.2460000000001</v>
      </c>
      <c r="N88" s="69">
        <v>0</v>
      </c>
      <c r="O88" s="70">
        <f t="shared" si="8"/>
        <v>6357.2460000000001</v>
      </c>
      <c r="P88" s="78">
        <v>24402</v>
      </c>
      <c r="Q88" s="78">
        <f t="shared" si="9"/>
        <v>0.29399999999999998</v>
      </c>
      <c r="R88" s="78">
        <v>586.21</v>
      </c>
      <c r="S88" s="78">
        <f t="shared" si="10"/>
        <v>0.12200000000000001</v>
      </c>
      <c r="T88" s="78">
        <v>4960.4790000000003</v>
      </c>
      <c r="U88" s="78">
        <f t="shared" si="11"/>
        <v>0.34500000000000003</v>
      </c>
      <c r="V88" s="78">
        <v>2608.1729999999998</v>
      </c>
      <c r="W88" s="78">
        <f t="shared" si="12"/>
        <v>0.26999999999999996</v>
      </c>
    </row>
    <row r="89" spans="4:23" x14ac:dyDescent="0.3">
      <c r="D89" s="67">
        <f t="shared" si="13"/>
        <v>87</v>
      </c>
      <c r="E89" s="85">
        <v>0.16</v>
      </c>
      <c r="F89" s="69">
        <v>0.114</v>
      </c>
      <c r="G89" s="69">
        <v>0.307</v>
      </c>
      <c r="H89" s="69">
        <v>42943.040000000001</v>
      </c>
      <c r="I89" s="69">
        <v>1780.5198930900001</v>
      </c>
      <c r="J89" s="69">
        <f t="shared" si="7"/>
        <v>44723.559893090001</v>
      </c>
      <c r="K89" s="85">
        <v>7.0999999999999994E-2</v>
      </c>
      <c r="L89" s="69">
        <v>7.9000000000000001E-2</v>
      </c>
      <c r="M89" s="69">
        <v>6317.0320000000002</v>
      </c>
      <c r="N89" s="69">
        <v>0</v>
      </c>
      <c r="O89" s="70">
        <f t="shared" si="8"/>
        <v>6317.0320000000002</v>
      </c>
      <c r="P89" s="78">
        <v>23406</v>
      </c>
      <c r="Q89" s="78">
        <f t="shared" si="9"/>
        <v>0.28199999999999997</v>
      </c>
      <c r="R89" s="78">
        <v>547.77</v>
      </c>
      <c r="S89" s="78">
        <f t="shared" si="10"/>
        <v>0.11399999999999999</v>
      </c>
      <c r="T89" s="78">
        <v>4816.6970000000001</v>
      </c>
      <c r="U89" s="78">
        <f t="shared" si="11"/>
        <v>0.33499999999999996</v>
      </c>
      <c r="V89" s="78">
        <v>2453.6145999999999</v>
      </c>
      <c r="W89" s="78">
        <f t="shared" si="12"/>
        <v>0.254</v>
      </c>
    </row>
    <row r="90" spans="4:23" x14ac:dyDescent="0.3">
      <c r="D90" s="67">
        <f t="shared" si="13"/>
        <v>88</v>
      </c>
      <c r="E90" s="85">
        <v>3.5000000000000003E-2</v>
      </c>
      <c r="F90" s="69">
        <v>0.09</v>
      </c>
      <c r="G90" s="69">
        <v>0.245</v>
      </c>
      <c r="H90" s="69">
        <v>42826.260999999999</v>
      </c>
      <c r="I90" s="69">
        <v>1510.95043465</v>
      </c>
      <c r="J90" s="69">
        <f t="shared" si="7"/>
        <v>44337.211434650002</v>
      </c>
      <c r="K90" s="85">
        <v>3.6999999999999901E-2</v>
      </c>
      <c r="L90" s="69">
        <v>4.2000000000000003E-2</v>
      </c>
      <c r="M90" s="69">
        <v>6344.6639999999998</v>
      </c>
      <c r="N90" s="69">
        <v>0</v>
      </c>
      <c r="O90" s="70">
        <f t="shared" si="8"/>
        <v>6344.6639999999998</v>
      </c>
      <c r="P90" s="78">
        <v>21165</v>
      </c>
      <c r="Q90" s="78">
        <f t="shared" si="9"/>
        <v>0.255</v>
      </c>
      <c r="R90" s="78">
        <v>432.45</v>
      </c>
      <c r="S90" s="78">
        <f t="shared" si="10"/>
        <v>0.09</v>
      </c>
      <c r="T90" s="78">
        <v>3695.1974</v>
      </c>
      <c r="U90" s="78">
        <f t="shared" si="11"/>
        <v>0.25700000000000001</v>
      </c>
      <c r="V90" s="78">
        <v>1854.7008000000001</v>
      </c>
      <c r="W90" s="78">
        <f t="shared" si="12"/>
        <v>0.192</v>
      </c>
    </row>
    <row r="91" spans="4:23" x14ac:dyDescent="0.3">
      <c r="D91" s="67">
        <f t="shared" si="13"/>
        <v>89</v>
      </c>
      <c r="E91" s="85">
        <v>0</v>
      </c>
      <c r="F91" s="69">
        <v>5.0999999999999997E-2</v>
      </c>
      <c r="G91" s="69">
        <v>0.157</v>
      </c>
      <c r="H91" s="69">
        <v>43600.135999999999</v>
      </c>
      <c r="I91" s="69">
        <v>1519.23474126</v>
      </c>
      <c r="J91" s="69">
        <f t="shared" si="7"/>
        <v>45119.370741259998</v>
      </c>
      <c r="K91" s="85">
        <v>0</v>
      </c>
      <c r="L91" s="69">
        <v>1.3000000000000001E-2</v>
      </c>
      <c r="M91" s="69">
        <v>6566.5119999999997</v>
      </c>
      <c r="N91" s="69">
        <v>0</v>
      </c>
      <c r="O91" s="70">
        <f t="shared" si="8"/>
        <v>6566.5119999999997</v>
      </c>
      <c r="P91" s="78">
        <v>15687</v>
      </c>
      <c r="Q91" s="78">
        <f t="shared" si="9"/>
        <v>0.189</v>
      </c>
      <c r="R91" s="78">
        <v>245.05500000000001</v>
      </c>
      <c r="S91" s="78">
        <f t="shared" si="10"/>
        <v>5.1000000000000004E-2</v>
      </c>
      <c r="T91" s="78">
        <v>2257.3773999999999</v>
      </c>
      <c r="U91" s="78">
        <f t="shared" si="11"/>
        <v>0.15699999999999997</v>
      </c>
      <c r="V91" s="78">
        <v>1072.2489</v>
      </c>
      <c r="W91" s="78">
        <f t="shared" si="12"/>
        <v>0.11100000000000002</v>
      </c>
    </row>
    <row r="92" spans="4:23" x14ac:dyDescent="0.3">
      <c r="D92" s="67">
        <f t="shared" si="13"/>
        <v>90</v>
      </c>
      <c r="E92" s="85">
        <v>0</v>
      </c>
      <c r="F92" s="69">
        <v>0</v>
      </c>
      <c r="G92" s="69">
        <v>5.0999999999999997E-2</v>
      </c>
      <c r="H92" s="69">
        <v>45774.112000000001</v>
      </c>
      <c r="I92" s="69">
        <v>1612.3495110399999</v>
      </c>
      <c r="J92" s="69">
        <f t="shared" si="7"/>
        <v>47386.461511040005</v>
      </c>
      <c r="K92" s="85">
        <v>0</v>
      </c>
      <c r="L92" s="69">
        <v>0</v>
      </c>
      <c r="M92" s="69">
        <v>7042.9809999999998</v>
      </c>
      <c r="N92" s="69">
        <v>0</v>
      </c>
      <c r="O92" s="70">
        <f t="shared" si="8"/>
        <v>7042.9809999999998</v>
      </c>
      <c r="P92" s="78">
        <v>4316</v>
      </c>
      <c r="Q92" s="78">
        <f t="shared" si="9"/>
        <v>5.1999999999999998E-2</v>
      </c>
      <c r="R92" s="78">
        <v>0</v>
      </c>
      <c r="S92" s="78">
        <f t="shared" si="10"/>
        <v>0</v>
      </c>
      <c r="T92" s="78">
        <v>920.20479999999998</v>
      </c>
      <c r="U92" s="78">
        <f t="shared" si="11"/>
        <v>6.4000000000000001E-2</v>
      </c>
      <c r="V92" s="78">
        <v>357.41629999999998</v>
      </c>
      <c r="W92" s="78">
        <f t="shared" si="12"/>
        <v>3.6999999999999998E-2</v>
      </c>
    </row>
    <row r="93" spans="4:23" x14ac:dyDescent="0.3">
      <c r="D93" s="67">
        <f t="shared" si="13"/>
        <v>91</v>
      </c>
      <c r="E93" s="85">
        <v>0</v>
      </c>
      <c r="F93" s="69">
        <v>0</v>
      </c>
      <c r="G93" s="69">
        <v>0</v>
      </c>
      <c r="H93" s="69">
        <v>46985.129000000001</v>
      </c>
      <c r="I93" s="69">
        <v>1737.9622810000001</v>
      </c>
      <c r="J93" s="69">
        <f t="shared" si="7"/>
        <v>48723.091281000001</v>
      </c>
      <c r="K93" s="85">
        <v>0</v>
      </c>
      <c r="L93" s="69">
        <v>0</v>
      </c>
      <c r="M93" s="69">
        <v>7434.8710000000001</v>
      </c>
      <c r="N93" s="69">
        <v>0</v>
      </c>
      <c r="O93" s="70">
        <f t="shared" si="8"/>
        <v>7434.8710000000001</v>
      </c>
      <c r="P93" s="78">
        <v>0</v>
      </c>
      <c r="Q93" s="78">
        <f t="shared" si="9"/>
        <v>0</v>
      </c>
      <c r="R93" s="78">
        <v>0</v>
      </c>
      <c r="S93" s="78">
        <f t="shared" si="10"/>
        <v>0</v>
      </c>
      <c r="T93" s="78">
        <v>0</v>
      </c>
      <c r="U93" s="78">
        <f t="shared" si="11"/>
        <v>0</v>
      </c>
      <c r="V93" s="78">
        <v>0</v>
      </c>
      <c r="W93" s="78">
        <f t="shared" si="12"/>
        <v>0</v>
      </c>
    </row>
    <row r="94" spans="4:23" x14ac:dyDescent="0.3">
      <c r="D94" s="67">
        <f t="shared" si="13"/>
        <v>92</v>
      </c>
      <c r="E94" s="85">
        <v>0</v>
      </c>
      <c r="F94" s="69">
        <v>0</v>
      </c>
      <c r="G94" s="69">
        <v>0</v>
      </c>
      <c r="H94" s="69">
        <v>46543.966999999997</v>
      </c>
      <c r="I94" s="69">
        <v>1877.1197350899999</v>
      </c>
      <c r="J94" s="69">
        <f t="shared" si="7"/>
        <v>48421.086735089993</v>
      </c>
      <c r="K94" s="85">
        <v>0</v>
      </c>
      <c r="L94" s="69">
        <v>0</v>
      </c>
      <c r="M94" s="69">
        <v>7515.1890000000003</v>
      </c>
      <c r="N94" s="69">
        <v>0</v>
      </c>
      <c r="O94" s="70">
        <f t="shared" si="8"/>
        <v>7515.1890000000003</v>
      </c>
      <c r="P94" s="78">
        <v>0</v>
      </c>
      <c r="Q94" s="78">
        <f t="shared" si="9"/>
        <v>0</v>
      </c>
      <c r="R94" s="78">
        <v>0</v>
      </c>
      <c r="S94" s="78">
        <f t="shared" si="10"/>
        <v>0</v>
      </c>
      <c r="T94" s="78">
        <v>0</v>
      </c>
      <c r="U94" s="78">
        <f t="shared" si="11"/>
        <v>0</v>
      </c>
      <c r="V94" s="78">
        <v>0</v>
      </c>
      <c r="W94" s="78">
        <f t="shared" si="12"/>
        <v>0</v>
      </c>
    </row>
    <row r="95" spans="4:23" x14ac:dyDescent="0.3">
      <c r="D95" s="67">
        <f t="shared" si="13"/>
        <v>93</v>
      </c>
      <c r="E95" s="85">
        <v>0</v>
      </c>
      <c r="F95" s="69">
        <v>0</v>
      </c>
      <c r="G95" s="69">
        <v>0</v>
      </c>
      <c r="H95" s="69">
        <v>44908.347000000002</v>
      </c>
      <c r="I95" s="69">
        <v>1856.6173315000001</v>
      </c>
      <c r="J95" s="69">
        <f t="shared" si="7"/>
        <v>46764.964331499999</v>
      </c>
      <c r="K95" s="85">
        <v>0</v>
      </c>
      <c r="L95" s="69">
        <v>0</v>
      </c>
      <c r="M95" s="69">
        <v>7256.3289999999997</v>
      </c>
      <c r="N95" s="69">
        <v>0</v>
      </c>
      <c r="O95" s="70">
        <f t="shared" si="8"/>
        <v>7256.3289999999997</v>
      </c>
      <c r="P95" s="78">
        <v>0</v>
      </c>
      <c r="Q95" s="78">
        <f t="shared" si="9"/>
        <v>0</v>
      </c>
      <c r="R95" s="78">
        <v>0</v>
      </c>
      <c r="S95" s="78">
        <f t="shared" si="10"/>
        <v>0</v>
      </c>
      <c r="T95" s="78">
        <v>0</v>
      </c>
      <c r="U95" s="78">
        <f t="shared" si="11"/>
        <v>0</v>
      </c>
      <c r="V95" s="78">
        <v>0</v>
      </c>
      <c r="W95" s="78">
        <f t="shared" si="12"/>
        <v>0</v>
      </c>
    </row>
    <row r="96" spans="4:23" x14ac:dyDescent="0.3">
      <c r="D96" s="67">
        <f t="shared" si="13"/>
        <v>94</v>
      </c>
      <c r="E96" s="85">
        <v>0</v>
      </c>
      <c r="F96" s="69">
        <v>0</v>
      </c>
      <c r="G96" s="69">
        <v>0</v>
      </c>
      <c r="H96" s="69">
        <v>42329.292999999998</v>
      </c>
      <c r="I96" s="69">
        <v>1785.0935541199999</v>
      </c>
      <c r="J96" s="69">
        <f t="shared" si="7"/>
        <v>44114.386554119999</v>
      </c>
      <c r="K96" s="85">
        <v>0</v>
      </c>
      <c r="L96" s="69">
        <v>0</v>
      </c>
      <c r="M96" s="69">
        <v>6822.1850000000004</v>
      </c>
      <c r="N96" s="69">
        <v>0</v>
      </c>
      <c r="O96" s="70">
        <f t="shared" si="8"/>
        <v>6822.1850000000004</v>
      </c>
      <c r="P96" s="78">
        <v>0</v>
      </c>
      <c r="Q96" s="78">
        <f t="shared" si="9"/>
        <v>0</v>
      </c>
      <c r="R96" s="78">
        <v>0</v>
      </c>
      <c r="S96" s="78">
        <f t="shared" si="10"/>
        <v>0</v>
      </c>
      <c r="T96" s="78">
        <v>0</v>
      </c>
      <c r="U96" s="78">
        <f t="shared" si="11"/>
        <v>0</v>
      </c>
      <c r="V96" s="78">
        <v>0</v>
      </c>
      <c r="W96" s="78">
        <f t="shared" si="12"/>
        <v>0</v>
      </c>
    </row>
    <row r="97" spans="4:23" x14ac:dyDescent="0.3">
      <c r="D97" s="67">
        <f t="shared" si="13"/>
        <v>95</v>
      </c>
      <c r="E97" s="85">
        <v>0</v>
      </c>
      <c r="F97" s="69">
        <v>0</v>
      </c>
      <c r="G97" s="69">
        <v>0</v>
      </c>
      <c r="H97" s="69">
        <v>39693.309000000001</v>
      </c>
      <c r="I97" s="69">
        <v>1796.9525522199999</v>
      </c>
      <c r="J97" s="69">
        <f t="shared" si="7"/>
        <v>41490.261552219999</v>
      </c>
      <c r="K97" s="85">
        <v>0</v>
      </c>
      <c r="L97" s="69">
        <v>0</v>
      </c>
      <c r="M97" s="69">
        <v>6940.8670000000002</v>
      </c>
      <c r="N97" s="69">
        <v>0</v>
      </c>
      <c r="O97" s="70">
        <f t="shared" si="8"/>
        <v>6940.8670000000002</v>
      </c>
      <c r="P97" s="78">
        <v>0</v>
      </c>
      <c r="Q97" s="78">
        <f t="shared" si="9"/>
        <v>0</v>
      </c>
      <c r="R97" s="78">
        <v>0</v>
      </c>
      <c r="S97" s="78">
        <f t="shared" si="10"/>
        <v>0</v>
      </c>
      <c r="T97" s="78">
        <v>0</v>
      </c>
      <c r="U97" s="78">
        <f t="shared" si="11"/>
        <v>0</v>
      </c>
      <c r="V97" s="78">
        <v>0</v>
      </c>
      <c r="W97" s="78">
        <f t="shared" si="12"/>
        <v>0</v>
      </c>
    </row>
    <row r="98" spans="4:23" x14ac:dyDescent="0.3">
      <c r="D98" s="67">
        <f t="shared" si="13"/>
        <v>96</v>
      </c>
      <c r="E98" s="85">
        <v>0</v>
      </c>
      <c r="F98" s="69">
        <v>0</v>
      </c>
      <c r="G98" s="69">
        <v>0</v>
      </c>
      <c r="H98" s="69">
        <v>37196.328999999998</v>
      </c>
      <c r="I98" s="69">
        <v>1495.4430131500001</v>
      </c>
      <c r="J98" s="69">
        <f t="shared" si="7"/>
        <v>38691.772013149995</v>
      </c>
      <c r="K98" s="85">
        <v>0</v>
      </c>
      <c r="L98" s="69">
        <v>0</v>
      </c>
      <c r="M98" s="69">
        <v>6443.0649999999996</v>
      </c>
      <c r="N98" s="69">
        <v>0</v>
      </c>
      <c r="O98" s="70">
        <f t="shared" si="8"/>
        <v>6443.0649999999996</v>
      </c>
      <c r="P98" s="78">
        <v>0</v>
      </c>
      <c r="Q98" s="78">
        <f t="shared" si="9"/>
        <v>0</v>
      </c>
      <c r="R98" s="78">
        <v>0</v>
      </c>
      <c r="S98" s="78">
        <f t="shared" si="10"/>
        <v>0</v>
      </c>
      <c r="T98" s="78">
        <v>0</v>
      </c>
      <c r="U98" s="78">
        <f t="shared" si="11"/>
        <v>0</v>
      </c>
      <c r="V98" s="78">
        <v>0</v>
      </c>
      <c r="W98" s="78">
        <f t="shared" si="12"/>
        <v>0</v>
      </c>
    </row>
    <row r="99" spans="4:23" x14ac:dyDescent="0.3">
      <c r="D99" s="67">
        <f t="shared" si="13"/>
        <v>97</v>
      </c>
      <c r="E99" s="85">
        <v>0</v>
      </c>
      <c r="F99" s="69">
        <v>0</v>
      </c>
      <c r="G99" s="69">
        <v>0</v>
      </c>
      <c r="H99" s="69">
        <v>34480.928999999996</v>
      </c>
      <c r="I99" s="69">
        <v>1216.4069836199999</v>
      </c>
      <c r="J99" s="69">
        <f t="shared" si="7"/>
        <v>35697.335983619996</v>
      </c>
      <c r="K99" s="85">
        <v>0</v>
      </c>
      <c r="L99" s="69">
        <v>0</v>
      </c>
      <c r="M99" s="69">
        <v>5694.0230000000001</v>
      </c>
      <c r="N99" s="69">
        <v>0</v>
      </c>
      <c r="O99" s="70">
        <f t="shared" si="8"/>
        <v>5694.0230000000001</v>
      </c>
      <c r="P99" s="78">
        <v>0</v>
      </c>
      <c r="Q99" s="78">
        <f t="shared" si="9"/>
        <v>0</v>
      </c>
      <c r="R99" s="78">
        <v>0</v>
      </c>
      <c r="S99" s="78">
        <f t="shared" si="10"/>
        <v>0</v>
      </c>
      <c r="T99" s="78">
        <v>0</v>
      </c>
      <c r="U99" s="78">
        <f t="shared" si="11"/>
        <v>0</v>
      </c>
      <c r="V99" s="78">
        <v>0</v>
      </c>
      <c r="W99" s="78">
        <f t="shared" si="12"/>
        <v>0</v>
      </c>
    </row>
    <row r="100" spans="4:23" x14ac:dyDescent="0.3">
      <c r="D100" s="67">
        <f t="shared" si="13"/>
        <v>98</v>
      </c>
      <c r="E100" s="85">
        <v>0</v>
      </c>
      <c r="F100" s="69">
        <v>0</v>
      </c>
      <c r="G100" s="69">
        <v>0</v>
      </c>
      <c r="H100" s="69">
        <v>32526.065999999999</v>
      </c>
      <c r="I100" s="69">
        <v>917.35342027000002</v>
      </c>
      <c r="J100" s="69">
        <f t="shared" si="7"/>
        <v>33443.419420270002</v>
      </c>
      <c r="K100" s="85">
        <v>0</v>
      </c>
      <c r="L100" s="69">
        <v>0</v>
      </c>
      <c r="M100" s="69">
        <v>5318.067</v>
      </c>
      <c r="N100" s="69">
        <v>0</v>
      </c>
      <c r="O100" s="70">
        <f t="shared" si="8"/>
        <v>5318.067</v>
      </c>
      <c r="P100" s="78">
        <v>0</v>
      </c>
      <c r="Q100" s="78">
        <f t="shared" si="9"/>
        <v>0</v>
      </c>
      <c r="R100" s="78">
        <v>0</v>
      </c>
      <c r="S100" s="78">
        <f t="shared" si="10"/>
        <v>0</v>
      </c>
      <c r="T100" s="78">
        <v>0</v>
      </c>
      <c r="U100" s="78">
        <f t="shared" si="11"/>
        <v>0</v>
      </c>
      <c r="V100" s="78">
        <v>0</v>
      </c>
      <c r="W100" s="78">
        <f t="shared" si="12"/>
        <v>0</v>
      </c>
    </row>
    <row r="101" spans="4:23" x14ac:dyDescent="0.3">
      <c r="D101" s="67">
        <f t="shared" si="13"/>
        <v>99</v>
      </c>
      <c r="E101" s="85">
        <v>0</v>
      </c>
      <c r="F101" s="69">
        <v>0</v>
      </c>
      <c r="G101" s="69">
        <v>0</v>
      </c>
      <c r="H101" s="69">
        <v>31404.126</v>
      </c>
      <c r="I101" s="69">
        <v>1514.24437476</v>
      </c>
      <c r="J101" s="69">
        <f t="shared" si="7"/>
        <v>32918.370374760001</v>
      </c>
      <c r="K101" s="85">
        <v>0</v>
      </c>
      <c r="L101" s="69">
        <v>0</v>
      </c>
      <c r="M101" s="69">
        <v>4886.8729999999996</v>
      </c>
      <c r="N101" s="69">
        <v>0</v>
      </c>
      <c r="O101" s="70">
        <f t="shared" si="8"/>
        <v>4886.8729999999996</v>
      </c>
      <c r="P101" s="78">
        <v>0</v>
      </c>
      <c r="Q101" s="78">
        <f t="shared" si="9"/>
        <v>0</v>
      </c>
      <c r="R101" s="78">
        <v>0</v>
      </c>
      <c r="S101" s="78">
        <f t="shared" si="10"/>
        <v>0</v>
      </c>
      <c r="T101" s="78">
        <v>0</v>
      </c>
      <c r="U101" s="78">
        <f t="shared" si="11"/>
        <v>0</v>
      </c>
      <c r="V101" s="78">
        <v>0</v>
      </c>
      <c r="W101" s="78">
        <f t="shared" si="12"/>
        <v>0</v>
      </c>
    </row>
    <row r="102" spans="4:23" x14ac:dyDescent="0.3">
      <c r="D102" s="67">
        <f t="shared" si="13"/>
        <v>100</v>
      </c>
      <c r="E102" s="85">
        <v>0</v>
      </c>
      <c r="F102" s="69">
        <v>0</v>
      </c>
      <c r="G102" s="69">
        <v>0</v>
      </c>
      <c r="H102" s="69">
        <v>31010.085999999999</v>
      </c>
      <c r="I102" s="69">
        <v>2406.3645889999998</v>
      </c>
      <c r="J102" s="69">
        <f t="shared" si="7"/>
        <v>33416.450589</v>
      </c>
      <c r="K102" s="85">
        <v>0</v>
      </c>
      <c r="L102" s="69">
        <v>0</v>
      </c>
      <c r="M102" s="69">
        <v>4764.5219999999999</v>
      </c>
      <c r="N102" s="69">
        <v>0</v>
      </c>
      <c r="O102" s="70">
        <f t="shared" si="8"/>
        <v>4764.5219999999999</v>
      </c>
      <c r="P102" s="78">
        <v>0</v>
      </c>
      <c r="Q102" s="78">
        <f t="shared" si="9"/>
        <v>0</v>
      </c>
      <c r="R102" s="78">
        <v>0</v>
      </c>
      <c r="S102" s="78">
        <f t="shared" si="10"/>
        <v>0</v>
      </c>
      <c r="T102" s="78">
        <v>0</v>
      </c>
      <c r="U102" s="78">
        <f t="shared" si="11"/>
        <v>0</v>
      </c>
      <c r="V102" s="78">
        <v>0</v>
      </c>
      <c r="W102" s="78">
        <f t="shared" si="12"/>
        <v>0</v>
      </c>
    </row>
    <row r="103" spans="4:23" x14ac:dyDescent="0.3">
      <c r="D103" s="67">
        <f t="shared" si="13"/>
        <v>101</v>
      </c>
      <c r="E103" s="85">
        <v>0</v>
      </c>
      <c r="F103" s="69">
        <v>0</v>
      </c>
      <c r="G103" s="69">
        <v>0</v>
      </c>
      <c r="H103" s="69">
        <v>31779.83</v>
      </c>
      <c r="I103" s="69">
        <v>2704.48176496</v>
      </c>
      <c r="J103" s="69">
        <f t="shared" si="7"/>
        <v>34484.311764960003</v>
      </c>
      <c r="K103" s="85">
        <v>0</v>
      </c>
      <c r="L103" s="69">
        <v>0</v>
      </c>
      <c r="M103" s="69">
        <v>4767.6689999999999</v>
      </c>
      <c r="N103" s="69">
        <v>0</v>
      </c>
      <c r="O103" s="70">
        <f t="shared" si="8"/>
        <v>4767.6689999999999</v>
      </c>
      <c r="P103" s="78">
        <v>0</v>
      </c>
      <c r="Q103" s="78">
        <f t="shared" si="9"/>
        <v>0</v>
      </c>
      <c r="R103" s="78">
        <v>0</v>
      </c>
      <c r="S103" s="78">
        <f t="shared" si="10"/>
        <v>0</v>
      </c>
      <c r="T103" s="78">
        <v>0</v>
      </c>
      <c r="U103" s="78">
        <f t="shared" si="11"/>
        <v>0</v>
      </c>
      <c r="V103" s="78">
        <v>0</v>
      </c>
      <c r="W103" s="78">
        <f t="shared" si="12"/>
        <v>0</v>
      </c>
    </row>
    <row r="104" spans="4:23" x14ac:dyDescent="0.3">
      <c r="D104" s="67">
        <f t="shared" si="13"/>
        <v>102</v>
      </c>
      <c r="E104" s="85">
        <v>0</v>
      </c>
      <c r="F104" s="69">
        <v>0</v>
      </c>
      <c r="G104" s="69">
        <v>0</v>
      </c>
      <c r="H104" s="69">
        <v>33941.966999999997</v>
      </c>
      <c r="I104" s="69">
        <v>2896.52217703</v>
      </c>
      <c r="J104" s="69">
        <f t="shared" si="7"/>
        <v>36838.489177029995</v>
      </c>
      <c r="K104" s="85">
        <v>0</v>
      </c>
      <c r="L104" s="69">
        <v>0</v>
      </c>
      <c r="M104" s="69">
        <v>4904.3209999999999</v>
      </c>
      <c r="N104" s="69">
        <v>0</v>
      </c>
      <c r="O104" s="70">
        <f t="shared" si="8"/>
        <v>4904.3209999999999</v>
      </c>
      <c r="P104" s="78">
        <v>0</v>
      </c>
      <c r="Q104" s="78">
        <f t="shared" si="9"/>
        <v>0</v>
      </c>
      <c r="R104" s="78">
        <v>0</v>
      </c>
      <c r="S104" s="78">
        <f t="shared" si="10"/>
        <v>0</v>
      </c>
      <c r="T104" s="78">
        <v>0</v>
      </c>
      <c r="U104" s="78">
        <f t="shared" si="11"/>
        <v>0</v>
      </c>
      <c r="V104" s="78">
        <v>0</v>
      </c>
      <c r="W104" s="78">
        <f t="shared" si="12"/>
        <v>0</v>
      </c>
    </row>
    <row r="105" spans="4:23" x14ac:dyDescent="0.3">
      <c r="D105" s="67">
        <f t="shared" si="13"/>
        <v>103</v>
      </c>
      <c r="E105" s="85">
        <v>0</v>
      </c>
      <c r="F105" s="69">
        <v>0</v>
      </c>
      <c r="G105" s="69">
        <v>0</v>
      </c>
      <c r="H105" s="69">
        <v>37031.663</v>
      </c>
      <c r="I105" s="69">
        <v>3653.3815220500001</v>
      </c>
      <c r="J105" s="69">
        <f t="shared" si="7"/>
        <v>40685.044522049997</v>
      </c>
      <c r="K105" s="85">
        <v>0</v>
      </c>
      <c r="L105" s="69">
        <v>0</v>
      </c>
      <c r="M105" s="69">
        <v>5261.7860000000001</v>
      </c>
      <c r="N105" s="69">
        <v>0</v>
      </c>
      <c r="O105" s="70">
        <f t="shared" si="8"/>
        <v>5261.7860000000001</v>
      </c>
      <c r="P105" s="78">
        <v>0</v>
      </c>
      <c r="Q105" s="78">
        <f t="shared" si="9"/>
        <v>0</v>
      </c>
      <c r="R105" s="78">
        <v>0</v>
      </c>
      <c r="S105" s="78">
        <f t="shared" si="10"/>
        <v>0</v>
      </c>
      <c r="T105" s="78">
        <v>0</v>
      </c>
      <c r="U105" s="78">
        <f t="shared" si="11"/>
        <v>0</v>
      </c>
      <c r="V105" s="78">
        <v>0</v>
      </c>
      <c r="W105" s="78">
        <f t="shared" si="12"/>
        <v>0</v>
      </c>
    </row>
    <row r="106" spans="4:23" x14ac:dyDescent="0.3">
      <c r="D106" s="67">
        <f t="shared" si="13"/>
        <v>104</v>
      </c>
      <c r="E106" s="85">
        <v>0</v>
      </c>
      <c r="F106" s="69">
        <v>0</v>
      </c>
      <c r="G106" s="69">
        <v>0</v>
      </c>
      <c r="H106" s="69">
        <v>39814.495000000003</v>
      </c>
      <c r="I106" s="69">
        <v>4060.6025534700002</v>
      </c>
      <c r="J106" s="69">
        <f t="shared" si="7"/>
        <v>43875.097553470005</v>
      </c>
      <c r="K106" s="85">
        <v>0</v>
      </c>
      <c r="L106" s="69">
        <v>0</v>
      </c>
      <c r="M106" s="69">
        <v>5787.902</v>
      </c>
      <c r="N106" s="69">
        <v>0</v>
      </c>
      <c r="O106" s="70">
        <f t="shared" si="8"/>
        <v>5787.902</v>
      </c>
      <c r="P106" s="78">
        <v>0</v>
      </c>
      <c r="Q106" s="78">
        <f t="shared" si="9"/>
        <v>0</v>
      </c>
      <c r="R106" s="78">
        <v>0</v>
      </c>
      <c r="S106" s="78">
        <f t="shared" si="10"/>
        <v>0</v>
      </c>
      <c r="T106" s="78">
        <v>0</v>
      </c>
      <c r="U106" s="78">
        <f t="shared" si="11"/>
        <v>0</v>
      </c>
      <c r="V106" s="78">
        <v>0</v>
      </c>
      <c r="W106" s="78">
        <f t="shared" si="12"/>
        <v>0</v>
      </c>
    </row>
    <row r="107" spans="4:23" x14ac:dyDescent="0.3">
      <c r="D107" s="67">
        <f t="shared" si="13"/>
        <v>105</v>
      </c>
      <c r="E107" s="85">
        <v>0</v>
      </c>
      <c r="F107" s="69">
        <v>0</v>
      </c>
      <c r="G107" s="69">
        <v>0</v>
      </c>
      <c r="H107" s="69">
        <v>41641.186000000002</v>
      </c>
      <c r="I107" s="69">
        <v>3896.9106042899998</v>
      </c>
      <c r="J107" s="69">
        <f t="shared" si="7"/>
        <v>45538.096604290004</v>
      </c>
      <c r="K107" s="85">
        <v>0</v>
      </c>
      <c r="L107" s="69">
        <v>0</v>
      </c>
      <c r="M107" s="69">
        <v>6273.2460000000001</v>
      </c>
      <c r="N107" s="69">
        <v>0</v>
      </c>
      <c r="O107" s="70">
        <f t="shared" si="8"/>
        <v>6273.2460000000001</v>
      </c>
      <c r="P107" s="78">
        <v>0</v>
      </c>
      <c r="Q107" s="78">
        <f t="shared" si="9"/>
        <v>0</v>
      </c>
      <c r="R107" s="78">
        <v>0</v>
      </c>
      <c r="S107" s="78">
        <f t="shared" si="10"/>
        <v>0</v>
      </c>
      <c r="T107" s="78">
        <v>0</v>
      </c>
      <c r="U107" s="78">
        <f t="shared" si="11"/>
        <v>0</v>
      </c>
      <c r="V107" s="78">
        <v>0</v>
      </c>
      <c r="W107" s="78">
        <f t="shared" si="12"/>
        <v>0</v>
      </c>
    </row>
    <row r="108" spans="4:23" x14ac:dyDescent="0.3">
      <c r="D108" s="67">
        <f t="shared" si="13"/>
        <v>106</v>
      </c>
      <c r="E108" s="85">
        <v>0</v>
      </c>
      <c r="F108" s="69">
        <v>1.9E-2</v>
      </c>
      <c r="G108" s="69">
        <v>7.1999999999999897E-2</v>
      </c>
      <c r="H108" s="69">
        <v>42953.364999999998</v>
      </c>
      <c r="I108" s="69">
        <v>2410.80530421</v>
      </c>
      <c r="J108" s="69">
        <f t="shared" si="7"/>
        <v>45364.170304209998</v>
      </c>
      <c r="K108" s="85">
        <v>0.02</v>
      </c>
      <c r="L108" s="69">
        <v>2.1999999999999898E-2</v>
      </c>
      <c r="M108" s="69">
        <v>6495.6360000000004</v>
      </c>
      <c r="N108" s="69">
        <v>0</v>
      </c>
      <c r="O108" s="70">
        <f t="shared" si="8"/>
        <v>6495.6360000000004</v>
      </c>
      <c r="P108" s="78">
        <v>5229</v>
      </c>
      <c r="Q108" s="78">
        <f t="shared" si="9"/>
        <v>6.3E-2</v>
      </c>
      <c r="R108" s="78">
        <v>91.295000000000002</v>
      </c>
      <c r="S108" s="78">
        <f t="shared" si="10"/>
        <v>1.9E-2</v>
      </c>
      <c r="T108" s="78">
        <v>690.15359999999998</v>
      </c>
      <c r="U108" s="78">
        <f t="shared" si="11"/>
        <v>4.7999999999999994E-2</v>
      </c>
      <c r="V108" s="78">
        <v>299.45690000000002</v>
      </c>
      <c r="W108" s="78">
        <f t="shared" si="12"/>
        <v>3.1000000000000003E-2</v>
      </c>
    </row>
    <row r="109" spans="4:23" x14ac:dyDescent="0.3">
      <c r="D109" s="67">
        <f t="shared" si="13"/>
        <v>107</v>
      </c>
      <c r="E109" s="85">
        <v>2.1999999999999902E-2</v>
      </c>
      <c r="F109" s="69">
        <v>0.05</v>
      </c>
      <c r="G109" s="69">
        <v>0.19600000000000001</v>
      </c>
      <c r="H109" s="69">
        <v>42971.334999999999</v>
      </c>
      <c r="I109" s="69">
        <v>1946.6902273799999</v>
      </c>
      <c r="J109" s="69">
        <f t="shared" si="7"/>
        <v>44918.02522738</v>
      </c>
      <c r="K109" s="85">
        <v>0.09</v>
      </c>
      <c r="L109" s="69">
        <v>9.5000000000000001E-2</v>
      </c>
      <c r="M109" s="69">
        <v>6423.1790000000001</v>
      </c>
      <c r="N109" s="69">
        <v>0</v>
      </c>
      <c r="O109" s="70">
        <f t="shared" si="8"/>
        <v>6423.1790000000001</v>
      </c>
      <c r="P109" s="78">
        <v>15521</v>
      </c>
      <c r="Q109" s="78">
        <f t="shared" si="9"/>
        <v>0.187</v>
      </c>
      <c r="R109" s="78">
        <v>240.25</v>
      </c>
      <c r="S109" s="78">
        <f t="shared" si="10"/>
        <v>0.05</v>
      </c>
      <c r="T109" s="78">
        <v>2803.7489999999998</v>
      </c>
      <c r="U109" s="78">
        <f t="shared" si="11"/>
        <v>0.19499999999999998</v>
      </c>
      <c r="V109" s="78">
        <v>1207.4875</v>
      </c>
      <c r="W109" s="78">
        <f t="shared" si="12"/>
        <v>0.125</v>
      </c>
    </row>
    <row r="110" spans="4:23" x14ac:dyDescent="0.3">
      <c r="D110" s="67">
        <f t="shared" si="13"/>
        <v>108</v>
      </c>
      <c r="E110" s="85">
        <v>2.7999999999999997E-2</v>
      </c>
      <c r="F110" s="69">
        <v>9.3000000000000013E-2</v>
      </c>
      <c r="G110" s="69">
        <v>0.313</v>
      </c>
      <c r="H110" s="69">
        <v>43535.764000000003</v>
      </c>
      <c r="I110" s="69">
        <v>2533.1995659700001</v>
      </c>
      <c r="J110" s="69">
        <f t="shared" si="7"/>
        <v>46068.96356597</v>
      </c>
      <c r="K110" s="85">
        <v>0.128</v>
      </c>
      <c r="L110" s="69">
        <v>0.17399999999999999</v>
      </c>
      <c r="M110" s="69">
        <v>6554.3549999999996</v>
      </c>
      <c r="N110" s="69">
        <v>0</v>
      </c>
      <c r="O110" s="70">
        <f t="shared" si="8"/>
        <v>6554.3549999999996</v>
      </c>
      <c r="P110" s="78">
        <v>22576</v>
      </c>
      <c r="Q110" s="78">
        <f t="shared" si="9"/>
        <v>0.27200000000000002</v>
      </c>
      <c r="R110" s="78">
        <v>446.86500000000001</v>
      </c>
      <c r="S110" s="78">
        <f t="shared" si="10"/>
        <v>9.2999999999999999E-2</v>
      </c>
      <c r="T110" s="78">
        <v>4989.2353999999996</v>
      </c>
      <c r="U110" s="78">
        <f t="shared" si="11"/>
        <v>0.34699999999999998</v>
      </c>
      <c r="V110" s="78">
        <v>2202.4571999999998</v>
      </c>
      <c r="W110" s="78">
        <f t="shared" si="12"/>
        <v>0.22799999999999998</v>
      </c>
    </row>
    <row r="111" spans="4:23" x14ac:dyDescent="0.3">
      <c r="D111" s="67">
        <f t="shared" si="13"/>
        <v>109</v>
      </c>
      <c r="E111" s="85">
        <v>2.3E-2</v>
      </c>
      <c r="F111" s="69">
        <v>0.14099999999999902</v>
      </c>
      <c r="G111" s="69">
        <v>0.40600000000000003</v>
      </c>
      <c r="H111" s="69">
        <v>44056.065000000002</v>
      </c>
      <c r="I111" s="69">
        <v>2828.8714661099998</v>
      </c>
      <c r="J111" s="69">
        <f t="shared" si="7"/>
        <v>46884.936466110004</v>
      </c>
      <c r="K111" s="85">
        <v>0.10800000000000001</v>
      </c>
      <c r="L111" s="69">
        <v>0.14499999999999902</v>
      </c>
      <c r="M111" s="69">
        <v>6677.2020000000002</v>
      </c>
      <c r="N111" s="69">
        <v>0</v>
      </c>
      <c r="O111" s="70">
        <f t="shared" si="8"/>
        <v>6677.2020000000002</v>
      </c>
      <c r="P111" s="78">
        <v>26726</v>
      </c>
      <c r="Q111" s="78">
        <f t="shared" si="9"/>
        <v>0.32200000000000001</v>
      </c>
      <c r="R111" s="78">
        <v>677.505</v>
      </c>
      <c r="S111" s="78">
        <f t="shared" si="10"/>
        <v>0.14099999999999999</v>
      </c>
      <c r="T111" s="78">
        <v>6513.3245999999999</v>
      </c>
      <c r="U111" s="78">
        <f t="shared" si="11"/>
        <v>0.45299999999999996</v>
      </c>
      <c r="V111" s="78">
        <v>2849.6705000000002</v>
      </c>
      <c r="W111" s="78">
        <f t="shared" si="12"/>
        <v>0.29500000000000004</v>
      </c>
    </row>
    <row r="112" spans="4:23" x14ac:dyDescent="0.3">
      <c r="D112" s="67">
        <f t="shared" si="13"/>
        <v>110</v>
      </c>
      <c r="E112" s="85">
        <v>1.2E-2</v>
      </c>
      <c r="F112" s="69">
        <v>0.17800000000000002</v>
      </c>
      <c r="G112" s="69">
        <v>0.44900000000000001</v>
      </c>
      <c r="H112" s="69">
        <v>44045.722000000002</v>
      </c>
      <c r="I112" s="69">
        <v>2549.8728148700002</v>
      </c>
      <c r="J112" s="69">
        <f t="shared" si="7"/>
        <v>46595.594814870004</v>
      </c>
      <c r="K112" s="85">
        <v>7.5999999999999998E-2</v>
      </c>
      <c r="L112" s="69">
        <v>9.0999999999999998E-2</v>
      </c>
      <c r="M112" s="69">
        <v>6452.0839999999998</v>
      </c>
      <c r="N112" s="69">
        <v>0</v>
      </c>
      <c r="O112" s="70">
        <f t="shared" si="8"/>
        <v>6452.0839999999998</v>
      </c>
      <c r="P112" s="78">
        <v>28635</v>
      </c>
      <c r="Q112" s="78">
        <f t="shared" si="9"/>
        <v>0.34499999999999997</v>
      </c>
      <c r="R112" s="78">
        <v>855.29</v>
      </c>
      <c r="S112" s="78">
        <f t="shared" si="10"/>
        <v>0.17799999999999999</v>
      </c>
      <c r="T112" s="78">
        <v>7160.3436000000002</v>
      </c>
      <c r="U112" s="78">
        <f t="shared" si="11"/>
        <v>0.498</v>
      </c>
      <c r="V112" s="78">
        <v>3071.8481999999999</v>
      </c>
      <c r="W112" s="78">
        <f t="shared" si="12"/>
        <v>0.318</v>
      </c>
    </row>
    <row r="113" spans="4:23" x14ac:dyDescent="0.3">
      <c r="D113" s="67">
        <f t="shared" si="13"/>
        <v>111</v>
      </c>
      <c r="E113" s="85">
        <v>0</v>
      </c>
      <c r="F113" s="69">
        <v>0.184</v>
      </c>
      <c r="G113" s="69">
        <v>0.43200000000000005</v>
      </c>
      <c r="H113" s="69">
        <v>43237.392</v>
      </c>
      <c r="I113" s="69">
        <v>1928.92882416</v>
      </c>
      <c r="J113" s="69">
        <f t="shared" si="7"/>
        <v>45166.32082416</v>
      </c>
      <c r="K113" s="85">
        <v>3.4000000000000002E-2</v>
      </c>
      <c r="L113" s="69">
        <v>0.04</v>
      </c>
      <c r="M113" s="69">
        <v>6412.6229999999996</v>
      </c>
      <c r="N113" s="69">
        <v>0</v>
      </c>
      <c r="O113" s="70">
        <f t="shared" si="8"/>
        <v>6412.6229999999996</v>
      </c>
      <c r="P113" s="78">
        <v>29050</v>
      </c>
      <c r="Q113" s="78">
        <f t="shared" si="9"/>
        <v>0.35</v>
      </c>
      <c r="R113" s="78">
        <v>884.12</v>
      </c>
      <c r="S113" s="78">
        <f t="shared" si="10"/>
        <v>0.184</v>
      </c>
      <c r="T113" s="78">
        <v>6844.0231999999996</v>
      </c>
      <c r="U113" s="78">
        <f t="shared" si="11"/>
        <v>0.47599999999999992</v>
      </c>
      <c r="V113" s="78">
        <v>2820.6907999999999</v>
      </c>
      <c r="W113" s="78">
        <f t="shared" si="12"/>
        <v>0.29199999999999998</v>
      </c>
    </row>
    <row r="114" spans="4:23" x14ac:dyDescent="0.3">
      <c r="D114" s="67">
        <f t="shared" si="13"/>
        <v>112</v>
      </c>
      <c r="E114" s="85">
        <v>0</v>
      </c>
      <c r="F114" s="69">
        <v>0.14899999999999902</v>
      </c>
      <c r="G114" s="69">
        <v>0.33500000000000002</v>
      </c>
      <c r="H114" s="69">
        <v>43095.959000000003</v>
      </c>
      <c r="I114" s="69">
        <v>1651.17552284</v>
      </c>
      <c r="J114" s="69">
        <f t="shared" si="7"/>
        <v>44747.134522840002</v>
      </c>
      <c r="K114" s="85">
        <v>1.7999999999999901E-2</v>
      </c>
      <c r="L114" s="69">
        <v>1.7999999999999901E-2</v>
      </c>
      <c r="M114" s="69">
        <v>6413.6030000000001</v>
      </c>
      <c r="N114" s="69">
        <v>0</v>
      </c>
      <c r="O114" s="70">
        <f t="shared" si="8"/>
        <v>6413.6030000000001</v>
      </c>
      <c r="P114" s="78">
        <v>26643</v>
      </c>
      <c r="Q114" s="78">
        <f t="shared" si="9"/>
        <v>0.32100000000000001</v>
      </c>
      <c r="R114" s="78">
        <v>715.94500000000005</v>
      </c>
      <c r="S114" s="78">
        <f t="shared" si="10"/>
        <v>0.14900000000000002</v>
      </c>
      <c r="T114" s="78">
        <v>5564.3634000000002</v>
      </c>
      <c r="U114" s="78">
        <f t="shared" si="11"/>
        <v>0.38700000000000001</v>
      </c>
      <c r="V114" s="78">
        <v>2173.4775</v>
      </c>
      <c r="W114" s="78">
        <f t="shared" si="12"/>
        <v>0.22500000000000001</v>
      </c>
    </row>
    <row r="115" spans="4:23" x14ac:dyDescent="0.3">
      <c r="D115" s="67">
        <f t="shared" si="13"/>
        <v>113</v>
      </c>
      <c r="E115" s="85">
        <v>0</v>
      </c>
      <c r="F115" s="69">
        <v>8.4000000000000005E-2</v>
      </c>
      <c r="G115" s="69">
        <v>0.2</v>
      </c>
      <c r="H115" s="69">
        <v>43820.275999999998</v>
      </c>
      <c r="I115" s="69">
        <v>1660.805145</v>
      </c>
      <c r="J115" s="69">
        <f t="shared" si="7"/>
        <v>45481.081144999996</v>
      </c>
      <c r="K115" s="85">
        <v>0</v>
      </c>
      <c r="L115" s="69">
        <v>0</v>
      </c>
      <c r="M115" s="69">
        <v>6608.0029999999997</v>
      </c>
      <c r="N115" s="69">
        <v>0</v>
      </c>
      <c r="O115" s="70">
        <f t="shared" si="8"/>
        <v>6608.0029999999997</v>
      </c>
      <c r="P115" s="78">
        <v>18924</v>
      </c>
      <c r="Q115" s="78">
        <f t="shared" si="9"/>
        <v>0.22800000000000001</v>
      </c>
      <c r="R115" s="78">
        <v>403.62</v>
      </c>
      <c r="S115" s="78">
        <f t="shared" si="10"/>
        <v>8.4000000000000005E-2</v>
      </c>
      <c r="T115" s="78">
        <v>3695.1974</v>
      </c>
      <c r="U115" s="78">
        <f t="shared" si="11"/>
        <v>0.25700000000000001</v>
      </c>
      <c r="V115" s="78">
        <v>1294.4266</v>
      </c>
      <c r="W115" s="78">
        <f t="shared" si="12"/>
        <v>0.13400000000000001</v>
      </c>
    </row>
    <row r="116" spans="4:23" x14ac:dyDescent="0.3">
      <c r="D116" s="67">
        <f t="shared" si="13"/>
        <v>114</v>
      </c>
      <c r="E116" s="85">
        <v>0</v>
      </c>
      <c r="F116" s="69">
        <v>1.09999999999999E-2</v>
      </c>
      <c r="G116" s="69">
        <v>5.5999999999999994E-2</v>
      </c>
      <c r="H116" s="69">
        <v>46060.45</v>
      </c>
      <c r="I116" s="69">
        <v>1747.1325311000001</v>
      </c>
      <c r="J116" s="69">
        <f t="shared" si="7"/>
        <v>47807.582531099994</v>
      </c>
      <c r="K116" s="85">
        <v>0</v>
      </c>
      <c r="L116" s="69">
        <v>0</v>
      </c>
      <c r="M116" s="69">
        <v>7061.5820000000003</v>
      </c>
      <c r="N116" s="69">
        <v>0</v>
      </c>
      <c r="O116" s="70">
        <f t="shared" si="8"/>
        <v>7061.5820000000003</v>
      </c>
      <c r="P116" s="78">
        <v>4814</v>
      </c>
      <c r="Q116" s="78">
        <f t="shared" si="9"/>
        <v>5.8000000000000003E-2</v>
      </c>
      <c r="R116" s="78">
        <v>52.854999999999997</v>
      </c>
      <c r="S116" s="78">
        <f t="shared" si="10"/>
        <v>1.0999999999999999E-2</v>
      </c>
      <c r="T116" s="78">
        <v>1581.6020000000001</v>
      </c>
      <c r="U116" s="78">
        <f t="shared" si="11"/>
        <v>0.11</v>
      </c>
      <c r="V116" s="78">
        <v>454.01530000000002</v>
      </c>
      <c r="W116" s="78">
        <f t="shared" si="12"/>
        <v>4.7000000000000007E-2</v>
      </c>
    </row>
    <row r="117" spans="4:23" x14ac:dyDescent="0.3">
      <c r="D117" s="67">
        <f t="shared" si="13"/>
        <v>115</v>
      </c>
      <c r="E117" s="85">
        <v>0</v>
      </c>
      <c r="F117" s="69">
        <v>0</v>
      </c>
      <c r="G117" s="69">
        <v>0</v>
      </c>
      <c r="H117" s="69">
        <v>47164.550999999999</v>
      </c>
      <c r="I117" s="69">
        <v>1864.83769336</v>
      </c>
      <c r="J117" s="69">
        <f t="shared" si="7"/>
        <v>49029.388693360001</v>
      </c>
      <c r="K117" s="85">
        <v>0</v>
      </c>
      <c r="L117" s="69">
        <v>0</v>
      </c>
      <c r="M117" s="69">
        <v>7459.0020000000004</v>
      </c>
      <c r="N117" s="69">
        <v>0</v>
      </c>
      <c r="O117" s="70">
        <f t="shared" si="8"/>
        <v>7459.0020000000004</v>
      </c>
      <c r="P117" s="78">
        <v>0</v>
      </c>
      <c r="Q117" s="78">
        <f t="shared" si="9"/>
        <v>0</v>
      </c>
      <c r="R117" s="78">
        <v>0</v>
      </c>
      <c r="S117" s="78">
        <f t="shared" si="10"/>
        <v>0</v>
      </c>
      <c r="T117" s="78">
        <v>0</v>
      </c>
      <c r="U117" s="78">
        <f t="shared" si="11"/>
        <v>0</v>
      </c>
      <c r="V117" s="78">
        <v>0</v>
      </c>
      <c r="W117" s="78">
        <f t="shared" si="12"/>
        <v>0</v>
      </c>
    </row>
    <row r="118" spans="4:23" x14ac:dyDescent="0.3">
      <c r="D118" s="67">
        <f t="shared" si="13"/>
        <v>116</v>
      </c>
      <c r="E118" s="85">
        <v>0</v>
      </c>
      <c r="F118" s="69">
        <v>0</v>
      </c>
      <c r="G118" s="69">
        <v>0</v>
      </c>
      <c r="H118" s="69">
        <v>46362.288999999997</v>
      </c>
      <c r="I118" s="69">
        <v>1983.54918215</v>
      </c>
      <c r="J118" s="69">
        <f t="shared" si="7"/>
        <v>48345.838182149993</v>
      </c>
      <c r="K118" s="85">
        <v>0</v>
      </c>
      <c r="L118" s="69">
        <v>0</v>
      </c>
      <c r="M118" s="69">
        <v>7511.308</v>
      </c>
      <c r="N118" s="69">
        <v>0</v>
      </c>
      <c r="O118" s="70">
        <f t="shared" si="8"/>
        <v>7511.308</v>
      </c>
      <c r="P118" s="78">
        <v>0</v>
      </c>
      <c r="Q118" s="78">
        <f t="shared" si="9"/>
        <v>0</v>
      </c>
      <c r="R118" s="78">
        <v>0</v>
      </c>
      <c r="S118" s="78">
        <f t="shared" si="10"/>
        <v>0</v>
      </c>
      <c r="T118" s="78">
        <v>0</v>
      </c>
      <c r="U118" s="78">
        <f t="shared" si="11"/>
        <v>0</v>
      </c>
      <c r="V118" s="78">
        <v>0</v>
      </c>
      <c r="W118" s="78">
        <f t="shared" si="12"/>
        <v>0</v>
      </c>
    </row>
    <row r="119" spans="4:23" x14ac:dyDescent="0.3">
      <c r="D119" s="67">
        <f t="shared" si="13"/>
        <v>117</v>
      </c>
      <c r="E119" s="85">
        <v>0</v>
      </c>
      <c r="F119" s="69">
        <v>0</v>
      </c>
      <c r="G119" s="69">
        <v>0</v>
      </c>
      <c r="H119" s="69">
        <v>44574.281000000003</v>
      </c>
      <c r="I119" s="69">
        <v>1940.21043781</v>
      </c>
      <c r="J119" s="69">
        <f t="shared" si="7"/>
        <v>46514.49143781</v>
      </c>
      <c r="K119" s="85">
        <v>0</v>
      </c>
      <c r="L119" s="69">
        <v>0</v>
      </c>
      <c r="M119" s="69">
        <v>7234.3190000000004</v>
      </c>
      <c r="N119" s="69">
        <v>0</v>
      </c>
      <c r="O119" s="70">
        <f t="shared" si="8"/>
        <v>7234.3190000000004</v>
      </c>
      <c r="P119" s="78">
        <v>0</v>
      </c>
      <c r="Q119" s="78">
        <f t="shared" si="9"/>
        <v>0</v>
      </c>
      <c r="R119" s="78">
        <v>0</v>
      </c>
      <c r="S119" s="78">
        <f t="shared" si="10"/>
        <v>0</v>
      </c>
      <c r="T119" s="78">
        <v>0</v>
      </c>
      <c r="U119" s="78">
        <f t="shared" si="11"/>
        <v>0</v>
      </c>
      <c r="V119" s="78">
        <v>0</v>
      </c>
      <c r="W119" s="78">
        <f t="shared" si="12"/>
        <v>0</v>
      </c>
    </row>
    <row r="120" spans="4:23" x14ac:dyDescent="0.3">
      <c r="D120" s="67">
        <f t="shared" si="13"/>
        <v>118</v>
      </c>
      <c r="E120" s="85">
        <v>0</v>
      </c>
      <c r="F120" s="69">
        <v>0</v>
      </c>
      <c r="G120" s="69">
        <v>0</v>
      </c>
      <c r="H120" s="69">
        <v>42176.116999999998</v>
      </c>
      <c r="I120" s="69">
        <v>1853.9826188300001</v>
      </c>
      <c r="J120" s="69">
        <f t="shared" si="7"/>
        <v>44030.099618829998</v>
      </c>
      <c r="K120" s="85">
        <v>0</v>
      </c>
      <c r="L120" s="69">
        <v>0</v>
      </c>
      <c r="M120" s="69">
        <v>6791.7879999999996</v>
      </c>
      <c r="N120" s="69">
        <v>0</v>
      </c>
      <c r="O120" s="70">
        <f t="shared" si="8"/>
        <v>6791.7879999999996</v>
      </c>
      <c r="P120" s="78">
        <v>0</v>
      </c>
      <c r="Q120" s="78">
        <f t="shared" si="9"/>
        <v>0</v>
      </c>
      <c r="R120" s="78">
        <v>0</v>
      </c>
      <c r="S120" s="78">
        <f t="shared" si="10"/>
        <v>0</v>
      </c>
      <c r="T120" s="78">
        <v>0</v>
      </c>
      <c r="U120" s="78">
        <f t="shared" si="11"/>
        <v>0</v>
      </c>
      <c r="V120" s="78">
        <v>0</v>
      </c>
      <c r="W120" s="78">
        <f t="shared" si="12"/>
        <v>0</v>
      </c>
    </row>
    <row r="121" spans="4:23" x14ac:dyDescent="0.3">
      <c r="D121" s="67">
        <f t="shared" si="13"/>
        <v>119</v>
      </c>
      <c r="E121" s="85">
        <v>0</v>
      </c>
      <c r="F121" s="69">
        <v>0</v>
      </c>
      <c r="G121" s="69">
        <v>0</v>
      </c>
      <c r="H121" s="69">
        <v>39847.639000000003</v>
      </c>
      <c r="I121" s="69">
        <v>1859.54534713</v>
      </c>
      <c r="J121" s="69">
        <f t="shared" si="7"/>
        <v>41707.184347130002</v>
      </c>
      <c r="K121" s="85">
        <v>0</v>
      </c>
      <c r="L121" s="69">
        <v>0</v>
      </c>
      <c r="M121" s="69">
        <v>6938.5410000000002</v>
      </c>
      <c r="N121" s="69">
        <v>0</v>
      </c>
      <c r="O121" s="70">
        <f t="shared" si="8"/>
        <v>6938.5410000000002</v>
      </c>
      <c r="P121" s="78">
        <v>0</v>
      </c>
      <c r="Q121" s="78">
        <f t="shared" si="9"/>
        <v>0</v>
      </c>
      <c r="R121" s="78">
        <v>0</v>
      </c>
      <c r="S121" s="78">
        <f t="shared" si="10"/>
        <v>0</v>
      </c>
      <c r="T121" s="78">
        <v>0</v>
      </c>
      <c r="U121" s="78">
        <f t="shared" si="11"/>
        <v>0</v>
      </c>
      <c r="V121" s="78">
        <v>0</v>
      </c>
      <c r="W121" s="78">
        <f t="shared" si="12"/>
        <v>0</v>
      </c>
    </row>
    <row r="122" spans="4:23" x14ac:dyDescent="0.3">
      <c r="D122" s="67">
        <f t="shared" si="13"/>
        <v>120</v>
      </c>
      <c r="E122" s="85">
        <v>0</v>
      </c>
      <c r="F122" s="69">
        <v>0</v>
      </c>
      <c r="G122" s="69">
        <v>0</v>
      </c>
      <c r="H122" s="69">
        <v>37475.285000000003</v>
      </c>
      <c r="I122" s="69">
        <v>1550.2014247499999</v>
      </c>
      <c r="J122" s="69">
        <f t="shared" si="7"/>
        <v>39025.486424750001</v>
      </c>
      <c r="K122" s="85">
        <v>0</v>
      </c>
      <c r="L122" s="69">
        <v>0</v>
      </c>
      <c r="M122" s="69">
        <v>6454.8519999999999</v>
      </c>
      <c r="N122" s="69">
        <v>0</v>
      </c>
      <c r="O122" s="70">
        <f t="shared" si="8"/>
        <v>6454.8519999999999</v>
      </c>
      <c r="P122" s="78">
        <v>0</v>
      </c>
      <c r="Q122" s="78">
        <f t="shared" si="9"/>
        <v>0</v>
      </c>
      <c r="R122" s="78">
        <v>0</v>
      </c>
      <c r="S122" s="78">
        <f t="shared" si="10"/>
        <v>0</v>
      </c>
      <c r="T122" s="78">
        <v>0</v>
      </c>
      <c r="U122" s="78">
        <f t="shared" si="11"/>
        <v>0</v>
      </c>
      <c r="V122" s="78">
        <v>0</v>
      </c>
      <c r="W122" s="78">
        <f t="shared" si="12"/>
        <v>0</v>
      </c>
    </row>
    <row r="123" spans="4:23" x14ac:dyDescent="0.3">
      <c r="D123" s="67">
        <f t="shared" si="13"/>
        <v>121</v>
      </c>
      <c r="E123" s="85">
        <v>0</v>
      </c>
      <c r="F123" s="69">
        <v>0</v>
      </c>
      <c r="G123" s="69">
        <v>0</v>
      </c>
      <c r="H123" s="69">
        <v>34403.582999999999</v>
      </c>
      <c r="I123" s="69">
        <v>1260.06562431</v>
      </c>
      <c r="J123" s="69">
        <f t="shared" si="7"/>
        <v>35663.648624310001</v>
      </c>
      <c r="K123" s="85">
        <v>0</v>
      </c>
      <c r="L123" s="69">
        <v>0</v>
      </c>
      <c r="M123" s="69">
        <v>5643.5910000000003</v>
      </c>
      <c r="N123" s="69">
        <v>0</v>
      </c>
      <c r="O123" s="70">
        <f t="shared" si="8"/>
        <v>5643.5910000000003</v>
      </c>
      <c r="P123" s="78">
        <v>0</v>
      </c>
      <c r="Q123" s="78">
        <f t="shared" si="9"/>
        <v>0</v>
      </c>
      <c r="R123" s="78">
        <v>0</v>
      </c>
      <c r="S123" s="78">
        <f t="shared" si="10"/>
        <v>0</v>
      </c>
      <c r="T123" s="78">
        <v>0</v>
      </c>
      <c r="U123" s="78">
        <f t="shared" si="11"/>
        <v>0</v>
      </c>
      <c r="V123" s="78">
        <v>0</v>
      </c>
      <c r="W123" s="78">
        <f t="shared" si="12"/>
        <v>0</v>
      </c>
    </row>
    <row r="124" spans="4:23" x14ac:dyDescent="0.3">
      <c r="D124" s="67">
        <f t="shared" si="13"/>
        <v>122</v>
      </c>
      <c r="E124" s="85">
        <v>0</v>
      </c>
      <c r="F124" s="69">
        <v>0</v>
      </c>
      <c r="G124" s="69">
        <v>0</v>
      </c>
      <c r="H124" s="69">
        <v>32286.286</v>
      </c>
      <c r="I124" s="69">
        <v>950.67906937999999</v>
      </c>
      <c r="J124" s="69">
        <f t="shared" si="7"/>
        <v>33236.965069379999</v>
      </c>
      <c r="K124" s="85">
        <v>0</v>
      </c>
      <c r="L124" s="69">
        <v>0</v>
      </c>
      <c r="M124" s="69">
        <v>5246</v>
      </c>
      <c r="N124" s="69">
        <v>0</v>
      </c>
      <c r="O124" s="70">
        <f t="shared" si="8"/>
        <v>5246</v>
      </c>
      <c r="P124" s="78">
        <v>0</v>
      </c>
      <c r="Q124" s="78">
        <f t="shared" si="9"/>
        <v>0</v>
      </c>
      <c r="R124" s="78">
        <v>0</v>
      </c>
      <c r="S124" s="78">
        <f t="shared" si="10"/>
        <v>0</v>
      </c>
      <c r="T124" s="78">
        <v>0</v>
      </c>
      <c r="U124" s="78">
        <f t="shared" si="11"/>
        <v>0</v>
      </c>
      <c r="V124" s="78">
        <v>0</v>
      </c>
      <c r="W124" s="78">
        <f t="shared" si="12"/>
        <v>0</v>
      </c>
    </row>
    <row r="125" spans="4:23" x14ac:dyDescent="0.3">
      <c r="D125" s="67">
        <f t="shared" si="13"/>
        <v>123</v>
      </c>
      <c r="E125" s="85">
        <v>0</v>
      </c>
      <c r="F125" s="69">
        <v>0</v>
      </c>
      <c r="G125" s="69">
        <v>0</v>
      </c>
      <c r="H125" s="69">
        <v>30708.298999999999</v>
      </c>
      <c r="I125" s="69">
        <v>1573.8567565000001</v>
      </c>
      <c r="J125" s="69">
        <f t="shared" si="7"/>
        <v>32282.1557565</v>
      </c>
      <c r="K125" s="85">
        <v>0</v>
      </c>
      <c r="L125" s="69">
        <v>0</v>
      </c>
      <c r="M125" s="69">
        <v>4773.5889999999999</v>
      </c>
      <c r="N125" s="69">
        <v>0</v>
      </c>
      <c r="O125" s="70">
        <f t="shared" si="8"/>
        <v>4773.5889999999999</v>
      </c>
      <c r="P125" s="78">
        <v>0</v>
      </c>
      <c r="Q125" s="78">
        <f t="shared" si="9"/>
        <v>0</v>
      </c>
      <c r="R125" s="78">
        <v>0</v>
      </c>
      <c r="S125" s="78">
        <f t="shared" si="10"/>
        <v>0</v>
      </c>
      <c r="T125" s="78">
        <v>0</v>
      </c>
      <c r="U125" s="78">
        <f t="shared" si="11"/>
        <v>0</v>
      </c>
      <c r="V125" s="78">
        <v>0</v>
      </c>
      <c r="W125" s="78">
        <f t="shared" si="12"/>
        <v>0</v>
      </c>
    </row>
    <row r="126" spans="4:23" x14ac:dyDescent="0.3">
      <c r="D126" s="67">
        <f t="shared" si="13"/>
        <v>124</v>
      </c>
      <c r="E126" s="85">
        <v>0</v>
      </c>
      <c r="F126" s="69">
        <v>0</v>
      </c>
      <c r="G126" s="69">
        <v>0</v>
      </c>
      <c r="H126" s="69">
        <v>29613.284</v>
      </c>
      <c r="I126" s="69">
        <v>2506.5258746300001</v>
      </c>
      <c r="J126" s="69">
        <f t="shared" si="7"/>
        <v>32119.809874629998</v>
      </c>
      <c r="K126" s="85">
        <v>0</v>
      </c>
      <c r="L126" s="69">
        <v>0</v>
      </c>
      <c r="M126" s="69">
        <v>4611.43</v>
      </c>
      <c r="N126" s="69">
        <v>0</v>
      </c>
      <c r="O126" s="70">
        <f t="shared" si="8"/>
        <v>4611.43</v>
      </c>
      <c r="P126" s="78">
        <v>0</v>
      </c>
      <c r="Q126" s="78">
        <f t="shared" si="9"/>
        <v>0</v>
      </c>
      <c r="R126" s="78">
        <v>0</v>
      </c>
      <c r="S126" s="78">
        <f t="shared" si="10"/>
        <v>0</v>
      </c>
      <c r="T126" s="78">
        <v>0</v>
      </c>
      <c r="U126" s="78">
        <f t="shared" si="11"/>
        <v>0</v>
      </c>
      <c r="V126" s="78">
        <v>0</v>
      </c>
      <c r="W126" s="78">
        <f t="shared" si="12"/>
        <v>0</v>
      </c>
    </row>
    <row r="127" spans="4:23" x14ac:dyDescent="0.3">
      <c r="D127" s="67">
        <f t="shared" si="13"/>
        <v>125</v>
      </c>
      <c r="E127" s="85">
        <v>0</v>
      </c>
      <c r="F127" s="69">
        <v>0</v>
      </c>
      <c r="G127" s="69">
        <v>0</v>
      </c>
      <c r="H127" s="69">
        <v>28629.774000000001</v>
      </c>
      <c r="I127" s="69">
        <v>2823.7174552699998</v>
      </c>
      <c r="J127" s="69">
        <f t="shared" si="7"/>
        <v>31453.491455269999</v>
      </c>
      <c r="K127" s="85">
        <v>0</v>
      </c>
      <c r="L127" s="69">
        <v>0</v>
      </c>
      <c r="M127" s="69">
        <v>4572.915</v>
      </c>
      <c r="N127" s="69">
        <v>0</v>
      </c>
      <c r="O127" s="70">
        <f t="shared" si="8"/>
        <v>4572.915</v>
      </c>
      <c r="P127" s="78">
        <v>0</v>
      </c>
      <c r="Q127" s="78">
        <f t="shared" si="9"/>
        <v>0</v>
      </c>
      <c r="R127" s="78">
        <v>0</v>
      </c>
      <c r="S127" s="78">
        <f t="shared" si="10"/>
        <v>0</v>
      </c>
      <c r="T127" s="78">
        <v>0</v>
      </c>
      <c r="U127" s="78">
        <f t="shared" si="11"/>
        <v>0</v>
      </c>
      <c r="V127" s="78">
        <v>0</v>
      </c>
      <c r="W127" s="78">
        <f t="shared" si="12"/>
        <v>0</v>
      </c>
    </row>
    <row r="128" spans="4:23" x14ac:dyDescent="0.3">
      <c r="D128" s="67">
        <f t="shared" si="13"/>
        <v>126</v>
      </c>
      <c r="E128" s="85">
        <v>0</v>
      </c>
      <c r="F128" s="69">
        <v>0</v>
      </c>
      <c r="G128" s="69">
        <v>0</v>
      </c>
      <c r="H128" s="69">
        <v>27657.187000000002</v>
      </c>
      <c r="I128" s="69">
        <v>3014.00003324</v>
      </c>
      <c r="J128" s="69">
        <f t="shared" si="7"/>
        <v>30671.187033240003</v>
      </c>
      <c r="K128" s="85">
        <v>0</v>
      </c>
      <c r="L128" s="69">
        <v>0</v>
      </c>
      <c r="M128" s="69">
        <v>4625.1139999999996</v>
      </c>
      <c r="N128" s="69">
        <v>0</v>
      </c>
      <c r="O128" s="70">
        <f t="shared" si="8"/>
        <v>4625.1139999999996</v>
      </c>
      <c r="P128" s="78">
        <v>0</v>
      </c>
      <c r="Q128" s="78">
        <f t="shared" si="9"/>
        <v>0</v>
      </c>
      <c r="R128" s="78">
        <v>0</v>
      </c>
      <c r="S128" s="78">
        <f t="shared" si="10"/>
        <v>0</v>
      </c>
      <c r="T128" s="78">
        <v>0</v>
      </c>
      <c r="U128" s="78">
        <f t="shared" si="11"/>
        <v>0</v>
      </c>
      <c r="V128" s="78">
        <v>0</v>
      </c>
      <c r="W128" s="78">
        <f t="shared" si="12"/>
        <v>0</v>
      </c>
    </row>
    <row r="129" spans="4:23" x14ac:dyDescent="0.3">
      <c r="D129" s="67">
        <f t="shared" si="13"/>
        <v>127</v>
      </c>
      <c r="E129" s="85">
        <v>0</v>
      </c>
      <c r="F129" s="69">
        <v>0</v>
      </c>
      <c r="G129" s="69">
        <v>0</v>
      </c>
      <c r="H129" s="69">
        <v>27583.937000000002</v>
      </c>
      <c r="I129" s="69">
        <v>3811.2824580199999</v>
      </c>
      <c r="J129" s="69">
        <f t="shared" si="7"/>
        <v>31395.219458020001</v>
      </c>
      <c r="K129" s="85">
        <v>0</v>
      </c>
      <c r="L129" s="69">
        <v>0</v>
      </c>
      <c r="M129" s="69">
        <v>4739.2560000000003</v>
      </c>
      <c r="N129" s="69">
        <v>0</v>
      </c>
      <c r="O129" s="70">
        <f t="shared" si="8"/>
        <v>4739.2560000000003</v>
      </c>
      <c r="P129" s="78">
        <v>0</v>
      </c>
      <c r="Q129" s="78">
        <f t="shared" si="9"/>
        <v>0</v>
      </c>
      <c r="R129" s="78">
        <v>0</v>
      </c>
      <c r="S129" s="78">
        <f t="shared" si="10"/>
        <v>0</v>
      </c>
      <c r="T129" s="78">
        <v>0</v>
      </c>
      <c r="U129" s="78">
        <f t="shared" si="11"/>
        <v>0</v>
      </c>
      <c r="V129" s="78">
        <v>0</v>
      </c>
      <c r="W129" s="78">
        <f t="shared" si="12"/>
        <v>0</v>
      </c>
    </row>
    <row r="130" spans="4:23" x14ac:dyDescent="0.3">
      <c r="D130" s="67">
        <f t="shared" si="13"/>
        <v>128</v>
      </c>
      <c r="E130" s="85">
        <v>0</v>
      </c>
      <c r="F130" s="69">
        <v>0</v>
      </c>
      <c r="G130" s="69">
        <v>0</v>
      </c>
      <c r="H130" s="69">
        <v>28764.89</v>
      </c>
      <c r="I130" s="69">
        <v>4286.8717639500001</v>
      </c>
      <c r="J130" s="69">
        <f t="shared" si="7"/>
        <v>33051.761763950002</v>
      </c>
      <c r="K130" s="85">
        <v>0</v>
      </c>
      <c r="L130" s="69">
        <v>0</v>
      </c>
      <c r="M130" s="69">
        <v>4803.72</v>
      </c>
      <c r="N130" s="69">
        <v>0</v>
      </c>
      <c r="O130" s="70">
        <f t="shared" si="8"/>
        <v>4803.72</v>
      </c>
      <c r="P130" s="78">
        <v>0</v>
      </c>
      <c r="Q130" s="78">
        <f t="shared" si="9"/>
        <v>0</v>
      </c>
      <c r="R130" s="78">
        <v>0</v>
      </c>
      <c r="S130" s="78">
        <f t="shared" si="10"/>
        <v>0</v>
      </c>
      <c r="T130" s="78">
        <v>0</v>
      </c>
      <c r="U130" s="78">
        <f t="shared" si="11"/>
        <v>0</v>
      </c>
      <c r="V130" s="78">
        <v>0</v>
      </c>
      <c r="W130" s="78">
        <f t="shared" si="12"/>
        <v>0</v>
      </c>
    </row>
    <row r="131" spans="4:23" x14ac:dyDescent="0.3">
      <c r="D131" s="67">
        <f t="shared" si="13"/>
        <v>129</v>
      </c>
      <c r="E131" s="85">
        <v>0</v>
      </c>
      <c r="F131" s="69">
        <v>0</v>
      </c>
      <c r="G131" s="69">
        <v>0</v>
      </c>
      <c r="H131" s="69">
        <v>30670.205999999998</v>
      </c>
      <c r="I131" s="69">
        <v>4180.9137475400003</v>
      </c>
      <c r="J131" s="69">
        <f t="shared" si="7"/>
        <v>34851.119747539997</v>
      </c>
      <c r="K131" s="85">
        <v>0</v>
      </c>
      <c r="L131" s="69">
        <v>0</v>
      </c>
      <c r="M131" s="69">
        <v>4894.0069999999996</v>
      </c>
      <c r="N131" s="69">
        <v>0</v>
      </c>
      <c r="O131" s="70">
        <f t="shared" si="8"/>
        <v>4894.0069999999996</v>
      </c>
      <c r="P131" s="78">
        <v>0</v>
      </c>
      <c r="Q131" s="78">
        <f t="shared" si="9"/>
        <v>0</v>
      </c>
      <c r="R131" s="78">
        <v>0</v>
      </c>
      <c r="S131" s="78">
        <f t="shared" si="10"/>
        <v>0</v>
      </c>
      <c r="T131" s="78">
        <v>0</v>
      </c>
      <c r="U131" s="78">
        <f t="shared" si="11"/>
        <v>0</v>
      </c>
      <c r="V131" s="78">
        <v>0</v>
      </c>
      <c r="W131" s="78">
        <f t="shared" si="12"/>
        <v>0</v>
      </c>
    </row>
    <row r="132" spans="4:23" x14ac:dyDescent="0.3">
      <c r="D132" s="67">
        <f t="shared" si="13"/>
        <v>130</v>
      </c>
      <c r="E132" s="85">
        <v>0.01</v>
      </c>
      <c r="F132" s="69">
        <v>8.1000000000000003E-2</v>
      </c>
      <c r="G132" s="69">
        <v>0.127</v>
      </c>
      <c r="H132" s="69">
        <v>33008.887999999999</v>
      </c>
      <c r="I132" s="69">
        <v>2626.8456460900002</v>
      </c>
      <c r="J132" s="69">
        <f t="shared" ref="J132:J170" si="14">H132+I132</f>
        <v>35635.733646089997</v>
      </c>
      <c r="K132" s="85">
        <v>1.7000000000000001E-2</v>
      </c>
      <c r="L132" s="69">
        <v>1.7999999999999901E-2</v>
      </c>
      <c r="M132" s="69">
        <v>5145.4859999999999</v>
      </c>
      <c r="N132" s="69">
        <v>0</v>
      </c>
      <c r="O132" s="70">
        <f t="shared" ref="O132:O170" si="15">M132+N132</f>
        <v>5145.4859999999999</v>
      </c>
      <c r="P132" s="78">
        <v>9960</v>
      </c>
      <c r="Q132" s="78">
        <f t="shared" ref="Q132:Q170" si="16">P132/$B$5</f>
        <v>0.12</v>
      </c>
      <c r="R132" s="78">
        <v>389.20499999999998</v>
      </c>
      <c r="S132" s="78">
        <f t="shared" ref="S132:S170" si="17">R132/$B$6</f>
        <v>8.1000000000000003E-2</v>
      </c>
      <c r="T132" s="78">
        <v>790.80100000000004</v>
      </c>
      <c r="U132" s="78">
        <f t="shared" ref="U132:U170" si="18">T132/$B$8</f>
        <v>5.5E-2</v>
      </c>
      <c r="V132" s="78">
        <v>299.45690000000002</v>
      </c>
      <c r="W132" s="78">
        <f t="shared" ref="W132:W170" si="19">V132/$B$9</f>
        <v>3.1000000000000003E-2</v>
      </c>
    </row>
    <row r="133" spans="4:23" x14ac:dyDescent="0.3">
      <c r="D133" s="67">
        <f t="shared" ref="D133:D168" si="20">1+D132</f>
        <v>131</v>
      </c>
      <c r="E133" s="85">
        <v>3.59999999999999E-2</v>
      </c>
      <c r="F133" s="69">
        <v>0.21600000000000003</v>
      </c>
      <c r="G133" s="69">
        <v>0.29699999999999999</v>
      </c>
      <c r="H133" s="69">
        <v>33449.326000000001</v>
      </c>
      <c r="I133" s="69">
        <v>2099.5337936800001</v>
      </c>
      <c r="J133" s="69">
        <f t="shared" si="14"/>
        <v>35548.85979368</v>
      </c>
      <c r="K133" s="85">
        <v>8.4000000000000005E-2</v>
      </c>
      <c r="L133" s="69">
        <v>8.900000000000001E-2</v>
      </c>
      <c r="M133" s="69">
        <v>5222.2489999999998</v>
      </c>
      <c r="N133" s="69">
        <v>0</v>
      </c>
      <c r="O133" s="70">
        <f t="shared" si="15"/>
        <v>5222.2489999999998</v>
      </c>
      <c r="P133" s="78">
        <v>25398</v>
      </c>
      <c r="Q133" s="78">
        <f t="shared" si="16"/>
        <v>0.30599999999999999</v>
      </c>
      <c r="R133" s="78">
        <v>1037.8800000000001</v>
      </c>
      <c r="S133" s="78">
        <f t="shared" si="17"/>
        <v>0.21600000000000003</v>
      </c>
      <c r="T133" s="78">
        <v>2933.1527999999998</v>
      </c>
      <c r="U133" s="78">
        <f t="shared" si="18"/>
        <v>0.20399999999999999</v>
      </c>
      <c r="V133" s="78">
        <v>1130.2083</v>
      </c>
      <c r="W133" s="78">
        <f t="shared" si="19"/>
        <v>0.11700000000000001</v>
      </c>
    </row>
    <row r="134" spans="4:23" x14ac:dyDescent="0.3">
      <c r="D134" s="67">
        <f t="shared" si="20"/>
        <v>132</v>
      </c>
      <c r="E134" s="85">
        <v>6.2000000000000006E-2</v>
      </c>
      <c r="F134" s="69">
        <v>0.36</v>
      </c>
      <c r="G134" s="69">
        <v>0.43200000000000005</v>
      </c>
      <c r="H134" s="69">
        <v>34221.461000000003</v>
      </c>
      <c r="I134" s="69">
        <v>2670.4199233099998</v>
      </c>
      <c r="J134" s="69">
        <f t="shared" si="14"/>
        <v>36891.880923310004</v>
      </c>
      <c r="K134" s="85">
        <v>0.125</v>
      </c>
      <c r="L134" s="69">
        <v>0.16699999999999998</v>
      </c>
      <c r="M134" s="69">
        <v>5428.2359999999999</v>
      </c>
      <c r="N134" s="69">
        <v>0</v>
      </c>
      <c r="O134" s="70">
        <f t="shared" si="15"/>
        <v>5428.2359999999999</v>
      </c>
      <c r="P134" s="78">
        <v>30959</v>
      </c>
      <c r="Q134" s="78">
        <f t="shared" si="16"/>
        <v>0.373</v>
      </c>
      <c r="R134" s="78">
        <v>1729.8</v>
      </c>
      <c r="S134" s="78">
        <f t="shared" si="17"/>
        <v>0.36</v>
      </c>
      <c r="T134" s="78">
        <v>5017.9917999999998</v>
      </c>
      <c r="U134" s="78">
        <f t="shared" si="18"/>
        <v>0.34899999999999998</v>
      </c>
      <c r="V134" s="78">
        <v>1980.2795000000001</v>
      </c>
      <c r="W134" s="78">
        <f t="shared" si="19"/>
        <v>0.20500000000000002</v>
      </c>
    </row>
    <row r="135" spans="4:23" x14ac:dyDescent="0.3">
      <c r="D135" s="67">
        <f t="shared" si="20"/>
        <v>133</v>
      </c>
      <c r="E135" s="85">
        <v>6.7000000000000004E-2</v>
      </c>
      <c r="F135" s="69">
        <v>0.45799999999999996</v>
      </c>
      <c r="G135" s="69">
        <v>0.496</v>
      </c>
      <c r="H135" s="69">
        <v>35155.864999999998</v>
      </c>
      <c r="I135" s="69">
        <v>2923.3451267599999</v>
      </c>
      <c r="J135" s="69">
        <f t="shared" si="14"/>
        <v>38079.210126760001</v>
      </c>
      <c r="K135" s="85">
        <v>0.12</v>
      </c>
      <c r="L135" s="69">
        <v>0.180999999999999</v>
      </c>
      <c r="M135" s="69">
        <v>5772.0529999999999</v>
      </c>
      <c r="N135" s="69">
        <v>0</v>
      </c>
      <c r="O135" s="70">
        <f t="shared" si="15"/>
        <v>5772.0529999999999</v>
      </c>
      <c r="P135" s="78">
        <v>31872</v>
      </c>
      <c r="Q135" s="78">
        <f t="shared" si="16"/>
        <v>0.38400000000000001</v>
      </c>
      <c r="R135" s="78">
        <v>2200.69</v>
      </c>
      <c r="S135" s="78">
        <f t="shared" si="17"/>
        <v>0.45800000000000002</v>
      </c>
      <c r="T135" s="78">
        <v>5909.4402</v>
      </c>
      <c r="U135" s="78">
        <f t="shared" si="18"/>
        <v>0.41099999999999998</v>
      </c>
      <c r="V135" s="78">
        <v>2424.6349</v>
      </c>
      <c r="W135" s="78">
        <f t="shared" si="19"/>
        <v>0.251</v>
      </c>
    </row>
    <row r="136" spans="4:23" x14ac:dyDescent="0.3">
      <c r="D136" s="67">
        <f t="shared" si="20"/>
        <v>134</v>
      </c>
      <c r="E136" s="85">
        <v>5.4000000000000006E-2</v>
      </c>
      <c r="F136" s="69">
        <v>0.48</v>
      </c>
      <c r="G136" s="69">
        <v>0.496</v>
      </c>
      <c r="H136" s="69">
        <v>35486.675999999999</v>
      </c>
      <c r="I136" s="69">
        <v>2601.0009946300002</v>
      </c>
      <c r="J136" s="69">
        <f t="shared" si="14"/>
        <v>38087.676994629997</v>
      </c>
      <c r="K136" s="85">
        <v>0.114</v>
      </c>
      <c r="L136" s="69">
        <v>0.157</v>
      </c>
      <c r="M136" s="69">
        <v>5541.1480000000001</v>
      </c>
      <c r="N136" s="69">
        <v>0</v>
      </c>
      <c r="O136" s="70">
        <f t="shared" si="15"/>
        <v>5541.1480000000001</v>
      </c>
      <c r="P136" s="78">
        <v>31623</v>
      </c>
      <c r="Q136" s="78">
        <f t="shared" si="16"/>
        <v>0.38100000000000001</v>
      </c>
      <c r="R136" s="78">
        <v>2306.4</v>
      </c>
      <c r="S136" s="78">
        <f t="shared" si="17"/>
        <v>0.48000000000000004</v>
      </c>
      <c r="T136" s="78">
        <v>5866.3055999999997</v>
      </c>
      <c r="U136" s="78">
        <f t="shared" si="18"/>
        <v>0.40799999999999997</v>
      </c>
      <c r="V136" s="78">
        <v>2463.2745</v>
      </c>
      <c r="W136" s="78">
        <f t="shared" si="19"/>
        <v>0.255</v>
      </c>
    </row>
    <row r="137" spans="4:23" x14ac:dyDescent="0.3">
      <c r="D137" s="67">
        <f t="shared" si="20"/>
        <v>135</v>
      </c>
      <c r="E137" s="85">
        <v>3.1000000000000003E-2</v>
      </c>
      <c r="F137" s="69">
        <v>0.41699999999999904</v>
      </c>
      <c r="G137" s="69">
        <v>0.43799999999999994</v>
      </c>
      <c r="H137" s="69">
        <v>34433.777999999998</v>
      </c>
      <c r="I137" s="69">
        <v>1949.9707367599999</v>
      </c>
      <c r="J137" s="69">
        <f t="shared" si="14"/>
        <v>36383.748736759997</v>
      </c>
      <c r="K137" s="85">
        <v>9.6999999999999989E-2</v>
      </c>
      <c r="L137" s="69">
        <v>0.107</v>
      </c>
      <c r="M137" s="69">
        <v>5346.7479999999996</v>
      </c>
      <c r="N137" s="69">
        <v>0</v>
      </c>
      <c r="O137" s="70">
        <f t="shared" si="15"/>
        <v>5346.7479999999996</v>
      </c>
      <c r="P137" s="78">
        <v>30627</v>
      </c>
      <c r="Q137" s="78">
        <f t="shared" si="16"/>
        <v>0.36899999999999999</v>
      </c>
      <c r="R137" s="78">
        <v>2003.6849999999999</v>
      </c>
      <c r="S137" s="78">
        <f t="shared" si="17"/>
        <v>0.41699999999999998</v>
      </c>
      <c r="T137" s="78">
        <v>5046.7482</v>
      </c>
      <c r="U137" s="78">
        <f t="shared" si="18"/>
        <v>0.35099999999999998</v>
      </c>
      <c r="V137" s="78">
        <v>2144.4978000000001</v>
      </c>
      <c r="W137" s="78">
        <f t="shared" si="19"/>
        <v>0.22200000000000003</v>
      </c>
    </row>
    <row r="138" spans="4:23" x14ac:dyDescent="0.3">
      <c r="D138" s="67">
        <f t="shared" si="20"/>
        <v>136</v>
      </c>
      <c r="E138" s="85">
        <v>0.01</v>
      </c>
      <c r="F138" s="69">
        <v>0.28899999999999998</v>
      </c>
      <c r="G138" s="69">
        <v>0.33500000000000002</v>
      </c>
      <c r="H138" s="69">
        <v>33882.572999999997</v>
      </c>
      <c r="I138" s="69">
        <v>1661.6443127800001</v>
      </c>
      <c r="J138" s="69">
        <f t="shared" si="14"/>
        <v>35544.217312779998</v>
      </c>
      <c r="K138" s="85">
        <v>5.5E-2</v>
      </c>
      <c r="L138" s="69">
        <v>6.4000000000000001E-2</v>
      </c>
      <c r="M138" s="69">
        <v>5363.0209999999997</v>
      </c>
      <c r="N138" s="69">
        <v>0</v>
      </c>
      <c r="O138" s="70">
        <f t="shared" si="15"/>
        <v>5363.0209999999997</v>
      </c>
      <c r="P138" s="78">
        <v>28137</v>
      </c>
      <c r="Q138" s="78">
        <f t="shared" si="16"/>
        <v>0.33900000000000002</v>
      </c>
      <c r="R138" s="78">
        <v>1388.645</v>
      </c>
      <c r="S138" s="78">
        <f t="shared" si="17"/>
        <v>0.28899999999999998</v>
      </c>
      <c r="T138" s="78">
        <v>3925.2485999999999</v>
      </c>
      <c r="U138" s="78">
        <f t="shared" si="18"/>
        <v>0.27299999999999996</v>
      </c>
      <c r="V138" s="78">
        <v>1680.8226</v>
      </c>
      <c r="W138" s="78">
        <f t="shared" si="19"/>
        <v>0.17400000000000002</v>
      </c>
    </row>
    <row r="139" spans="4:23" x14ac:dyDescent="0.3">
      <c r="D139" s="67">
        <f t="shared" si="20"/>
        <v>137</v>
      </c>
      <c r="E139" s="85">
        <v>0</v>
      </c>
      <c r="F139" s="69">
        <v>0.13699999999999998</v>
      </c>
      <c r="G139" s="69">
        <v>0.19800000000000001</v>
      </c>
      <c r="H139" s="69">
        <v>34240.737000000001</v>
      </c>
      <c r="I139" s="69">
        <v>1673.73975726</v>
      </c>
      <c r="J139" s="69">
        <f t="shared" si="14"/>
        <v>35914.476757260003</v>
      </c>
      <c r="K139" s="85">
        <v>0</v>
      </c>
      <c r="L139" s="69">
        <v>1.7000000000000001E-2</v>
      </c>
      <c r="M139" s="69">
        <v>5578.4830000000002</v>
      </c>
      <c r="N139" s="69">
        <v>0</v>
      </c>
      <c r="O139" s="70">
        <f t="shared" si="15"/>
        <v>5578.4830000000002</v>
      </c>
      <c r="P139" s="78">
        <v>19837</v>
      </c>
      <c r="Q139" s="78">
        <f t="shared" si="16"/>
        <v>0.23899999999999999</v>
      </c>
      <c r="R139" s="78">
        <v>658.28499999999997</v>
      </c>
      <c r="S139" s="78">
        <f t="shared" si="17"/>
        <v>0.13699999999999998</v>
      </c>
      <c r="T139" s="78">
        <v>2444.2939999999999</v>
      </c>
      <c r="U139" s="78">
        <f t="shared" si="18"/>
        <v>0.16999999999999998</v>
      </c>
      <c r="V139" s="78">
        <v>1033.6093000000001</v>
      </c>
      <c r="W139" s="78">
        <f t="shared" si="19"/>
        <v>0.10700000000000001</v>
      </c>
    </row>
    <row r="140" spans="4:23" x14ac:dyDescent="0.3">
      <c r="D140" s="67">
        <f t="shared" si="20"/>
        <v>138</v>
      </c>
      <c r="E140" s="85">
        <v>0</v>
      </c>
      <c r="F140" s="69">
        <v>1.7000000000000001E-2</v>
      </c>
      <c r="G140" s="69">
        <v>5.5E-2</v>
      </c>
      <c r="H140" s="69">
        <v>36876.286</v>
      </c>
      <c r="I140" s="69">
        <v>1772.7842573099999</v>
      </c>
      <c r="J140" s="69">
        <f t="shared" si="14"/>
        <v>38649.070257309999</v>
      </c>
      <c r="K140" s="85">
        <v>0</v>
      </c>
      <c r="L140" s="69">
        <v>0</v>
      </c>
      <c r="M140" s="69">
        <v>6202.8130000000001</v>
      </c>
      <c r="N140" s="69">
        <v>0</v>
      </c>
      <c r="O140" s="70">
        <f t="shared" si="15"/>
        <v>6202.8130000000001</v>
      </c>
      <c r="P140" s="78">
        <v>4648</v>
      </c>
      <c r="Q140" s="78">
        <f t="shared" si="16"/>
        <v>5.6000000000000001E-2</v>
      </c>
      <c r="R140" s="78">
        <v>81.685000000000002</v>
      </c>
      <c r="S140" s="78">
        <f t="shared" si="17"/>
        <v>1.7000000000000001E-2</v>
      </c>
      <c r="T140" s="78">
        <v>1006.474</v>
      </c>
      <c r="U140" s="78">
        <f t="shared" si="18"/>
        <v>6.9999999999999993E-2</v>
      </c>
      <c r="V140" s="78">
        <v>367.07619999999997</v>
      </c>
      <c r="W140" s="78">
        <f t="shared" si="19"/>
        <v>3.7999999999999999E-2</v>
      </c>
    </row>
    <row r="141" spans="4:23" x14ac:dyDescent="0.3">
      <c r="D141" s="67">
        <f t="shared" si="20"/>
        <v>139</v>
      </c>
      <c r="E141" s="85">
        <v>0</v>
      </c>
      <c r="F141" s="69">
        <v>0</v>
      </c>
      <c r="G141" s="69">
        <v>0</v>
      </c>
      <c r="H141" s="69">
        <v>38816.682000000001</v>
      </c>
      <c r="I141" s="69">
        <v>1899.2357965000001</v>
      </c>
      <c r="J141" s="69">
        <f t="shared" si="14"/>
        <v>40715.917796499998</v>
      </c>
      <c r="K141" s="85">
        <v>0</v>
      </c>
      <c r="L141" s="69">
        <v>0</v>
      </c>
      <c r="M141" s="69">
        <v>6750.8119999999999</v>
      </c>
      <c r="N141" s="69">
        <v>0</v>
      </c>
      <c r="O141" s="70">
        <f t="shared" si="15"/>
        <v>6750.8119999999999</v>
      </c>
      <c r="P141" s="78">
        <v>0</v>
      </c>
      <c r="Q141" s="78">
        <f t="shared" si="16"/>
        <v>0</v>
      </c>
      <c r="R141" s="78">
        <v>0</v>
      </c>
      <c r="S141" s="78">
        <f t="shared" si="17"/>
        <v>0</v>
      </c>
      <c r="T141" s="78">
        <v>0</v>
      </c>
      <c r="U141" s="78">
        <f t="shared" si="18"/>
        <v>0</v>
      </c>
      <c r="V141" s="78">
        <v>0</v>
      </c>
      <c r="W141" s="78">
        <f t="shared" si="19"/>
        <v>0</v>
      </c>
    </row>
    <row r="142" spans="4:23" x14ac:dyDescent="0.3">
      <c r="D142" s="67">
        <f t="shared" si="20"/>
        <v>140</v>
      </c>
      <c r="E142" s="85">
        <v>0</v>
      </c>
      <c r="F142" s="69">
        <v>0</v>
      </c>
      <c r="G142" s="69">
        <v>0</v>
      </c>
      <c r="H142" s="69">
        <v>39459.180999999997</v>
      </c>
      <c r="I142" s="69">
        <v>2023.4358837899999</v>
      </c>
      <c r="J142" s="69">
        <f t="shared" si="14"/>
        <v>41482.616883789997</v>
      </c>
      <c r="K142" s="85">
        <v>0</v>
      </c>
      <c r="L142" s="69">
        <v>0</v>
      </c>
      <c r="M142" s="69">
        <v>6825.0439999999999</v>
      </c>
      <c r="N142" s="69">
        <v>0</v>
      </c>
      <c r="O142" s="70">
        <f t="shared" si="15"/>
        <v>6825.0439999999999</v>
      </c>
      <c r="P142" s="78">
        <v>0</v>
      </c>
      <c r="Q142" s="78">
        <f t="shared" si="16"/>
        <v>0</v>
      </c>
      <c r="R142" s="78">
        <v>0</v>
      </c>
      <c r="S142" s="78">
        <f t="shared" si="17"/>
        <v>0</v>
      </c>
      <c r="T142" s="78">
        <v>0</v>
      </c>
      <c r="U142" s="78">
        <f t="shared" si="18"/>
        <v>0</v>
      </c>
      <c r="V142" s="78">
        <v>0</v>
      </c>
      <c r="W142" s="78">
        <f t="shared" si="19"/>
        <v>0</v>
      </c>
    </row>
    <row r="143" spans="4:23" x14ac:dyDescent="0.3">
      <c r="D143" s="67">
        <f t="shared" si="20"/>
        <v>141</v>
      </c>
      <c r="E143" s="85">
        <v>0</v>
      </c>
      <c r="F143" s="69">
        <v>0</v>
      </c>
      <c r="G143" s="69">
        <v>0</v>
      </c>
      <c r="H143" s="69">
        <v>39457.144</v>
      </c>
      <c r="I143" s="69">
        <v>1985.4172930300001</v>
      </c>
      <c r="J143" s="69">
        <f t="shared" si="14"/>
        <v>41442.561293029998</v>
      </c>
      <c r="K143" s="85">
        <v>0</v>
      </c>
      <c r="L143" s="69">
        <v>0</v>
      </c>
      <c r="M143" s="69">
        <v>6558.56</v>
      </c>
      <c r="N143" s="69">
        <v>0</v>
      </c>
      <c r="O143" s="70">
        <f t="shared" si="15"/>
        <v>6558.56</v>
      </c>
      <c r="P143" s="78">
        <v>0</v>
      </c>
      <c r="Q143" s="78">
        <f t="shared" si="16"/>
        <v>0</v>
      </c>
      <c r="R143" s="78">
        <v>0</v>
      </c>
      <c r="S143" s="78">
        <f t="shared" si="17"/>
        <v>0</v>
      </c>
      <c r="T143" s="78">
        <v>0</v>
      </c>
      <c r="U143" s="78">
        <f t="shared" si="18"/>
        <v>0</v>
      </c>
      <c r="V143" s="78">
        <v>0</v>
      </c>
      <c r="W143" s="78">
        <f t="shared" si="19"/>
        <v>0</v>
      </c>
    </row>
    <row r="144" spans="4:23" x14ac:dyDescent="0.3">
      <c r="D144" s="67">
        <f t="shared" si="20"/>
        <v>142</v>
      </c>
      <c r="E144" s="85">
        <v>0</v>
      </c>
      <c r="F144" s="69">
        <v>0</v>
      </c>
      <c r="G144" s="69">
        <v>0</v>
      </c>
      <c r="H144" s="69">
        <v>38604.33</v>
      </c>
      <c r="I144" s="69">
        <v>1902.4026389000001</v>
      </c>
      <c r="J144" s="69">
        <f t="shared" si="14"/>
        <v>40506.732638900001</v>
      </c>
      <c r="K144" s="85">
        <v>0</v>
      </c>
      <c r="L144" s="69">
        <v>0</v>
      </c>
      <c r="M144" s="69">
        <v>6112.9520000000002</v>
      </c>
      <c r="N144" s="69">
        <v>0</v>
      </c>
      <c r="O144" s="70">
        <f t="shared" si="15"/>
        <v>6112.9520000000002</v>
      </c>
      <c r="P144" s="78">
        <v>0</v>
      </c>
      <c r="Q144" s="78">
        <f t="shared" si="16"/>
        <v>0</v>
      </c>
      <c r="R144" s="78">
        <v>0</v>
      </c>
      <c r="S144" s="78">
        <f t="shared" si="17"/>
        <v>0</v>
      </c>
      <c r="T144" s="78">
        <v>0</v>
      </c>
      <c r="U144" s="78">
        <f t="shared" si="18"/>
        <v>0</v>
      </c>
      <c r="V144" s="78">
        <v>0</v>
      </c>
      <c r="W144" s="78">
        <f t="shared" si="19"/>
        <v>0</v>
      </c>
    </row>
    <row r="145" spans="4:23" x14ac:dyDescent="0.3">
      <c r="D145" s="67">
        <f t="shared" si="20"/>
        <v>143</v>
      </c>
      <c r="E145" s="85">
        <v>0</v>
      </c>
      <c r="F145" s="69">
        <v>0</v>
      </c>
      <c r="G145" s="69">
        <v>0</v>
      </c>
      <c r="H145" s="69">
        <v>36813.754999999997</v>
      </c>
      <c r="I145" s="69">
        <v>1907.10974074</v>
      </c>
      <c r="J145" s="69">
        <f t="shared" si="14"/>
        <v>38720.864740739999</v>
      </c>
      <c r="K145" s="85">
        <v>0</v>
      </c>
      <c r="L145" s="69">
        <v>0</v>
      </c>
      <c r="M145" s="69">
        <v>6325.7550000000001</v>
      </c>
      <c r="N145" s="69">
        <v>0</v>
      </c>
      <c r="O145" s="70">
        <f t="shared" si="15"/>
        <v>6325.7550000000001</v>
      </c>
      <c r="P145" s="78">
        <v>0</v>
      </c>
      <c r="Q145" s="78">
        <f t="shared" si="16"/>
        <v>0</v>
      </c>
      <c r="R145" s="78">
        <v>0</v>
      </c>
      <c r="S145" s="78">
        <f t="shared" si="17"/>
        <v>0</v>
      </c>
      <c r="T145" s="78">
        <v>0</v>
      </c>
      <c r="U145" s="78">
        <f t="shared" si="18"/>
        <v>0</v>
      </c>
      <c r="V145" s="78">
        <v>0</v>
      </c>
      <c r="W145" s="78">
        <f t="shared" si="19"/>
        <v>0</v>
      </c>
    </row>
    <row r="146" spans="4:23" x14ac:dyDescent="0.3">
      <c r="D146" s="67">
        <f t="shared" si="20"/>
        <v>144</v>
      </c>
      <c r="E146" s="85">
        <v>0</v>
      </c>
      <c r="F146" s="69">
        <v>0</v>
      </c>
      <c r="G146" s="69">
        <v>0</v>
      </c>
      <c r="H146" s="69">
        <v>34282.080000000002</v>
      </c>
      <c r="I146" s="69">
        <v>1599.6443355199999</v>
      </c>
      <c r="J146" s="69">
        <f t="shared" si="14"/>
        <v>35881.724335520004</v>
      </c>
      <c r="K146" s="85">
        <v>0</v>
      </c>
      <c r="L146" s="69">
        <v>0</v>
      </c>
      <c r="M146" s="69">
        <v>5965.1719999999996</v>
      </c>
      <c r="N146" s="69">
        <v>0</v>
      </c>
      <c r="O146" s="70">
        <f t="shared" si="15"/>
        <v>5965.1719999999996</v>
      </c>
      <c r="P146" s="78">
        <v>0</v>
      </c>
      <c r="Q146" s="78">
        <f t="shared" si="16"/>
        <v>0</v>
      </c>
      <c r="R146" s="78">
        <v>0</v>
      </c>
      <c r="S146" s="78">
        <f t="shared" si="17"/>
        <v>0</v>
      </c>
      <c r="T146" s="78">
        <v>0</v>
      </c>
      <c r="U146" s="78">
        <f t="shared" si="18"/>
        <v>0</v>
      </c>
      <c r="V146" s="78">
        <v>0</v>
      </c>
      <c r="W146" s="78">
        <f t="shared" si="19"/>
        <v>0</v>
      </c>
    </row>
    <row r="147" spans="4:23" x14ac:dyDescent="0.3">
      <c r="D147" s="67">
        <f t="shared" si="20"/>
        <v>145</v>
      </c>
      <c r="E147" s="85">
        <v>0</v>
      </c>
      <c r="F147" s="69">
        <v>0</v>
      </c>
      <c r="G147" s="69">
        <v>0</v>
      </c>
      <c r="H147" s="69">
        <v>32633.776000000002</v>
      </c>
      <c r="I147" s="69">
        <v>1275.0043948499999</v>
      </c>
      <c r="J147" s="69">
        <f t="shared" si="14"/>
        <v>33908.78039485</v>
      </c>
      <c r="K147" s="85">
        <v>0</v>
      </c>
      <c r="L147" s="69">
        <v>0</v>
      </c>
      <c r="M147" s="69">
        <v>5339.4930000000004</v>
      </c>
      <c r="N147" s="69">
        <v>0</v>
      </c>
      <c r="O147" s="70">
        <f t="shared" si="15"/>
        <v>5339.4930000000004</v>
      </c>
      <c r="P147" s="78">
        <v>0</v>
      </c>
      <c r="Q147" s="78">
        <f t="shared" si="16"/>
        <v>0</v>
      </c>
      <c r="R147" s="78">
        <v>0</v>
      </c>
      <c r="S147" s="78">
        <f t="shared" si="17"/>
        <v>0</v>
      </c>
      <c r="T147" s="78">
        <v>0</v>
      </c>
      <c r="U147" s="78">
        <f t="shared" si="18"/>
        <v>0</v>
      </c>
      <c r="V147" s="78">
        <v>0</v>
      </c>
      <c r="W147" s="78">
        <f t="shared" si="19"/>
        <v>0</v>
      </c>
    </row>
    <row r="148" spans="4:23" x14ac:dyDescent="0.3">
      <c r="D148" s="67">
        <f t="shared" si="20"/>
        <v>146</v>
      </c>
      <c r="E148" s="85">
        <v>0</v>
      </c>
      <c r="F148" s="69">
        <v>0</v>
      </c>
      <c r="G148" s="69">
        <v>0</v>
      </c>
      <c r="H148" s="69">
        <v>30727.126</v>
      </c>
      <c r="I148" s="69">
        <v>967.56677635000005</v>
      </c>
      <c r="J148" s="69">
        <f t="shared" si="14"/>
        <v>31694.692776349999</v>
      </c>
      <c r="K148" s="85">
        <v>0</v>
      </c>
      <c r="L148" s="69">
        <v>0</v>
      </c>
      <c r="M148" s="69">
        <v>4957.9459999999999</v>
      </c>
      <c r="N148" s="69">
        <v>0</v>
      </c>
      <c r="O148" s="70">
        <f t="shared" si="15"/>
        <v>4957.9459999999999</v>
      </c>
      <c r="P148" s="78">
        <v>0</v>
      </c>
      <c r="Q148" s="78">
        <f t="shared" si="16"/>
        <v>0</v>
      </c>
      <c r="R148" s="78">
        <v>0</v>
      </c>
      <c r="S148" s="78">
        <f t="shared" si="17"/>
        <v>0</v>
      </c>
      <c r="T148" s="78">
        <v>0</v>
      </c>
      <c r="U148" s="78">
        <f t="shared" si="18"/>
        <v>0</v>
      </c>
      <c r="V148" s="78">
        <v>0</v>
      </c>
      <c r="W148" s="78">
        <f t="shared" si="19"/>
        <v>0</v>
      </c>
    </row>
    <row r="149" spans="4:23" x14ac:dyDescent="0.3">
      <c r="D149" s="67">
        <f t="shared" si="20"/>
        <v>147</v>
      </c>
      <c r="E149" s="85">
        <v>0</v>
      </c>
      <c r="F149" s="69">
        <v>0</v>
      </c>
      <c r="G149" s="69">
        <v>0</v>
      </c>
      <c r="H149" s="69">
        <v>29460.581999999999</v>
      </c>
      <c r="I149" s="69">
        <v>1581.5952864999999</v>
      </c>
      <c r="J149" s="69">
        <f t="shared" si="14"/>
        <v>31042.177286499998</v>
      </c>
      <c r="K149" s="85">
        <v>0</v>
      </c>
      <c r="L149" s="69">
        <v>0</v>
      </c>
      <c r="M149" s="69">
        <v>4496.732</v>
      </c>
      <c r="N149" s="69">
        <v>0</v>
      </c>
      <c r="O149" s="70">
        <f t="shared" si="15"/>
        <v>4496.732</v>
      </c>
      <c r="P149" s="78">
        <v>0</v>
      </c>
      <c r="Q149" s="78">
        <f t="shared" si="16"/>
        <v>0</v>
      </c>
      <c r="R149" s="78">
        <v>0</v>
      </c>
      <c r="S149" s="78">
        <f t="shared" si="17"/>
        <v>0</v>
      </c>
      <c r="T149" s="78">
        <v>0</v>
      </c>
      <c r="U149" s="78">
        <f t="shared" si="18"/>
        <v>0</v>
      </c>
      <c r="V149" s="78">
        <v>0</v>
      </c>
      <c r="W149" s="78">
        <f t="shared" si="19"/>
        <v>0</v>
      </c>
    </row>
    <row r="150" spans="4:23" x14ac:dyDescent="0.3">
      <c r="D150" s="67">
        <f t="shared" si="20"/>
        <v>148</v>
      </c>
      <c r="E150" s="85">
        <v>0</v>
      </c>
      <c r="F150" s="69">
        <v>0</v>
      </c>
      <c r="G150" s="69">
        <v>0</v>
      </c>
      <c r="H150" s="69">
        <v>28758.135999999999</v>
      </c>
      <c r="I150" s="69">
        <v>2498.7366734900002</v>
      </c>
      <c r="J150" s="69">
        <f t="shared" si="14"/>
        <v>31256.872673489997</v>
      </c>
      <c r="K150" s="85">
        <v>0</v>
      </c>
      <c r="L150" s="69">
        <v>0</v>
      </c>
      <c r="M150" s="69">
        <v>4343.1559999999999</v>
      </c>
      <c r="N150" s="69">
        <v>0</v>
      </c>
      <c r="O150" s="70">
        <f t="shared" si="15"/>
        <v>4343.1559999999999</v>
      </c>
      <c r="P150" s="78">
        <v>0</v>
      </c>
      <c r="Q150" s="78">
        <f t="shared" si="16"/>
        <v>0</v>
      </c>
      <c r="R150" s="78">
        <v>0</v>
      </c>
      <c r="S150" s="78">
        <f t="shared" si="17"/>
        <v>0</v>
      </c>
      <c r="T150" s="78">
        <v>0</v>
      </c>
      <c r="U150" s="78">
        <f t="shared" si="18"/>
        <v>0</v>
      </c>
      <c r="V150" s="78">
        <v>0</v>
      </c>
      <c r="W150" s="78">
        <f t="shared" si="19"/>
        <v>0</v>
      </c>
    </row>
    <row r="151" spans="4:23" x14ac:dyDescent="0.3">
      <c r="D151" s="67">
        <f t="shared" si="20"/>
        <v>149</v>
      </c>
      <c r="E151" s="85">
        <v>0</v>
      </c>
      <c r="F151" s="69">
        <v>0</v>
      </c>
      <c r="G151" s="69">
        <v>0</v>
      </c>
      <c r="H151" s="69">
        <v>28585.670999999998</v>
      </c>
      <c r="I151" s="69">
        <v>2804.0450830999998</v>
      </c>
      <c r="J151" s="69">
        <f t="shared" si="14"/>
        <v>31389.7160831</v>
      </c>
      <c r="K151" s="85">
        <v>0</v>
      </c>
      <c r="L151" s="69">
        <v>0</v>
      </c>
      <c r="M151" s="69">
        <v>4305.777</v>
      </c>
      <c r="N151" s="69">
        <v>0</v>
      </c>
      <c r="O151" s="70">
        <f t="shared" si="15"/>
        <v>4305.777</v>
      </c>
      <c r="P151" s="78">
        <v>0</v>
      </c>
      <c r="Q151" s="78">
        <f t="shared" si="16"/>
        <v>0</v>
      </c>
      <c r="R151" s="78">
        <v>0</v>
      </c>
      <c r="S151" s="78">
        <f t="shared" si="17"/>
        <v>0</v>
      </c>
      <c r="T151" s="78">
        <v>0</v>
      </c>
      <c r="U151" s="78">
        <f t="shared" si="18"/>
        <v>0</v>
      </c>
      <c r="V151" s="78">
        <v>0</v>
      </c>
      <c r="W151" s="78">
        <f t="shared" si="19"/>
        <v>0</v>
      </c>
    </row>
    <row r="152" spans="4:23" x14ac:dyDescent="0.3">
      <c r="D152" s="67">
        <f t="shared" si="20"/>
        <v>150</v>
      </c>
      <c r="E152" s="85">
        <v>0</v>
      </c>
      <c r="F152" s="69">
        <v>0</v>
      </c>
      <c r="G152" s="69">
        <v>0</v>
      </c>
      <c r="H152" s="69">
        <v>28783.722000000002</v>
      </c>
      <c r="I152" s="69">
        <v>2984.8624044200001</v>
      </c>
      <c r="J152" s="69">
        <f t="shared" si="14"/>
        <v>31768.584404420002</v>
      </c>
      <c r="K152" s="85">
        <v>0</v>
      </c>
      <c r="L152" s="69">
        <v>0</v>
      </c>
      <c r="M152" s="69">
        <v>4336.7520000000004</v>
      </c>
      <c r="N152" s="69">
        <v>0</v>
      </c>
      <c r="O152" s="70">
        <f t="shared" si="15"/>
        <v>4336.7520000000004</v>
      </c>
      <c r="P152" s="78">
        <v>0</v>
      </c>
      <c r="Q152" s="78">
        <f t="shared" si="16"/>
        <v>0</v>
      </c>
      <c r="R152" s="78">
        <v>0</v>
      </c>
      <c r="S152" s="78">
        <f t="shared" si="17"/>
        <v>0</v>
      </c>
      <c r="T152" s="78">
        <v>0</v>
      </c>
      <c r="U152" s="78">
        <f t="shared" si="18"/>
        <v>0</v>
      </c>
      <c r="V152" s="78">
        <v>0</v>
      </c>
      <c r="W152" s="78">
        <f t="shared" si="19"/>
        <v>0</v>
      </c>
    </row>
    <row r="153" spans="4:23" x14ac:dyDescent="0.3">
      <c r="D153" s="67">
        <f t="shared" si="20"/>
        <v>151</v>
      </c>
      <c r="E153" s="85">
        <v>0</v>
      </c>
      <c r="F153" s="69">
        <v>0</v>
      </c>
      <c r="G153" s="69">
        <v>0</v>
      </c>
      <c r="H153" s="69">
        <v>29674.134999999998</v>
      </c>
      <c r="I153" s="69">
        <v>3746.0903539300002</v>
      </c>
      <c r="J153" s="69">
        <f t="shared" si="14"/>
        <v>33420.22535393</v>
      </c>
      <c r="K153" s="85">
        <v>0</v>
      </c>
      <c r="L153" s="69">
        <v>0</v>
      </c>
      <c r="M153" s="69">
        <v>4388.3490000000002</v>
      </c>
      <c r="N153" s="69">
        <v>0</v>
      </c>
      <c r="O153" s="70">
        <f t="shared" si="15"/>
        <v>4388.3490000000002</v>
      </c>
      <c r="P153" s="78">
        <v>0</v>
      </c>
      <c r="Q153" s="78">
        <f t="shared" si="16"/>
        <v>0</v>
      </c>
      <c r="R153" s="78">
        <v>0</v>
      </c>
      <c r="S153" s="78">
        <f t="shared" si="17"/>
        <v>0</v>
      </c>
      <c r="T153" s="78">
        <v>0</v>
      </c>
      <c r="U153" s="78">
        <f t="shared" si="18"/>
        <v>0</v>
      </c>
      <c r="V153" s="78">
        <v>0</v>
      </c>
      <c r="W153" s="78">
        <f t="shared" si="19"/>
        <v>0</v>
      </c>
    </row>
    <row r="154" spans="4:23" x14ac:dyDescent="0.3">
      <c r="D154" s="67">
        <f t="shared" si="20"/>
        <v>152</v>
      </c>
      <c r="E154" s="85">
        <v>0</v>
      </c>
      <c r="F154" s="69">
        <v>0</v>
      </c>
      <c r="G154" s="69">
        <v>0</v>
      </c>
      <c r="H154" s="69">
        <v>31319.714</v>
      </c>
      <c r="I154" s="69">
        <v>4164.2738159500004</v>
      </c>
      <c r="J154" s="69">
        <f t="shared" si="14"/>
        <v>35483.98781595</v>
      </c>
      <c r="K154" s="85">
        <v>0</v>
      </c>
      <c r="L154" s="69">
        <v>0</v>
      </c>
      <c r="M154" s="69">
        <v>4334.1949999999997</v>
      </c>
      <c r="N154" s="69">
        <v>0</v>
      </c>
      <c r="O154" s="70">
        <f t="shared" si="15"/>
        <v>4334.1949999999997</v>
      </c>
      <c r="P154" s="78">
        <v>0</v>
      </c>
      <c r="Q154" s="78">
        <f t="shared" si="16"/>
        <v>0</v>
      </c>
      <c r="R154" s="78">
        <v>0</v>
      </c>
      <c r="S154" s="78">
        <f t="shared" si="17"/>
        <v>0</v>
      </c>
      <c r="T154" s="78">
        <v>0</v>
      </c>
      <c r="U154" s="78">
        <f t="shared" si="18"/>
        <v>0</v>
      </c>
      <c r="V154" s="78">
        <v>0</v>
      </c>
      <c r="W154" s="78">
        <f t="shared" si="19"/>
        <v>0</v>
      </c>
    </row>
    <row r="155" spans="4:23" x14ac:dyDescent="0.3">
      <c r="D155" s="67">
        <f t="shared" si="20"/>
        <v>153</v>
      </c>
      <c r="E155" s="85">
        <v>0</v>
      </c>
      <c r="F155" s="69">
        <v>0</v>
      </c>
      <c r="G155" s="69">
        <v>0</v>
      </c>
      <c r="H155" s="69">
        <v>33635.925999999999</v>
      </c>
      <c r="I155" s="69">
        <v>4005.34518471</v>
      </c>
      <c r="J155" s="69">
        <f t="shared" si="14"/>
        <v>37641.27118471</v>
      </c>
      <c r="K155" s="85">
        <v>0</v>
      </c>
      <c r="L155" s="69">
        <v>0</v>
      </c>
      <c r="M155" s="69">
        <v>4342.3630000000003</v>
      </c>
      <c r="N155" s="69">
        <v>0</v>
      </c>
      <c r="O155" s="70">
        <f t="shared" si="15"/>
        <v>4342.3630000000003</v>
      </c>
      <c r="P155" s="78">
        <v>0</v>
      </c>
      <c r="Q155" s="78">
        <f t="shared" si="16"/>
        <v>0</v>
      </c>
      <c r="R155" s="78">
        <v>0</v>
      </c>
      <c r="S155" s="78">
        <f t="shared" si="17"/>
        <v>0</v>
      </c>
      <c r="T155" s="78">
        <v>0</v>
      </c>
      <c r="U155" s="78">
        <f t="shared" si="18"/>
        <v>0</v>
      </c>
      <c r="V155" s="78">
        <v>0</v>
      </c>
      <c r="W155" s="78">
        <f t="shared" si="19"/>
        <v>0</v>
      </c>
    </row>
    <row r="156" spans="4:23" x14ac:dyDescent="0.3">
      <c r="D156" s="67">
        <f t="shared" si="20"/>
        <v>154</v>
      </c>
      <c r="E156" s="85">
        <v>4.4999999999999998E-2</v>
      </c>
      <c r="F156" s="69">
        <v>0</v>
      </c>
      <c r="G156" s="69">
        <v>3.6999999999999901E-2</v>
      </c>
      <c r="H156" s="69">
        <v>36023.576000000001</v>
      </c>
      <c r="I156" s="69">
        <v>2484.82856219</v>
      </c>
      <c r="J156" s="69">
        <f t="shared" si="14"/>
        <v>38508.40456219</v>
      </c>
      <c r="K156" s="85">
        <v>0</v>
      </c>
      <c r="L156" s="69">
        <v>0</v>
      </c>
      <c r="M156" s="69">
        <v>4640.1970000000001</v>
      </c>
      <c r="N156" s="69">
        <v>0</v>
      </c>
      <c r="O156" s="70">
        <f t="shared" si="15"/>
        <v>4640.1970000000001</v>
      </c>
      <c r="P156" s="78">
        <v>2490</v>
      </c>
      <c r="Q156" s="78">
        <f t="shared" si="16"/>
        <v>0.03</v>
      </c>
      <c r="R156" s="78">
        <v>0</v>
      </c>
      <c r="S156" s="78">
        <f t="shared" si="17"/>
        <v>0</v>
      </c>
      <c r="T156" s="78">
        <v>172.5384</v>
      </c>
      <c r="U156" s="78">
        <f t="shared" si="18"/>
        <v>1.1999999999999999E-2</v>
      </c>
      <c r="V156" s="78">
        <v>115.9188</v>
      </c>
      <c r="W156" s="78">
        <f t="shared" si="19"/>
        <v>1.2E-2</v>
      </c>
    </row>
    <row r="157" spans="4:23" x14ac:dyDescent="0.3">
      <c r="D157" s="67">
        <f t="shared" si="20"/>
        <v>155</v>
      </c>
      <c r="E157" s="85">
        <v>0.13900000000000001</v>
      </c>
      <c r="F157" s="69">
        <v>1.7000000000000001E-2</v>
      </c>
      <c r="G157" s="69">
        <v>0.107</v>
      </c>
      <c r="H157" s="69">
        <v>36804.972999999998</v>
      </c>
      <c r="I157" s="69">
        <v>2000.9532392599999</v>
      </c>
      <c r="J157" s="69">
        <f t="shared" si="14"/>
        <v>38805.926239259999</v>
      </c>
      <c r="K157" s="85">
        <v>0.01</v>
      </c>
      <c r="L157" s="69">
        <v>1.2E-2</v>
      </c>
      <c r="M157" s="69">
        <v>4886.9849999999997</v>
      </c>
      <c r="N157" s="69">
        <v>0</v>
      </c>
      <c r="O157" s="70">
        <f t="shared" si="15"/>
        <v>4886.9849999999997</v>
      </c>
      <c r="P157" s="78">
        <v>6806</v>
      </c>
      <c r="Q157" s="78">
        <f t="shared" si="16"/>
        <v>8.2000000000000003E-2</v>
      </c>
      <c r="R157" s="78">
        <v>81.685000000000002</v>
      </c>
      <c r="S157" s="78">
        <f t="shared" si="17"/>
        <v>1.7000000000000001E-2</v>
      </c>
      <c r="T157" s="78">
        <v>704.53179999999998</v>
      </c>
      <c r="U157" s="78">
        <f t="shared" si="18"/>
        <v>4.8999999999999995E-2</v>
      </c>
      <c r="V157" s="78">
        <v>540.95439999999996</v>
      </c>
      <c r="W157" s="78">
        <f t="shared" si="19"/>
        <v>5.6000000000000001E-2</v>
      </c>
    </row>
    <row r="158" spans="4:23" x14ac:dyDescent="0.3">
      <c r="D158" s="67">
        <f t="shared" si="20"/>
        <v>156</v>
      </c>
      <c r="E158" s="85">
        <v>0.19399999999999998</v>
      </c>
      <c r="F158" s="69">
        <v>2.7999999999999997E-2</v>
      </c>
      <c r="G158" s="69">
        <v>0.17899999999999999</v>
      </c>
      <c r="H158" s="69">
        <v>37638.228000000003</v>
      </c>
      <c r="I158" s="69">
        <v>2578.0380017299999</v>
      </c>
      <c r="J158" s="69">
        <f t="shared" si="14"/>
        <v>40216.26600173</v>
      </c>
      <c r="K158" s="85">
        <v>1.3999999999999999E-2</v>
      </c>
      <c r="L158" s="69">
        <v>1.6E-2</v>
      </c>
      <c r="M158" s="69">
        <v>5229.9260000000004</v>
      </c>
      <c r="N158" s="69">
        <v>0</v>
      </c>
      <c r="O158" s="70">
        <f t="shared" si="15"/>
        <v>5229.9260000000004</v>
      </c>
      <c r="P158" s="78">
        <v>11288</v>
      </c>
      <c r="Q158" s="78">
        <f t="shared" si="16"/>
        <v>0.13600000000000001</v>
      </c>
      <c r="R158" s="78">
        <v>134.54</v>
      </c>
      <c r="S158" s="78">
        <f t="shared" si="17"/>
        <v>2.7999999999999997E-2</v>
      </c>
      <c r="T158" s="78">
        <v>1294.038</v>
      </c>
      <c r="U158" s="78">
        <f t="shared" si="18"/>
        <v>0.09</v>
      </c>
      <c r="V158" s="78">
        <v>1043.2692</v>
      </c>
      <c r="W158" s="78">
        <f t="shared" si="19"/>
        <v>0.108</v>
      </c>
    </row>
    <row r="159" spans="4:23" x14ac:dyDescent="0.3">
      <c r="D159" s="67">
        <f t="shared" si="20"/>
        <v>157</v>
      </c>
      <c r="E159" s="85">
        <v>0.189</v>
      </c>
      <c r="F159" s="69">
        <v>3.59999999999999E-2</v>
      </c>
      <c r="G159" s="69">
        <v>0.24</v>
      </c>
      <c r="H159" s="69">
        <v>38535.195</v>
      </c>
      <c r="I159" s="69">
        <v>2861.3687009</v>
      </c>
      <c r="J159" s="69">
        <f t="shared" si="14"/>
        <v>41396.563700899998</v>
      </c>
      <c r="K159" s="85">
        <v>2.6000000000000002E-2</v>
      </c>
      <c r="L159" s="69">
        <v>2.5000000000000001E-2</v>
      </c>
      <c r="M159" s="69">
        <v>5596.19</v>
      </c>
      <c r="N159" s="69">
        <v>0</v>
      </c>
      <c r="O159" s="70">
        <f t="shared" si="15"/>
        <v>5596.19</v>
      </c>
      <c r="P159" s="78">
        <v>15272</v>
      </c>
      <c r="Q159" s="78">
        <f t="shared" si="16"/>
        <v>0.184</v>
      </c>
      <c r="R159" s="78">
        <v>172.98</v>
      </c>
      <c r="S159" s="78">
        <f t="shared" si="17"/>
        <v>3.5999999999999997E-2</v>
      </c>
      <c r="T159" s="78">
        <v>2185.4863999999998</v>
      </c>
      <c r="U159" s="78">
        <f t="shared" si="18"/>
        <v>0.15199999999999997</v>
      </c>
      <c r="V159" s="78">
        <v>1584.2236</v>
      </c>
      <c r="W159" s="78">
        <f t="shared" si="19"/>
        <v>0.16400000000000001</v>
      </c>
    </row>
    <row r="160" spans="4:23" x14ac:dyDescent="0.3">
      <c r="D160" s="67">
        <f t="shared" si="20"/>
        <v>158</v>
      </c>
      <c r="E160" s="85">
        <v>0.159</v>
      </c>
      <c r="F160" s="69">
        <v>3.9E-2</v>
      </c>
      <c r="G160" s="69">
        <v>0.27200000000000002</v>
      </c>
      <c r="H160" s="69">
        <v>38968.957000000002</v>
      </c>
      <c r="I160" s="69">
        <v>2565.52692428</v>
      </c>
      <c r="J160" s="69">
        <f t="shared" si="14"/>
        <v>41534.483924280001</v>
      </c>
      <c r="K160" s="85">
        <v>2.7999999999999997E-2</v>
      </c>
      <c r="L160" s="69">
        <v>0.03</v>
      </c>
      <c r="M160" s="69">
        <v>5280.6869999999999</v>
      </c>
      <c r="N160" s="69">
        <v>0</v>
      </c>
      <c r="O160" s="70">
        <f t="shared" si="15"/>
        <v>5280.6869999999999</v>
      </c>
      <c r="P160" s="78">
        <v>17347</v>
      </c>
      <c r="Q160" s="78">
        <f t="shared" si="16"/>
        <v>0.20899999999999999</v>
      </c>
      <c r="R160" s="78">
        <v>187.39500000000001</v>
      </c>
      <c r="S160" s="78">
        <f t="shared" si="17"/>
        <v>3.9E-2</v>
      </c>
      <c r="T160" s="78">
        <v>2976.2874000000002</v>
      </c>
      <c r="U160" s="78">
        <f t="shared" si="18"/>
        <v>0.20699999999999999</v>
      </c>
      <c r="V160" s="78">
        <v>1970.6196</v>
      </c>
      <c r="W160" s="78">
        <f t="shared" si="19"/>
        <v>0.20400000000000001</v>
      </c>
    </row>
    <row r="161" spans="4:23" x14ac:dyDescent="0.3">
      <c r="D161" s="67">
        <f t="shared" si="20"/>
        <v>159</v>
      </c>
      <c r="E161" s="85">
        <v>9.9000000000000005E-2</v>
      </c>
      <c r="F161" s="69">
        <v>3.4000000000000002E-2</v>
      </c>
      <c r="G161" s="69">
        <v>0.26400000000000001</v>
      </c>
      <c r="H161" s="69">
        <v>38089.428</v>
      </c>
      <c r="I161" s="69">
        <v>1930.21414779</v>
      </c>
      <c r="J161" s="69">
        <f t="shared" si="14"/>
        <v>40019.64214779</v>
      </c>
      <c r="K161" s="85">
        <v>2.3E-2</v>
      </c>
      <c r="L161" s="69">
        <v>2.7999999999999997E-2</v>
      </c>
      <c r="M161" s="69">
        <v>4999.6120000000001</v>
      </c>
      <c r="N161" s="69">
        <v>0</v>
      </c>
      <c r="O161" s="70">
        <f t="shared" si="15"/>
        <v>4999.6120000000001</v>
      </c>
      <c r="P161" s="78">
        <v>17347</v>
      </c>
      <c r="Q161" s="78">
        <f t="shared" si="16"/>
        <v>0.20899999999999999</v>
      </c>
      <c r="R161" s="78">
        <v>163.37</v>
      </c>
      <c r="S161" s="78">
        <f t="shared" si="17"/>
        <v>3.4000000000000002E-2</v>
      </c>
      <c r="T161" s="78">
        <v>3436.3897999999999</v>
      </c>
      <c r="U161" s="78">
        <f t="shared" si="18"/>
        <v>0.23899999999999999</v>
      </c>
      <c r="V161" s="78">
        <v>2057.5587</v>
      </c>
      <c r="W161" s="78">
        <f t="shared" si="19"/>
        <v>0.21300000000000002</v>
      </c>
    </row>
    <row r="162" spans="4:23" x14ac:dyDescent="0.3">
      <c r="D162" s="67">
        <f t="shared" si="20"/>
        <v>160</v>
      </c>
      <c r="E162" s="85">
        <v>3.4000000000000002E-2</v>
      </c>
      <c r="F162" s="69">
        <v>2.1999999999999898E-2</v>
      </c>
      <c r="G162" s="69">
        <v>0.20399999999999999</v>
      </c>
      <c r="H162" s="69">
        <v>37514.300000000003</v>
      </c>
      <c r="I162" s="69">
        <v>1637.9073579999999</v>
      </c>
      <c r="J162" s="69">
        <f t="shared" si="14"/>
        <v>39152.207358</v>
      </c>
      <c r="K162" s="85">
        <v>1.4999999999999999E-2</v>
      </c>
      <c r="L162" s="69">
        <v>1.4999999999999999E-2</v>
      </c>
      <c r="M162" s="69">
        <v>5002.7030000000004</v>
      </c>
      <c r="N162" s="69">
        <v>0</v>
      </c>
      <c r="O162" s="70">
        <f t="shared" si="15"/>
        <v>5002.7030000000004</v>
      </c>
      <c r="P162" s="78">
        <v>14442</v>
      </c>
      <c r="Q162" s="78">
        <f t="shared" si="16"/>
        <v>0.17399999999999999</v>
      </c>
      <c r="R162" s="78">
        <v>105.71</v>
      </c>
      <c r="S162" s="78">
        <f t="shared" si="17"/>
        <v>2.1999999999999999E-2</v>
      </c>
      <c r="T162" s="78">
        <v>3048.1783999999998</v>
      </c>
      <c r="U162" s="78">
        <f t="shared" si="18"/>
        <v>0.21199999999999997</v>
      </c>
      <c r="V162" s="78">
        <v>1680.8226</v>
      </c>
      <c r="W162" s="78">
        <f t="shared" si="19"/>
        <v>0.17400000000000002</v>
      </c>
    </row>
    <row r="163" spans="4:23" x14ac:dyDescent="0.3">
      <c r="D163" s="67">
        <f t="shared" si="20"/>
        <v>161</v>
      </c>
      <c r="E163" s="85">
        <v>0</v>
      </c>
      <c r="F163" s="69">
        <v>0</v>
      </c>
      <c r="G163" s="69">
        <v>0.11899999999999901</v>
      </c>
      <c r="H163" s="69">
        <v>37580.499000000003</v>
      </c>
      <c r="I163" s="69">
        <v>1632.86020579</v>
      </c>
      <c r="J163" s="69">
        <f t="shared" si="14"/>
        <v>39213.359205790002</v>
      </c>
      <c r="K163" s="85">
        <v>0</v>
      </c>
      <c r="L163" s="69">
        <v>0</v>
      </c>
      <c r="M163" s="69">
        <v>5228.2780000000002</v>
      </c>
      <c r="N163" s="69">
        <v>0</v>
      </c>
      <c r="O163" s="70">
        <f t="shared" si="15"/>
        <v>5228.2780000000002</v>
      </c>
      <c r="P163" s="78">
        <v>9296</v>
      </c>
      <c r="Q163" s="78">
        <f t="shared" si="16"/>
        <v>0.112</v>
      </c>
      <c r="R163" s="78">
        <v>0</v>
      </c>
      <c r="S163" s="78">
        <f t="shared" si="17"/>
        <v>0</v>
      </c>
      <c r="T163" s="78">
        <v>2300.5120000000002</v>
      </c>
      <c r="U163" s="78">
        <f t="shared" si="18"/>
        <v>0.16</v>
      </c>
      <c r="V163" s="78">
        <v>1081.9087999999999</v>
      </c>
      <c r="W163" s="78">
        <f t="shared" si="19"/>
        <v>0.112</v>
      </c>
    </row>
    <row r="164" spans="4:23" x14ac:dyDescent="0.3">
      <c r="D164" s="67">
        <f t="shared" si="20"/>
        <v>162</v>
      </c>
      <c r="E164" s="85">
        <v>0</v>
      </c>
      <c r="F164" s="69">
        <v>0</v>
      </c>
      <c r="G164" s="69">
        <v>3.2000000000000001E-2</v>
      </c>
      <c r="H164" s="69">
        <v>39518.828999999998</v>
      </c>
      <c r="I164" s="69">
        <v>1706.74988115</v>
      </c>
      <c r="J164" s="69">
        <f t="shared" si="14"/>
        <v>41225.578881149995</v>
      </c>
      <c r="K164" s="85">
        <v>0</v>
      </c>
      <c r="L164" s="69">
        <v>0</v>
      </c>
      <c r="M164" s="69">
        <v>5872.1220000000003</v>
      </c>
      <c r="N164" s="69">
        <v>0</v>
      </c>
      <c r="O164" s="70">
        <f t="shared" si="15"/>
        <v>5872.1220000000003</v>
      </c>
      <c r="P164" s="78">
        <v>2324</v>
      </c>
      <c r="Q164" s="78">
        <f t="shared" si="16"/>
        <v>2.8000000000000001E-2</v>
      </c>
      <c r="R164" s="78">
        <v>0</v>
      </c>
      <c r="S164" s="78">
        <f t="shared" si="17"/>
        <v>0</v>
      </c>
      <c r="T164" s="78">
        <v>1308.4161999999999</v>
      </c>
      <c r="U164" s="78">
        <f t="shared" si="18"/>
        <v>9.0999999999999984E-2</v>
      </c>
      <c r="V164" s="78">
        <v>434.69549999999998</v>
      </c>
      <c r="W164" s="78">
        <f t="shared" si="19"/>
        <v>4.4999999999999998E-2</v>
      </c>
    </row>
    <row r="165" spans="4:23" x14ac:dyDescent="0.3">
      <c r="D165" s="67">
        <f t="shared" si="20"/>
        <v>163</v>
      </c>
      <c r="E165" s="85">
        <v>0</v>
      </c>
      <c r="F165" s="69">
        <v>0</v>
      </c>
      <c r="G165" s="69">
        <v>0</v>
      </c>
      <c r="H165" s="69">
        <v>40568.230000000003</v>
      </c>
      <c r="I165" s="69">
        <v>1812.66727223</v>
      </c>
      <c r="J165" s="69">
        <f t="shared" si="14"/>
        <v>42380.897272230002</v>
      </c>
      <c r="K165" s="85">
        <v>0</v>
      </c>
      <c r="L165" s="69">
        <v>0</v>
      </c>
      <c r="M165" s="69">
        <v>6451.0309999999999</v>
      </c>
      <c r="N165" s="69">
        <v>0</v>
      </c>
      <c r="O165" s="70">
        <f t="shared" si="15"/>
        <v>6451.0309999999999</v>
      </c>
      <c r="P165" s="78">
        <v>0</v>
      </c>
      <c r="Q165" s="78">
        <f t="shared" si="16"/>
        <v>0</v>
      </c>
      <c r="R165" s="78">
        <v>0</v>
      </c>
      <c r="S165" s="78">
        <f t="shared" si="17"/>
        <v>0</v>
      </c>
      <c r="T165" s="78">
        <v>0</v>
      </c>
      <c r="U165" s="78">
        <f t="shared" si="18"/>
        <v>0</v>
      </c>
      <c r="V165" s="78">
        <v>0</v>
      </c>
      <c r="W165" s="78">
        <f t="shared" si="19"/>
        <v>0</v>
      </c>
    </row>
    <row r="166" spans="4:23" x14ac:dyDescent="0.3">
      <c r="D166" s="67">
        <f t="shared" si="20"/>
        <v>164</v>
      </c>
      <c r="E166" s="85">
        <v>0</v>
      </c>
      <c r="F166" s="69">
        <v>0</v>
      </c>
      <c r="G166" s="69">
        <v>0</v>
      </c>
      <c r="H166" s="69">
        <v>40863.873</v>
      </c>
      <c r="I166" s="69">
        <v>1932.65798305</v>
      </c>
      <c r="J166" s="69">
        <f t="shared" si="14"/>
        <v>42796.530983049997</v>
      </c>
      <c r="K166" s="85">
        <v>0</v>
      </c>
      <c r="L166" s="69">
        <v>0</v>
      </c>
      <c r="M166" s="69">
        <v>6593.3879999999999</v>
      </c>
      <c r="N166" s="69">
        <v>0</v>
      </c>
      <c r="O166" s="70">
        <f t="shared" si="15"/>
        <v>6593.3879999999999</v>
      </c>
      <c r="P166" s="78">
        <v>0</v>
      </c>
      <c r="Q166" s="78">
        <f t="shared" si="16"/>
        <v>0</v>
      </c>
      <c r="R166" s="78">
        <v>0</v>
      </c>
      <c r="S166" s="78">
        <f t="shared" si="17"/>
        <v>0</v>
      </c>
      <c r="T166" s="78">
        <v>0</v>
      </c>
      <c r="U166" s="78">
        <f t="shared" si="18"/>
        <v>0</v>
      </c>
      <c r="V166" s="78">
        <v>0</v>
      </c>
      <c r="W166" s="78">
        <f t="shared" si="19"/>
        <v>0</v>
      </c>
    </row>
    <row r="167" spans="4:23" x14ac:dyDescent="0.3">
      <c r="D167" s="67">
        <f t="shared" si="20"/>
        <v>165</v>
      </c>
      <c r="E167" s="85">
        <v>0</v>
      </c>
      <c r="F167" s="69">
        <v>0</v>
      </c>
      <c r="G167" s="69">
        <v>0</v>
      </c>
      <c r="H167" s="69">
        <v>40529.981</v>
      </c>
      <c r="I167" s="69">
        <v>1902.03408986</v>
      </c>
      <c r="J167" s="69">
        <f t="shared" si="14"/>
        <v>42432.015089859997</v>
      </c>
      <c r="K167" s="85">
        <v>0</v>
      </c>
      <c r="L167" s="69">
        <v>0</v>
      </c>
      <c r="M167" s="69">
        <v>6426.7089999999998</v>
      </c>
      <c r="N167" s="69">
        <v>0</v>
      </c>
      <c r="O167" s="70">
        <f t="shared" si="15"/>
        <v>6426.7089999999998</v>
      </c>
      <c r="P167" s="78">
        <v>0</v>
      </c>
      <c r="Q167" s="78">
        <f t="shared" si="16"/>
        <v>0</v>
      </c>
      <c r="R167" s="78">
        <v>0</v>
      </c>
      <c r="S167" s="78">
        <f t="shared" si="17"/>
        <v>0</v>
      </c>
      <c r="T167" s="78">
        <v>0</v>
      </c>
      <c r="U167" s="78">
        <f t="shared" si="18"/>
        <v>0</v>
      </c>
      <c r="V167" s="78">
        <v>0</v>
      </c>
      <c r="W167" s="78">
        <f t="shared" si="19"/>
        <v>0</v>
      </c>
    </row>
    <row r="168" spans="4:23" x14ac:dyDescent="0.3">
      <c r="D168" s="67">
        <f t="shared" si="20"/>
        <v>166</v>
      </c>
      <c r="E168" s="85">
        <v>0</v>
      </c>
      <c r="F168" s="69">
        <v>0</v>
      </c>
      <c r="G168" s="69">
        <v>0</v>
      </c>
      <c r="H168" s="69">
        <v>39225.506000000001</v>
      </c>
      <c r="I168" s="69">
        <v>1827.86891896</v>
      </c>
      <c r="J168" s="69">
        <f t="shared" si="14"/>
        <v>41053.374918959998</v>
      </c>
      <c r="K168" s="85">
        <v>0</v>
      </c>
      <c r="L168" s="69">
        <v>0</v>
      </c>
      <c r="M168" s="69">
        <v>6037.9189999999999</v>
      </c>
      <c r="N168" s="69">
        <v>0</v>
      </c>
      <c r="O168" s="70">
        <f t="shared" si="15"/>
        <v>6037.9189999999999</v>
      </c>
      <c r="P168" s="78">
        <v>0</v>
      </c>
      <c r="Q168" s="78">
        <f t="shared" si="16"/>
        <v>0</v>
      </c>
      <c r="R168" s="78">
        <v>0</v>
      </c>
      <c r="S168" s="78">
        <f t="shared" si="17"/>
        <v>0</v>
      </c>
      <c r="T168" s="78">
        <v>0</v>
      </c>
      <c r="U168" s="78">
        <f t="shared" si="18"/>
        <v>0</v>
      </c>
      <c r="V168" s="78">
        <v>0</v>
      </c>
      <c r="W168" s="78">
        <f t="shared" si="19"/>
        <v>0</v>
      </c>
    </row>
    <row r="169" spans="4:23" x14ac:dyDescent="0.3">
      <c r="D169" s="67">
        <f>1+D168</f>
        <v>167</v>
      </c>
      <c r="E169" s="85">
        <v>0</v>
      </c>
      <c r="F169" s="69">
        <v>0</v>
      </c>
      <c r="G169" s="69">
        <v>0</v>
      </c>
      <c r="H169" s="69">
        <v>37244.283000000003</v>
      </c>
      <c r="I169" s="69">
        <v>1840.56683034</v>
      </c>
      <c r="J169" s="69">
        <f t="shared" si="14"/>
        <v>39084.849830340005</v>
      </c>
      <c r="K169" s="85">
        <v>0</v>
      </c>
      <c r="L169" s="69">
        <v>0</v>
      </c>
      <c r="M169" s="69">
        <v>6241.08</v>
      </c>
      <c r="N169" s="69">
        <v>0</v>
      </c>
      <c r="O169" s="70">
        <f t="shared" si="15"/>
        <v>6241.08</v>
      </c>
      <c r="P169" s="78">
        <v>0</v>
      </c>
      <c r="Q169" s="78">
        <f t="shared" si="16"/>
        <v>0</v>
      </c>
      <c r="R169" s="78">
        <v>0</v>
      </c>
      <c r="S169" s="78">
        <f t="shared" si="17"/>
        <v>0</v>
      </c>
      <c r="T169" s="78">
        <v>0</v>
      </c>
      <c r="U169" s="78">
        <f t="shared" si="18"/>
        <v>0</v>
      </c>
      <c r="V169" s="78">
        <v>0</v>
      </c>
      <c r="W169" s="78">
        <f t="shared" si="19"/>
        <v>0</v>
      </c>
    </row>
    <row r="170" spans="4:23" x14ac:dyDescent="0.3">
      <c r="D170" s="68">
        <f t="shared" ref="D170" si="21">1+D169</f>
        <v>168</v>
      </c>
      <c r="E170" s="86">
        <v>0</v>
      </c>
      <c r="F170" s="71">
        <v>0</v>
      </c>
      <c r="G170" s="71">
        <v>0</v>
      </c>
      <c r="H170" s="71">
        <v>34857.546000000002</v>
      </c>
      <c r="I170" s="71">
        <v>1545.00162452</v>
      </c>
      <c r="J170" s="71">
        <f t="shared" si="14"/>
        <v>36402.547624520004</v>
      </c>
      <c r="K170" s="86">
        <v>0</v>
      </c>
      <c r="L170" s="71">
        <v>0</v>
      </c>
      <c r="M170" s="71">
        <v>5886.9840000000004</v>
      </c>
      <c r="N170" s="71">
        <v>0</v>
      </c>
      <c r="O170" s="72">
        <f t="shared" si="15"/>
        <v>5886.9840000000004</v>
      </c>
      <c r="P170" s="78">
        <v>0</v>
      </c>
      <c r="Q170" s="78">
        <f t="shared" si="16"/>
        <v>0</v>
      </c>
      <c r="R170" s="78">
        <v>0</v>
      </c>
      <c r="S170" s="78">
        <f t="shared" si="17"/>
        <v>0</v>
      </c>
      <c r="T170" s="78">
        <v>0</v>
      </c>
      <c r="U170" s="78">
        <f t="shared" si="18"/>
        <v>0</v>
      </c>
      <c r="V170" s="78">
        <v>0</v>
      </c>
      <c r="W170" s="78">
        <f t="shared" si="19"/>
        <v>0</v>
      </c>
    </row>
  </sheetData>
  <mergeCells count="1">
    <mergeCell ref="A4:B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2026-04-28T15:08:34Z</dcterms:modified>
</cp:coreProperties>
</file>