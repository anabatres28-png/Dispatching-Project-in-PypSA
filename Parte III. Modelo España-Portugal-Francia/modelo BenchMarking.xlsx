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Parte III. Modelo España-Portugal-Francia\"/>
    </mc:Choice>
  </mc:AlternateContent>
  <xr:revisionPtr revIDLastSave="0" documentId="13_ncr:1_{CC85FE6E-A598-43AA-8C14-3585C24E9406}" xr6:coauthVersionLast="47" xr6:coauthVersionMax="47" xr10:uidLastSave="{00000000-0000-0000-0000-000000000000}"/>
  <bookViews>
    <workbookView xWindow="28680" yWindow="-120" windowWidth="29040" windowHeight="15720" tabRatio="752" activeTab="9" xr2:uid="{00000000-000D-0000-FFFF-FFFF00000000}"/>
  </bookViews>
  <sheets>
    <sheet name="Guide Sheet" sheetId="8" r:id="rId1"/>
    <sheet name="carriers" sheetId="2" r:id="rId2"/>
    <sheet name="buses_2busSRES" sheetId="15" r:id="rId3"/>
    <sheet name="generators_2busSRES" sheetId="17" r:id="rId4"/>
    <sheet name="links_2busSRES" sheetId="16" r:id="rId5"/>
    <sheet name="loads" sheetId="5" r:id="rId6"/>
    <sheet name="run_of_river_inflow" sheetId="12" r:id="rId7"/>
    <sheet name="store" sheetId="7" r:id="rId8"/>
    <sheet name="storage_units" sheetId="6" r:id="rId9"/>
    <sheet name="demands" sheetId="11" r:id="rId10"/>
    <sheet name="profiles" sheetId="10" r:id="rId11"/>
    <sheet name="Origen de Datos" sheetId="20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17" l="1"/>
  <c r="AL4" i="20"/>
  <c r="AL5" i="20"/>
  <c r="AL6" i="20"/>
  <c r="AL7" i="20"/>
  <c r="AL8" i="20"/>
  <c r="AL9" i="20"/>
  <c r="AL10" i="20"/>
  <c r="AL11" i="20"/>
  <c r="AL12" i="20"/>
  <c r="AL13" i="20"/>
  <c r="AL14" i="20"/>
  <c r="AL15" i="20"/>
  <c r="AL16" i="20"/>
  <c r="AL17" i="20"/>
  <c r="AL18" i="20"/>
  <c r="AL19" i="20"/>
  <c r="AL20" i="20"/>
  <c r="AL21" i="20"/>
  <c r="AL22" i="20"/>
  <c r="AL23" i="20"/>
  <c r="AL24" i="20"/>
  <c r="AL25" i="20"/>
  <c r="AL26" i="20"/>
  <c r="AL27" i="20"/>
  <c r="AL28" i="20"/>
  <c r="AL29" i="20"/>
  <c r="AL30" i="20"/>
  <c r="AL31" i="20"/>
  <c r="AL32" i="20"/>
  <c r="AL33" i="20"/>
  <c r="AL34" i="20"/>
  <c r="AL35" i="20"/>
  <c r="AL36" i="20"/>
  <c r="AL37" i="20"/>
  <c r="AL38" i="20"/>
  <c r="AL39" i="20"/>
  <c r="AL40" i="20"/>
  <c r="AL41" i="20"/>
  <c r="AL42" i="20"/>
  <c r="AL43" i="20"/>
  <c r="AL44" i="20"/>
  <c r="AL45" i="20"/>
  <c r="AL46" i="20"/>
  <c r="AL47" i="20"/>
  <c r="AL48" i="20"/>
  <c r="AL49" i="20"/>
  <c r="AL50" i="20"/>
  <c r="AL51" i="20"/>
  <c r="AL52" i="20"/>
  <c r="AL53" i="20"/>
  <c r="AL54" i="20"/>
  <c r="AL55" i="20"/>
  <c r="AL56" i="20"/>
  <c r="AL57" i="20"/>
  <c r="AL58" i="20"/>
  <c r="AL59" i="20"/>
  <c r="AL60" i="20"/>
  <c r="AL61" i="20"/>
  <c r="AL62" i="20"/>
  <c r="AL63" i="20"/>
  <c r="AL64" i="20"/>
  <c r="AL65" i="20"/>
  <c r="AL66" i="20"/>
  <c r="AL67" i="20"/>
  <c r="AL68" i="20"/>
  <c r="AL69" i="20"/>
  <c r="AL70" i="20"/>
  <c r="AL71" i="20"/>
  <c r="AL72" i="20"/>
  <c r="AL73" i="20"/>
  <c r="AL74" i="20"/>
  <c r="AL75" i="20"/>
  <c r="AL76" i="20"/>
  <c r="AL77" i="20"/>
  <c r="AL78" i="20"/>
  <c r="AL79" i="20"/>
  <c r="AL80" i="20"/>
  <c r="AL81" i="20"/>
  <c r="AL82" i="20"/>
  <c r="AL83" i="20"/>
  <c r="AL84" i="20"/>
  <c r="AL85" i="20"/>
  <c r="AL86" i="20"/>
  <c r="AL87" i="20"/>
  <c r="AL88" i="20"/>
  <c r="AL89" i="20"/>
  <c r="AL90" i="20"/>
  <c r="AL91" i="20"/>
  <c r="AL92" i="20"/>
  <c r="AL93" i="20"/>
  <c r="AL94" i="20"/>
  <c r="AL95" i="20"/>
  <c r="AL96" i="20"/>
  <c r="AL97" i="20"/>
  <c r="AL98" i="20"/>
  <c r="AL99" i="20"/>
  <c r="AL100" i="20"/>
  <c r="AL101" i="20"/>
  <c r="AL102" i="20"/>
  <c r="AL103" i="20"/>
  <c r="AL104" i="20"/>
  <c r="AL105" i="20"/>
  <c r="AL106" i="20"/>
  <c r="AL107" i="20"/>
  <c r="AL108" i="20"/>
  <c r="AL109" i="20"/>
  <c r="AL110" i="20"/>
  <c r="AL111" i="20"/>
  <c r="AL112" i="20"/>
  <c r="AL113" i="20"/>
  <c r="AL114" i="20"/>
  <c r="AL115" i="20"/>
  <c r="AL116" i="20"/>
  <c r="AL117" i="20"/>
  <c r="AL118" i="20"/>
  <c r="AL119" i="20"/>
  <c r="AL120" i="20"/>
  <c r="AL121" i="20"/>
  <c r="AL122" i="20"/>
  <c r="AL123" i="20"/>
  <c r="AL124" i="20"/>
  <c r="AL125" i="20"/>
  <c r="AL126" i="20"/>
  <c r="AL127" i="20"/>
  <c r="AL128" i="20"/>
  <c r="AL129" i="20"/>
  <c r="AL130" i="20"/>
  <c r="AL131" i="20"/>
  <c r="AL132" i="20"/>
  <c r="AL133" i="20"/>
  <c r="AL134" i="20"/>
  <c r="AL135" i="20"/>
  <c r="AL136" i="20"/>
  <c r="AL137" i="20"/>
  <c r="AL138" i="20"/>
  <c r="AL139" i="20"/>
  <c r="AL140" i="20"/>
  <c r="AL141" i="20"/>
  <c r="AL142" i="20"/>
  <c r="AL143" i="20"/>
  <c r="AL144" i="20"/>
  <c r="AL145" i="20"/>
  <c r="AL146" i="20"/>
  <c r="AL147" i="20"/>
  <c r="AL148" i="20"/>
  <c r="AL149" i="20"/>
  <c r="AL150" i="20"/>
  <c r="AL151" i="20"/>
  <c r="AL152" i="20"/>
  <c r="AL153" i="20"/>
  <c r="AL154" i="20"/>
  <c r="AL155" i="20"/>
  <c r="AL156" i="20"/>
  <c r="AL157" i="20"/>
  <c r="AL158" i="20"/>
  <c r="AL159" i="20"/>
  <c r="AL160" i="20"/>
  <c r="AL161" i="20"/>
  <c r="AL162" i="20"/>
  <c r="AL163" i="20"/>
  <c r="AL164" i="20"/>
  <c r="AL165" i="20"/>
  <c r="AL166" i="20"/>
  <c r="AL167" i="20"/>
  <c r="AL168" i="20"/>
  <c r="AL169" i="20"/>
  <c r="AL170" i="20"/>
  <c r="AL3" i="20"/>
  <c r="AI4" i="20"/>
  <c r="AI5" i="20"/>
  <c r="AI6" i="20"/>
  <c r="AI7" i="20"/>
  <c r="AI8" i="20"/>
  <c r="AI9" i="20"/>
  <c r="AI10" i="20"/>
  <c r="AI11" i="20"/>
  <c r="AI12" i="20"/>
  <c r="AI13" i="20"/>
  <c r="AI14" i="20"/>
  <c r="AI15" i="20"/>
  <c r="AI16" i="20"/>
  <c r="AI17" i="20"/>
  <c r="AI18" i="20"/>
  <c r="AI19" i="20"/>
  <c r="AI20" i="20"/>
  <c r="AI21" i="20"/>
  <c r="AI22" i="20"/>
  <c r="AI23" i="20"/>
  <c r="AI24" i="20"/>
  <c r="AI25" i="20"/>
  <c r="AI26" i="20"/>
  <c r="AI27" i="20"/>
  <c r="AI28" i="20"/>
  <c r="AI29" i="20"/>
  <c r="AI30" i="20"/>
  <c r="AI31" i="20"/>
  <c r="AI32" i="20"/>
  <c r="AI33" i="20"/>
  <c r="AI34" i="20"/>
  <c r="AI35" i="20"/>
  <c r="AI36" i="20"/>
  <c r="AI37" i="20"/>
  <c r="AI38" i="20"/>
  <c r="AI39" i="20"/>
  <c r="AI40" i="20"/>
  <c r="AI41" i="20"/>
  <c r="AI42" i="20"/>
  <c r="AI43" i="20"/>
  <c r="AI44" i="20"/>
  <c r="AI45" i="20"/>
  <c r="AI46" i="20"/>
  <c r="AI47" i="20"/>
  <c r="AI48" i="20"/>
  <c r="AI49" i="20"/>
  <c r="AI50" i="20"/>
  <c r="AI51" i="20"/>
  <c r="AI52" i="20"/>
  <c r="AI53" i="20"/>
  <c r="AI54" i="20"/>
  <c r="AI55" i="20"/>
  <c r="AI56" i="20"/>
  <c r="AI57" i="20"/>
  <c r="AI58" i="20"/>
  <c r="AI59" i="20"/>
  <c r="AI60" i="20"/>
  <c r="AI61" i="20"/>
  <c r="AI62" i="20"/>
  <c r="AI63" i="20"/>
  <c r="AI64" i="20"/>
  <c r="AI65" i="20"/>
  <c r="AI66" i="20"/>
  <c r="AI67" i="20"/>
  <c r="AI68" i="20"/>
  <c r="AI69" i="20"/>
  <c r="AI70" i="20"/>
  <c r="AI71" i="20"/>
  <c r="AI72" i="20"/>
  <c r="AI73" i="20"/>
  <c r="AI74" i="20"/>
  <c r="AI75" i="20"/>
  <c r="AI76" i="20"/>
  <c r="AI77" i="20"/>
  <c r="AI78" i="20"/>
  <c r="AI79" i="20"/>
  <c r="AI80" i="20"/>
  <c r="AI81" i="20"/>
  <c r="AI82" i="20"/>
  <c r="AI83" i="20"/>
  <c r="AI84" i="20"/>
  <c r="AI85" i="20"/>
  <c r="AI86" i="20"/>
  <c r="AI87" i="20"/>
  <c r="AI88" i="20"/>
  <c r="AI89" i="20"/>
  <c r="AI90" i="20"/>
  <c r="AI91" i="20"/>
  <c r="AI92" i="20"/>
  <c r="AI93" i="20"/>
  <c r="AI94" i="20"/>
  <c r="AI95" i="20"/>
  <c r="AI96" i="20"/>
  <c r="AI97" i="20"/>
  <c r="AI98" i="20"/>
  <c r="AI99" i="20"/>
  <c r="AI100" i="20"/>
  <c r="AI101" i="20"/>
  <c r="AI102" i="20"/>
  <c r="AI103" i="20"/>
  <c r="AI104" i="20"/>
  <c r="AI105" i="20"/>
  <c r="AI106" i="20"/>
  <c r="AI107" i="20"/>
  <c r="AI108" i="20"/>
  <c r="AI109" i="20"/>
  <c r="AI110" i="20"/>
  <c r="AI111" i="20"/>
  <c r="AI112" i="20"/>
  <c r="AI113" i="20"/>
  <c r="AI114" i="20"/>
  <c r="AI115" i="20"/>
  <c r="AI116" i="20"/>
  <c r="AI117" i="20"/>
  <c r="AI118" i="20"/>
  <c r="AI119" i="20"/>
  <c r="AI120" i="20"/>
  <c r="AI121" i="20"/>
  <c r="AI122" i="20"/>
  <c r="AI123" i="20"/>
  <c r="AI124" i="20"/>
  <c r="AI125" i="20"/>
  <c r="AI126" i="20"/>
  <c r="AI127" i="20"/>
  <c r="AI128" i="20"/>
  <c r="AI129" i="20"/>
  <c r="AI130" i="20"/>
  <c r="AI131" i="20"/>
  <c r="AI132" i="20"/>
  <c r="AI133" i="20"/>
  <c r="AI134" i="20"/>
  <c r="AI135" i="20"/>
  <c r="AI136" i="20"/>
  <c r="AI137" i="20"/>
  <c r="AI138" i="20"/>
  <c r="AI139" i="20"/>
  <c r="AI140" i="20"/>
  <c r="AI141" i="20"/>
  <c r="AI142" i="20"/>
  <c r="AI143" i="20"/>
  <c r="AI144" i="20"/>
  <c r="AI145" i="20"/>
  <c r="AI146" i="20"/>
  <c r="AI147" i="20"/>
  <c r="AI148" i="20"/>
  <c r="AI149" i="20"/>
  <c r="AI150" i="20"/>
  <c r="AI151" i="20"/>
  <c r="AI152" i="20"/>
  <c r="AI153" i="20"/>
  <c r="AI154" i="20"/>
  <c r="AI155" i="20"/>
  <c r="AI156" i="20"/>
  <c r="AI157" i="20"/>
  <c r="AI158" i="20"/>
  <c r="AI159" i="20"/>
  <c r="AI160" i="20"/>
  <c r="AI161" i="20"/>
  <c r="AI162" i="20"/>
  <c r="AI163" i="20"/>
  <c r="AI164" i="20"/>
  <c r="AI165" i="20"/>
  <c r="AI166" i="20"/>
  <c r="AI167" i="20"/>
  <c r="AI168" i="20"/>
  <c r="AI169" i="20"/>
  <c r="AI170" i="20"/>
  <c r="AI3" i="20"/>
  <c r="O4" i="20" l="1"/>
  <c r="O5" i="20"/>
  <c r="O6" i="20"/>
  <c r="O7" i="20"/>
  <c r="O8" i="20"/>
  <c r="O9" i="20"/>
  <c r="O10" i="20"/>
  <c r="O11" i="20"/>
  <c r="O12" i="20"/>
  <c r="O13" i="20"/>
  <c r="O14" i="20"/>
  <c r="O15" i="20"/>
  <c r="O16" i="20"/>
  <c r="O17" i="20"/>
  <c r="O18" i="20"/>
  <c r="O19" i="20"/>
  <c r="O20" i="20"/>
  <c r="O21" i="20"/>
  <c r="O22" i="20"/>
  <c r="O23" i="20"/>
  <c r="O24" i="20"/>
  <c r="O25" i="20"/>
  <c r="O26" i="20"/>
  <c r="O27" i="20"/>
  <c r="O28" i="20"/>
  <c r="O29" i="20"/>
  <c r="O30" i="20"/>
  <c r="O31" i="20"/>
  <c r="O32" i="20"/>
  <c r="O33" i="20"/>
  <c r="O34" i="20"/>
  <c r="O35" i="20"/>
  <c r="O36" i="20"/>
  <c r="O37" i="20"/>
  <c r="O38" i="20"/>
  <c r="O39" i="20"/>
  <c r="O40" i="20"/>
  <c r="O41" i="20"/>
  <c r="O42" i="20"/>
  <c r="O43" i="20"/>
  <c r="O44" i="20"/>
  <c r="O45" i="20"/>
  <c r="O46" i="20"/>
  <c r="O47" i="20"/>
  <c r="O48" i="20"/>
  <c r="O49" i="20"/>
  <c r="O50" i="20"/>
  <c r="O51" i="20"/>
  <c r="O52" i="20"/>
  <c r="O53" i="20"/>
  <c r="O54" i="20"/>
  <c r="O55" i="20"/>
  <c r="O56" i="20"/>
  <c r="O57" i="20"/>
  <c r="O58" i="20"/>
  <c r="O59" i="20"/>
  <c r="O60" i="20"/>
  <c r="O61" i="20"/>
  <c r="O62" i="20"/>
  <c r="O63" i="20"/>
  <c r="O64" i="20"/>
  <c r="O65" i="20"/>
  <c r="O66" i="20"/>
  <c r="O67" i="20"/>
  <c r="O68" i="20"/>
  <c r="O69" i="20"/>
  <c r="O70" i="20"/>
  <c r="O71" i="20"/>
  <c r="O72" i="20"/>
  <c r="O73" i="20"/>
  <c r="O74" i="20"/>
  <c r="O75" i="20"/>
  <c r="O76" i="20"/>
  <c r="O77" i="20"/>
  <c r="O78" i="20"/>
  <c r="O79" i="20"/>
  <c r="O80" i="20"/>
  <c r="O81" i="20"/>
  <c r="O82" i="20"/>
  <c r="O83" i="20"/>
  <c r="O84" i="20"/>
  <c r="O85" i="20"/>
  <c r="O86" i="20"/>
  <c r="O87" i="20"/>
  <c r="O88" i="20"/>
  <c r="O89" i="20"/>
  <c r="O90" i="20"/>
  <c r="O91" i="20"/>
  <c r="O92" i="20"/>
  <c r="O93" i="20"/>
  <c r="O94" i="20"/>
  <c r="O95" i="20"/>
  <c r="O96" i="20"/>
  <c r="O97" i="20"/>
  <c r="O98" i="20"/>
  <c r="O99" i="20"/>
  <c r="O100" i="20"/>
  <c r="O101" i="20"/>
  <c r="O102" i="20"/>
  <c r="O103" i="20"/>
  <c r="O104" i="20"/>
  <c r="O105" i="20"/>
  <c r="O106" i="20"/>
  <c r="O107" i="20"/>
  <c r="O108" i="20"/>
  <c r="O109" i="20"/>
  <c r="O110" i="20"/>
  <c r="O111" i="20"/>
  <c r="O112" i="20"/>
  <c r="O113" i="20"/>
  <c r="O114" i="20"/>
  <c r="O115" i="20"/>
  <c r="O116" i="20"/>
  <c r="O117" i="20"/>
  <c r="O118" i="20"/>
  <c r="O119" i="20"/>
  <c r="O120" i="20"/>
  <c r="O121" i="20"/>
  <c r="O122" i="20"/>
  <c r="O123" i="20"/>
  <c r="O124" i="20"/>
  <c r="O125" i="20"/>
  <c r="O126" i="20"/>
  <c r="O127" i="20"/>
  <c r="O128" i="20"/>
  <c r="O129" i="20"/>
  <c r="O130" i="20"/>
  <c r="O131" i="20"/>
  <c r="O132" i="20"/>
  <c r="O133" i="20"/>
  <c r="O134" i="20"/>
  <c r="O135" i="20"/>
  <c r="O136" i="20"/>
  <c r="O137" i="20"/>
  <c r="O138" i="20"/>
  <c r="O139" i="20"/>
  <c r="O140" i="20"/>
  <c r="O141" i="20"/>
  <c r="O142" i="20"/>
  <c r="O143" i="20"/>
  <c r="O144" i="20"/>
  <c r="O145" i="20"/>
  <c r="O146" i="20"/>
  <c r="O147" i="20"/>
  <c r="O148" i="20"/>
  <c r="O149" i="20"/>
  <c r="O150" i="20"/>
  <c r="O151" i="20"/>
  <c r="O152" i="20"/>
  <c r="O153" i="20"/>
  <c r="O154" i="20"/>
  <c r="O155" i="20"/>
  <c r="O156" i="20"/>
  <c r="O157" i="20"/>
  <c r="O158" i="20"/>
  <c r="O159" i="20"/>
  <c r="O160" i="20"/>
  <c r="O161" i="20"/>
  <c r="O162" i="20"/>
  <c r="O163" i="20"/>
  <c r="O164" i="20"/>
  <c r="O165" i="20"/>
  <c r="O166" i="20"/>
  <c r="O167" i="20"/>
  <c r="O168" i="20"/>
  <c r="O169" i="20"/>
  <c r="O170" i="20"/>
  <c r="O3" i="20"/>
  <c r="AF4" i="20"/>
  <c r="AF5" i="20"/>
  <c r="AF6" i="20"/>
  <c r="AF7" i="20"/>
  <c r="AF8" i="20"/>
  <c r="AF9" i="20"/>
  <c r="AF10" i="20"/>
  <c r="AF11" i="20"/>
  <c r="AF12" i="20"/>
  <c r="AF13" i="20"/>
  <c r="AF14" i="20"/>
  <c r="AF15" i="20"/>
  <c r="AF16" i="20"/>
  <c r="AF17" i="20"/>
  <c r="AF18" i="20"/>
  <c r="AF19" i="20"/>
  <c r="AF20" i="20"/>
  <c r="AF21" i="20"/>
  <c r="AF22" i="20"/>
  <c r="AF23" i="20"/>
  <c r="AF24" i="20"/>
  <c r="AF25" i="20"/>
  <c r="AF26" i="20"/>
  <c r="AF27" i="20"/>
  <c r="AF28" i="20"/>
  <c r="AF29" i="20"/>
  <c r="AF30" i="20"/>
  <c r="AF31" i="20"/>
  <c r="AF32" i="20"/>
  <c r="AF33" i="20"/>
  <c r="AF34" i="20"/>
  <c r="AF35" i="20"/>
  <c r="AF36" i="20"/>
  <c r="AF37" i="20"/>
  <c r="AF38" i="20"/>
  <c r="AF39" i="20"/>
  <c r="AF40" i="20"/>
  <c r="AF41" i="20"/>
  <c r="AF42" i="20"/>
  <c r="AF43" i="20"/>
  <c r="AF44" i="20"/>
  <c r="AF45" i="20"/>
  <c r="AF46" i="20"/>
  <c r="AF47" i="20"/>
  <c r="AF48" i="20"/>
  <c r="AF49" i="20"/>
  <c r="AF50" i="20"/>
  <c r="AF51" i="20"/>
  <c r="AF52" i="20"/>
  <c r="AF53" i="20"/>
  <c r="AF54" i="20"/>
  <c r="AF55" i="20"/>
  <c r="AF56" i="20"/>
  <c r="AF57" i="20"/>
  <c r="AF58" i="20"/>
  <c r="AF59" i="20"/>
  <c r="AF60" i="20"/>
  <c r="AF61" i="20"/>
  <c r="AF62" i="20"/>
  <c r="AF63" i="20"/>
  <c r="AF64" i="20"/>
  <c r="AF65" i="20"/>
  <c r="AF66" i="20"/>
  <c r="AF67" i="20"/>
  <c r="AF68" i="20"/>
  <c r="AF69" i="20"/>
  <c r="AF70" i="20"/>
  <c r="AF71" i="20"/>
  <c r="AF72" i="20"/>
  <c r="AF73" i="20"/>
  <c r="AF74" i="20"/>
  <c r="AF75" i="20"/>
  <c r="AF76" i="20"/>
  <c r="AF77" i="20"/>
  <c r="AF78" i="20"/>
  <c r="AF79" i="20"/>
  <c r="AF80" i="20"/>
  <c r="AF81" i="20"/>
  <c r="AF82" i="20"/>
  <c r="AF83" i="20"/>
  <c r="AF84" i="20"/>
  <c r="AF85" i="20"/>
  <c r="AF86" i="20"/>
  <c r="AF87" i="20"/>
  <c r="AF88" i="20"/>
  <c r="AF89" i="20"/>
  <c r="AF90" i="20"/>
  <c r="AF91" i="20"/>
  <c r="AF92" i="20"/>
  <c r="AF93" i="20"/>
  <c r="AF94" i="20"/>
  <c r="AF95" i="20"/>
  <c r="AF96" i="20"/>
  <c r="AF97" i="20"/>
  <c r="AF98" i="20"/>
  <c r="AF99" i="20"/>
  <c r="AF100" i="20"/>
  <c r="AF101" i="20"/>
  <c r="AF102" i="20"/>
  <c r="AF103" i="20"/>
  <c r="AF104" i="20"/>
  <c r="AF105" i="20"/>
  <c r="AF106" i="20"/>
  <c r="AF107" i="20"/>
  <c r="AF108" i="20"/>
  <c r="AF109" i="20"/>
  <c r="AF110" i="20"/>
  <c r="AF111" i="20"/>
  <c r="AF112" i="20"/>
  <c r="AF113" i="20"/>
  <c r="AF114" i="20"/>
  <c r="AF115" i="20"/>
  <c r="AF116" i="20"/>
  <c r="AF117" i="20"/>
  <c r="AF118" i="20"/>
  <c r="AF119" i="20"/>
  <c r="AF120" i="20"/>
  <c r="AF121" i="20"/>
  <c r="AF122" i="20"/>
  <c r="AF123" i="20"/>
  <c r="AF124" i="20"/>
  <c r="AF125" i="20"/>
  <c r="AF126" i="20"/>
  <c r="AF127" i="20"/>
  <c r="AF128" i="20"/>
  <c r="AF129" i="20"/>
  <c r="AF130" i="20"/>
  <c r="AF131" i="20"/>
  <c r="AF132" i="20"/>
  <c r="AF133" i="20"/>
  <c r="AF134" i="20"/>
  <c r="AF135" i="20"/>
  <c r="AF136" i="20"/>
  <c r="AF137" i="20"/>
  <c r="AF138" i="20"/>
  <c r="AF139" i="20"/>
  <c r="AF140" i="20"/>
  <c r="AF141" i="20"/>
  <c r="AF142" i="20"/>
  <c r="AF143" i="20"/>
  <c r="AF144" i="20"/>
  <c r="AF145" i="20"/>
  <c r="AF146" i="20"/>
  <c r="AF147" i="20"/>
  <c r="AF148" i="20"/>
  <c r="AF149" i="20"/>
  <c r="AF150" i="20"/>
  <c r="AF151" i="20"/>
  <c r="AF152" i="20"/>
  <c r="AF153" i="20"/>
  <c r="AF154" i="20"/>
  <c r="AF155" i="20"/>
  <c r="AF156" i="20"/>
  <c r="AF157" i="20"/>
  <c r="AF158" i="20"/>
  <c r="AF159" i="20"/>
  <c r="AF160" i="20"/>
  <c r="AF161" i="20"/>
  <c r="AF162" i="20"/>
  <c r="AF163" i="20"/>
  <c r="AF164" i="20"/>
  <c r="AF165" i="20"/>
  <c r="AF166" i="20"/>
  <c r="AF167" i="20"/>
  <c r="AF168" i="20"/>
  <c r="AF169" i="20"/>
  <c r="AF170" i="20"/>
  <c r="AF3" i="20"/>
  <c r="AE4" i="20"/>
  <c r="AE5" i="20"/>
  <c r="AE6" i="20"/>
  <c r="AE7" i="20"/>
  <c r="AE8" i="20"/>
  <c r="AE9" i="20"/>
  <c r="AE10" i="20"/>
  <c r="AE11" i="20"/>
  <c r="AE12" i="20"/>
  <c r="AE13" i="20"/>
  <c r="AE14" i="20"/>
  <c r="AE15" i="20"/>
  <c r="AE16" i="20"/>
  <c r="AE17" i="20"/>
  <c r="AE18" i="20"/>
  <c r="AE19" i="20"/>
  <c r="AE20" i="20"/>
  <c r="AE21" i="20"/>
  <c r="AE22" i="20"/>
  <c r="AE23" i="20"/>
  <c r="AE24" i="20"/>
  <c r="AE25" i="20"/>
  <c r="AE26" i="20"/>
  <c r="AE27" i="20"/>
  <c r="AE28" i="20"/>
  <c r="AE29" i="20"/>
  <c r="AE30" i="20"/>
  <c r="AE31" i="20"/>
  <c r="AE32" i="20"/>
  <c r="AE33" i="20"/>
  <c r="AE34" i="20"/>
  <c r="AE35" i="20"/>
  <c r="AE36" i="20"/>
  <c r="AE37" i="20"/>
  <c r="AE38" i="20"/>
  <c r="AE39" i="20"/>
  <c r="AE40" i="20"/>
  <c r="AE41" i="20"/>
  <c r="AE42" i="20"/>
  <c r="AE43" i="20"/>
  <c r="AE44" i="20"/>
  <c r="AE45" i="20"/>
  <c r="AE46" i="20"/>
  <c r="AE47" i="20"/>
  <c r="AE48" i="20"/>
  <c r="AE49" i="20"/>
  <c r="AE50" i="20"/>
  <c r="AE51" i="20"/>
  <c r="AE52" i="20"/>
  <c r="AE53" i="20"/>
  <c r="AE54" i="20"/>
  <c r="AE55" i="20"/>
  <c r="AE56" i="20"/>
  <c r="AE57" i="20"/>
  <c r="AE58" i="20"/>
  <c r="AE59" i="20"/>
  <c r="AE60" i="20"/>
  <c r="AE61" i="20"/>
  <c r="AE62" i="20"/>
  <c r="AE63" i="20"/>
  <c r="AE64" i="20"/>
  <c r="AE65" i="20"/>
  <c r="AE66" i="20"/>
  <c r="AE67" i="20"/>
  <c r="AE68" i="20"/>
  <c r="AE69" i="20"/>
  <c r="AE70" i="20"/>
  <c r="AE71" i="20"/>
  <c r="AE72" i="20"/>
  <c r="AE73" i="20"/>
  <c r="AE74" i="20"/>
  <c r="AE75" i="20"/>
  <c r="AE76" i="20"/>
  <c r="AE77" i="20"/>
  <c r="AE78" i="20"/>
  <c r="AE79" i="20"/>
  <c r="AE80" i="20"/>
  <c r="AE81" i="20"/>
  <c r="AE82" i="20"/>
  <c r="AE83" i="20"/>
  <c r="AE84" i="20"/>
  <c r="AE85" i="20"/>
  <c r="AE86" i="20"/>
  <c r="AE87" i="20"/>
  <c r="AE88" i="20"/>
  <c r="AE89" i="20"/>
  <c r="AE90" i="20"/>
  <c r="AE91" i="20"/>
  <c r="AE92" i="20"/>
  <c r="AE93" i="20"/>
  <c r="AE94" i="20"/>
  <c r="AE95" i="20"/>
  <c r="AE96" i="20"/>
  <c r="AE97" i="20"/>
  <c r="AE98" i="20"/>
  <c r="AE99" i="20"/>
  <c r="AE100" i="20"/>
  <c r="AE101" i="20"/>
  <c r="AE102" i="20"/>
  <c r="AE103" i="20"/>
  <c r="AE104" i="20"/>
  <c r="AE105" i="20"/>
  <c r="AE106" i="20"/>
  <c r="AE107" i="20"/>
  <c r="AE108" i="20"/>
  <c r="AE109" i="20"/>
  <c r="AE110" i="20"/>
  <c r="AE111" i="20"/>
  <c r="AE112" i="20"/>
  <c r="AE113" i="20"/>
  <c r="AE114" i="20"/>
  <c r="AE115" i="20"/>
  <c r="AE116" i="20"/>
  <c r="AE117" i="20"/>
  <c r="AE118" i="20"/>
  <c r="AE119" i="20"/>
  <c r="AE120" i="20"/>
  <c r="AE121" i="20"/>
  <c r="AE122" i="20"/>
  <c r="AE123" i="20"/>
  <c r="AE124" i="20"/>
  <c r="AE125" i="20"/>
  <c r="AE126" i="20"/>
  <c r="AE127" i="20"/>
  <c r="AE128" i="20"/>
  <c r="AE129" i="20"/>
  <c r="AE130" i="20"/>
  <c r="AE131" i="20"/>
  <c r="AE132" i="20"/>
  <c r="AE133" i="20"/>
  <c r="AE134" i="20"/>
  <c r="AE135" i="20"/>
  <c r="AE136" i="20"/>
  <c r="AE137" i="20"/>
  <c r="AE138" i="20"/>
  <c r="AE139" i="20"/>
  <c r="AE140" i="20"/>
  <c r="AE141" i="20"/>
  <c r="AE142" i="20"/>
  <c r="AE143" i="20"/>
  <c r="AE144" i="20"/>
  <c r="AE145" i="20"/>
  <c r="AE146" i="20"/>
  <c r="AE147" i="20"/>
  <c r="AE148" i="20"/>
  <c r="AE149" i="20"/>
  <c r="AE150" i="20"/>
  <c r="AE151" i="20"/>
  <c r="AE152" i="20"/>
  <c r="AE153" i="20"/>
  <c r="AE154" i="20"/>
  <c r="AE155" i="20"/>
  <c r="AE156" i="20"/>
  <c r="AE157" i="20"/>
  <c r="AE158" i="20"/>
  <c r="AE159" i="20"/>
  <c r="AE160" i="20"/>
  <c r="AE161" i="20"/>
  <c r="AE162" i="20"/>
  <c r="AE163" i="20"/>
  <c r="AE164" i="20"/>
  <c r="AE165" i="20"/>
  <c r="AE166" i="20"/>
  <c r="AE167" i="20"/>
  <c r="AE168" i="20"/>
  <c r="AE169" i="20"/>
  <c r="AE170" i="20"/>
  <c r="AE3" i="20"/>
  <c r="P3" i="10" l="1"/>
  <c r="P4" i="10"/>
  <c r="P5" i="10"/>
  <c r="P6" i="10"/>
  <c r="P7" i="10"/>
  <c r="P8" i="10"/>
  <c r="P9" i="10"/>
  <c r="P10" i="10"/>
  <c r="P11" i="10"/>
  <c r="P12" i="10"/>
  <c r="P13" i="10"/>
  <c r="P14" i="10"/>
  <c r="P15" i="10"/>
  <c r="P16" i="10"/>
  <c r="P17" i="10"/>
  <c r="P18" i="10"/>
  <c r="P19" i="10"/>
  <c r="P20" i="10"/>
  <c r="P21" i="10"/>
  <c r="P22" i="10"/>
  <c r="P23" i="10"/>
  <c r="P24" i="10"/>
  <c r="P25" i="10"/>
  <c r="P26" i="10"/>
  <c r="P27" i="10"/>
  <c r="P28" i="10"/>
  <c r="P29" i="10"/>
  <c r="P30" i="10"/>
  <c r="P31" i="10"/>
  <c r="P32" i="10"/>
  <c r="P33" i="10"/>
  <c r="P34" i="10"/>
  <c r="P35" i="10"/>
  <c r="P36" i="10"/>
  <c r="P37" i="10"/>
  <c r="P38" i="10"/>
  <c r="P39" i="10"/>
  <c r="P40" i="10"/>
  <c r="P41" i="10"/>
  <c r="P42" i="10"/>
  <c r="P43" i="10"/>
  <c r="P44" i="10"/>
  <c r="P45" i="10"/>
  <c r="P46" i="10"/>
  <c r="P47" i="10"/>
  <c r="P48" i="10"/>
  <c r="P49" i="10"/>
  <c r="P50" i="10"/>
  <c r="P51" i="10"/>
  <c r="P52" i="10"/>
  <c r="P53" i="10"/>
  <c r="P54" i="10"/>
  <c r="P55" i="10"/>
  <c r="P56" i="10"/>
  <c r="P57" i="10"/>
  <c r="P58" i="10"/>
  <c r="P59" i="10"/>
  <c r="P60" i="10"/>
  <c r="P61" i="10"/>
  <c r="P62" i="10"/>
  <c r="P63" i="10"/>
  <c r="P64" i="10"/>
  <c r="P65" i="10"/>
  <c r="P66" i="10"/>
  <c r="P67" i="10"/>
  <c r="P68" i="10"/>
  <c r="P69" i="10"/>
  <c r="P70" i="10"/>
  <c r="P71" i="10"/>
  <c r="P72" i="10"/>
  <c r="P73" i="10"/>
  <c r="P74" i="10"/>
  <c r="P75" i="10"/>
  <c r="P76" i="10"/>
  <c r="P77" i="10"/>
  <c r="P78" i="10"/>
  <c r="P79" i="10"/>
  <c r="P80" i="10"/>
  <c r="P81" i="10"/>
  <c r="P82" i="10"/>
  <c r="P83" i="10"/>
  <c r="P84" i="10"/>
  <c r="P85" i="10"/>
  <c r="P86" i="10"/>
  <c r="P87" i="10"/>
  <c r="P88" i="10"/>
  <c r="P89" i="10"/>
  <c r="P90" i="10"/>
  <c r="P91" i="10"/>
  <c r="P92" i="10"/>
  <c r="P93" i="10"/>
  <c r="P94" i="10"/>
  <c r="P95" i="10"/>
  <c r="P96" i="10"/>
  <c r="P97" i="10"/>
  <c r="P98" i="10"/>
  <c r="P99" i="10"/>
  <c r="P100" i="10"/>
  <c r="P101" i="10"/>
  <c r="P102" i="10"/>
  <c r="P103" i="10"/>
  <c r="P104" i="10"/>
  <c r="P105" i="10"/>
  <c r="P106" i="10"/>
  <c r="P107" i="10"/>
  <c r="P108" i="10"/>
  <c r="P109" i="10"/>
  <c r="P110" i="10"/>
  <c r="P111" i="10"/>
  <c r="P112" i="10"/>
  <c r="P113" i="10"/>
  <c r="P114" i="10"/>
  <c r="P115" i="10"/>
  <c r="P116" i="10"/>
  <c r="P117" i="10"/>
  <c r="P118" i="10"/>
  <c r="P119" i="10"/>
  <c r="P120" i="10"/>
  <c r="P121" i="10"/>
  <c r="P122" i="10"/>
  <c r="P123" i="10"/>
  <c r="P124" i="10"/>
  <c r="P125" i="10"/>
  <c r="P126" i="10"/>
  <c r="P127" i="10"/>
  <c r="P128" i="10"/>
  <c r="P129" i="10"/>
  <c r="P130" i="10"/>
  <c r="P131" i="10"/>
  <c r="P132" i="10"/>
  <c r="P133" i="10"/>
  <c r="P134" i="10"/>
  <c r="P135" i="10"/>
  <c r="P136" i="10"/>
  <c r="P137" i="10"/>
  <c r="P138" i="10"/>
  <c r="P139" i="10"/>
  <c r="P140" i="10"/>
  <c r="P141" i="10"/>
  <c r="P142" i="10"/>
  <c r="P143" i="10"/>
  <c r="P144" i="10"/>
  <c r="P145" i="10"/>
  <c r="P146" i="10"/>
  <c r="P147" i="10"/>
  <c r="P148" i="10"/>
  <c r="P149" i="10"/>
  <c r="P150" i="10"/>
  <c r="P151" i="10"/>
  <c r="P152" i="10"/>
  <c r="P153" i="10"/>
  <c r="P154" i="10"/>
  <c r="P155" i="10"/>
  <c r="P156" i="10"/>
  <c r="P157" i="10"/>
  <c r="P158" i="10"/>
  <c r="P159" i="10"/>
  <c r="P160" i="10"/>
  <c r="P161" i="10"/>
  <c r="P162" i="10"/>
  <c r="P163" i="10"/>
  <c r="P164" i="10"/>
  <c r="P165" i="10"/>
  <c r="P166" i="10"/>
  <c r="P167" i="10"/>
  <c r="P168" i="10"/>
  <c r="P2" i="10"/>
  <c r="C10" i="17" l="1"/>
  <c r="AA4" i="20" l="1"/>
  <c r="AA5" i="20"/>
  <c r="AA6" i="20"/>
  <c r="AA7" i="20"/>
  <c r="AA8" i="20"/>
  <c r="AA9" i="20"/>
  <c r="AA10" i="20"/>
  <c r="AA11" i="20"/>
  <c r="AA12" i="20"/>
  <c r="AA13" i="20"/>
  <c r="AA14" i="20"/>
  <c r="AA15" i="20"/>
  <c r="AA16" i="20"/>
  <c r="AA17" i="20"/>
  <c r="AA18" i="20"/>
  <c r="AA19" i="20"/>
  <c r="AA20" i="20"/>
  <c r="AA21" i="20"/>
  <c r="AA22" i="20"/>
  <c r="AA23" i="20"/>
  <c r="AA24" i="20"/>
  <c r="AA25" i="20"/>
  <c r="AA26" i="20"/>
  <c r="AA27" i="20"/>
  <c r="AA28" i="20"/>
  <c r="AA29" i="20"/>
  <c r="AA30" i="20"/>
  <c r="AA31" i="20"/>
  <c r="AA32" i="20"/>
  <c r="AA33" i="20"/>
  <c r="AA34" i="20"/>
  <c r="AA35" i="20"/>
  <c r="AA36" i="20"/>
  <c r="AA37" i="20"/>
  <c r="AA38" i="20"/>
  <c r="AA39" i="20"/>
  <c r="AA40" i="20"/>
  <c r="AA41" i="20"/>
  <c r="AA42" i="20"/>
  <c r="AA43" i="20"/>
  <c r="AA44" i="20"/>
  <c r="AA45" i="20"/>
  <c r="AA46" i="20"/>
  <c r="AA47" i="20"/>
  <c r="AA48" i="20"/>
  <c r="AA49" i="20"/>
  <c r="AA50" i="20"/>
  <c r="AA51" i="20"/>
  <c r="AA52" i="20"/>
  <c r="AA53" i="20"/>
  <c r="AA54" i="20"/>
  <c r="AA55" i="20"/>
  <c r="AA56" i="20"/>
  <c r="AA57" i="20"/>
  <c r="AA58" i="20"/>
  <c r="AA59" i="20"/>
  <c r="AA60" i="20"/>
  <c r="AA61" i="20"/>
  <c r="AA62" i="20"/>
  <c r="AA63" i="20"/>
  <c r="AA64" i="20"/>
  <c r="AA65" i="20"/>
  <c r="AA66" i="20"/>
  <c r="AA67" i="20"/>
  <c r="AA68" i="20"/>
  <c r="AA69" i="20"/>
  <c r="AA70" i="20"/>
  <c r="AA71" i="20"/>
  <c r="AA72" i="20"/>
  <c r="AA73" i="20"/>
  <c r="AA74" i="20"/>
  <c r="AA75" i="20"/>
  <c r="AA76" i="20"/>
  <c r="AA77" i="20"/>
  <c r="AA78" i="20"/>
  <c r="AA79" i="20"/>
  <c r="AA80" i="20"/>
  <c r="AA81" i="20"/>
  <c r="AA82" i="20"/>
  <c r="AA83" i="20"/>
  <c r="AA84" i="20"/>
  <c r="AA85" i="20"/>
  <c r="AA86" i="20"/>
  <c r="AA87" i="20"/>
  <c r="AA88" i="20"/>
  <c r="AA89" i="20"/>
  <c r="AA90" i="20"/>
  <c r="AA91" i="20"/>
  <c r="AA92" i="20"/>
  <c r="AA93" i="20"/>
  <c r="AA94" i="20"/>
  <c r="AA95" i="20"/>
  <c r="AA96" i="20"/>
  <c r="AA97" i="20"/>
  <c r="AA98" i="20"/>
  <c r="AA99" i="20"/>
  <c r="AA100" i="20"/>
  <c r="AA101" i="20"/>
  <c r="AA102" i="20"/>
  <c r="AA103" i="20"/>
  <c r="AA104" i="20"/>
  <c r="AA105" i="20"/>
  <c r="AA106" i="20"/>
  <c r="AA107" i="20"/>
  <c r="AA108" i="20"/>
  <c r="AA109" i="20"/>
  <c r="AA110" i="20"/>
  <c r="AA111" i="20"/>
  <c r="AA112" i="20"/>
  <c r="AA113" i="20"/>
  <c r="AA114" i="20"/>
  <c r="AA115" i="20"/>
  <c r="AA116" i="20"/>
  <c r="AA117" i="20"/>
  <c r="AA118" i="20"/>
  <c r="AA119" i="20"/>
  <c r="AA120" i="20"/>
  <c r="AA121" i="20"/>
  <c r="AA122" i="20"/>
  <c r="AA123" i="20"/>
  <c r="AA124" i="20"/>
  <c r="AA125" i="20"/>
  <c r="AA126" i="20"/>
  <c r="AA127" i="20"/>
  <c r="AA128" i="20"/>
  <c r="AA129" i="20"/>
  <c r="AA130" i="20"/>
  <c r="AA131" i="20"/>
  <c r="AA132" i="20"/>
  <c r="AA133" i="20"/>
  <c r="AA134" i="20"/>
  <c r="AA135" i="20"/>
  <c r="AA136" i="20"/>
  <c r="AA137" i="20"/>
  <c r="AA138" i="20"/>
  <c r="AA139" i="20"/>
  <c r="AA140" i="20"/>
  <c r="AA141" i="20"/>
  <c r="AA142" i="20"/>
  <c r="AA143" i="20"/>
  <c r="AA144" i="20"/>
  <c r="AA145" i="20"/>
  <c r="AA146" i="20"/>
  <c r="AA147" i="20"/>
  <c r="AA148" i="20"/>
  <c r="AA149" i="20"/>
  <c r="AA150" i="20"/>
  <c r="AA151" i="20"/>
  <c r="AA152" i="20"/>
  <c r="AA153" i="20"/>
  <c r="AA154" i="20"/>
  <c r="AA155" i="20"/>
  <c r="AA156" i="20"/>
  <c r="AA157" i="20"/>
  <c r="AA158" i="20"/>
  <c r="AA159" i="20"/>
  <c r="AA160" i="20"/>
  <c r="AA161" i="20"/>
  <c r="AA162" i="20"/>
  <c r="AA163" i="20"/>
  <c r="AA164" i="20"/>
  <c r="AA165" i="20"/>
  <c r="AA166" i="20"/>
  <c r="AA167" i="20"/>
  <c r="AA168" i="20"/>
  <c r="AA169" i="20"/>
  <c r="AA170" i="20"/>
  <c r="AA3" i="20"/>
  <c r="Y4" i="20"/>
  <c r="Y5" i="20"/>
  <c r="Y6" i="20"/>
  <c r="Y7" i="20"/>
  <c r="Y8" i="20"/>
  <c r="Y9" i="20"/>
  <c r="Y10" i="20"/>
  <c r="Y11" i="20"/>
  <c r="Y12" i="20"/>
  <c r="Y13" i="20"/>
  <c r="Y14" i="20"/>
  <c r="Y15" i="20"/>
  <c r="Y16" i="20"/>
  <c r="Y17" i="20"/>
  <c r="Y18" i="20"/>
  <c r="Y19" i="20"/>
  <c r="Y20" i="20"/>
  <c r="Y21" i="20"/>
  <c r="Y22" i="20"/>
  <c r="Y23" i="20"/>
  <c r="Y24" i="20"/>
  <c r="Y25" i="20"/>
  <c r="Y26" i="20"/>
  <c r="Y27" i="20"/>
  <c r="Y28" i="20"/>
  <c r="Y29" i="20"/>
  <c r="Y30" i="20"/>
  <c r="Y31" i="20"/>
  <c r="Y32" i="20"/>
  <c r="Y33" i="20"/>
  <c r="Y34" i="20"/>
  <c r="Y35" i="20"/>
  <c r="Y36" i="20"/>
  <c r="Y37" i="20"/>
  <c r="Y38" i="20"/>
  <c r="Y39" i="20"/>
  <c r="Y40" i="20"/>
  <c r="Y41" i="20"/>
  <c r="Y42" i="20"/>
  <c r="Y43" i="20"/>
  <c r="Y44" i="20"/>
  <c r="Y45" i="20"/>
  <c r="Y46" i="20"/>
  <c r="Y47" i="20"/>
  <c r="Y48" i="20"/>
  <c r="Y49" i="20"/>
  <c r="Y50" i="20"/>
  <c r="Y51" i="20"/>
  <c r="Y52" i="20"/>
  <c r="Y53" i="20"/>
  <c r="Y54" i="20"/>
  <c r="Y55" i="20"/>
  <c r="Y56" i="20"/>
  <c r="Y57" i="20"/>
  <c r="Y58" i="20"/>
  <c r="Y59" i="20"/>
  <c r="Y60" i="20"/>
  <c r="Y61" i="20"/>
  <c r="Y62" i="20"/>
  <c r="Y63" i="20"/>
  <c r="Y64" i="20"/>
  <c r="Y65" i="20"/>
  <c r="Y66" i="20"/>
  <c r="Y67" i="20"/>
  <c r="Y68" i="20"/>
  <c r="Y69" i="20"/>
  <c r="Y70" i="20"/>
  <c r="Y71" i="20"/>
  <c r="Y72" i="20"/>
  <c r="Y73" i="20"/>
  <c r="Y74" i="20"/>
  <c r="Y75" i="20"/>
  <c r="Y76" i="20"/>
  <c r="Y77" i="20"/>
  <c r="Y78" i="20"/>
  <c r="Y79" i="20"/>
  <c r="Y80" i="20"/>
  <c r="Y81" i="20"/>
  <c r="Y82" i="20"/>
  <c r="Y83" i="20"/>
  <c r="Y84" i="20"/>
  <c r="Y85" i="20"/>
  <c r="Y86" i="20"/>
  <c r="Y87" i="20"/>
  <c r="Y88" i="20"/>
  <c r="Y89" i="20"/>
  <c r="Y90" i="20"/>
  <c r="Y91" i="20"/>
  <c r="Y92" i="20"/>
  <c r="Y93" i="20"/>
  <c r="Y94" i="20"/>
  <c r="Y95" i="20"/>
  <c r="Y96" i="20"/>
  <c r="Y97" i="20"/>
  <c r="Y98" i="20"/>
  <c r="Y99" i="20"/>
  <c r="Y100" i="20"/>
  <c r="Y101" i="20"/>
  <c r="Y102" i="20"/>
  <c r="Y103" i="20"/>
  <c r="Y104" i="20"/>
  <c r="Y105" i="20"/>
  <c r="Y106" i="20"/>
  <c r="Y107" i="20"/>
  <c r="Y108" i="20"/>
  <c r="Y109" i="20"/>
  <c r="Y110" i="20"/>
  <c r="Y111" i="20"/>
  <c r="Y112" i="20"/>
  <c r="Y113" i="20"/>
  <c r="Y114" i="20"/>
  <c r="Y115" i="20"/>
  <c r="Y116" i="20"/>
  <c r="Y117" i="20"/>
  <c r="Y118" i="20"/>
  <c r="Y119" i="20"/>
  <c r="Y120" i="20"/>
  <c r="Y121" i="20"/>
  <c r="Y122" i="20"/>
  <c r="Y123" i="20"/>
  <c r="Y124" i="20"/>
  <c r="Y125" i="20"/>
  <c r="Y126" i="20"/>
  <c r="Y127" i="20"/>
  <c r="Y128" i="20"/>
  <c r="Y129" i="20"/>
  <c r="Y130" i="20"/>
  <c r="Y131" i="20"/>
  <c r="Y132" i="20"/>
  <c r="Y133" i="20"/>
  <c r="Y134" i="20"/>
  <c r="Y135" i="20"/>
  <c r="Y136" i="20"/>
  <c r="Y137" i="20"/>
  <c r="Y138" i="20"/>
  <c r="Y139" i="20"/>
  <c r="Y140" i="20"/>
  <c r="Y141" i="20"/>
  <c r="Y142" i="20"/>
  <c r="Y143" i="20"/>
  <c r="Y144" i="20"/>
  <c r="Y145" i="20"/>
  <c r="Y146" i="20"/>
  <c r="Y147" i="20"/>
  <c r="Y148" i="20"/>
  <c r="Y149" i="20"/>
  <c r="Y150" i="20"/>
  <c r="Y151" i="20"/>
  <c r="Y152" i="20"/>
  <c r="Y153" i="20"/>
  <c r="Y154" i="20"/>
  <c r="Y155" i="20"/>
  <c r="Y156" i="20"/>
  <c r="Y157" i="20"/>
  <c r="Y158" i="20"/>
  <c r="Y159" i="20"/>
  <c r="Y160" i="20"/>
  <c r="Y161" i="20"/>
  <c r="Y162" i="20"/>
  <c r="Y163" i="20"/>
  <c r="Y164" i="20"/>
  <c r="Y165" i="20"/>
  <c r="Y166" i="20"/>
  <c r="Y167" i="20"/>
  <c r="Y168" i="20"/>
  <c r="Y169" i="20"/>
  <c r="Y170" i="20"/>
  <c r="Y3" i="20"/>
  <c r="W4" i="20"/>
  <c r="W5" i="20"/>
  <c r="W6" i="20"/>
  <c r="W7" i="20"/>
  <c r="W8" i="20"/>
  <c r="W9" i="20"/>
  <c r="W10" i="20"/>
  <c r="W11" i="20"/>
  <c r="W12" i="20"/>
  <c r="W13" i="20"/>
  <c r="W14" i="20"/>
  <c r="W15" i="20"/>
  <c r="W16" i="20"/>
  <c r="W17" i="20"/>
  <c r="W18" i="20"/>
  <c r="W19" i="20"/>
  <c r="W20" i="20"/>
  <c r="W21" i="20"/>
  <c r="W22" i="20"/>
  <c r="W23" i="20"/>
  <c r="W24" i="20"/>
  <c r="W25" i="20"/>
  <c r="W26" i="20"/>
  <c r="W27" i="20"/>
  <c r="W28" i="20"/>
  <c r="W29" i="20"/>
  <c r="W30" i="20"/>
  <c r="W31" i="20"/>
  <c r="W32" i="20"/>
  <c r="W33" i="20"/>
  <c r="W34" i="20"/>
  <c r="W35" i="20"/>
  <c r="W36" i="20"/>
  <c r="W37" i="20"/>
  <c r="W38" i="20"/>
  <c r="W39" i="20"/>
  <c r="W40" i="20"/>
  <c r="W41" i="20"/>
  <c r="W42" i="20"/>
  <c r="W43" i="20"/>
  <c r="W44" i="20"/>
  <c r="W45" i="20"/>
  <c r="W46" i="20"/>
  <c r="W47" i="20"/>
  <c r="W48" i="20"/>
  <c r="W49" i="20"/>
  <c r="W50" i="20"/>
  <c r="W51" i="20"/>
  <c r="W52" i="20"/>
  <c r="W53" i="20"/>
  <c r="W54" i="20"/>
  <c r="W55" i="20"/>
  <c r="W56" i="20"/>
  <c r="W57" i="20"/>
  <c r="W58" i="20"/>
  <c r="W59" i="20"/>
  <c r="W60" i="20"/>
  <c r="W61" i="20"/>
  <c r="W62" i="20"/>
  <c r="W63" i="20"/>
  <c r="W64" i="20"/>
  <c r="W65" i="20"/>
  <c r="W66" i="20"/>
  <c r="W67" i="20"/>
  <c r="W68" i="20"/>
  <c r="W69" i="20"/>
  <c r="W70" i="20"/>
  <c r="W71" i="20"/>
  <c r="W72" i="20"/>
  <c r="W73" i="20"/>
  <c r="W74" i="20"/>
  <c r="W75" i="20"/>
  <c r="W76" i="20"/>
  <c r="W77" i="20"/>
  <c r="W78" i="20"/>
  <c r="W79" i="20"/>
  <c r="W80" i="20"/>
  <c r="W81" i="20"/>
  <c r="W82" i="20"/>
  <c r="W83" i="20"/>
  <c r="W84" i="20"/>
  <c r="W85" i="20"/>
  <c r="W86" i="20"/>
  <c r="W87" i="20"/>
  <c r="W88" i="20"/>
  <c r="W89" i="20"/>
  <c r="W90" i="20"/>
  <c r="W91" i="20"/>
  <c r="W92" i="20"/>
  <c r="W93" i="20"/>
  <c r="W94" i="20"/>
  <c r="W95" i="20"/>
  <c r="W96" i="20"/>
  <c r="W97" i="20"/>
  <c r="W98" i="20"/>
  <c r="W99" i="20"/>
  <c r="W100" i="20"/>
  <c r="W101" i="20"/>
  <c r="W102" i="20"/>
  <c r="W103" i="20"/>
  <c r="W104" i="20"/>
  <c r="W105" i="20"/>
  <c r="W106" i="20"/>
  <c r="W107" i="20"/>
  <c r="W108" i="20"/>
  <c r="W109" i="20"/>
  <c r="W110" i="20"/>
  <c r="W111" i="20"/>
  <c r="W112" i="20"/>
  <c r="W113" i="20"/>
  <c r="W114" i="20"/>
  <c r="W115" i="20"/>
  <c r="W116" i="20"/>
  <c r="W117" i="20"/>
  <c r="W118" i="20"/>
  <c r="W119" i="20"/>
  <c r="W120" i="20"/>
  <c r="W121" i="20"/>
  <c r="W122" i="20"/>
  <c r="W123" i="20"/>
  <c r="W124" i="20"/>
  <c r="W125" i="20"/>
  <c r="W126" i="20"/>
  <c r="W127" i="20"/>
  <c r="W128" i="20"/>
  <c r="W129" i="20"/>
  <c r="W130" i="20"/>
  <c r="W131" i="20"/>
  <c r="W132" i="20"/>
  <c r="W133" i="20"/>
  <c r="W134" i="20"/>
  <c r="W135" i="20"/>
  <c r="W136" i="20"/>
  <c r="W137" i="20"/>
  <c r="W138" i="20"/>
  <c r="W139" i="20"/>
  <c r="W140" i="20"/>
  <c r="W141" i="20"/>
  <c r="W142" i="20"/>
  <c r="W143" i="20"/>
  <c r="W144" i="20"/>
  <c r="W145" i="20"/>
  <c r="W146" i="20"/>
  <c r="W147" i="20"/>
  <c r="W148" i="20"/>
  <c r="W149" i="20"/>
  <c r="W150" i="20"/>
  <c r="W151" i="20"/>
  <c r="W152" i="20"/>
  <c r="W153" i="20"/>
  <c r="W154" i="20"/>
  <c r="W155" i="20"/>
  <c r="W156" i="20"/>
  <c r="W157" i="20"/>
  <c r="W158" i="20"/>
  <c r="W159" i="20"/>
  <c r="W160" i="20"/>
  <c r="W161" i="20"/>
  <c r="W162" i="20"/>
  <c r="W163" i="20"/>
  <c r="W164" i="20"/>
  <c r="W165" i="20"/>
  <c r="W166" i="20"/>
  <c r="W167" i="20"/>
  <c r="W168" i="20"/>
  <c r="W169" i="20"/>
  <c r="W170" i="20"/>
  <c r="W3" i="20"/>
  <c r="U4" i="20"/>
  <c r="U5" i="20"/>
  <c r="U6" i="20"/>
  <c r="U7" i="20"/>
  <c r="U8" i="20"/>
  <c r="U9" i="20"/>
  <c r="U10" i="20"/>
  <c r="U11" i="20"/>
  <c r="U12" i="20"/>
  <c r="U13" i="20"/>
  <c r="U14" i="20"/>
  <c r="U15" i="20"/>
  <c r="U16" i="20"/>
  <c r="U17" i="20"/>
  <c r="U18" i="20"/>
  <c r="U19" i="20"/>
  <c r="U20" i="20"/>
  <c r="U21" i="20"/>
  <c r="U22" i="20"/>
  <c r="U23" i="20"/>
  <c r="U24" i="20"/>
  <c r="U25" i="20"/>
  <c r="U26" i="20"/>
  <c r="U27" i="20"/>
  <c r="U28" i="20"/>
  <c r="U29" i="20"/>
  <c r="U30" i="20"/>
  <c r="U31" i="20"/>
  <c r="U32" i="20"/>
  <c r="U33" i="20"/>
  <c r="U34" i="20"/>
  <c r="U35" i="20"/>
  <c r="U36" i="20"/>
  <c r="U37" i="20"/>
  <c r="U38" i="20"/>
  <c r="U39" i="20"/>
  <c r="U40" i="20"/>
  <c r="U41" i="20"/>
  <c r="U42" i="20"/>
  <c r="U43" i="20"/>
  <c r="U44" i="20"/>
  <c r="U45" i="20"/>
  <c r="U46" i="20"/>
  <c r="U47" i="20"/>
  <c r="U48" i="20"/>
  <c r="U49" i="20"/>
  <c r="U50" i="20"/>
  <c r="U51" i="20"/>
  <c r="U52" i="20"/>
  <c r="U53" i="20"/>
  <c r="U54" i="20"/>
  <c r="U55" i="20"/>
  <c r="U56" i="20"/>
  <c r="U57" i="20"/>
  <c r="U58" i="20"/>
  <c r="U59" i="20"/>
  <c r="U60" i="20"/>
  <c r="U61" i="20"/>
  <c r="U62" i="20"/>
  <c r="U63" i="20"/>
  <c r="U64" i="20"/>
  <c r="U65" i="20"/>
  <c r="U66" i="20"/>
  <c r="U67" i="20"/>
  <c r="U68" i="20"/>
  <c r="U69" i="20"/>
  <c r="U70" i="20"/>
  <c r="U71" i="20"/>
  <c r="U72" i="20"/>
  <c r="U73" i="20"/>
  <c r="U74" i="20"/>
  <c r="U75" i="20"/>
  <c r="U76" i="20"/>
  <c r="U77" i="20"/>
  <c r="U78" i="20"/>
  <c r="U79" i="20"/>
  <c r="U80" i="20"/>
  <c r="U81" i="20"/>
  <c r="U82" i="20"/>
  <c r="U83" i="20"/>
  <c r="U84" i="20"/>
  <c r="U85" i="20"/>
  <c r="U86" i="20"/>
  <c r="U87" i="20"/>
  <c r="U88" i="20"/>
  <c r="U89" i="20"/>
  <c r="U90" i="20"/>
  <c r="U91" i="20"/>
  <c r="U92" i="20"/>
  <c r="U93" i="20"/>
  <c r="U94" i="20"/>
  <c r="U95" i="20"/>
  <c r="U96" i="20"/>
  <c r="U97" i="20"/>
  <c r="U98" i="20"/>
  <c r="U99" i="20"/>
  <c r="U100" i="20"/>
  <c r="U101" i="20"/>
  <c r="U102" i="20"/>
  <c r="U103" i="20"/>
  <c r="U104" i="20"/>
  <c r="U105" i="20"/>
  <c r="U106" i="20"/>
  <c r="U107" i="20"/>
  <c r="U108" i="20"/>
  <c r="U109" i="20"/>
  <c r="U110" i="20"/>
  <c r="U111" i="20"/>
  <c r="U112" i="20"/>
  <c r="U113" i="20"/>
  <c r="U114" i="20"/>
  <c r="U115" i="20"/>
  <c r="U116" i="20"/>
  <c r="U117" i="20"/>
  <c r="U118" i="20"/>
  <c r="U119" i="20"/>
  <c r="U120" i="20"/>
  <c r="U121" i="20"/>
  <c r="U122" i="20"/>
  <c r="U123" i="20"/>
  <c r="U124" i="20"/>
  <c r="U125" i="20"/>
  <c r="U126" i="20"/>
  <c r="U127" i="20"/>
  <c r="U128" i="20"/>
  <c r="U129" i="20"/>
  <c r="U130" i="20"/>
  <c r="U131" i="20"/>
  <c r="U132" i="20"/>
  <c r="U133" i="20"/>
  <c r="U134" i="20"/>
  <c r="U135" i="20"/>
  <c r="U136" i="20"/>
  <c r="U137" i="20"/>
  <c r="U138" i="20"/>
  <c r="U139" i="20"/>
  <c r="U140" i="20"/>
  <c r="U141" i="20"/>
  <c r="U142" i="20"/>
  <c r="U143" i="20"/>
  <c r="U144" i="20"/>
  <c r="U145" i="20"/>
  <c r="U146" i="20"/>
  <c r="U147" i="20"/>
  <c r="U148" i="20"/>
  <c r="U149" i="20"/>
  <c r="U150" i="20"/>
  <c r="U151" i="20"/>
  <c r="U152" i="20"/>
  <c r="U153" i="20"/>
  <c r="U154" i="20"/>
  <c r="U155" i="20"/>
  <c r="U156" i="20"/>
  <c r="U157" i="20"/>
  <c r="U158" i="20"/>
  <c r="U159" i="20"/>
  <c r="U160" i="20"/>
  <c r="U161" i="20"/>
  <c r="U162" i="20"/>
  <c r="U163" i="20"/>
  <c r="U164" i="20"/>
  <c r="U165" i="20"/>
  <c r="U166" i="20"/>
  <c r="U167" i="20"/>
  <c r="U168" i="20"/>
  <c r="U169" i="20"/>
  <c r="U170" i="20"/>
  <c r="U3" i="20"/>
  <c r="R4" i="20" l="1"/>
  <c r="R5" i="20"/>
  <c r="R6" i="20"/>
  <c r="R7" i="20"/>
  <c r="R8" i="20"/>
  <c r="R9" i="20"/>
  <c r="R10" i="20"/>
  <c r="R11" i="20"/>
  <c r="R12" i="20"/>
  <c r="R13" i="20"/>
  <c r="R14" i="20"/>
  <c r="R15" i="20"/>
  <c r="R16" i="20"/>
  <c r="R17" i="20"/>
  <c r="R18" i="20"/>
  <c r="R19" i="20"/>
  <c r="R20" i="20"/>
  <c r="R21" i="20"/>
  <c r="R22" i="20"/>
  <c r="R23" i="20"/>
  <c r="R24" i="20"/>
  <c r="R25" i="20"/>
  <c r="R26" i="20"/>
  <c r="R27" i="20"/>
  <c r="R28" i="20"/>
  <c r="R29" i="20"/>
  <c r="R30" i="20"/>
  <c r="R31" i="20"/>
  <c r="R32" i="20"/>
  <c r="R33" i="20"/>
  <c r="R34" i="20"/>
  <c r="R35" i="20"/>
  <c r="R36" i="20"/>
  <c r="R37" i="20"/>
  <c r="R38" i="20"/>
  <c r="R39" i="20"/>
  <c r="R40" i="20"/>
  <c r="R41" i="20"/>
  <c r="R42" i="20"/>
  <c r="R43" i="20"/>
  <c r="R44" i="20"/>
  <c r="R45" i="20"/>
  <c r="R46" i="20"/>
  <c r="R47" i="20"/>
  <c r="R48" i="20"/>
  <c r="R49" i="20"/>
  <c r="R50" i="20"/>
  <c r="R51" i="20"/>
  <c r="R52" i="20"/>
  <c r="R53" i="20"/>
  <c r="R54" i="20"/>
  <c r="R55" i="20"/>
  <c r="R56" i="20"/>
  <c r="R57" i="20"/>
  <c r="R58" i="20"/>
  <c r="R59" i="20"/>
  <c r="R60" i="20"/>
  <c r="R61" i="20"/>
  <c r="R62" i="20"/>
  <c r="R63" i="20"/>
  <c r="R64" i="20"/>
  <c r="R65" i="20"/>
  <c r="R66" i="20"/>
  <c r="R67" i="20"/>
  <c r="R68" i="20"/>
  <c r="R69" i="20"/>
  <c r="R70" i="20"/>
  <c r="R71" i="20"/>
  <c r="R72" i="20"/>
  <c r="R73" i="20"/>
  <c r="R74" i="20"/>
  <c r="R75" i="20"/>
  <c r="R76" i="20"/>
  <c r="R77" i="20"/>
  <c r="R78" i="20"/>
  <c r="R79" i="20"/>
  <c r="R80" i="20"/>
  <c r="R81" i="20"/>
  <c r="R82" i="20"/>
  <c r="R83" i="20"/>
  <c r="R84" i="20"/>
  <c r="R85" i="20"/>
  <c r="R86" i="20"/>
  <c r="R87" i="20"/>
  <c r="R88" i="20"/>
  <c r="R89" i="20"/>
  <c r="R90" i="20"/>
  <c r="R91" i="20"/>
  <c r="R92" i="20"/>
  <c r="R93" i="20"/>
  <c r="R94" i="20"/>
  <c r="R95" i="20"/>
  <c r="R96" i="20"/>
  <c r="R97" i="20"/>
  <c r="R98" i="20"/>
  <c r="R99" i="20"/>
  <c r="R100" i="20"/>
  <c r="R101" i="20"/>
  <c r="R102" i="20"/>
  <c r="R103" i="20"/>
  <c r="R104" i="20"/>
  <c r="R105" i="20"/>
  <c r="R106" i="20"/>
  <c r="R107" i="20"/>
  <c r="R108" i="20"/>
  <c r="R109" i="20"/>
  <c r="R110" i="20"/>
  <c r="R111" i="20"/>
  <c r="R112" i="20"/>
  <c r="R113" i="20"/>
  <c r="R114" i="20"/>
  <c r="R115" i="20"/>
  <c r="R116" i="20"/>
  <c r="R117" i="20"/>
  <c r="R118" i="20"/>
  <c r="R119" i="20"/>
  <c r="R120" i="20"/>
  <c r="R121" i="20"/>
  <c r="R122" i="20"/>
  <c r="R123" i="20"/>
  <c r="R124" i="20"/>
  <c r="R125" i="20"/>
  <c r="R126" i="20"/>
  <c r="R127" i="20"/>
  <c r="R128" i="20"/>
  <c r="R129" i="20"/>
  <c r="R130" i="20"/>
  <c r="R131" i="20"/>
  <c r="R132" i="20"/>
  <c r="R133" i="20"/>
  <c r="R134" i="20"/>
  <c r="R135" i="20"/>
  <c r="R136" i="20"/>
  <c r="R137" i="20"/>
  <c r="R138" i="20"/>
  <c r="R139" i="20"/>
  <c r="R140" i="20"/>
  <c r="R141" i="20"/>
  <c r="R142" i="20"/>
  <c r="R143" i="20"/>
  <c r="R144" i="20"/>
  <c r="R145" i="20"/>
  <c r="R146" i="20"/>
  <c r="R147" i="20"/>
  <c r="R148" i="20"/>
  <c r="R149" i="20"/>
  <c r="R150" i="20"/>
  <c r="R151" i="20"/>
  <c r="R152" i="20"/>
  <c r="R153" i="20"/>
  <c r="R154" i="20"/>
  <c r="R155" i="20"/>
  <c r="R156" i="20"/>
  <c r="R157" i="20"/>
  <c r="R158" i="20"/>
  <c r="R159" i="20"/>
  <c r="R160" i="20"/>
  <c r="R161" i="20"/>
  <c r="R162" i="20"/>
  <c r="R163" i="20"/>
  <c r="R164" i="20"/>
  <c r="R165" i="20"/>
  <c r="R166" i="20"/>
  <c r="R167" i="20"/>
  <c r="R168" i="20"/>
  <c r="R169" i="20"/>
  <c r="R170" i="20"/>
  <c r="R3" i="20"/>
  <c r="J4" i="20"/>
  <c r="J5" i="20"/>
  <c r="J6" i="20"/>
  <c r="J7" i="20"/>
  <c r="J8" i="20"/>
  <c r="J9" i="20"/>
  <c r="J10" i="20"/>
  <c r="J11" i="20"/>
  <c r="J12" i="20"/>
  <c r="J13" i="20"/>
  <c r="J14" i="20"/>
  <c r="J15" i="20"/>
  <c r="J16" i="20"/>
  <c r="J17" i="20"/>
  <c r="J18" i="20"/>
  <c r="J19" i="20"/>
  <c r="J20" i="20"/>
  <c r="J21" i="20"/>
  <c r="J22" i="20"/>
  <c r="J23" i="20"/>
  <c r="J24" i="20"/>
  <c r="J25" i="20"/>
  <c r="J26" i="20"/>
  <c r="J27" i="20"/>
  <c r="J28" i="20"/>
  <c r="J29" i="20"/>
  <c r="J30" i="20"/>
  <c r="J31" i="20"/>
  <c r="J32" i="20"/>
  <c r="J33" i="20"/>
  <c r="J34" i="20"/>
  <c r="J35" i="20"/>
  <c r="J36" i="20"/>
  <c r="J37" i="20"/>
  <c r="J38" i="20"/>
  <c r="J39" i="20"/>
  <c r="J40" i="20"/>
  <c r="J41" i="20"/>
  <c r="J42" i="20"/>
  <c r="J43" i="20"/>
  <c r="J44" i="20"/>
  <c r="J45" i="20"/>
  <c r="J46" i="20"/>
  <c r="J47" i="20"/>
  <c r="J48" i="20"/>
  <c r="J49" i="20"/>
  <c r="J50" i="20"/>
  <c r="J51" i="20"/>
  <c r="J52" i="20"/>
  <c r="J53" i="20"/>
  <c r="J54" i="20"/>
  <c r="J55" i="20"/>
  <c r="J56" i="20"/>
  <c r="J57" i="20"/>
  <c r="J58" i="20"/>
  <c r="J59" i="20"/>
  <c r="J60" i="20"/>
  <c r="J61" i="20"/>
  <c r="J62" i="20"/>
  <c r="J63" i="20"/>
  <c r="J64" i="20"/>
  <c r="J65" i="20"/>
  <c r="J66" i="20"/>
  <c r="J67" i="20"/>
  <c r="J68" i="20"/>
  <c r="J69" i="20"/>
  <c r="J70" i="20"/>
  <c r="J71" i="20"/>
  <c r="J72" i="20"/>
  <c r="J73" i="20"/>
  <c r="J74" i="20"/>
  <c r="J75" i="20"/>
  <c r="J76" i="20"/>
  <c r="J77" i="20"/>
  <c r="J78" i="20"/>
  <c r="J79" i="20"/>
  <c r="J80" i="20"/>
  <c r="J81" i="20"/>
  <c r="J82" i="20"/>
  <c r="J83" i="20"/>
  <c r="J84" i="20"/>
  <c r="J85" i="20"/>
  <c r="J86" i="20"/>
  <c r="J87" i="20"/>
  <c r="J88" i="20"/>
  <c r="J89" i="20"/>
  <c r="J90" i="20"/>
  <c r="J91" i="20"/>
  <c r="J92" i="20"/>
  <c r="J93" i="20"/>
  <c r="J94" i="20"/>
  <c r="J95" i="20"/>
  <c r="J96" i="20"/>
  <c r="J97" i="20"/>
  <c r="J98" i="20"/>
  <c r="J99" i="20"/>
  <c r="J100" i="20"/>
  <c r="J101" i="20"/>
  <c r="J102" i="20"/>
  <c r="J103" i="20"/>
  <c r="J104" i="20"/>
  <c r="J105" i="20"/>
  <c r="J106" i="20"/>
  <c r="J107" i="20"/>
  <c r="J108" i="20"/>
  <c r="J109" i="20"/>
  <c r="J110" i="20"/>
  <c r="J111" i="20"/>
  <c r="J112" i="20"/>
  <c r="J113" i="20"/>
  <c r="J114" i="20"/>
  <c r="J115" i="20"/>
  <c r="J116" i="20"/>
  <c r="J117" i="20"/>
  <c r="J118" i="20"/>
  <c r="J119" i="20"/>
  <c r="J120" i="20"/>
  <c r="J121" i="20"/>
  <c r="J122" i="20"/>
  <c r="J123" i="20"/>
  <c r="J124" i="20"/>
  <c r="J125" i="20"/>
  <c r="J126" i="20"/>
  <c r="J127" i="20"/>
  <c r="J128" i="20"/>
  <c r="J129" i="20"/>
  <c r="J130" i="20"/>
  <c r="J131" i="20"/>
  <c r="J132" i="20"/>
  <c r="J133" i="20"/>
  <c r="J134" i="20"/>
  <c r="J135" i="20"/>
  <c r="J136" i="20"/>
  <c r="J137" i="20"/>
  <c r="J138" i="20"/>
  <c r="J139" i="20"/>
  <c r="J140" i="20"/>
  <c r="J141" i="20"/>
  <c r="J142" i="20"/>
  <c r="J143" i="20"/>
  <c r="J144" i="20"/>
  <c r="J145" i="20"/>
  <c r="J146" i="20"/>
  <c r="J147" i="20"/>
  <c r="J148" i="20"/>
  <c r="J149" i="20"/>
  <c r="J150" i="20"/>
  <c r="J151" i="20"/>
  <c r="J152" i="20"/>
  <c r="J153" i="20"/>
  <c r="J154" i="20"/>
  <c r="J155" i="20"/>
  <c r="J156" i="20"/>
  <c r="J157" i="20"/>
  <c r="J158" i="20"/>
  <c r="J159" i="20"/>
  <c r="J160" i="20"/>
  <c r="J161" i="20"/>
  <c r="J162" i="20"/>
  <c r="J163" i="20"/>
  <c r="J164" i="20"/>
  <c r="J165" i="20"/>
  <c r="J166" i="20"/>
  <c r="J167" i="20"/>
  <c r="J168" i="20"/>
  <c r="J169" i="20"/>
  <c r="J170" i="20"/>
  <c r="J3" i="20"/>
  <c r="D3" i="20"/>
  <c r="D4" i="20" s="1"/>
  <c r="D5" i="20" s="1"/>
  <c r="D6" i="20" s="1"/>
  <c r="D7" i="20" s="1"/>
  <c r="D8" i="20" s="1"/>
  <c r="D9" i="20" s="1"/>
  <c r="D10" i="20" s="1"/>
  <c r="D11" i="20" s="1"/>
  <c r="D12" i="20" s="1"/>
  <c r="D13" i="20" s="1"/>
  <c r="D14" i="20" s="1"/>
  <c r="D15" i="20" s="1"/>
  <c r="D16" i="20" s="1"/>
  <c r="D17" i="20" s="1"/>
  <c r="D18" i="20" s="1"/>
  <c r="D19" i="20" s="1"/>
  <c r="D20" i="20" s="1"/>
  <c r="D21" i="20" s="1"/>
  <c r="D22" i="20" s="1"/>
  <c r="D23" i="20" s="1"/>
  <c r="D24" i="20" s="1"/>
  <c r="D25" i="20" s="1"/>
  <c r="D26" i="20" s="1"/>
  <c r="D27" i="20" s="1"/>
  <c r="D28" i="20" s="1"/>
  <c r="D29" i="20" s="1"/>
  <c r="D30" i="20" s="1"/>
  <c r="D31" i="20" s="1"/>
  <c r="D32" i="20" s="1"/>
  <c r="D33" i="20" s="1"/>
  <c r="D34" i="20" s="1"/>
  <c r="D35" i="20" s="1"/>
  <c r="D36" i="20" s="1"/>
  <c r="D37" i="20" s="1"/>
  <c r="D38" i="20" s="1"/>
  <c r="D39" i="20" s="1"/>
  <c r="D40" i="20" s="1"/>
  <c r="D41" i="20" s="1"/>
  <c r="D42" i="20" s="1"/>
  <c r="D43" i="20" s="1"/>
  <c r="D44" i="20" s="1"/>
  <c r="D45" i="20" s="1"/>
  <c r="D46" i="20" s="1"/>
  <c r="D47" i="20" s="1"/>
  <c r="D48" i="20" s="1"/>
  <c r="D49" i="20" s="1"/>
  <c r="D50" i="20" s="1"/>
  <c r="D51" i="20" s="1"/>
  <c r="D52" i="20" s="1"/>
  <c r="D53" i="20" s="1"/>
  <c r="D54" i="20" s="1"/>
  <c r="D55" i="20" s="1"/>
  <c r="D56" i="20" s="1"/>
  <c r="D57" i="20" s="1"/>
  <c r="D58" i="20" s="1"/>
  <c r="D59" i="20" s="1"/>
  <c r="D60" i="20" s="1"/>
  <c r="D61" i="20" s="1"/>
  <c r="D62" i="20" s="1"/>
  <c r="D63" i="20" s="1"/>
  <c r="D64" i="20" s="1"/>
  <c r="D65" i="20" s="1"/>
  <c r="D66" i="20" s="1"/>
  <c r="D67" i="20" s="1"/>
  <c r="D68" i="20" s="1"/>
  <c r="D69" i="20" s="1"/>
  <c r="D70" i="20" s="1"/>
  <c r="D71" i="20" s="1"/>
  <c r="D72" i="20" s="1"/>
  <c r="D73" i="20" s="1"/>
  <c r="D74" i="20" s="1"/>
  <c r="D75" i="20" s="1"/>
  <c r="D76" i="20" s="1"/>
  <c r="D77" i="20" s="1"/>
  <c r="D78" i="20" s="1"/>
  <c r="D79" i="20" s="1"/>
  <c r="D80" i="20" s="1"/>
  <c r="D81" i="20" s="1"/>
  <c r="D82" i="20" s="1"/>
  <c r="D83" i="20" s="1"/>
  <c r="D84" i="20" s="1"/>
  <c r="D85" i="20" s="1"/>
  <c r="D86" i="20" s="1"/>
  <c r="D87" i="20" s="1"/>
  <c r="D88" i="20" s="1"/>
  <c r="D89" i="20" s="1"/>
  <c r="D90" i="20" s="1"/>
  <c r="D91" i="20" s="1"/>
  <c r="D92" i="20" s="1"/>
  <c r="D93" i="20" s="1"/>
  <c r="D94" i="20" s="1"/>
  <c r="D95" i="20" s="1"/>
  <c r="D96" i="20" s="1"/>
  <c r="D97" i="20" s="1"/>
  <c r="D98" i="20" s="1"/>
  <c r="D99" i="20" s="1"/>
  <c r="D100" i="20" s="1"/>
  <c r="D101" i="20" s="1"/>
  <c r="D102" i="20" s="1"/>
  <c r="D103" i="20" s="1"/>
  <c r="D104" i="20" s="1"/>
  <c r="D105" i="20" s="1"/>
  <c r="D106" i="20" s="1"/>
  <c r="D107" i="20" s="1"/>
  <c r="D108" i="20" s="1"/>
  <c r="D109" i="20" s="1"/>
  <c r="D110" i="20" s="1"/>
  <c r="D111" i="20" s="1"/>
  <c r="D112" i="20" s="1"/>
  <c r="D113" i="20" s="1"/>
  <c r="D114" i="20" s="1"/>
  <c r="D115" i="20" s="1"/>
  <c r="D116" i="20" s="1"/>
  <c r="D117" i="20" s="1"/>
  <c r="D118" i="20" s="1"/>
  <c r="D119" i="20" s="1"/>
  <c r="D120" i="20" s="1"/>
  <c r="D121" i="20" s="1"/>
  <c r="D122" i="20" s="1"/>
  <c r="D123" i="20" s="1"/>
  <c r="D124" i="20" s="1"/>
  <c r="D125" i="20" s="1"/>
  <c r="D126" i="20" s="1"/>
  <c r="D127" i="20" s="1"/>
  <c r="D128" i="20" s="1"/>
  <c r="D129" i="20" s="1"/>
  <c r="D130" i="20" s="1"/>
  <c r="D131" i="20" s="1"/>
  <c r="D132" i="20" s="1"/>
  <c r="D133" i="20" s="1"/>
  <c r="D134" i="20" s="1"/>
  <c r="D135" i="20" s="1"/>
  <c r="D136" i="20" s="1"/>
  <c r="D137" i="20" s="1"/>
  <c r="D138" i="20" s="1"/>
  <c r="D139" i="20" s="1"/>
  <c r="D140" i="20" s="1"/>
  <c r="D141" i="20" s="1"/>
  <c r="D142" i="20" s="1"/>
  <c r="D143" i="20" s="1"/>
  <c r="D144" i="20" s="1"/>
  <c r="D145" i="20" s="1"/>
  <c r="D146" i="20" s="1"/>
  <c r="D147" i="20" s="1"/>
  <c r="D148" i="20" s="1"/>
  <c r="D149" i="20" s="1"/>
  <c r="D150" i="20" s="1"/>
  <c r="D151" i="20" s="1"/>
  <c r="D152" i="20" s="1"/>
  <c r="D153" i="20" s="1"/>
  <c r="D154" i="20" s="1"/>
  <c r="D155" i="20" s="1"/>
  <c r="D156" i="20" s="1"/>
  <c r="D157" i="20" s="1"/>
  <c r="D158" i="20" s="1"/>
  <c r="D159" i="20" s="1"/>
  <c r="D160" i="20" s="1"/>
  <c r="D161" i="20" s="1"/>
  <c r="D162" i="20" s="1"/>
  <c r="D163" i="20" s="1"/>
  <c r="D164" i="20" s="1"/>
  <c r="D165" i="20" s="1"/>
  <c r="D166" i="20" s="1"/>
  <c r="D167" i="20" s="1"/>
  <c r="D168" i="20" s="1"/>
  <c r="D169" i="20" s="1"/>
  <c r="D170" i="20" s="1"/>
  <c r="C19" i="17"/>
  <c r="A4" i="12" l="1"/>
  <c r="A5" i="12"/>
  <c r="A6" i="12" s="1"/>
  <c r="A7" i="12" s="1"/>
  <c r="A8" i="12" s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A57" i="12" s="1"/>
  <c r="A58" i="12" s="1"/>
  <c r="A59" i="12" s="1"/>
  <c r="A60" i="12" s="1"/>
  <c r="A61" i="12" s="1"/>
  <c r="A62" i="12" s="1"/>
  <c r="A63" i="12" s="1"/>
  <c r="A64" i="12" s="1"/>
  <c r="A65" i="12" s="1"/>
  <c r="A66" i="12" s="1"/>
  <c r="A67" i="12" s="1"/>
  <c r="A68" i="12" s="1"/>
  <c r="A69" i="12" s="1"/>
  <c r="A70" i="12" s="1"/>
  <c r="A71" i="12" s="1"/>
  <c r="A72" i="12" s="1"/>
  <c r="A73" i="12" s="1"/>
  <c r="A74" i="12" s="1"/>
  <c r="A75" i="12" s="1"/>
  <c r="A76" i="12" s="1"/>
  <c r="A77" i="12" s="1"/>
  <c r="A78" i="12" s="1"/>
  <c r="A79" i="12" s="1"/>
  <c r="A80" i="12" s="1"/>
  <c r="A81" i="12" s="1"/>
  <c r="A82" i="12" s="1"/>
  <c r="A83" i="12" s="1"/>
  <c r="A84" i="12" s="1"/>
  <c r="A85" i="12" s="1"/>
  <c r="A86" i="12" s="1"/>
  <c r="A87" i="12" s="1"/>
  <c r="A88" i="12" s="1"/>
  <c r="A89" i="12" s="1"/>
  <c r="A90" i="12" s="1"/>
  <c r="A91" i="12" s="1"/>
  <c r="A92" i="12" s="1"/>
  <c r="A93" i="12" s="1"/>
  <c r="A94" i="12" s="1"/>
  <c r="A95" i="12" s="1"/>
  <c r="A96" i="12" s="1"/>
  <c r="A97" i="12" s="1"/>
  <c r="A98" i="12" s="1"/>
  <c r="A99" i="12" s="1"/>
  <c r="A100" i="12" s="1"/>
  <c r="A101" i="12" s="1"/>
  <c r="A102" i="12" s="1"/>
  <c r="A103" i="12" s="1"/>
  <c r="A104" i="12" s="1"/>
  <c r="A105" i="12" s="1"/>
  <c r="A106" i="12" s="1"/>
  <c r="A107" i="12" s="1"/>
  <c r="A108" i="12" s="1"/>
  <c r="A109" i="12" s="1"/>
  <c r="A110" i="12" s="1"/>
  <c r="A111" i="12" s="1"/>
  <c r="A112" i="12" s="1"/>
  <c r="A113" i="12" s="1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A127" i="12" s="1"/>
  <c r="A128" i="12" s="1"/>
  <c r="A129" i="12" s="1"/>
  <c r="A130" i="12" s="1"/>
  <c r="A131" i="12" s="1"/>
  <c r="A132" i="12" s="1"/>
  <c r="A133" i="12" s="1"/>
  <c r="A134" i="12" s="1"/>
  <c r="A135" i="12" s="1"/>
  <c r="A136" i="12" s="1"/>
  <c r="A137" i="12" s="1"/>
  <c r="A138" i="12" s="1"/>
  <c r="A139" i="12" s="1"/>
  <c r="A140" i="12" s="1"/>
  <c r="A141" i="12" s="1"/>
  <c r="A142" i="12" s="1"/>
  <c r="A143" i="12" s="1"/>
  <c r="A144" i="12" s="1"/>
  <c r="A145" i="12" s="1"/>
  <c r="A146" i="12" s="1"/>
  <c r="A147" i="12" s="1"/>
  <c r="A148" i="12" s="1"/>
  <c r="A149" i="12" s="1"/>
  <c r="A150" i="12" s="1"/>
  <c r="A151" i="12" s="1"/>
  <c r="A152" i="12" s="1"/>
  <c r="A153" i="12" s="1"/>
  <c r="A154" i="12" s="1"/>
  <c r="A155" i="12" s="1"/>
  <c r="A156" i="12" s="1"/>
  <c r="A157" i="12" s="1"/>
  <c r="A158" i="12" s="1"/>
  <c r="A159" i="12" s="1"/>
  <c r="A160" i="12" s="1"/>
  <c r="A161" i="12" s="1"/>
  <c r="A162" i="12" s="1"/>
  <c r="A163" i="12" s="1"/>
  <c r="A164" i="12" s="1"/>
  <c r="A165" i="12" s="1"/>
  <c r="A166" i="12" s="1"/>
  <c r="A167" i="12" s="1"/>
  <c r="A168" i="12" s="1"/>
  <c r="A169" i="12" s="1"/>
  <c r="A3" i="12"/>
  <c r="A2" i="12"/>
  <c r="D32" i="17" l="1"/>
  <c r="D3" i="7" l="1"/>
  <c r="C3" i="7"/>
  <c r="C2" i="7"/>
  <c r="D2" i="7" s="1"/>
  <c r="C2" i="6" l="1"/>
  <c r="C16" i="17" l="1"/>
  <c r="C7" i="17"/>
  <c r="D4" i="16" l="1"/>
  <c r="D3" i="16"/>
</calcChain>
</file>

<file path=xl/sharedStrings.xml><?xml version="1.0" encoding="utf-8"?>
<sst xmlns="http://schemas.openxmlformats.org/spreadsheetml/2006/main" count="544" uniqueCount="185">
  <si>
    <t>carrier</t>
  </si>
  <si>
    <t>overwrite</t>
  </si>
  <si>
    <t xml:space="preserve">water </t>
  </si>
  <si>
    <t>gas</t>
  </si>
  <si>
    <t>hydrogen</t>
  </si>
  <si>
    <t>name</t>
  </si>
  <si>
    <t>true</t>
  </si>
  <si>
    <t>AC</t>
  </si>
  <si>
    <t>water</t>
  </si>
  <si>
    <t>wind</t>
  </si>
  <si>
    <t>grid_import</t>
  </si>
  <si>
    <t>biomass</t>
  </si>
  <si>
    <t>p_nom</t>
  </si>
  <si>
    <t>capital_cost</t>
  </si>
  <si>
    <t>marginal_cost</t>
  </si>
  <si>
    <t>bus</t>
  </si>
  <si>
    <t>efficiency</t>
  </si>
  <si>
    <t>Todo va en minúsculas y separado por un guión bajo</t>
  </si>
  <si>
    <t>ramp_limit_up</t>
  </si>
  <si>
    <t>ramp_limit_down</t>
  </si>
  <si>
    <t>max_hours</t>
  </si>
  <si>
    <t>efficiency_store</t>
  </si>
  <si>
    <t>efficiency_dispatch</t>
  </si>
  <si>
    <t>cyclic_state_of_charge</t>
  </si>
  <si>
    <t>e_nom</t>
  </si>
  <si>
    <t>e_initial</t>
  </si>
  <si>
    <t>e_min_pu</t>
  </si>
  <si>
    <t>e_max_pu</t>
  </si>
  <si>
    <t>PyPSA Model Notebook</t>
  </si>
  <si>
    <t>false</t>
  </si>
  <si>
    <t>ES_electricity_market_bus</t>
  </si>
  <si>
    <t>ES_water_bus</t>
  </si>
  <si>
    <t>ES_gas_bus</t>
  </si>
  <si>
    <t>ES_hydrogen_bus</t>
  </si>
  <si>
    <t>PT_electricity_market_bus</t>
  </si>
  <si>
    <t>PT_water_bus</t>
  </si>
  <si>
    <t>PT_gas_bus</t>
  </si>
  <si>
    <t>PT_hydrogen_bus</t>
  </si>
  <si>
    <t>ES_CCGT</t>
  </si>
  <si>
    <t>ES_turbina</t>
  </si>
  <si>
    <t>ES_pump</t>
  </si>
  <si>
    <t>ES_electrolyzer</t>
  </si>
  <si>
    <t>PT_CCGT</t>
  </si>
  <si>
    <t>PT_turbina</t>
  </si>
  <si>
    <t>PT_pump</t>
  </si>
  <si>
    <t>PT_electrolyzer</t>
  </si>
  <si>
    <t>ES_wind</t>
  </si>
  <si>
    <t>ES_biomass</t>
  </si>
  <si>
    <t>ES_gas</t>
  </si>
  <si>
    <t xml:space="preserve">ES_water </t>
  </si>
  <si>
    <t>PT_biomass</t>
  </si>
  <si>
    <t>PT_gas</t>
  </si>
  <si>
    <t xml:space="preserve">PT_water </t>
  </si>
  <si>
    <t>ES_electricity_market_battery</t>
  </si>
  <si>
    <t>ES_hydrogen_storage</t>
  </si>
  <si>
    <t>PT_electricity_market_battery</t>
  </si>
  <si>
    <t>ES_embalse</t>
  </si>
  <si>
    <t>PT_embalse</t>
  </si>
  <si>
    <t>ES_demand_2040</t>
  </si>
  <si>
    <t>ES_hydrogen_demand</t>
  </si>
  <si>
    <t>PT_demand_2040</t>
  </si>
  <si>
    <t>PT_hydrogen_demand</t>
  </si>
  <si>
    <t>ES_wind_profile</t>
  </si>
  <si>
    <t>ES_hydraulic_profile</t>
  </si>
  <si>
    <t>PT_hydraulic_profile</t>
  </si>
  <si>
    <t>MW</t>
  </si>
  <si>
    <t>euros</t>
  </si>
  <si>
    <t>bus0</t>
  </si>
  <si>
    <t>bus1</t>
  </si>
  <si>
    <t>MWh</t>
  </si>
  <si>
    <t>ES_PT_interconexion_electricidad</t>
  </si>
  <si>
    <t>ES_PT_interconexion_hidrogeno</t>
  </si>
  <si>
    <t>PT_ES_interconexion_electricidad</t>
  </si>
  <si>
    <t>PT_ES_interconexion_hidrogeno</t>
  </si>
  <si>
    <t>ES_SRES_electrolyzer</t>
  </si>
  <si>
    <t>ES_SRES_excedentes</t>
  </si>
  <si>
    <t>PT_SRES_electrolyzer</t>
  </si>
  <si>
    <t>PT_SRES_excedentes</t>
  </si>
  <si>
    <t>load_shedding</t>
  </si>
  <si>
    <t>ES_load_shedding</t>
  </si>
  <si>
    <t>PT_load_shedding</t>
  </si>
  <si>
    <t>ES_load_shedding_h2</t>
  </si>
  <si>
    <t>PT_load_shedding_h2</t>
  </si>
  <si>
    <t>x</t>
  </si>
  <si>
    <t>y</t>
  </si>
  <si>
    <t>FR_electricity_market_bus</t>
  </si>
  <si>
    <t>FR_hydrogen_bus</t>
  </si>
  <si>
    <t>ES_FR_interconexion_electricidad</t>
  </si>
  <si>
    <t>nuclear</t>
  </si>
  <si>
    <t>FR_demand_2040</t>
  </si>
  <si>
    <t>FR_hydrogen_demand</t>
  </si>
  <si>
    <t>FR_ES_interconexion_electricidad</t>
  </si>
  <si>
    <t>Demandas</t>
  </si>
  <si>
    <t>FR_load_shedding_h2</t>
  </si>
  <si>
    <t>FR_load_shedding</t>
  </si>
  <si>
    <t>ES_SRES_excedentes_bus</t>
  </si>
  <si>
    <t>ES_SRES_electrolyzer_bus</t>
  </si>
  <si>
    <t>PT_SRES_excedentes_bus</t>
  </si>
  <si>
    <t>PT_SRES_electrolyzer_bus</t>
  </si>
  <si>
    <t>MA_hydrogen_bus</t>
  </si>
  <si>
    <t>MA_h2lowband</t>
  </si>
  <si>
    <t>MA_h2highband</t>
  </si>
  <si>
    <t>MA_ES_interconexion_hidrogeno</t>
  </si>
  <si>
    <t>FRSW_hydrogen_demand</t>
  </si>
  <si>
    <t>FRS_hydrogen_bus</t>
  </si>
  <si>
    <t>FRSW_hydrogen_bus</t>
  </si>
  <si>
    <t>FRS_load_shedding_h2</t>
  </si>
  <si>
    <t>FRSW_load_shedding_h2</t>
  </si>
  <si>
    <t xml:space="preserve"> </t>
  </si>
  <si>
    <t>ES_FR_interconexion_hidrogeno_BarMar</t>
  </si>
  <si>
    <t>ES_FR_interconexion_hidrogeno_IrunLarrau</t>
  </si>
  <si>
    <t>FR_FR_interconexion_hidrogeno_SWtoS</t>
  </si>
  <si>
    <t>FR_FR_interconexion_hidrogeno_StoFRh2</t>
  </si>
  <si>
    <t>FR_FR_interconexion_hidrogeno_FRh2toS</t>
  </si>
  <si>
    <t>FRS_hydrogen_storage</t>
  </si>
  <si>
    <t>FRSW_hydrogen_storage</t>
  </si>
  <si>
    <t>FR_hydraulic_profile</t>
  </si>
  <si>
    <t>FR00_generation</t>
  </si>
  <si>
    <t>FR_ES_interconexion_hidrogeno_BarMar</t>
  </si>
  <si>
    <t>FRh2SW_generation</t>
  </si>
  <si>
    <t>FR_electricity_generator</t>
  </si>
  <si>
    <t>FR_hydrogen_generator_FRSW</t>
  </si>
  <si>
    <t>FR_hydrogen_generator_FRH2</t>
  </si>
  <si>
    <t>FRh2_generation</t>
  </si>
  <si>
    <t>PT_electrolyzer_profile</t>
  </si>
  <si>
    <t>PT_excedentes_profile</t>
  </si>
  <si>
    <t>ES_excedentes_profile</t>
  </si>
  <si>
    <t>ES_electrolyzer_profile</t>
  </si>
  <si>
    <t>FRh2SW_storage</t>
  </si>
  <si>
    <t>FRh2S_storage</t>
  </si>
  <si>
    <t>sres_electrolyzer</t>
  </si>
  <si>
    <t>sres_excedentes</t>
  </si>
  <si>
    <t>hora</t>
  </si>
  <si>
    <t>MA_hydrogen_profile_low</t>
  </si>
  <si>
    <t>MA_hydrogen_profile_high</t>
  </si>
  <si>
    <t>ES_solar_csp_profile</t>
  </si>
  <si>
    <t>ES_solar_rooftop_profile</t>
  </si>
  <si>
    <t>ES_solar_pv_profile</t>
  </si>
  <si>
    <t>ES_solar_pv</t>
  </si>
  <si>
    <t>ES_solar_csp</t>
  </si>
  <si>
    <t>ES_solar_rooftop</t>
  </si>
  <si>
    <t>PT_solar_pv</t>
  </si>
  <si>
    <t>PT_solar_rooftop</t>
  </si>
  <si>
    <t>PT_solar_rooftop_profile</t>
  </si>
  <si>
    <t>Origen de datos</t>
  </si>
  <si>
    <t>Horas</t>
  </si>
  <si>
    <t>Capacidades Instaladas</t>
  </si>
  <si>
    <t>ES Solar Rooftop</t>
  </si>
  <si>
    <t>ES Solar CSP</t>
  </si>
  <si>
    <t>ES Solar PV Utility</t>
  </si>
  <si>
    <t>PT Solar PV Utility</t>
  </si>
  <si>
    <t>PT Solar Rooftop</t>
  </si>
  <si>
    <t>Demanda ES00RETE</t>
  </si>
  <si>
    <t>ES00 Solar PV Utility</t>
  </si>
  <si>
    <t>PT00 Solar PV Utility</t>
  </si>
  <si>
    <t>Demanda PT00RETE</t>
  </si>
  <si>
    <t>Demanda ES00</t>
  </si>
  <si>
    <t>Demanda PT00</t>
  </si>
  <si>
    <t>PT_solar_pv_profile</t>
  </si>
  <si>
    <t>solar_pv</t>
  </si>
  <si>
    <t>solar_rooftop</t>
  </si>
  <si>
    <t>solar_csp</t>
  </si>
  <si>
    <t>ES00 Solar CSP</t>
  </si>
  <si>
    <t>Perfil</t>
  </si>
  <si>
    <t>PT00RETE Solar PV Rooftop</t>
  </si>
  <si>
    <t>p_min_pu</t>
  </si>
  <si>
    <t>PT00 Wind Offshore Radial</t>
  </si>
  <si>
    <t>PT00 Wind Onshore</t>
  </si>
  <si>
    <t xml:space="preserve">Perfil W Offshore </t>
  </si>
  <si>
    <t>Perfil W Onshore</t>
  </si>
  <si>
    <t>PT WIND</t>
  </si>
  <si>
    <t>PT_wind_onshore_profile</t>
  </si>
  <si>
    <t>PT_wind_offshore_profile</t>
  </si>
  <si>
    <t>PT_wind_onshore</t>
  </si>
  <si>
    <t>PT_wind_offshore</t>
  </si>
  <si>
    <t>wind_onshore</t>
  </si>
  <si>
    <t>wind_offshore</t>
  </si>
  <si>
    <t>ES00 Other RES</t>
  </si>
  <si>
    <t>ES Biomasa</t>
  </si>
  <si>
    <t>PT Biomasa</t>
  </si>
  <si>
    <t>Biomasa ES Perfil</t>
  </si>
  <si>
    <t>Biomasa PT Perfil</t>
  </si>
  <si>
    <t xml:space="preserve">PT00 Other RES </t>
  </si>
  <si>
    <t>ES_biomass_profile</t>
  </si>
  <si>
    <t>PT_biomass_profile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</si>
</sst>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3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name val="Arial"/>
      <family val="2"/>
      <charset val="238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b/>
      <sz val="10"/>
      <name val="Arial"/>
      <family val="2"/>
    </font>
    <font>
      <sz val="8"/>
      <color indexed="9"/>
      <name val="Arial"/>
      <family val="2"/>
      <charset val="238"/>
    </font>
    <font>
      <sz val="11"/>
      <color theme="1"/>
      <name val="Tahoma"/>
      <family val="2"/>
    </font>
    <font>
      <sz val="11"/>
      <color rgb="FF0070C0"/>
      <name val="Tahoma"/>
      <family val="2"/>
    </font>
    <font>
      <sz val="11"/>
      <name val="Tahoma"/>
      <family val="2"/>
    </font>
    <font>
      <b/>
      <sz val="11"/>
      <color theme="1"/>
      <name val="Tahoma"/>
      <family val="2"/>
    </font>
    <font>
      <sz val="11"/>
      <color rgb="FF000000"/>
      <name val="Tahoma"/>
      <family val="2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1"/>
      <name val="Verdana"/>
      <family val="2"/>
    </font>
    <font>
      <b/>
      <sz val="20"/>
      <color theme="1"/>
      <name val="Verdana"/>
      <family val="2"/>
    </font>
    <font>
      <sz val="8"/>
      <color theme="1"/>
      <name val="Verdana"/>
      <family val="2"/>
    </font>
    <font>
      <sz val="10"/>
      <color theme="1"/>
      <name val="Verdana"/>
      <family val="2"/>
    </font>
    <font>
      <sz val="8"/>
      <name val="Calibri"/>
      <family val="2"/>
      <scheme val="minor"/>
    </font>
    <font>
      <sz val="11"/>
      <color theme="1"/>
      <name val="Aptos"/>
      <family val="2"/>
    </font>
    <font>
      <sz val="10"/>
      <color theme="1"/>
      <name val="Aptos"/>
      <family val="2"/>
    </font>
    <font>
      <sz val="11"/>
      <name val="Aptos"/>
      <family val="2"/>
    </font>
    <font>
      <i/>
      <sz val="11"/>
      <color theme="1"/>
      <name val="Aptos"/>
      <family val="2"/>
    </font>
    <font>
      <sz val="11"/>
      <color rgb="FF0070C0"/>
      <name val="Aptos"/>
      <family val="2"/>
    </font>
    <font>
      <sz val="11"/>
      <color rgb="FFFF0000"/>
      <name val="Aptos"/>
      <family val="2"/>
    </font>
  </fonts>
  <fills count="51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FFED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9F5FF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DFFE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7">
    <xf numFmtId="0" fontId="0" fillId="0" borderId="0"/>
    <xf numFmtId="0" fontId="2" fillId="4" borderId="0">
      <alignment horizontal="left"/>
    </xf>
    <xf numFmtId="0" fontId="3" fillId="4" borderId="0">
      <alignment horizontal="left"/>
    </xf>
    <xf numFmtId="0" fontId="4" fillId="0" borderId="0"/>
    <xf numFmtId="0" fontId="5" fillId="4" borderId="2">
      <alignment horizontal="left"/>
    </xf>
    <xf numFmtId="49" fontId="6" fillId="0" borderId="2">
      <alignment horizontal="right"/>
    </xf>
    <xf numFmtId="0" fontId="5" fillId="4" borderId="2">
      <alignment horizontal="right"/>
    </xf>
    <xf numFmtId="0" fontId="2" fillId="4" borderId="0">
      <alignment horizontal="left"/>
    </xf>
    <xf numFmtId="0" fontId="5" fillId="4" borderId="2">
      <alignment horizontal="right"/>
    </xf>
    <xf numFmtId="2" fontId="6" fillId="0" borderId="2">
      <alignment horizontal="right" vertical="top" wrapText="1"/>
    </xf>
    <xf numFmtId="1" fontId="6" fillId="0" borderId="2">
      <alignment horizontal="right" vertical="top" wrapText="1"/>
    </xf>
    <xf numFmtId="1" fontId="6" fillId="0" borderId="2">
      <alignment horizontal="right" vertical="top" wrapText="1"/>
    </xf>
    <xf numFmtId="1" fontId="4" fillId="0" borderId="2">
      <alignment horizontal="right" vertical="top" wrapText="1"/>
    </xf>
    <xf numFmtId="0" fontId="7" fillId="4" borderId="2">
      <alignment horizontal="right"/>
    </xf>
    <xf numFmtId="0" fontId="8" fillId="5" borderId="0">
      <alignment horizontal="left"/>
    </xf>
    <xf numFmtId="0" fontId="4" fillId="0" borderId="0"/>
    <xf numFmtId="0" fontId="15" fillId="0" borderId="0" applyNumberFormat="0" applyFill="0" applyBorder="0" applyAlignment="0" applyProtection="0"/>
    <xf numFmtId="0" fontId="16" fillId="0" borderId="5" applyNumberFormat="0" applyFill="0" applyAlignment="0" applyProtection="0"/>
    <xf numFmtId="0" fontId="17" fillId="0" borderId="6" applyNumberFormat="0" applyFill="0" applyAlignment="0" applyProtection="0"/>
    <xf numFmtId="0" fontId="18" fillId="0" borderId="7" applyNumberFormat="0" applyFill="0" applyAlignment="0" applyProtection="0"/>
    <xf numFmtId="0" fontId="18" fillId="0" borderId="0" applyNumberFormat="0" applyFill="0" applyBorder="0" applyAlignment="0" applyProtection="0"/>
    <xf numFmtId="0" fontId="19" fillId="15" borderId="0" applyNumberFormat="0" applyBorder="0" applyAlignment="0" applyProtection="0"/>
    <xf numFmtId="0" fontId="20" fillId="16" borderId="0" applyNumberFormat="0" applyBorder="0" applyAlignment="0" applyProtection="0"/>
    <xf numFmtId="0" fontId="21" fillId="17" borderId="0" applyNumberFormat="0" applyBorder="0" applyAlignment="0" applyProtection="0"/>
    <xf numFmtId="0" fontId="22" fillId="18" borderId="8" applyNumberFormat="0" applyAlignment="0" applyProtection="0"/>
    <xf numFmtId="0" fontId="23" fillId="19" borderId="9" applyNumberFormat="0" applyAlignment="0" applyProtection="0"/>
    <xf numFmtId="0" fontId="24" fillId="19" borderId="8" applyNumberFormat="0" applyAlignment="0" applyProtection="0"/>
    <xf numFmtId="0" fontId="25" fillId="0" borderId="10" applyNumberFormat="0" applyFill="0" applyAlignment="0" applyProtection="0"/>
    <xf numFmtId="0" fontId="26" fillId="20" borderId="11" applyNumberFormat="0" applyAlignment="0" applyProtection="0"/>
    <xf numFmtId="0" fontId="27" fillId="0" borderId="0" applyNumberFormat="0" applyFill="0" applyBorder="0" applyAlignment="0" applyProtection="0"/>
    <xf numFmtId="0" fontId="14" fillId="21" borderId="12" applyNumberFormat="0" applyFont="0" applyAlignment="0" applyProtection="0"/>
    <xf numFmtId="0" fontId="28" fillId="0" borderId="0" applyNumberFormat="0" applyFill="0" applyBorder="0" applyAlignment="0" applyProtection="0"/>
    <xf numFmtId="0" fontId="29" fillId="0" borderId="13" applyNumberFormat="0" applyFill="0" applyAlignment="0" applyProtection="0"/>
    <xf numFmtId="0" fontId="30" fillId="22" borderId="0" applyNumberFormat="0" applyBorder="0" applyAlignment="0" applyProtection="0"/>
    <xf numFmtId="0" fontId="14" fillId="23" borderId="0" applyNumberFormat="0" applyBorder="0" applyAlignment="0" applyProtection="0"/>
    <xf numFmtId="0" fontId="14" fillId="24" borderId="0" applyNumberFormat="0" applyBorder="0" applyAlignment="0" applyProtection="0"/>
    <xf numFmtId="0" fontId="14" fillId="25" borderId="0" applyNumberFormat="0" applyBorder="0" applyAlignment="0" applyProtection="0"/>
    <xf numFmtId="0" fontId="30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29" borderId="0" applyNumberFormat="0" applyBorder="0" applyAlignment="0" applyProtection="0"/>
    <xf numFmtId="0" fontId="30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3" borderId="0" applyNumberFormat="0" applyBorder="0" applyAlignment="0" applyProtection="0"/>
    <xf numFmtId="0" fontId="30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7" borderId="0" applyNumberFormat="0" applyBorder="0" applyAlignment="0" applyProtection="0"/>
    <xf numFmtId="0" fontId="30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1" borderId="0" applyNumberFormat="0" applyBorder="0" applyAlignment="0" applyProtection="0"/>
    <xf numFmtId="0" fontId="30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5" borderId="0" applyNumberFormat="0" applyBorder="0" applyAlignment="0" applyProtection="0"/>
  </cellStyleXfs>
  <cellXfs count="112">
    <xf numFmtId="0" fontId="0" fillId="0" borderId="0" xfId="0"/>
    <xf numFmtId="0" fontId="9" fillId="7" borderId="0" xfId="0" applyFont="1" applyFill="1"/>
    <xf numFmtId="0" fontId="9" fillId="2" borderId="0" xfId="0" applyFont="1" applyFill="1"/>
    <xf numFmtId="0" fontId="9" fillId="3" borderId="0" xfId="0" applyFont="1" applyFill="1"/>
    <xf numFmtId="0" fontId="10" fillId="7" borderId="0" xfId="0" applyFont="1" applyFill="1"/>
    <xf numFmtId="2" fontId="10" fillId="7" borderId="0" xfId="0" applyNumberFormat="1" applyFont="1" applyFill="1"/>
    <xf numFmtId="2" fontId="9" fillId="7" borderId="0" xfId="0" applyNumberFormat="1" applyFont="1" applyFill="1"/>
    <xf numFmtId="0" fontId="9" fillId="7" borderId="0" xfId="0" applyFont="1" applyFill="1" applyAlignment="1">
      <alignment horizontal="center"/>
    </xf>
    <xf numFmtId="0" fontId="9" fillId="11" borderId="0" xfId="0" applyFont="1" applyFill="1"/>
    <xf numFmtId="0" fontId="11" fillId="11" borderId="0" xfId="0" applyFont="1" applyFill="1"/>
    <xf numFmtId="0" fontId="11" fillId="7" borderId="0" xfId="0" applyFont="1" applyFill="1"/>
    <xf numFmtId="0" fontId="12" fillId="7" borderId="0" xfId="0" applyFont="1" applyFill="1"/>
    <xf numFmtId="0" fontId="11" fillId="2" borderId="0" xfId="0" applyFont="1" applyFill="1"/>
    <xf numFmtId="0" fontId="11" fillId="3" borderId="0" xfId="0" applyFont="1" applyFill="1"/>
    <xf numFmtId="0" fontId="9" fillId="3" borderId="4" xfId="0" applyFont="1" applyFill="1" applyBorder="1" applyAlignment="1">
      <alignment horizontal="center"/>
    </xf>
    <xf numFmtId="0" fontId="9" fillId="7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/>
    </xf>
    <xf numFmtId="0" fontId="9" fillId="8" borderId="4" xfId="0" applyFont="1" applyFill="1" applyBorder="1" applyAlignment="1">
      <alignment horizontal="center"/>
    </xf>
    <xf numFmtId="0" fontId="12" fillId="7" borderId="0" xfId="0" applyFont="1" applyFill="1" applyAlignment="1">
      <alignment horizontal="center"/>
    </xf>
    <xf numFmtId="164" fontId="11" fillId="7" borderId="3" xfId="0" applyNumberFormat="1" applyFont="1" applyFill="1" applyBorder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0" fontId="9" fillId="2" borderId="1" xfId="0" applyFont="1" applyFill="1" applyBorder="1" applyAlignment="1">
      <alignment horizontal="center"/>
    </xf>
    <xf numFmtId="0" fontId="9" fillId="8" borderId="1" xfId="0" applyFont="1" applyFill="1" applyBorder="1" applyAlignment="1">
      <alignment horizontal="center"/>
    </xf>
    <xf numFmtId="2" fontId="9" fillId="7" borderId="0" xfId="0" applyNumberFormat="1" applyFont="1" applyFill="1" applyAlignment="1">
      <alignment horizontal="center"/>
    </xf>
    <xf numFmtId="2" fontId="13" fillId="7" borderId="0" xfId="0" applyNumberFormat="1" applyFont="1" applyFill="1" applyAlignment="1">
      <alignment horizontal="center"/>
    </xf>
    <xf numFmtId="0" fontId="9" fillId="46" borderId="14" xfId="0" applyFont="1" applyFill="1" applyBorder="1" applyAlignment="1">
      <alignment horizontal="center"/>
    </xf>
    <xf numFmtId="0" fontId="1" fillId="7" borderId="0" xfId="0" applyFont="1" applyFill="1"/>
    <xf numFmtId="0" fontId="0" fillId="7" borderId="0" xfId="0" applyFill="1"/>
    <xf numFmtId="0" fontId="31" fillId="7" borderId="0" xfId="0" applyFont="1" applyFill="1"/>
    <xf numFmtId="1" fontId="9" fillId="7" borderId="3" xfId="0" applyNumberFormat="1" applyFont="1" applyFill="1" applyBorder="1" applyAlignment="1">
      <alignment horizontal="center"/>
    </xf>
    <xf numFmtId="0" fontId="9" fillId="10" borderId="4" xfId="0" applyFont="1" applyFill="1" applyBorder="1" applyAlignment="1">
      <alignment horizontal="center"/>
    </xf>
    <xf numFmtId="0" fontId="11" fillId="3" borderId="4" xfId="0" applyFont="1" applyFill="1" applyBorder="1" applyAlignment="1">
      <alignment horizontal="center"/>
    </xf>
    <xf numFmtId="0" fontId="11" fillId="8" borderId="4" xfId="0" applyFont="1" applyFill="1" applyBorder="1" applyAlignment="1">
      <alignment horizontal="center"/>
    </xf>
    <xf numFmtId="164" fontId="9" fillId="7" borderId="3" xfId="0" applyNumberFormat="1" applyFont="1" applyFill="1" applyBorder="1" applyAlignment="1">
      <alignment horizontal="center" vertical="center"/>
    </xf>
    <xf numFmtId="0" fontId="11" fillId="7" borderId="0" xfId="0" applyFont="1" applyFill="1" applyAlignment="1">
      <alignment horizontal="center"/>
    </xf>
    <xf numFmtId="0" fontId="32" fillId="7" borderId="0" xfId="0" applyFont="1" applyFill="1"/>
    <xf numFmtId="0" fontId="33" fillId="7" borderId="0" xfId="0" applyFont="1" applyFill="1"/>
    <xf numFmtId="0" fontId="32" fillId="7" borderId="0" xfId="0" applyFont="1" applyFill="1" applyAlignment="1">
      <alignment horizontal="center"/>
    </xf>
    <xf numFmtId="0" fontId="34" fillId="7" borderId="15" xfId="0" applyFont="1" applyFill="1" applyBorder="1" applyAlignment="1">
      <alignment horizontal="center"/>
    </xf>
    <xf numFmtId="0" fontId="34" fillId="7" borderId="14" xfId="0" applyFont="1" applyFill="1" applyBorder="1" applyAlignment="1">
      <alignment horizontal="center"/>
    </xf>
    <xf numFmtId="0" fontId="34" fillId="7" borderId="0" xfId="0" applyFont="1" applyFill="1" applyAlignment="1">
      <alignment horizontal="center"/>
    </xf>
    <xf numFmtId="0" fontId="34" fillId="7" borderId="3" xfId="0" applyFont="1" applyFill="1" applyBorder="1" applyAlignment="1">
      <alignment horizontal="center"/>
    </xf>
    <xf numFmtId="0" fontId="34" fillId="7" borderId="1" xfId="0" applyFont="1" applyFill="1" applyBorder="1" applyAlignment="1">
      <alignment horizontal="center"/>
    </xf>
    <xf numFmtId="0" fontId="34" fillId="7" borderId="4" xfId="0" applyFont="1" applyFill="1" applyBorder="1" applyAlignment="1">
      <alignment horizontal="center"/>
    </xf>
    <xf numFmtId="0" fontId="35" fillId="10" borderId="2" xfId="0" applyFont="1" applyFill="1" applyBorder="1" applyAlignment="1">
      <alignment horizontal="center"/>
    </xf>
    <xf numFmtId="0" fontId="35" fillId="49" borderId="2" xfId="0" applyFont="1" applyFill="1" applyBorder="1" applyAlignment="1">
      <alignment horizontal="center"/>
    </xf>
    <xf numFmtId="0" fontId="35" fillId="3" borderId="2" xfId="0" applyFont="1" applyFill="1" applyBorder="1" applyAlignment="1">
      <alignment horizontal="center"/>
    </xf>
    <xf numFmtId="0" fontId="35" fillId="48" borderId="2" xfId="0" applyFont="1" applyFill="1" applyBorder="1" applyAlignment="1">
      <alignment horizontal="center"/>
    </xf>
    <xf numFmtId="0" fontId="35" fillId="7" borderId="2" xfId="0" applyFont="1" applyFill="1" applyBorder="1" applyAlignment="1">
      <alignment horizontal="center"/>
    </xf>
    <xf numFmtId="0" fontId="35" fillId="7" borderId="0" xfId="0" applyFont="1" applyFill="1"/>
    <xf numFmtId="0" fontId="35" fillId="7" borderId="17" xfId="0" applyFont="1" applyFill="1" applyBorder="1"/>
    <xf numFmtId="0" fontId="35" fillId="7" borderId="18" xfId="0" applyFont="1" applyFill="1" applyBorder="1"/>
    <xf numFmtId="0" fontId="35" fillId="7" borderId="19" xfId="0" applyFont="1" applyFill="1" applyBorder="1"/>
    <xf numFmtId="0" fontId="35" fillId="7" borderId="3" xfId="0" applyFont="1" applyFill="1" applyBorder="1"/>
    <xf numFmtId="0" fontId="35" fillId="7" borderId="20" xfId="0" applyFont="1" applyFill="1" applyBorder="1"/>
    <xf numFmtId="0" fontId="35" fillId="7" borderId="4" xfId="0" applyFont="1" applyFill="1" applyBorder="1"/>
    <xf numFmtId="0" fontId="34" fillId="7" borderId="19" xfId="0" applyFont="1" applyFill="1" applyBorder="1" applyAlignment="1">
      <alignment horizontal="center"/>
    </xf>
    <xf numFmtId="0" fontId="34" fillId="7" borderId="20" xfId="0" applyFont="1" applyFill="1" applyBorder="1" applyAlignment="1">
      <alignment horizontal="center"/>
    </xf>
    <xf numFmtId="0" fontId="35" fillId="49" borderId="21" xfId="0" applyFont="1" applyFill="1" applyBorder="1" applyAlignment="1">
      <alignment horizontal="center"/>
    </xf>
    <xf numFmtId="0" fontId="35" fillId="47" borderId="21" xfId="0" applyFont="1" applyFill="1" applyBorder="1" applyAlignment="1">
      <alignment horizontal="center"/>
    </xf>
    <xf numFmtId="0" fontId="35" fillId="47" borderId="22" xfId="0" applyFont="1" applyFill="1" applyBorder="1" applyAlignment="1">
      <alignment horizontal="center"/>
    </xf>
    <xf numFmtId="0" fontId="34" fillId="7" borderId="0" xfId="0" applyFont="1" applyFill="1" applyBorder="1" applyAlignment="1">
      <alignment horizontal="center"/>
    </xf>
    <xf numFmtId="0" fontId="37" fillId="11" borderId="1" xfId="0" applyFont="1" applyFill="1" applyBorder="1"/>
    <xf numFmtId="0" fontId="37" fillId="7" borderId="0" xfId="0" applyFont="1" applyFill="1"/>
    <xf numFmtId="0" fontId="37" fillId="2" borderId="0" xfId="0" applyFont="1" applyFill="1"/>
    <xf numFmtId="0" fontId="37" fillId="7" borderId="1" xfId="0" applyFont="1" applyFill="1" applyBorder="1"/>
    <xf numFmtId="0" fontId="37" fillId="3" borderId="0" xfId="0" applyFont="1" applyFill="1"/>
    <xf numFmtId="1" fontId="37" fillId="7" borderId="0" xfId="0" applyNumberFormat="1" applyFont="1" applyFill="1"/>
    <xf numFmtId="0" fontId="37" fillId="6" borderId="0" xfId="0" applyFont="1" applyFill="1"/>
    <xf numFmtId="0" fontId="37" fillId="6" borderId="1" xfId="0" applyFont="1" applyFill="1" applyBorder="1"/>
    <xf numFmtId="0" fontId="37" fillId="8" borderId="16" xfId="0" applyFont="1" applyFill="1" applyBorder="1"/>
    <xf numFmtId="0" fontId="37" fillId="7" borderId="16" xfId="0" applyFont="1" applyFill="1" applyBorder="1"/>
    <xf numFmtId="0" fontId="37" fillId="8" borderId="0" xfId="0" applyFont="1" applyFill="1"/>
    <xf numFmtId="0" fontId="37" fillId="8" borderId="1" xfId="0" applyFont="1" applyFill="1" applyBorder="1"/>
    <xf numFmtId="0" fontId="37" fillId="9" borderId="16" xfId="0" applyFont="1" applyFill="1" applyBorder="1"/>
    <xf numFmtId="0" fontId="37" fillId="9" borderId="1" xfId="0" applyFont="1" applyFill="1" applyBorder="1"/>
    <xf numFmtId="0" fontId="37" fillId="7" borderId="0" xfId="0" applyFont="1" applyFill="1" applyBorder="1"/>
    <xf numFmtId="0" fontId="38" fillId="7" borderId="0" xfId="0" applyFont="1" applyFill="1" applyBorder="1"/>
    <xf numFmtId="0" fontId="35" fillId="7" borderId="21" xfId="0" applyFont="1" applyFill="1" applyBorder="1"/>
    <xf numFmtId="0" fontId="35" fillId="7" borderId="22" xfId="0" applyFont="1" applyFill="1" applyBorder="1"/>
    <xf numFmtId="0" fontId="35" fillId="7" borderId="0" xfId="0" applyFont="1" applyFill="1" applyBorder="1"/>
    <xf numFmtId="0" fontId="35" fillId="7" borderId="1" xfId="0" applyFont="1" applyFill="1" applyBorder="1"/>
    <xf numFmtId="0" fontId="35" fillId="50" borderId="2" xfId="0" applyFont="1" applyFill="1" applyBorder="1"/>
    <xf numFmtId="0" fontId="35" fillId="7" borderId="0" xfId="0" applyFont="1" applyFill="1" applyBorder="1" applyAlignment="1">
      <alignment horizontal="center"/>
    </xf>
    <xf numFmtId="0" fontId="37" fillId="7" borderId="2" xfId="0" applyFont="1" applyFill="1" applyBorder="1"/>
    <xf numFmtId="0" fontId="37" fillId="7" borderId="3" xfId="0" applyFont="1" applyFill="1" applyBorder="1"/>
    <xf numFmtId="0" fontId="37" fillId="7" borderId="4" xfId="0" applyFont="1" applyFill="1" applyBorder="1"/>
    <xf numFmtId="0" fontId="37" fillId="7" borderId="19" xfId="0" applyFont="1" applyFill="1" applyBorder="1"/>
    <xf numFmtId="0" fontId="37" fillId="7" borderId="20" xfId="0" applyFont="1" applyFill="1" applyBorder="1"/>
    <xf numFmtId="0" fontId="39" fillId="11" borderId="0" xfId="0" applyFont="1" applyFill="1"/>
    <xf numFmtId="0" fontId="40" fillId="2" borderId="0" xfId="0" applyFont="1" applyFill="1"/>
    <xf numFmtId="0" fontId="40" fillId="3" borderId="0" xfId="0" applyFont="1" applyFill="1"/>
    <xf numFmtId="0" fontId="37" fillId="9" borderId="0" xfId="0" applyFont="1" applyFill="1"/>
    <xf numFmtId="0" fontId="37" fillId="11" borderId="0" xfId="0" applyFont="1" applyFill="1"/>
    <xf numFmtId="0" fontId="41" fillId="7" borderId="0" xfId="0" applyFont="1" applyFill="1"/>
    <xf numFmtId="0" fontId="37" fillId="7" borderId="0" xfId="0" applyFont="1" applyFill="1" applyAlignment="1">
      <alignment horizontal="right" wrapText="1"/>
    </xf>
    <xf numFmtId="0" fontId="37" fillId="12" borderId="0" xfId="0" applyFont="1" applyFill="1"/>
    <xf numFmtId="0" fontId="39" fillId="7" borderId="0" xfId="0" applyFont="1" applyFill="1" applyAlignment="1">
      <alignment horizontal="right"/>
    </xf>
    <xf numFmtId="0" fontId="37" fillId="13" borderId="0" xfId="0" applyFont="1" applyFill="1"/>
    <xf numFmtId="0" fontId="42" fillId="7" borderId="0" xfId="0" applyFont="1" applyFill="1"/>
    <xf numFmtId="0" fontId="37" fillId="14" borderId="0" xfId="0" applyFont="1" applyFill="1"/>
    <xf numFmtId="0" fontId="37" fillId="0" borderId="0" xfId="0" applyFont="1"/>
    <xf numFmtId="2" fontId="9" fillId="7" borderId="3" xfId="0" applyNumberFormat="1" applyFont="1" applyFill="1" applyBorder="1" applyAlignment="1">
      <alignment horizontal="center" vertical="center"/>
    </xf>
    <xf numFmtId="2" fontId="9" fillId="7" borderId="3" xfId="0" applyNumberFormat="1" applyFont="1" applyFill="1" applyBorder="1" applyAlignment="1">
      <alignment horizontal="center"/>
    </xf>
    <xf numFmtId="2" fontId="9" fillId="7" borderId="15" xfId="0" applyNumberFormat="1" applyFont="1" applyFill="1" applyBorder="1" applyAlignment="1">
      <alignment horizontal="center" vertical="center"/>
    </xf>
    <xf numFmtId="2" fontId="11" fillId="7" borderId="15" xfId="0" applyNumberFormat="1" applyFont="1" applyFill="1" applyBorder="1" applyAlignment="1">
      <alignment horizontal="center" vertical="center"/>
    </xf>
    <xf numFmtId="2" fontId="11" fillId="7" borderId="3" xfId="0" applyNumberFormat="1" applyFont="1" applyFill="1" applyBorder="1" applyAlignment="1">
      <alignment horizontal="center" vertical="center"/>
    </xf>
    <xf numFmtId="2" fontId="9" fillId="7" borderId="15" xfId="0" applyNumberFormat="1" applyFont="1" applyFill="1" applyBorder="1" applyAlignment="1">
      <alignment horizontal="center"/>
    </xf>
    <xf numFmtId="0" fontId="9" fillId="7" borderId="0" xfId="0" applyFont="1" applyFill="1" applyBorder="1" applyAlignment="1">
      <alignment horizontal="center"/>
    </xf>
    <xf numFmtId="2" fontId="11" fillId="7" borderId="0" xfId="0" applyNumberFormat="1" applyFont="1" applyFill="1" applyBorder="1" applyAlignment="1">
      <alignment horizontal="center" vertical="center"/>
    </xf>
    <xf numFmtId="164" fontId="9" fillId="7" borderId="0" xfId="0" applyNumberFormat="1" applyFont="1" applyFill="1" applyBorder="1" applyAlignment="1">
      <alignment horizontal="center"/>
    </xf>
  </cellXfs>
  <cellStyles count="57">
    <cellStyle name="20% - Énfasis1" xfId="34" builtinId="30" customBuiltin="1"/>
    <cellStyle name="20% - Énfasis2" xfId="38" builtinId="34" customBuiltin="1"/>
    <cellStyle name="20% - Énfasis3" xfId="42" builtinId="38" customBuiltin="1"/>
    <cellStyle name="20% - Énfasis4" xfId="46" builtinId="42" customBuiltin="1"/>
    <cellStyle name="20% - Énfasis5" xfId="50" builtinId="46" customBuiltin="1"/>
    <cellStyle name="20% - Énfasis6" xfId="54" builtinId="50" customBuiltin="1"/>
    <cellStyle name="40% - Énfasis1" xfId="35" builtinId="31" customBuiltin="1"/>
    <cellStyle name="40% - Énfasis2" xfId="39" builtinId="35" customBuiltin="1"/>
    <cellStyle name="40% - Énfasis3" xfId="43" builtinId="39" customBuiltin="1"/>
    <cellStyle name="40% - Énfasis4" xfId="47" builtinId="43" customBuiltin="1"/>
    <cellStyle name="40% - Énfasis5" xfId="51" builtinId="47" customBuiltin="1"/>
    <cellStyle name="40% - Énfasis6" xfId="55" builtinId="51" customBuiltin="1"/>
    <cellStyle name="60% - Énfasis1" xfId="36" builtinId="32" customBuiltin="1"/>
    <cellStyle name="60% - Énfasis2" xfId="40" builtinId="36" customBuiltin="1"/>
    <cellStyle name="60% - Énfasis3" xfId="44" builtinId="40" customBuiltin="1"/>
    <cellStyle name="60% - Énfasis4" xfId="48" builtinId="44" customBuiltin="1"/>
    <cellStyle name="60% - Énfasis5" xfId="52" builtinId="48" customBuiltin="1"/>
    <cellStyle name="60% - Énfasis6" xfId="56" builtinId="52" customBuiltin="1"/>
    <cellStyle name="Bueno" xfId="21" builtinId="26" customBuiltin="1"/>
    <cellStyle name="Cálculo" xfId="26" builtinId="22" customBuiltin="1"/>
    <cellStyle name="Celda de comprobación" xfId="28" builtinId="23" customBuiltin="1"/>
    <cellStyle name="Celda vinculada" xfId="27" builtinId="24" customBuiltin="1"/>
    <cellStyle name="Encabezado 1" xfId="17" builtinId="16" customBuiltin="1"/>
    <cellStyle name="Encabezado 4" xfId="20" builtinId="19" customBuiltin="1"/>
    <cellStyle name="Énfasis1" xfId="33" builtinId="29" customBuiltin="1"/>
    <cellStyle name="Énfasis2" xfId="37" builtinId="33" customBuiltin="1"/>
    <cellStyle name="Énfasis3" xfId="41" builtinId="37" customBuiltin="1"/>
    <cellStyle name="Énfasis4" xfId="45" builtinId="41" customBuiltin="1"/>
    <cellStyle name="Énfasis5" xfId="49" builtinId="45" customBuiltin="1"/>
    <cellStyle name="Énfasis6" xfId="53" builtinId="49" customBuiltin="1"/>
    <cellStyle name="Entrada" xfId="24" builtinId="20" customBuiltin="1"/>
    <cellStyle name="Incorrecto" xfId="22" builtinId="27" customBuiltin="1"/>
    <cellStyle name="Neutral" xfId="23" builtinId="28" customBuiltin="1"/>
    <cellStyle name="Normal" xfId="0" builtinId="0"/>
    <cellStyle name="Normal 2" xfId="15" xr:uid="{AAD8AE07-B562-4B07-873C-96B68EC0EA0C}"/>
    <cellStyle name="Normal 2 2" xfId="3" xr:uid="{ACDAB3D8-5837-4D52-AECB-CCA284CDF9FC}"/>
    <cellStyle name="Notas" xfId="30" builtinId="10" customBuiltin="1"/>
    <cellStyle name="Salida" xfId="25" builtinId="21" customBuiltin="1"/>
    <cellStyle name="Style 165 2" xfId="13" xr:uid="{536B5519-8B8F-483F-99B9-511CFC07D52B}"/>
    <cellStyle name="Style 166 2" xfId="2" xr:uid="{A33EDA82-2F78-48FA-9A72-1FDFCC81F3D9}"/>
    <cellStyle name="Style 171 2" xfId="12" xr:uid="{C8A06B69-9E08-40B0-A7E1-9DF454EBF82D}"/>
    <cellStyle name="Style 195" xfId="6" xr:uid="{CC6A16A9-989E-4AD6-8EEF-3F4BFD88FBE8}"/>
    <cellStyle name="Style 196" xfId="7" xr:uid="{F0DD2FC0-8288-4FCA-AC31-8CDAA69E97F7}"/>
    <cellStyle name="Style 201" xfId="11" xr:uid="{79275E92-0346-4F2D-8153-0332AD881BEE}"/>
    <cellStyle name="Style 21" xfId="8" xr:uid="{DE830BDC-8454-4C4C-B4C0-1EC05E8EB85B}"/>
    <cellStyle name="Style 22" xfId="1" xr:uid="{8ACF35AA-8534-4FC4-9702-C9734E90021A}"/>
    <cellStyle name="Style 24" xfId="5" xr:uid="{CDE1CE28-778B-4E53-BF1B-9DCDDA19158A}"/>
    <cellStyle name="Style 25" xfId="14" xr:uid="{BAAE22DF-ACD9-4EEA-A344-DD0164C19F0B}"/>
    <cellStyle name="Style 27" xfId="10" xr:uid="{3A2BEA18-210C-4E31-BF68-7FBEFFFEACE8}"/>
    <cellStyle name="Style 46" xfId="9" xr:uid="{07FA9C5E-F0F2-4238-873D-98D173833986}"/>
    <cellStyle name="Style 58" xfId="4" xr:uid="{34BCBDD3-2FE0-409F-BBF2-055786D325F1}"/>
    <cellStyle name="Texto de advertencia" xfId="29" builtinId="11" customBuiltin="1"/>
    <cellStyle name="Texto explicativo" xfId="31" builtinId="53" customBuiltin="1"/>
    <cellStyle name="Título" xfId="16" builtinId="15" customBuiltin="1"/>
    <cellStyle name="Título 2" xfId="18" builtinId="17" customBuiltin="1"/>
    <cellStyle name="Título 3" xfId="19" builtinId="18" customBuiltin="1"/>
    <cellStyle name="Total" xfId="32" builtinId="25" customBuiltin="1"/>
  </cellStyles>
  <dxfs count="0"/>
  <tableStyles count="0" defaultTableStyle="TableStyleMedium2" defaultPivotStyle="PivotStyleLight16"/>
  <colors>
    <mruColors>
      <color rgb="FFDFFED6"/>
      <color rgb="FFFF7171"/>
      <color rgb="FFCDFFE6"/>
      <color rgb="FF99FFCC"/>
      <color rgb="FFFFFFCC"/>
      <color rgb="FF93E3FF"/>
      <color rgb="FFD9F5FF"/>
      <color rgb="FFFFB3B3"/>
      <color rgb="FF98FB7D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'Origen de Datos'!$E$3:$E$170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4.2000000000000003E-2</c:v>
                </c:pt>
                <c:pt idx="10">
                  <c:v>0.157</c:v>
                </c:pt>
                <c:pt idx="11">
                  <c:v>0.22800000000000001</c:v>
                </c:pt>
                <c:pt idx="12">
                  <c:v>0.245</c:v>
                </c:pt>
                <c:pt idx="13">
                  <c:v>0.23500000000000001</c:v>
                </c:pt>
                <c:pt idx="14">
                  <c:v>0.15</c:v>
                </c:pt>
                <c:pt idx="15">
                  <c:v>0.03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7.6999999999999999E-2</c:v>
                </c:pt>
                <c:pt idx="34">
                  <c:v>0.22</c:v>
                </c:pt>
                <c:pt idx="35">
                  <c:v>0.28399999999999997</c:v>
                </c:pt>
                <c:pt idx="36">
                  <c:v>0.26</c:v>
                </c:pt>
                <c:pt idx="37">
                  <c:v>0.18</c:v>
                </c:pt>
                <c:pt idx="38">
                  <c:v>6.7000000000000004E-2</c:v>
                </c:pt>
                <c:pt idx="39">
                  <c:v>2.6000000000000002E-2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4.8000000000000001E-2</c:v>
                </c:pt>
                <c:pt idx="58">
                  <c:v>0.16300000000000001</c:v>
                </c:pt>
                <c:pt idx="59">
                  <c:v>0.23</c:v>
                </c:pt>
                <c:pt idx="60">
                  <c:v>0.22600000000000001</c:v>
                </c:pt>
                <c:pt idx="61">
                  <c:v>0.19600000000000001</c:v>
                </c:pt>
                <c:pt idx="62">
                  <c:v>0.125</c:v>
                </c:pt>
                <c:pt idx="63">
                  <c:v>3.1000000000000003E-2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5.89999999999999E-2</c:v>
                </c:pt>
                <c:pt idx="82">
                  <c:v>0.20399999999999999</c:v>
                </c:pt>
                <c:pt idx="83">
                  <c:v>0.27700000000000002</c:v>
                </c:pt>
                <c:pt idx="84">
                  <c:v>0.28100000000000003</c:v>
                </c:pt>
                <c:pt idx="85">
                  <c:v>0.253</c:v>
                </c:pt>
                <c:pt idx="86">
                  <c:v>0.16</c:v>
                </c:pt>
                <c:pt idx="87">
                  <c:v>3.5000000000000003E-2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2.1999999999999902E-2</c:v>
                </c:pt>
                <c:pt idx="107">
                  <c:v>2.7999999999999997E-2</c:v>
                </c:pt>
                <c:pt idx="108">
                  <c:v>2.3E-2</c:v>
                </c:pt>
                <c:pt idx="109">
                  <c:v>1.2E-2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0.01</c:v>
                </c:pt>
                <c:pt idx="130">
                  <c:v>3.59999999999999E-2</c:v>
                </c:pt>
                <c:pt idx="131">
                  <c:v>6.2000000000000006E-2</c:v>
                </c:pt>
                <c:pt idx="132">
                  <c:v>6.7000000000000004E-2</c:v>
                </c:pt>
                <c:pt idx="133">
                  <c:v>5.4000000000000006E-2</c:v>
                </c:pt>
                <c:pt idx="134">
                  <c:v>3.1000000000000003E-2</c:v>
                </c:pt>
                <c:pt idx="135">
                  <c:v>0.01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4.4999999999999998E-2</c:v>
                </c:pt>
                <c:pt idx="154">
                  <c:v>0.13900000000000001</c:v>
                </c:pt>
                <c:pt idx="155">
                  <c:v>0.19399999999999998</c:v>
                </c:pt>
                <c:pt idx="156">
                  <c:v>0.189</c:v>
                </c:pt>
                <c:pt idx="157">
                  <c:v>0.159</c:v>
                </c:pt>
                <c:pt idx="158">
                  <c:v>9.9000000000000005E-2</c:v>
                </c:pt>
                <c:pt idx="159">
                  <c:v>3.4000000000000002E-2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0E-40F8-A126-749573136A03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'Origen de Datos'!$G$3:$G$170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0.13100000000000001</c:v>
                </c:pt>
                <c:pt idx="10">
                  <c:v>0.30499999999999999</c:v>
                </c:pt>
                <c:pt idx="11">
                  <c:v>0.442</c:v>
                </c:pt>
                <c:pt idx="12">
                  <c:v>0.51</c:v>
                </c:pt>
                <c:pt idx="13">
                  <c:v>0.51100000000000001</c:v>
                </c:pt>
                <c:pt idx="14">
                  <c:v>0.45100000000000001</c:v>
                </c:pt>
                <c:pt idx="15">
                  <c:v>0.34899999999999998</c:v>
                </c:pt>
                <c:pt idx="16">
                  <c:v>0.20699999999999999</c:v>
                </c:pt>
                <c:pt idx="17">
                  <c:v>5.2000000000000005E-2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0.113</c:v>
                </c:pt>
                <c:pt idx="34">
                  <c:v>0.27399999999999997</c:v>
                </c:pt>
                <c:pt idx="35">
                  <c:v>0.40600000000000003</c:v>
                </c:pt>
                <c:pt idx="36">
                  <c:v>0.49</c:v>
                </c:pt>
                <c:pt idx="37">
                  <c:v>0.51100000000000001</c:v>
                </c:pt>
                <c:pt idx="38">
                  <c:v>0.47</c:v>
                </c:pt>
                <c:pt idx="39">
                  <c:v>0.36199999999999904</c:v>
                </c:pt>
                <c:pt idx="40">
                  <c:v>0.21299999999999999</c:v>
                </c:pt>
                <c:pt idx="41">
                  <c:v>5.4000000000000006E-2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0.128</c:v>
                </c:pt>
                <c:pt idx="58">
                  <c:v>0.29099999999999898</c:v>
                </c:pt>
                <c:pt idx="59">
                  <c:v>0.41799999999999998</c:v>
                </c:pt>
                <c:pt idx="60">
                  <c:v>0.48899999999999999</c:v>
                </c:pt>
                <c:pt idx="61">
                  <c:v>0.498</c:v>
                </c:pt>
                <c:pt idx="62">
                  <c:v>0.44700000000000001</c:v>
                </c:pt>
                <c:pt idx="63">
                  <c:v>0.34299999999999997</c:v>
                </c:pt>
                <c:pt idx="64">
                  <c:v>0.2</c:v>
                </c:pt>
                <c:pt idx="65">
                  <c:v>5.2000000000000005E-2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8.199999999999999E-2</c:v>
                </c:pt>
                <c:pt idx="82">
                  <c:v>0.19399999999999998</c:v>
                </c:pt>
                <c:pt idx="83">
                  <c:v>0.28499999999999903</c:v>
                </c:pt>
                <c:pt idx="84">
                  <c:v>0.34</c:v>
                </c:pt>
                <c:pt idx="85">
                  <c:v>0.34599999999999903</c:v>
                </c:pt>
                <c:pt idx="86">
                  <c:v>0.307</c:v>
                </c:pt>
                <c:pt idx="87">
                  <c:v>0.245</c:v>
                </c:pt>
                <c:pt idx="88">
                  <c:v>0.157</c:v>
                </c:pt>
                <c:pt idx="89">
                  <c:v>5.0999999999999997E-2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7.1999999999999897E-2</c:v>
                </c:pt>
                <c:pt idx="106">
                  <c:v>0.19600000000000001</c:v>
                </c:pt>
                <c:pt idx="107">
                  <c:v>0.313</c:v>
                </c:pt>
                <c:pt idx="108">
                  <c:v>0.40600000000000003</c:v>
                </c:pt>
                <c:pt idx="109">
                  <c:v>0.44900000000000001</c:v>
                </c:pt>
                <c:pt idx="110">
                  <c:v>0.43200000000000005</c:v>
                </c:pt>
                <c:pt idx="111">
                  <c:v>0.33500000000000002</c:v>
                </c:pt>
                <c:pt idx="112">
                  <c:v>0.2</c:v>
                </c:pt>
                <c:pt idx="113">
                  <c:v>5.5999999999999994E-2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0.127</c:v>
                </c:pt>
                <c:pt idx="130">
                  <c:v>0.29699999999999999</c:v>
                </c:pt>
                <c:pt idx="131">
                  <c:v>0.43200000000000005</c:v>
                </c:pt>
                <c:pt idx="132">
                  <c:v>0.496</c:v>
                </c:pt>
                <c:pt idx="133">
                  <c:v>0.496</c:v>
                </c:pt>
                <c:pt idx="134">
                  <c:v>0.43799999999999994</c:v>
                </c:pt>
                <c:pt idx="135">
                  <c:v>0.33500000000000002</c:v>
                </c:pt>
                <c:pt idx="136">
                  <c:v>0.19800000000000001</c:v>
                </c:pt>
                <c:pt idx="137">
                  <c:v>5.5E-2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3.6999999999999901E-2</c:v>
                </c:pt>
                <c:pt idx="154">
                  <c:v>0.107</c:v>
                </c:pt>
                <c:pt idx="155">
                  <c:v>0.17899999999999999</c:v>
                </c:pt>
                <c:pt idx="156">
                  <c:v>0.24</c:v>
                </c:pt>
                <c:pt idx="157">
                  <c:v>0.27200000000000002</c:v>
                </c:pt>
                <c:pt idx="158">
                  <c:v>0.26400000000000001</c:v>
                </c:pt>
                <c:pt idx="159">
                  <c:v>0.20399999999999999</c:v>
                </c:pt>
                <c:pt idx="160">
                  <c:v>0.11899999999999901</c:v>
                </c:pt>
                <c:pt idx="161">
                  <c:v>3.2000000000000001E-2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D0E-40F8-A126-749573136A03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'Origen de Datos'!#REF!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D0E-40F8-A126-749573136A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81141680"/>
        <c:axId val="981142160"/>
      </c:barChart>
      <c:catAx>
        <c:axId val="98114168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81142160"/>
        <c:crosses val="autoZero"/>
        <c:auto val="1"/>
        <c:lblAlgn val="ctr"/>
        <c:lblOffset val="100"/>
        <c:noMultiLvlLbl val="0"/>
      </c:catAx>
      <c:valAx>
        <c:axId val="981142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81141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171450</xdr:colOff>
      <xdr:row>137</xdr:row>
      <xdr:rowOff>106362</xdr:rowOff>
    </xdr:from>
    <xdr:to>
      <xdr:col>11</xdr:col>
      <xdr:colOff>1000125</xdr:colOff>
      <xdr:row>164</xdr:row>
      <xdr:rowOff>38100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DB1EA91-9906-0FA9-C5A7-0EBC043225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1796E-3B4B-47D0-890A-5369E330B7C0}">
  <sheetPr codeName="Hoja1">
    <tabColor rgb="FFC00000"/>
  </sheetPr>
  <dimension ref="A1:C13"/>
  <sheetViews>
    <sheetView workbookViewId="0">
      <selection activeCell="E8" sqref="E8"/>
    </sheetView>
  </sheetViews>
  <sheetFormatPr baseColWidth="10" defaultRowHeight="14.5" x14ac:dyDescent="0.35"/>
  <cols>
    <col min="1" max="1" width="48.54296875" style="28" bestFit="1" customWidth="1"/>
    <col min="2" max="2" width="19.90625" style="28" bestFit="1" customWidth="1"/>
    <col min="3" max="16384" width="10.90625" style="28"/>
  </cols>
  <sheetData>
    <row r="1" spans="1:3" ht="23.5" x14ac:dyDescent="0.55000000000000004">
      <c r="A1" s="27" t="s">
        <v>28</v>
      </c>
    </row>
    <row r="2" spans="1:3" x14ac:dyDescent="0.35">
      <c r="A2" s="28" t="s">
        <v>17</v>
      </c>
    </row>
    <row r="3" spans="1:3" x14ac:dyDescent="0.35">
      <c r="B3" s="28" t="s">
        <v>12</v>
      </c>
      <c r="C3" s="29" t="s">
        <v>65</v>
      </c>
    </row>
    <row r="4" spans="1:3" x14ac:dyDescent="0.35">
      <c r="B4" s="28" t="s">
        <v>92</v>
      </c>
      <c r="C4" s="29" t="s">
        <v>69</v>
      </c>
    </row>
    <row r="5" spans="1:3" x14ac:dyDescent="0.35">
      <c r="B5" s="28" t="s">
        <v>13</v>
      </c>
      <c r="C5" s="29" t="s">
        <v>66</v>
      </c>
    </row>
    <row r="6" spans="1:3" x14ac:dyDescent="0.35">
      <c r="B6" s="28" t="s">
        <v>14</v>
      </c>
      <c r="C6" s="29" t="s">
        <v>66</v>
      </c>
    </row>
    <row r="7" spans="1:3" x14ac:dyDescent="0.35">
      <c r="B7" s="28" t="s">
        <v>18</v>
      </c>
      <c r="C7" s="29"/>
    </row>
    <row r="8" spans="1:3" x14ac:dyDescent="0.35">
      <c r="B8" s="28" t="s">
        <v>19</v>
      </c>
      <c r="C8" s="29"/>
    </row>
    <row r="9" spans="1:3" x14ac:dyDescent="0.35">
      <c r="B9" s="28" t="s">
        <v>24</v>
      </c>
      <c r="C9" s="29" t="s">
        <v>69</v>
      </c>
    </row>
    <row r="10" spans="1:3" x14ac:dyDescent="0.35">
      <c r="B10" s="28" t="s">
        <v>25</v>
      </c>
      <c r="C10" s="29"/>
    </row>
    <row r="11" spans="1:3" x14ac:dyDescent="0.35">
      <c r="B11" s="28" t="s">
        <v>26</v>
      </c>
      <c r="C11" s="29"/>
    </row>
    <row r="12" spans="1:3" x14ac:dyDescent="0.35">
      <c r="B12" s="28" t="s">
        <v>27</v>
      </c>
      <c r="C12" s="29"/>
    </row>
    <row r="13" spans="1:3" x14ac:dyDescent="0.35">
      <c r="C13" s="2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B5FF2-D47A-42A2-B9F7-7C320B712897}">
  <sheetPr codeName="Hoja2">
    <tabColor theme="4" tint="0.79998168889431442"/>
  </sheetPr>
  <dimension ref="A1:B17"/>
  <sheetViews>
    <sheetView workbookViewId="0">
      <selection activeCell="G7" sqref="G7"/>
    </sheetView>
  </sheetViews>
  <sheetFormatPr baseColWidth="10" defaultRowHeight="14.5" x14ac:dyDescent="0.35"/>
  <cols>
    <col min="1" max="1" width="15.7265625" style="64" bestFit="1" customWidth="1"/>
    <col min="2" max="2" width="9.90625" style="64" customWidth="1"/>
    <col min="3" max="16384" width="10.90625" style="64"/>
  </cols>
  <sheetData>
    <row r="1" spans="1:2" x14ac:dyDescent="0.35">
      <c r="A1" s="63" t="s">
        <v>5</v>
      </c>
      <c r="B1" s="63" t="s">
        <v>1</v>
      </c>
    </row>
    <row r="2" spans="1:2" x14ac:dyDescent="0.35">
      <c r="A2" s="64" t="s">
        <v>7</v>
      </c>
      <c r="B2" s="64" t="s">
        <v>6</v>
      </c>
    </row>
    <row r="3" spans="1:2" x14ac:dyDescent="0.35">
      <c r="A3" s="64" t="s">
        <v>8</v>
      </c>
      <c r="B3" s="64" t="s">
        <v>6</v>
      </c>
    </row>
    <row r="4" spans="1:2" x14ac:dyDescent="0.35">
      <c r="A4" s="64" t="s">
        <v>9</v>
      </c>
      <c r="B4" s="64" t="s">
        <v>6</v>
      </c>
    </row>
    <row r="5" spans="1:2" x14ac:dyDescent="0.35">
      <c r="A5" s="64" t="s">
        <v>3</v>
      </c>
      <c r="B5" s="64" t="s">
        <v>6</v>
      </c>
    </row>
    <row r="6" spans="1:2" x14ac:dyDescent="0.35">
      <c r="A6" s="64" t="s">
        <v>159</v>
      </c>
      <c r="B6" s="64" t="s">
        <v>6</v>
      </c>
    </row>
    <row r="7" spans="1:2" x14ac:dyDescent="0.35">
      <c r="A7" s="64" t="s">
        <v>161</v>
      </c>
      <c r="B7" s="64" t="s">
        <v>6</v>
      </c>
    </row>
    <row r="8" spans="1:2" x14ac:dyDescent="0.35">
      <c r="A8" s="64" t="s">
        <v>160</v>
      </c>
      <c r="B8" s="64" t="s">
        <v>6</v>
      </c>
    </row>
    <row r="9" spans="1:2" x14ac:dyDescent="0.35">
      <c r="A9" s="64" t="s">
        <v>10</v>
      </c>
      <c r="B9" s="64" t="s">
        <v>6</v>
      </c>
    </row>
    <row r="10" spans="1:2" x14ac:dyDescent="0.35">
      <c r="A10" s="64" t="s">
        <v>11</v>
      </c>
      <c r="B10" s="64" t="s">
        <v>6</v>
      </c>
    </row>
    <row r="11" spans="1:2" x14ac:dyDescent="0.35">
      <c r="A11" s="64" t="s">
        <v>4</v>
      </c>
      <c r="B11" s="64" t="s">
        <v>6</v>
      </c>
    </row>
    <row r="12" spans="1:2" x14ac:dyDescent="0.35">
      <c r="A12" s="64" t="s">
        <v>78</v>
      </c>
      <c r="B12" s="64" t="s">
        <v>6</v>
      </c>
    </row>
    <row r="13" spans="1:2" x14ac:dyDescent="0.35">
      <c r="A13" s="64" t="s">
        <v>88</v>
      </c>
      <c r="B13" s="64" t="s">
        <v>6</v>
      </c>
    </row>
    <row r="14" spans="1:2" x14ac:dyDescent="0.35">
      <c r="A14" s="64" t="s">
        <v>130</v>
      </c>
      <c r="B14" s="64" t="s">
        <v>6</v>
      </c>
    </row>
    <row r="15" spans="1:2" x14ac:dyDescent="0.35">
      <c r="A15" s="64" t="s">
        <v>131</v>
      </c>
      <c r="B15" s="64" t="s">
        <v>6</v>
      </c>
    </row>
    <row r="16" spans="1:2" x14ac:dyDescent="0.35">
      <c r="A16" s="64" t="s">
        <v>175</v>
      </c>
      <c r="B16" s="64" t="s">
        <v>6</v>
      </c>
    </row>
    <row r="17" spans="1:2" x14ac:dyDescent="0.35">
      <c r="A17" s="64" t="s">
        <v>176</v>
      </c>
      <c r="B17" s="64" t="s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C3D5D-6511-4609-B162-ADBED06D7AFD}">
  <sheetPr>
    <tabColor theme="4" tint="0.79998168889431442"/>
  </sheetPr>
  <dimension ref="A1:H18"/>
  <sheetViews>
    <sheetView workbookViewId="0">
      <selection activeCell="E20" sqref="E20"/>
    </sheetView>
  </sheetViews>
  <sheetFormatPr baseColWidth="10" defaultRowHeight="14.5" x14ac:dyDescent="0.35"/>
  <cols>
    <col min="1" max="1" width="25.1796875" style="64" customWidth="1"/>
    <col min="2" max="16384" width="10.90625" style="64"/>
  </cols>
  <sheetData>
    <row r="1" spans="1:8" x14ac:dyDescent="0.35">
      <c r="A1" s="90" t="s">
        <v>5</v>
      </c>
      <c r="B1" s="90" t="s">
        <v>0</v>
      </c>
      <c r="C1" s="90" t="s">
        <v>1</v>
      </c>
      <c r="D1" s="90" t="s">
        <v>83</v>
      </c>
      <c r="E1" s="90" t="s">
        <v>84</v>
      </c>
    </row>
    <row r="2" spans="1:8" x14ac:dyDescent="0.35">
      <c r="A2" s="65" t="s">
        <v>30</v>
      </c>
      <c r="B2" s="64" t="s">
        <v>7</v>
      </c>
      <c r="C2" s="64" t="s">
        <v>6</v>
      </c>
      <c r="D2" s="64">
        <v>-3.7038000000000002</v>
      </c>
      <c r="E2" s="64">
        <v>40.416800000000002</v>
      </c>
    </row>
    <row r="3" spans="1:8" x14ac:dyDescent="0.35">
      <c r="A3" s="65" t="s">
        <v>31</v>
      </c>
      <c r="B3" s="64" t="s">
        <v>2</v>
      </c>
      <c r="C3" s="64" t="s">
        <v>6</v>
      </c>
      <c r="D3" s="64">
        <v>-3.7038000000000002</v>
      </c>
      <c r="E3" s="64">
        <v>40.416800000000002</v>
      </c>
    </row>
    <row r="4" spans="1:8" x14ac:dyDescent="0.35">
      <c r="A4" s="65" t="s">
        <v>32</v>
      </c>
      <c r="B4" s="64" t="s">
        <v>3</v>
      </c>
      <c r="C4" s="64" t="s">
        <v>6</v>
      </c>
      <c r="D4" s="64">
        <v>-3.7038000000000002</v>
      </c>
      <c r="E4" s="64">
        <v>40.416800000000002</v>
      </c>
    </row>
    <row r="5" spans="1:8" x14ac:dyDescent="0.35">
      <c r="A5" s="65" t="s">
        <v>33</v>
      </c>
      <c r="B5" s="64" t="s">
        <v>4</v>
      </c>
      <c r="C5" s="64" t="s">
        <v>6</v>
      </c>
      <c r="D5" s="64">
        <v>-3.7038000000000002</v>
      </c>
      <c r="E5" s="64">
        <v>40.416800000000002</v>
      </c>
    </row>
    <row r="6" spans="1:8" x14ac:dyDescent="0.35">
      <c r="A6" s="91" t="s">
        <v>95</v>
      </c>
      <c r="B6" s="64" t="s">
        <v>7</v>
      </c>
      <c r="C6" s="64" t="s">
        <v>6</v>
      </c>
      <c r="D6" s="64">
        <v>-3.7038000000000002</v>
      </c>
      <c r="E6" s="64">
        <v>40.416800000000002</v>
      </c>
    </row>
    <row r="7" spans="1:8" x14ac:dyDescent="0.35">
      <c r="A7" s="91" t="s">
        <v>96</v>
      </c>
      <c r="B7" s="64" t="s">
        <v>4</v>
      </c>
      <c r="C7" s="64" t="s">
        <v>6</v>
      </c>
      <c r="D7" s="64">
        <v>-3.7038000000000002</v>
      </c>
      <c r="E7" s="64">
        <v>40.416800000000002</v>
      </c>
    </row>
    <row r="8" spans="1:8" x14ac:dyDescent="0.35">
      <c r="A8" s="67" t="s">
        <v>34</v>
      </c>
      <c r="B8" s="64" t="s">
        <v>7</v>
      </c>
      <c r="C8" s="64" t="s">
        <v>6</v>
      </c>
      <c r="D8" s="64">
        <v>-9.1393000000000004</v>
      </c>
      <c r="E8" s="64">
        <v>38.722299999999997</v>
      </c>
    </row>
    <row r="9" spans="1:8" x14ac:dyDescent="0.35">
      <c r="A9" s="67" t="s">
        <v>35</v>
      </c>
      <c r="B9" s="64" t="s">
        <v>2</v>
      </c>
      <c r="C9" s="64" t="s">
        <v>6</v>
      </c>
      <c r="D9" s="64">
        <v>-9.1393000000000004</v>
      </c>
      <c r="E9" s="64">
        <v>38.722299999999997</v>
      </c>
    </row>
    <row r="10" spans="1:8" x14ac:dyDescent="0.35">
      <c r="A10" s="67" t="s">
        <v>36</v>
      </c>
      <c r="B10" s="64" t="s">
        <v>3</v>
      </c>
      <c r="C10" s="64" t="s">
        <v>6</v>
      </c>
      <c r="D10" s="64">
        <v>-9.1393000000000004</v>
      </c>
      <c r="E10" s="64">
        <v>38.722299999999997</v>
      </c>
    </row>
    <row r="11" spans="1:8" x14ac:dyDescent="0.35">
      <c r="A11" s="67" t="s">
        <v>37</v>
      </c>
      <c r="B11" s="64" t="s">
        <v>4</v>
      </c>
      <c r="C11" s="64" t="s">
        <v>6</v>
      </c>
      <c r="D11" s="64">
        <v>-9.1393000000000004</v>
      </c>
      <c r="E11" s="64">
        <v>38.722299999999997</v>
      </c>
    </row>
    <row r="12" spans="1:8" x14ac:dyDescent="0.35">
      <c r="A12" s="92" t="s">
        <v>97</v>
      </c>
      <c r="B12" s="64" t="s">
        <v>7</v>
      </c>
      <c r="C12" s="64" t="s">
        <v>6</v>
      </c>
      <c r="D12" s="64">
        <v>-9.1393000000000004</v>
      </c>
      <c r="E12" s="64">
        <v>38.722299999999997</v>
      </c>
    </row>
    <row r="13" spans="1:8" x14ac:dyDescent="0.35">
      <c r="A13" s="92" t="s">
        <v>98</v>
      </c>
      <c r="B13" s="64" t="s">
        <v>4</v>
      </c>
      <c r="C13" s="64" t="s">
        <v>6</v>
      </c>
      <c r="D13" s="64">
        <v>-9.1393000000000004</v>
      </c>
      <c r="E13" s="64">
        <v>38.722299999999997</v>
      </c>
    </row>
    <row r="14" spans="1:8" x14ac:dyDescent="0.35">
      <c r="A14" s="73" t="s">
        <v>85</v>
      </c>
      <c r="B14" s="64" t="s">
        <v>7</v>
      </c>
      <c r="C14" s="64" t="s">
        <v>6</v>
      </c>
      <c r="D14" s="64">
        <v>2.3521999999999998</v>
      </c>
      <c r="E14" s="64">
        <v>48.8566</v>
      </c>
    </row>
    <row r="15" spans="1:8" x14ac:dyDescent="0.35">
      <c r="A15" s="73" t="s">
        <v>86</v>
      </c>
      <c r="B15" s="64" t="s">
        <v>4</v>
      </c>
      <c r="C15" s="64" t="s">
        <v>6</v>
      </c>
      <c r="D15" s="64">
        <v>4.3521999999999998</v>
      </c>
      <c r="E15" s="64">
        <v>48.8566</v>
      </c>
    </row>
    <row r="16" spans="1:8" x14ac:dyDescent="0.35">
      <c r="A16" s="73" t="s">
        <v>104</v>
      </c>
      <c r="B16" s="64" t="s">
        <v>4</v>
      </c>
      <c r="C16" s="64" t="s">
        <v>6</v>
      </c>
      <c r="D16" s="64">
        <v>2.8521999999999998</v>
      </c>
      <c r="E16" s="64">
        <v>43.8566</v>
      </c>
      <c r="H16" s="64" t="s">
        <v>108</v>
      </c>
    </row>
    <row r="17" spans="1:5" x14ac:dyDescent="0.35">
      <c r="A17" s="73" t="s">
        <v>105</v>
      </c>
      <c r="B17" s="64" t="s">
        <v>4</v>
      </c>
      <c r="C17" s="64" t="s">
        <v>6</v>
      </c>
      <c r="D17" s="64">
        <v>-1.3522000000000001</v>
      </c>
      <c r="E17" s="64">
        <v>45.8566</v>
      </c>
    </row>
    <row r="18" spans="1:5" x14ac:dyDescent="0.35">
      <c r="A18" s="93" t="s">
        <v>99</v>
      </c>
      <c r="B18" s="64" t="s">
        <v>4</v>
      </c>
      <c r="C18" s="64" t="s">
        <v>6</v>
      </c>
      <c r="D18" s="64">
        <v>-6.84</v>
      </c>
      <c r="E18" s="64">
        <v>34.020000000000003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26B25-9C89-4493-B4E6-04045461670B}">
  <sheetPr>
    <tabColor theme="4" tint="0.79998168889431442"/>
  </sheetPr>
  <dimension ref="A1:F34"/>
  <sheetViews>
    <sheetView workbookViewId="0">
      <selection activeCell="D16" sqref="D16"/>
    </sheetView>
  </sheetViews>
  <sheetFormatPr baseColWidth="10" defaultRowHeight="14.5" x14ac:dyDescent="0.35"/>
  <cols>
    <col min="1" max="1" width="29.1796875" style="64" bestFit="1" customWidth="1"/>
    <col min="2" max="2" width="26.6328125" style="64" customWidth="1"/>
    <col min="3" max="3" width="10.90625" style="64"/>
    <col min="4" max="4" width="13.08984375" style="64" bestFit="1" customWidth="1"/>
    <col min="5" max="5" width="15.7265625" style="64" bestFit="1" customWidth="1"/>
    <col min="6" max="10" width="10.90625" style="64"/>
    <col min="11" max="11" width="11.7265625" style="64" customWidth="1"/>
    <col min="12" max="16384" width="10.90625" style="64"/>
  </cols>
  <sheetData>
    <row r="1" spans="1:6" x14ac:dyDescent="0.35">
      <c r="A1" s="63" t="s">
        <v>5</v>
      </c>
      <c r="B1" s="63" t="s">
        <v>15</v>
      </c>
      <c r="C1" s="63" t="s">
        <v>12</v>
      </c>
      <c r="D1" s="63" t="s">
        <v>14</v>
      </c>
      <c r="E1" s="63" t="s">
        <v>0</v>
      </c>
      <c r="F1" s="63" t="s">
        <v>1</v>
      </c>
    </row>
    <row r="2" spans="1:6" x14ac:dyDescent="0.35">
      <c r="A2" s="65" t="s">
        <v>138</v>
      </c>
      <c r="B2" s="64" t="s">
        <v>30</v>
      </c>
      <c r="C2" s="64">
        <v>83000</v>
      </c>
      <c r="D2" s="64">
        <v>0</v>
      </c>
      <c r="E2" s="64" t="s">
        <v>159</v>
      </c>
      <c r="F2" s="64" t="s">
        <v>6</v>
      </c>
    </row>
    <row r="3" spans="1:6" x14ac:dyDescent="0.35">
      <c r="A3" s="65" t="s">
        <v>139</v>
      </c>
      <c r="B3" s="64" t="s">
        <v>30</v>
      </c>
      <c r="C3" s="64">
        <v>4805</v>
      </c>
      <c r="D3" s="64">
        <v>0</v>
      </c>
      <c r="E3" s="64" t="s">
        <v>161</v>
      </c>
      <c r="F3" s="64" t="s">
        <v>6</v>
      </c>
    </row>
    <row r="4" spans="1:6" x14ac:dyDescent="0.35">
      <c r="A4" s="65" t="s">
        <v>140</v>
      </c>
      <c r="B4" s="64" t="s">
        <v>30</v>
      </c>
      <c r="C4" s="64">
        <v>30000</v>
      </c>
      <c r="D4" s="64">
        <v>0</v>
      </c>
      <c r="E4" s="64" t="s">
        <v>160</v>
      </c>
      <c r="F4" s="64" t="s">
        <v>6</v>
      </c>
    </row>
    <row r="5" spans="1:6" x14ac:dyDescent="0.35">
      <c r="A5" s="65" t="s">
        <v>46</v>
      </c>
      <c r="B5" s="64" t="s">
        <v>30</v>
      </c>
      <c r="C5" s="64">
        <v>91799.794460000019</v>
      </c>
      <c r="D5" s="64">
        <v>0</v>
      </c>
      <c r="E5" s="64" t="s">
        <v>9</v>
      </c>
      <c r="F5" s="64" t="s">
        <v>6</v>
      </c>
    </row>
    <row r="6" spans="1:6" x14ac:dyDescent="0.35">
      <c r="A6" s="65" t="s">
        <v>47</v>
      </c>
      <c r="B6" s="64" t="s">
        <v>30</v>
      </c>
      <c r="C6" s="64">
        <f>2462.66</f>
        <v>2462.66</v>
      </c>
      <c r="D6" s="64">
        <v>6</v>
      </c>
      <c r="E6" s="64" t="s">
        <v>11</v>
      </c>
      <c r="F6" s="64" t="s">
        <v>6</v>
      </c>
    </row>
    <row r="7" spans="1:6" x14ac:dyDescent="0.35">
      <c r="A7" s="65" t="s">
        <v>48</v>
      </c>
      <c r="B7" s="64" t="s">
        <v>32</v>
      </c>
      <c r="C7" s="64">
        <f>1*10^14</f>
        <v>100000000000000</v>
      </c>
      <c r="D7" s="64">
        <v>0</v>
      </c>
      <c r="E7" s="64" t="s">
        <v>3</v>
      </c>
      <c r="F7" s="64" t="s">
        <v>6</v>
      </c>
    </row>
    <row r="8" spans="1:6" x14ac:dyDescent="0.35">
      <c r="A8" s="65" t="s">
        <v>49</v>
      </c>
      <c r="B8" s="64" t="s">
        <v>30</v>
      </c>
      <c r="C8" s="64">
        <v>3117.91912</v>
      </c>
      <c r="D8" s="64">
        <v>0</v>
      </c>
      <c r="E8" s="64" t="s">
        <v>8</v>
      </c>
      <c r="F8" s="64" t="s">
        <v>6</v>
      </c>
    </row>
    <row r="9" spans="1:6" x14ac:dyDescent="0.35">
      <c r="A9" s="64" t="s">
        <v>75</v>
      </c>
      <c r="B9" s="64" t="s">
        <v>95</v>
      </c>
      <c r="C9" s="64">
        <v>32600</v>
      </c>
      <c r="D9" s="64">
        <v>0</v>
      </c>
      <c r="E9" s="64" t="s">
        <v>131</v>
      </c>
      <c r="F9" s="64" t="s">
        <v>6</v>
      </c>
    </row>
    <row r="10" spans="1:6" x14ac:dyDescent="0.35">
      <c r="A10" s="66" t="s">
        <v>74</v>
      </c>
      <c r="B10" s="66" t="s">
        <v>96</v>
      </c>
      <c r="C10" s="66">
        <f>(37999*2)-C9</f>
        <v>43398</v>
      </c>
      <c r="D10" s="66">
        <v>0</v>
      </c>
      <c r="E10" s="66" t="s">
        <v>130</v>
      </c>
      <c r="F10" s="66" t="s">
        <v>6</v>
      </c>
    </row>
    <row r="11" spans="1:6" x14ac:dyDescent="0.35">
      <c r="A11" s="67" t="s">
        <v>141</v>
      </c>
      <c r="B11" s="64" t="s">
        <v>34</v>
      </c>
      <c r="C11" s="64">
        <v>14378.2</v>
      </c>
      <c r="D11" s="64">
        <v>0</v>
      </c>
      <c r="E11" s="64" t="s">
        <v>159</v>
      </c>
      <c r="F11" s="64" t="s">
        <v>6</v>
      </c>
    </row>
    <row r="12" spans="1:6" x14ac:dyDescent="0.35">
      <c r="A12" s="67" t="s">
        <v>142</v>
      </c>
      <c r="B12" s="64" t="s">
        <v>34</v>
      </c>
      <c r="C12" s="77">
        <v>9659.9</v>
      </c>
      <c r="D12" s="64">
        <v>0</v>
      </c>
      <c r="E12" s="64" t="s">
        <v>160</v>
      </c>
      <c r="F12" s="64" t="s">
        <v>6</v>
      </c>
    </row>
    <row r="13" spans="1:6" x14ac:dyDescent="0.35">
      <c r="A13" s="67" t="s">
        <v>173</v>
      </c>
      <c r="B13" s="64" t="s">
        <v>34</v>
      </c>
      <c r="C13" s="78">
        <v>11643.6</v>
      </c>
      <c r="D13" s="64">
        <v>0</v>
      </c>
      <c r="E13" s="64" t="s">
        <v>175</v>
      </c>
      <c r="F13" s="64" t="s">
        <v>6</v>
      </c>
    </row>
    <row r="14" spans="1:6" x14ac:dyDescent="0.35">
      <c r="A14" s="67" t="s">
        <v>174</v>
      </c>
      <c r="B14" s="64" t="s">
        <v>34</v>
      </c>
      <c r="C14" s="78">
        <v>646</v>
      </c>
      <c r="D14" s="64">
        <v>0</v>
      </c>
      <c r="E14" s="64" t="s">
        <v>176</v>
      </c>
      <c r="F14" s="64" t="s">
        <v>6</v>
      </c>
    </row>
    <row r="15" spans="1:6" x14ac:dyDescent="0.35">
      <c r="A15" s="67" t="s">
        <v>50</v>
      </c>
      <c r="B15" s="64" t="s">
        <v>34</v>
      </c>
      <c r="C15" s="77">
        <v>1607</v>
      </c>
      <c r="D15" s="68">
        <v>6</v>
      </c>
      <c r="E15" s="64" t="s">
        <v>11</v>
      </c>
      <c r="F15" s="64" t="s">
        <v>6</v>
      </c>
    </row>
    <row r="16" spans="1:6" x14ac:dyDescent="0.35">
      <c r="A16" s="67" t="s">
        <v>51</v>
      </c>
      <c r="B16" s="64" t="s">
        <v>36</v>
      </c>
      <c r="C16" s="64">
        <f>1*10^14</f>
        <v>100000000000000</v>
      </c>
      <c r="D16" s="64">
        <v>0</v>
      </c>
      <c r="E16" s="64" t="s">
        <v>3</v>
      </c>
      <c r="F16" s="64" t="s">
        <v>6</v>
      </c>
    </row>
    <row r="17" spans="1:6" x14ac:dyDescent="0.35">
      <c r="A17" s="67" t="s">
        <v>52</v>
      </c>
      <c r="B17" s="64" t="s">
        <v>34</v>
      </c>
      <c r="C17" s="64">
        <v>508.3</v>
      </c>
      <c r="D17" s="64">
        <v>0</v>
      </c>
      <c r="E17" s="64" t="s">
        <v>8</v>
      </c>
      <c r="F17" s="64" t="s">
        <v>6</v>
      </c>
    </row>
    <row r="18" spans="1:6" x14ac:dyDescent="0.35">
      <c r="A18" s="64" t="s">
        <v>77</v>
      </c>
      <c r="B18" s="64" t="s">
        <v>97</v>
      </c>
      <c r="C18" s="64">
        <v>13478</v>
      </c>
      <c r="D18" s="64">
        <v>0</v>
      </c>
      <c r="E18" s="64" t="s">
        <v>131</v>
      </c>
      <c r="F18" s="64" t="s">
        <v>6</v>
      </c>
    </row>
    <row r="19" spans="1:6" x14ac:dyDescent="0.35">
      <c r="A19" s="66" t="s">
        <v>76</v>
      </c>
      <c r="B19" s="66" t="s">
        <v>98</v>
      </c>
      <c r="C19" s="66">
        <f>22506.9-C18</f>
        <v>9028.9000000000015</v>
      </c>
      <c r="D19" s="66">
        <v>0</v>
      </c>
      <c r="E19" s="66" t="s">
        <v>130</v>
      </c>
      <c r="F19" s="66" t="s">
        <v>6</v>
      </c>
    </row>
    <row r="20" spans="1:6" x14ac:dyDescent="0.35">
      <c r="A20" s="69" t="s">
        <v>79</v>
      </c>
      <c r="B20" s="64" t="s">
        <v>30</v>
      </c>
      <c r="C20" s="64">
        <v>10000000</v>
      </c>
      <c r="D20" s="64">
        <v>10000</v>
      </c>
      <c r="E20" s="64" t="s">
        <v>78</v>
      </c>
      <c r="F20" s="64" t="s">
        <v>6</v>
      </c>
    </row>
    <row r="21" spans="1:6" x14ac:dyDescent="0.35">
      <c r="A21" s="69" t="s">
        <v>80</v>
      </c>
      <c r="B21" s="64" t="s">
        <v>34</v>
      </c>
      <c r="C21" s="64">
        <v>10000000</v>
      </c>
      <c r="D21" s="64">
        <v>10000</v>
      </c>
      <c r="E21" s="64" t="s">
        <v>78</v>
      </c>
      <c r="F21" s="64" t="s">
        <v>6</v>
      </c>
    </row>
    <row r="22" spans="1:6" x14ac:dyDescent="0.35">
      <c r="A22" s="69" t="s">
        <v>94</v>
      </c>
      <c r="B22" s="64" t="s">
        <v>85</v>
      </c>
      <c r="C22" s="64">
        <v>10000000</v>
      </c>
      <c r="D22" s="64">
        <v>10000</v>
      </c>
      <c r="E22" s="64" t="s">
        <v>78</v>
      </c>
      <c r="F22" s="64" t="s">
        <v>6</v>
      </c>
    </row>
    <row r="23" spans="1:6" x14ac:dyDescent="0.35">
      <c r="A23" s="69" t="s">
        <v>81</v>
      </c>
      <c r="B23" s="64" t="s">
        <v>33</v>
      </c>
      <c r="C23" s="64">
        <v>10000000</v>
      </c>
      <c r="D23" s="64">
        <v>3000</v>
      </c>
      <c r="E23" s="64" t="s">
        <v>78</v>
      </c>
      <c r="F23" s="64" t="s">
        <v>6</v>
      </c>
    </row>
    <row r="24" spans="1:6" x14ac:dyDescent="0.35">
      <c r="A24" s="69" t="s">
        <v>82</v>
      </c>
      <c r="B24" s="64" t="s">
        <v>37</v>
      </c>
      <c r="C24" s="64">
        <v>10000000</v>
      </c>
      <c r="D24" s="64">
        <v>2500</v>
      </c>
      <c r="E24" s="64" t="s">
        <v>78</v>
      </c>
      <c r="F24" s="64" t="s">
        <v>6</v>
      </c>
    </row>
    <row r="25" spans="1:6" x14ac:dyDescent="0.35">
      <c r="A25" s="69" t="s">
        <v>93</v>
      </c>
      <c r="B25" s="64" t="s">
        <v>86</v>
      </c>
      <c r="C25" s="64">
        <v>10000000</v>
      </c>
      <c r="D25" s="64">
        <v>2500</v>
      </c>
      <c r="E25" s="64" t="s">
        <v>78</v>
      </c>
      <c r="F25" s="64" t="s">
        <v>6</v>
      </c>
    </row>
    <row r="26" spans="1:6" x14ac:dyDescent="0.35">
      <c r="A26" s="69" t="s">
        <v>106</v>
      </c>
      <c r="B26" s="64" t="s">
        <v>104</v>
      </c>
      <c r="C26" s="64">
        <v>10000000</v>
      </c>
      <c r="D26" s="64">
        <v>2500</v>
      </c>
      <c r="E26" s="64" t="s">
        <v>78</v>
      </c>
      <c r="F26" s="64" t="s">
        <v>6</v>
      </c>
    </row>
    <row r="27" spans="1:6" x14ac:dyDescent="0.35">
      <c r="A27" s="70" t="s">
        <v>107</v>
      </c>
      <c r="B27" s="66" t="s">
        <v>105</v>
      </c>
      <c r="C27" s="66">
        <v>10000000</v>
      </c>
      <c r="D27" s="66">
        <v>2500</v>
      </c>
      <c r="E27" s="66" t="s">
        <v>78</v>
      </c>
      <c r="F27" s="66" t="s">
        <v>6</v>
      </c>
    </row>
    <row r="28" spans="1:6" x14ac:dyDescent="0.35">
      <c r="A28" s="71" t="s">
        <v>120</v>
      </c>
      <c r="B28" s="72" t="s">
        <v>85</v>
      </c>
      <c r="C28" s="72">
        <v>5000</v>
      </c>
      <c r="D28" s="72">
        <v>0</v>
      </c>
      <c r="E28" s="72" t="s">
        <v>7</v>
      </c>
      <c r="F28" s="72" t="s">
        <v>6</v>
      </c>
    </row>
    <row r="29" spans="1:6" x14ac:dyDescent="0.35">
      <c r="A29" s="73" t="s">
        <v>121</v>
      </c>
      <c r="B29" s="64" t="s">
        <v>105</v>
      </c>
      <c r="C29" s="64">
        <v>1553.672292</v>
      </c>
      <c r="D29" s="64">
        <v>0</v>
      </c>
      <c r="E29" s="64" t="s">
        <v>4</v>
      </c>
      <c r="F29" s="64" t="s">
        <v>6</v>
      </c>
    </row>
    <row r="30" spans="1:6" x14ac:dyDescent="0.35">
      <c r="A30" s="74" t="s">
        <v>122</v>
      </c>
      <c r="B30" s="66" t="s">
        <v>86</v>
      </c>
      <c r="C30" s="66">
        <v>6779.6610170000004</v>
      </c>
      <c r="D30" s="66">
        <v>0</v>
      </c>
      <c r="E30" s="66" t="s">
        <v>4</v>
      </c>
      <c r="F30" s="66" t="s">
        <v>6</v>
      </c>
    </row>
    <row r="31" spans="1:6" x14ac:dyDescent="0.35">
      <c r="A31" s="75" t="s">
        <v>100</v>
      </c>
      <c r="B31" s="72" t="s">
        <v>99</v>
      </c>
      <c r="C31" s="72">
        <v>1517.8</v>
      </c>
      <c r="D31" s="72">
        <v>0</v>
      </c>
      <c r="E31" s="72" t="s">
        <v>4</v>
      </c>
      <c r="F31" s="72" t="s">
        <v>6</v>
      </c>
    </row>
    <row r="32" spans="1:6" x14ac:dyDescent="0.35">
      <c r="A32" s="76" t="s">
        <v>101</v>
      </c>
      <c r="B32" s="66" t="s">
        <v>99</v>
      </c>
      <c r="C32" s="66">
        <v>1422.3673200000001</v>
      </c>
      <c r="D32" s="66">
        <f>73.7</f>
        <v>73.7</v>
      </c>
      <c r="E32" s="66" t="s">
        <v>4</v>
      </c>
      <c r="F32" s="66" t="s">
        <v>6</v>
      </c>
    </row>
    <row r="33" spans="1:6" x14ac:dyDescent="0.35">
      <c r="A33" s="71" t="s">
        <v>114</v>
      </c>
      <c r="B33" s="72" t="s">
        <v>104</v>
      </c>
      <c r="C33" s="72">
        <v>1241</v>
      </c>
      <c r="D33" s="72">
        <v>0</v>
      </c>
      <c r="E33" s="72" t="s">
        <v>4</v>
      </c>
      <c r="F33" s="72" t="s">
        <v>6</v>
      </c>
    </row>
    <row r="34" spans="1:6" x14ac:dyDescent="0.35">
      <c r="A34" s="74" t="s">
        <v>115</v>
      </c>
      <c r="B34" s="66" t="s">
        <v>105</v>
      </c>
      <c r="C34" s="66">
        <v>331</v>
      </c>
      <c r="D34" s="66">
        <v>0</v>
      </c>
      <c r="E34" s="66" t="s">
        <v>4</v>
      </c>
      <c r="F34" s="66" t="s">
        <v>6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CCCA4-8C87-470D-8C51-F78090F52F72}">
  <sheetPr>
    <tabColor theme="4" tint="0.79998168889431442"/>
  </sheetPr>
  <dimension ref="A1:K26"/>
  <sheetViews>
    <sheetView zoomScaleNormal="100" workbookViewId="0">
      <selection activeCell="L7" sqref="L7"/>
    </sheetView>
  </sheetViews>
  <sheetFormatPr baseColWidth="10" defaultRowHeight="14.5" x14ac:dyDescent="0.35"/>
  <cols>
    <col min="1" max="1" width="42.26953125" style="64" customWidth="1"/>
    <col min="2" max="2" width="24.1796875" style="64" customWidth="1"/>
    <col min="3" max="3" width="25.54296875" style="64" customWidth="1"/>
    <col min="4" max="4" width="13.90625" style="64" customWidth="1"/>
    <col min="5" max="5" width="12" style="64" bestFit="1" customWidth="1"/>
    <col min="6" max="11" width="13.90625" style="64" customWidth="1"/>
    <col min="12" max="16384" width="10.90625" style="64"/>
  </cols>
  <sheetData>
    <row r="1" spans="1:11" x14ac:dyDescent="0.35">
      <c r="A1" s="94" t="s">
        <v>5</v>
      </c>
      <c r="B1" s="94" t="s">
        <v>67</v>
      </c>
      <c r="C1" s="94" t="s">
        <v>68</v>
      </c>
      <c r="D1" s="94" t="s">
        <v>12</v>
      </c>
      <c r="E1" s="94" t="s">
        <v>165</v>
      </c>
      <c r="F1" s="94" t="s">
        <v>16</v>
      </c>
      <c r="G1" s="94" t="s">
        <v>14</v>
      </c>
      <c r="H1" s="94" t="s">
        <v>18</v>
      </c>
      <c r="I1" s="94" t="s">
        <v>19</v>
      </c>
      <c r="J1" s="94" t="s">
        <v>0</v>
      </c>
      <c r="K1" s="94" t="s">
        <v>1</v>
      </c>
    </row>
    <row r="2" spans="1:11" x14ac:dyDescent="0.35">
      <c r="A2" s="65" t="s">
        <v>38</v>
      </c>
      <c r="B2" s="64" t="s">
        <v>32</v>
      </c>
      <c r="C2" s="64" t="s">
        <v>30</v>
      </c>
      <c r="D2" s="95">
        <v>6195.8</v>
      </c>
      <c r="E2" s="95"/>
      <c r="F2" s="64">
        <v>0.57999999999999996</v>
      </c>
      <c r="G2" s="96">
        <v>146.19</v>
      </c>
      <c r="J2" s="64" t="s">
        <v>3</v>
      </c>
      <c r="K2" s="64" t="s">
        <v>6</v>
      </c>
    </row>
    <row r="3" spans="1:11" x14ac:dyDescent="0.35">
      <c r="A3" s="65" t="s">
        <v>39</v>
      </c>
      <c r="B3" s="64" t="s">
        <v>31</v>
      </c>
      <c r="C3" s="64" t="s">
        <v>30</v>
      </c>
      <c r="D3" s="95">
        <f>25140.2664733333</f>
        <v>25140.2664733333</v>
      </c>
      <c r="E3" s="95"/>
      <c r="F3" s="64">
        <v>0.85</v>
      </c>
      <c r="G3" s="64">
        <v>0</v>
      </c>
      <c r="J3" s="64" t="s">
        <v>8</v>
      </c>
      <c r="K3" s="64" t="s">
        <v>6</v>
      </c>
    </row>
    <row r="4" spans="1:11" x14ac:dyDescent="0.35">
      <c r="A4" s="65" t="s">
        <v>40</v>
      </c>
      <c r="B4" s="64" t="s">
        <v>30</v>
      </c>
      <c r="C4" s="64" t="s">
        <v>31</v>
      </c>
      <c r="D4" s="95">
        <f>13320.7506329652</f>
        <v>13320.750632965201</v>
      </c>
      <c r="E4" s="95"/>
      <c r="F4" s="64">
        <v>0.75</v>
      </c>
      <c r="G4" s="64">
        <v>0</v>
      </c>
      <c r="J4" s="64" t="s">
        <v>7</v>
      </c>
      <c r="K4" s="64" t="s">
        <v>6</v>
      </c>
    </row>
    <row r="5" spans="1:11" x14ac:dyDescent="0.35">
      <c r="A5" s="65" t="s">
        <v>41</v>
      </c>
      <c r="B5" s="64" t="s">
        <v>30</v>
      </c>
      <c r="C5" s="64" t="s">
        <v>33</v>
      </c>
      <c r="D5" s="95">
        <v>15500</v>
      </c>
      <c r="E5" s="95"/>
      <c r="F5" s="64">
        <v>0.7</v>
      </c>
      <c r="G5" s="64">
        <v>0</v>
      </c>
      <c r="J5" s="64" t="s">
        <v>4</v>
      </c>
      <c r="K5" s="64" t="s">
        <v>6</v>
      </c>
    </row>
    <row r="6" spans="1:11" x14ac:dyDescent="0.35">
      <c r="A6" s="64" t="s">
        <v>74</v>
      </c>
      <c r="B6" s="64" t="s">
        <v>96</v>
      </c>
      <c r="C6" s="64" t="s">
        <v>33</v>
      </c>
      <c r="D6" s="95">
        <v>32600</v>
      </c>
      <c r="E6" s="95"/>
      <c r="F6" s="64">
        <v>0.7</v>
      </c>
      <c r="G6" s="64">
        <v>0</v>
      </c>
      <c r="J6" s="64" t="s">
        <v>4</v>
      </c>
      <c r="K6" s="64" t="s">
        <v>6</v>
      </c>
    </row>
    <row r="7" spans="1:11" x14ac:dyDescent="0.35">
      <c r="A7" s="64" t="s">
        <v>75</v>
      </c>
      <c r="B7" s="64" t="s">
        <v>95</v>
      </c>
      <c r="C7" s="64" t="s">
        <v>30</v>
      </c>
      <c r="D7" s="64">
        <v>100000</v>
      </c>
      <c r="F7" s="64">
        <v>1</v>
      </c>
      <c r="G7" s="64">
        <v>0</v>
      </c>
      <c r="J7" s="64" t="s">
        <v>7</v>
      </c>
      <c r="K7" s="64" t="s">
        <v>6</v>
      </c>
    </row>
    <row r="8" spans="1:11" x14ac:dyDescent="0.35">
      <c r="A8" s="67" t="s">
        <v>42</v>
      </c>
      <c r="B8" s="64" t="s">
        <v>36</v>
      </c>
      <c r="C8" s="64" t="s">
        <v>34</v>
      </c>
      <c r="D8" s="95">
        <v>1357</v>
      </c>
      <c r="E8" s="95"/>
      <c r="F8" s="64">
        <v>0.57999999999999996</v>
      </c>
      <c r="G8" s="96">
        <v>146.19</v>
      </c>
      <c r="J8" s="64" t="s">
        <v>3</v>
      </c>
      <c r="K8" s="64" t="s">
        <v>6</v>
      </c>
    </row>
    <row r="9" spans="1:11" x14ac:dyDescent="0.35">
      <c r="A9" s="67" t="s">
        <v>43</v>
      </c>
      <c r="B9" s="64" t="s">
        <v>35</v>
      </c>
      <c r="C9" s="64" t="s">
        <v>34</v>
      </c>
      <c r="D9" s="95">
        <v>3135</v>
      </c>
      <c r="E9" s="95"/>
      <c r="F9" s="64">
        <v>0.85</v>
      </c>
      <c r="G9" s="64">
        <v>0</v>
      </c>
      <c r="J9" s="64" t="s">
        <v>8</v>
      </c>
      <c r="K9" s="64" t="s">
        <v>6</v>
      </c>
    </row>
    <row r="10" spans="1:11" x14ac:dyDescent="0.35">
      <c r="A10" s="67" t="s">
        <v>44</v>
      </c>
      <c r="B10" s="64" t="s">
        <v>34</v>
      </c>
      <c r="C10" s="64" t="s">
        <v>35</v>
      </c>
      <c r="D10" s="95">
        <v>3837</v>
      </c>
      <c r="E10" s="95"/>
      <c r="F10" s="64">
        <v>0.75</v>
      </c>
      <c r="G10" s="64">
        <v>0</v>
      </c>
      <c r="J10" s="64" t="s">
        <v>7</v>
      </c>
      <c r="K10" s="64" t="s">
        <v>6</v>
      </c>
    </row>
    <row r="11" spans="1:11" x14ac:dyDescent="0.35">
      <c r="A11" s="67" t="s">
        <v>45</v>
      </c>
      <c r="B11" s="64" t="s">
        <v>34</v>
      </c>
      <c r="C11" s="64" t="s">
        <v>37</v>
      </c>
      <c r="D11" s="95">
        <v>0</v>
      </c>
      <c r="E11" s="95"/>
      <c r="F11" s="95">
        <v>0.7</v>
      </c>
      <c r="G11" s="64">
        <v>0</v>
      </c>
      <c r="J11" s="64" t="s">
        <v>4</v>
      </c>
      <c r="K11" s="64" t="s">
        <v>6</v>
      </c>
    </row>
    <row r="12" spans="1:11" x14ac:dyDescent="0.35">
      <c r="A12" s="64" t="s">
        <v>76</v>
      </c>
      <c r="B12" s="64" t="s">
        <v>98</v>
      </c>
      <c r="C12" s="64" t="s">
        <v>37</v>
      </c>
      <c r="D12" s="95">
        <v>13478</v>
      </c>
      <c r="E12" s="95"/>
      <c r="F12" s="95">
        <v>0.7</v>
      </c>
      <c r="G12" s="64">
        <v>0</v>
      </c>
      <c r="J12" s="64" t="s">
        <v>4</v>
      </c>
      <c r="K12" s="64" t="s">
        <v>6</v>
      </c>
    </row>
    <row r="13" spans="1:11" x14ac:dyDescent="0.35">
      <c r="A13" s="64" t="s">
        <v>77</v>
      </c>
      <c r="B13" s="64" t="s">
        <v>97</v>
      </c>
      <c r="C13" s="64" t="s">
        <v>34</v>
      </c>
      <c r="D13" s="64">
        <v>100000</v>
      </c>
      <c r="F13" s="64">
        <v>1</v>
      </c>
      <c r="G13" s="64">
        <v>0</v>
      </c>
      <c r="J13" s="64" t="s">
        <v>7</v>
      </c>
      <c r="K13" s="64" t="s">
        <v>6</v>
      </c>
    </row>
    <row r="14" spans="1:11" x14ac:dyDescent="0.35">
      <c r="A14" s="97" t="s">
        <v>70</v>
      </c>
      <c r="B14" s="64" t="s">
        <v>30</v>
      </c>
      <c r="C14" s="64" t="s">
        <v>34</v>
      </c>
      <c r="D14" s="95">
        <v>4200</v>
      </c>
      <c r="E14" s="95"/>
      <c r="F14" s="98">
        <v>1</v>
      </c>
      <c r="G14" s="64">
        <v>0.1</v>
      </c>
      <c r="J14" s="64" t="s">
        <v>7</v>
      </c>
      <c r="K14" s="64" t="s">
        <v>6</v>
      </c>
    </row>
    <row r="15" spans="1:11" x14ac:dyDescent="0.35">
      <c r="A15" s="99" t="s">
        <v>71</v>
      </c>
      <c r="B15" s="64" t="s">
        <v>33</v>
      </c>
      <c r="C15" s="64" t="s">
        <v>37</v>
      </c>
      <c r="D15" s="95">
        <v>2860.169492</v>
      </c>
      <c r="E15" s="95"/>
      <c r="F15" s="98">
        <v>1</v>
      </c>
      <c r="G15" s="64">
        <v>0.1</v>
      </c>
      <c r="J15" s="64" t="s">
        <v>4</v>
      </c>
      <c r="K15" s="64" t="s">
        <v>6</v>
      </c>
    </row>
    <row r="16" spans="1:11" x14ac:dyDescent="0.35">
      <c r="A16" s="97" t="s">
        <v>72</v>
      </c>
      <c r="B16" s="64" t="s">
        <v>34</v>
      </c>
      <c r="C16" s="64" t="s">
        <v>30</v>
      </c>
      <c r="D16" s="95">
        <v>3500</v>
      </c>
      <c r="E16" s="95"/>
      <c r="F16" s="98">
        <v>1</v>
      </c>
      <c r="G16" s="64">
        <v>0.1</v>
      </c>
      <c r="J16" s="64" t="s">
        <v>7</v>
      </c>
      <c r="K16" s="64" t="s">
        <v>6</v>
      </c>
    </row>
    <row r="17" spans="1:11" x14ac:dyDescent="0.35">
      <c r="A17" s="99" t="s">
        <v>73</v>
      </c>
      <c r="B17" s="64" t="s">
        <v>37</v>
      </c>
      <c r="C17" s="64" t="s">
        <v>33</v>
      </c>
      <c r="D17" s="95">
        <v>2860.169492</v>
      </c>
      <c r="E17" s="95"/>
      <c r="F17" s="98">
        <v>1</v>
      </c>
      <c r="G17" s="64">
        <v>0.1</v>
      </c>
      <c r="J17" s="64" t="s">
        <v>4</v>
      </c>
      <c r="K17" s="64" t="s">
        <v>6</v>
      </c>
    </row>
    <row r="18" spans="1:11" x14ac:dyDescent="0.35">
      <c r="A18" s="97" t="s">
        <v>87</v>
      </c>
      <c r="B18" s="64" t="s">
        <v>30</v>
      </c>
      <c r="C18" s="64" t="s">
        <v>85</v>
      </c>
      <c r="D18" s="95">
        <v>5001</v>
      </c>
      <c r="E18" s="95"/>
      <c r="F18" s="98">
        <v>1</v>
      </c>
      <c r="G18" s="64">
        <v>0.1</v>
      </c>
      <c r="J18" s="64" t="s">
        <v>7</v>
      </c>
      <c r="K18" s="64" t="s">
        <v>6</v>
      </c>
    </row>
    <row r="19" spans="1:11" x14ac:dyDescent="0.35">
      <c r="A19" s="97" t="s">
        <v>91</v>
      </c>
      <c r="B19" s="64" t="s">
        <v>85</v>
      </c>
      <c r="C19" s="64" t="s">
        <v>30</v>
      </c>
      <c r="D19" s="95">
        <v>5001</v>
      </c>
      <c r="E19" s="95"/>
      <c r="F19" s="98">
        <v>1</v>
      </c>
      <c r="G19" s="64">
        <v>0.1</v>
      </c>
      <c r="J19" s="64" t="s">
        <v>7</v>
      </c>
      <c r="K19" s="64" t="s">
        <v>6</v>
      </c>
    </row>
    <row r="20" spans="1:11" x14ac:dyDescent="0.35">
      <c r="A20" s="99" t="s">
        <v>110</v>
      </c>
      <c r="B20" s="64" t="s">
        <v>33</v>
      </c>
      <c r="C20" s="64" t="s">
        <v>105</v>
      </c>
      <c r="D20" s="95">
        <v>5014.1242920000004</v>
      </c>
      <c r="E20" s="95"/>
      <c r="F20" s="98">
        <v>1</v>
      </c>
      <c r="G20" s="64">
        <v>0.1</v>
      </c>
      <c r="H20" s="100"/>
      <c r="I20" s="100"/>
      <c r="J20" s="64" t="s">
        <v>4</v>
      </c>
      <c r="K20" s="64" t="s">
        <v>6</v>
      </c>
    </row>
    <row r="21" spans="1:11" x14ac:dyDescent="0.35">
      <c r="A21" s="99" t="s">
        <v>109</v>
      </c>
      <c r="B21" s="64" t="s">
        <v>33</v>
      </c>
      <c r="C21" s="64" t="s">
        <v>104</v>
      </c>
      <c r="D21" s="95">
        <v>7627.1186459999999</v>
      </c>
      <c r="E21" s="95"/>
      <c r="F21" s="98">
        <v>1</v>
      </c>
      <c r="G21" s="64">
        <v>0.1</v>
      </c>
      <c r="H21" s="100"/>
      <c r="I21" s="100"/>
      <c r="J21" s="64" t="s">
        <v>4</v>
      </c>
      <c r="K21" s="64" t="s">
        <v>6</v>
      </c>
    </row>
    <row r="22" spans="1:11" x14ac:dyDescent="0.35">
      <c r="A22" s="99" t="s">
        <v>118</v>
      </c>
      <c r="B22" s="64" t="s">
        <v>104</v>
      </c>
      <c r="C22" s="64" t="s">
        <v>33</v>
      </c>
      <c r="D22" s="95">
        <v>7627.1186459999999</v>
      </c>
      <c r="E22" s="95"/>
      <c r="F22" s="98">
        <v>1</v>
      </c>
      <c r="G22" s="64">
        <v>0.1</v>
      </c>
      <c r="H22" s="100"/>
      <c r="I22" s="100"/>
      <c r="J22" s="64" t="s">
        <v>4</v>
      </c>
      <c r="K22" s="64" t="s">
        <v>6</v>
      </c>
    </row>
    <row r="23" spans="1:11" x14ac:dyDescent="0.35">
      <c r="A23" s="99" t="s">
        <v>111</v>
      </c>
      <c r="B23" s="64" t="s">
        <v>105</v>
      </c>
      <c r="C23" s="64" t="s">
        <v>104</v>
      </c>
      <c r="D23" s="95">
        <v>1553.672292</v>
      </c>
      <c r="E23" s="95"/>
      <c r="F23" s="98">
        <v>1</v>
      </c>
      <c r="G23" s="64">
        <v>0.1</v>
      </c>
      <c r="H23" s="100"/>
      <c r="I23" s="100"/>
      <c r="J23" s="64" t="s">
        <v>4</v>
      </c>
      <c r="K23" s="64" t="s">
        <v>6</v>
      </c>
    </row>
    <row r="24" spans="1:11" x14ac:dyDescent="0.35">
      <c r="A24" s="99" t="s">
        <v>112</v>
      </c>
      <c r="B24" s="64" t="s">
        <v>104</v>
      </c>
      <c r="C24" s="64" t="s">
        <v>86</v>
      </c>
      <c r="D24" s="95">
        <v>6780.6610170000004</v>
      </c>
      <c r="E24" s="95"/>
      <c r="F24" s="98">
        <v>1</v>
      </c>
      <c r="G24" s="64">
        <v>0.1</v>
      </c>
      <c r="H24" s="100"/>
      <c r="I24" s="100"/>
      <c r="J24" s="64" t="s">
        <v>4</v>
      </c>
      <c r="K24" s="64" t="s">
        <v>6</v>
      </c>
    </row>
    <row r="25" spans="1:11" x14ac:dyDescent="0.35">
      <c r="A25" s="99" t="s">
        <v>113</v>
      </c>
      <c r="B25" s="64" t="s">
        <v>86</v>
      </c>
      <c r="C25" s="64" t="s">
        <v>104</v>
      </c>
      <c r="D25" s="95">
        <v>6780.6610170000004</v>
      </c>
      <c r="E25" s="95"/>
      <c r="F25" s="98">
        <v>1</v>
      </c>
      <c r="G25" s="64">
        <v>0.1</v>
      </c>
      <c r="H25" s="100"/>
      <c r="I25" s="100"/>
      <c r="J25" s="64" t="s">
        <v>4</v>
      </c>
      <c r="K25" s="64" t="s">
        <v>6</v>
      </c>
    </row>
    <row r="26" spans="1:11" x14ac:dyDescent="0.35">
      <c r="A26" s="101" t="s">
        <v>102</v>
      </c>
      <c r="B26" s="64" t="s">
        <v>99</v>
      </c>
      <c r="C26" s="64" t="s">
        <v>33</v>
      </c>
      <c r="D26" s="95">
        <v>3742.94</v>
      </c>
      <c r="E26" s="95">
        <v>0.4</v>
      </c>
      <c r="F26" s="98">
        <v>1</v>
      </c>
      <c r="G26" s="98">
        <v>0</v>
      </c>
      <c r="J26" s="64" t="s">
        <v>4</v>
      </c>
      <c r="K26" s="64" t="s">
        <v>6</v>
      </c>
    </row>
  </sheetData>
  <phoneticPr fontId="36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514F6-FD99-4B31-B74D-697A8BD20B09}">
  <sheetPr codeName="Hoja6">
    <tabColor theme="4" tint="0.79998168889431442"/>
  </sheetPr>
  <dimension ref="A1:D10"/>
  <sheetViews>
    <sheetView workbookViewId="0">
      <selection activeCell="F24" sqref="F24"/>
    </sheetView>
  </sheetViews>
  <sheetFormatPr baseColWidth="10" defaultRowHeight="14.5" x14ac:dyDescent="0.35"/>
  <cols>
    <col min="1" max="1" width="23.7265625" style="64" bestFit="1" customWidth="1"/>
    <col min="2" max="2" width="24.1796875" style="64" bestFit="1" customWidth="1"/>
    <col min="3" max="3" width="9.08984375" style="64" bestFit="1" customWidth="1"/>
    <col min="4" max="16384" width="10.90625" style="64"/>
  </cols>
  <sheetData>
    <row r="1" spans="1:4" x14ac:dyDescent="0.35">
      <c r="A1" s="102" t="s">
        <v>5</v>
      </c>
      <c r="B1" s="64" t="s">
        <v>15</v>
      </c>
      <c r="C1" s="64" t="s">
        <v>0</v>
      </c>
      <c r="D1" s="64" t="s">
        <v>1</v>
      </c>
    </row>
    <row r="2" spans="1:4" x14ac:dyDescent="0.35">
      <c r="A2" s="65" t="s">
        <v>58</v>
      </c>
      <c r="B2" s="64" t="s">
        <v>30</v>
      </c>
      <c r="C2" s="64" t="s">
        <v>7</v>
      </c>
      <c r="D2" s="64" t="s">
        <v>6</v>
      </c>
    </row>
    <row r="3" spans="1:4" x14ac:dyDescent="0.35">
      <c r="A3" s="65" t="s">
        <v>59</v>
      </c>
      <c r="B3" s="64" t="s">
        <v>33</v>
      </c>
      <c r="C3" s="64" t="s">
        <v>4</v>
      </c>
      <c r="D3" s="64" t="s">
        <v>6</v>
      </c>
    </row>
    <row r="4" spans="1:4" x14ac:dyDescent="0.35">
      <c r="A4" s="67" t="s">
        <v>60</v>
      </c>
      <c r="B4" s="64" t="s">
        <v>34</v>
      </c>
      <c r="C4" s="64" t="s">
        <v>7</v>
      </c>
      <c r="D4" s="64" t="s">
        <v>6</v>
      </c>
    </row>
    <row r="5" spans="1:4" x14ac:dyDescent="0.35">
      <c r="A5" s="67" t="s">
        <v>61</v>
      </c>
      <c r="B5" s="64" t="s">
        <v>37</v>
      </c>
      <c r="C5" s="64" t="s">
        <v>4</v>
      </c>
      <c r="D5" s="64" t="s">
        <v>6</v>
      </c>
    </row>
    <row r="6" spans="1:4" x14ac:dyDescent="0.35">
      <c r="A6" s="73" t="s">
        <v>89</v>
      </c>
      <c r="B6" s="64" t="s">
        <v>85</v>
      </c>
      <c r="C6" s="64" t="s">
        <v>7</v>
      </c>
      <c r="D6" s="64" t="s">
        <v>6</v>
      </c>
    </row>
    <row r="7" spans="1:4" x14ac:dyDescent="0.35">
      <c r="A7" s="73" t="s">
        <v>90</v>
      </c>
      <c r="B7" s="64" t="s">
        <v>86</v>
      </c>
      <c r="C7" s="64" t="s">
        <v>4</v>
      </c>
      <c r="D7" s="64" t="s">
        <v>6</v>
      </c>
    </row>
    <row r="8" spans="1:4" x14ac:dyDescent="0.35">
      <c r="A8" s="73" t="s">
        <v>103</v>
      </c>
      <c r="B8" s="64" t="s">
        <v>105</v>
      </c>
      <c r="C8" s="64" t="s">
        <v>4</v>
      </c>
      <c r="D8" s="64" t="s">
        <v>6</v>
      </c>
    </row>
    <row r="9" spans="1:4" x14ac:dyDescent="0.35">
      <c r="A9" s="73" t="s">
        <v>129</v>
      </c>
      <c r="B9" s="64" t="s">
        <v>104</v>
      </c>
      <c r="C9" s="64" t="s">
        <v>4</v>
      </c>
      <c r="D9" s="64" t="s">
        <v>6</v>
      </c>
    </row>
    <row r="10" spans="1:4" x14ac:dyDescent="0.35">
      <c r="A10" s="73" t="s">
        <v>128</v>
      </c>
      <c r="B10" s="64" t="s">
        <v>105</v>
      </c>
      <c r="C10" s="64" t="s">
        <v>4</v>
      </c>
      <c r="D10" s="64" t="s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03375-67E7-4B42-8C67-2DDC7E8F1780}">
  <sheetPr codeName="Hoja11">
    <tabColor theme="4" tint="0.79998168889431442"/>
  </sheetPr>
  <dimension ref="A1:D169"/>
  <sheetViews>
    <sheetView workbookViewId="0">
      <selection activeCell="H154" sqref="H154"/>
    </sheetView>
  </sheetViews>
  <sheetFormatPr baseColWidth="10" defaultRowHeight="14" x14ac:dyDescent="0.3"/>
  <cols>
    <col min="1" max="1" width="5.7265625" style="21" bestFit="1" customWidth="1"/>
    <col min="2" max="2" width="20.26953125" style="7" bestFit="1" customWidth="1"/>
    <col min="3" max="3" width="20.26953125" style="35" bestFit="1" customWidth="1"/>
    <col min="4" max="4" width="18.81640625" style="7" customWidth="1"/>
    <col min="5" max="16384" width="10.90625" style="1"/>
  </cols>
  <sheetData>
    <row r="1" spans="1:4" s="11" customFormat="1" x14ac:dyDescent="0.3">
      <c r="A1" s="15" t="s">
        <v>132</v>
      </c>
      <c r="B1" s="31" t="s">
        <v>63</v>
      </c>
      <c r="C1" s="32" t="s">
        <v>64</v>
      </c>
      <c r="D1" s="33" t="s">
        <v>116</v>
      </c>
    </row>
    <row r="2" spans="1:4" x14ac:dyDescent="0.3">
      <c r="A2" s="30">
        <f>0</f>
        <v>0</v>
      </c>
      <c r="B2" s="34">
        <v>0.25493919022938366</v>
      </c>
      <c r="C2" s="20">
        <v>0.72203423175290182</v>
      </c>
      <c r="D2" s="20">
        <v>0.50275862068965516</v>
      </c>
    </row>
    <row r="3" spans="1:4" x14ac:dyDescent="0.3">
      <c r="A3" s="30">
        <f>A2+1</f>
        <v>1</v>
      </c>
      <c r="B3" s="34">
        <v>0.25493919022938366</v>
      </c>
      <c r="C3" s="20">
        <v>0.72203423175290182</v>
      </c>
      <c r="D3" s="20">
        <v>0.50275862068965516</v>
      </c>
    </row>
    <row r="4" spans="1:4" x14ac:dyDescent="0.3">
      <c r="A4" s="30">
        <f t="shared" ref="A4:A67" si="0">A3+1</f>
        <v>2</v>
      </c>
      <c r="B4" s="34">
        <v>0.25493919022938366</v>
      </c>
      <c r="C4" s="20">
        <v>0.72203423175290182</v>
      </c>
      <c r="D4" s="20">
        <v>0.50275862068965516</v>
      </c>
    </row>
    <row r="5" spans="1:4" x14ac:dyDescent="0.3">
      <c r="A5" s="30">
        <f t="shared" si="0"/>
        <v>3</v>
      </c>
      <c r="B5" s="34">
        <v>0.25493919022938366</v>
      </c>
      <c r="C5" s="20">
        <v>0.72203423175290182</v>
      </c>
      <c r="D5" s="20">
        <v>0.50275862068965516</v>
      </c>
    </row>
    <row r="6" spans="1:4" x14ac:dyDescent="0.3">
      <c r="A6" s="30">
        <f t="shared" si="0"/>
        <v>4</v>
      </c>
      <c r="B6" s="34">
        <v>0.25493919022938366</v>
      </c>
      <c r="C6" s="20">
        <v>0.72203423175290182</v>
      </c>
      <c r="D6" s="20">
        <v>0.50275862068965516</v>
      </c>
    </row>
    <row r="7" spans="1:4" x14ac:dyDescent="0.3">
      <c r="A7" s="30">
        <f t="shared" si="0"/>
        <v>5</v>
      </c>
      <c r="B7" s="34">
        <v>0.25493919022938366</v>
      </c>
      <c r="C7" s="20">
        <v>0.72203423175290182</v>
      </c>
      <c r="D7" s="20">
        <v>0.50275862068965516</v>
      </c>
    </row>
    <row r="8" spans="1:4" x14ac:dyDescent="0.3">
      <c r="A8" s="30">
        <f t="shared" si="0"/>
        <v>6</v>
      </c>
      <c r="B8" s="34">
        <v>0.25493919022938366</v>
      </c>
      <c r="C8" s="20">
        <v>0.72203423175290182</v>
      </c>
      <c r="D8" s="20">
        <v>0.50275862068965516</v>
      </c>
    </row>
    <row r="9" spans="1:4" x14ac:dyDescent="0.3">
      <c r="A9" s="30">
        <f t="shared" si="0"/>
        <v>7</v>
      </c>
      <c r="B9" s="34">
        <v>0.25493919022938366</v>
      </c>
      <c r="C9" s="20">
        <v>0.72203423175290182</v>
      </c>
      <c r="D9" s="20">
        <v>0.50275862068965516</v>
      </c>
    </row>
    <row r="10" spans="1:4" x14ac:dyDescent="0.3">
      <c r="A10" s="30">
        <f t="shared" si="0"/>
        <v>8</v>
      </c>
      <c r="B10" s="34">
        <v>0.25493919022938366</v>
      </c>
      <c r="C10" s="20">
        <v>0.72203423175290182</v>
      </c>
      <c r="D10" s="20">
        <v>0.50275862068965516</v>
      </c>
    </row>
    <row r="11" spans="1:4" x14ac:dyDescent="0.3">
      <c r="A11" s="30">
        <f t="shared" si="0"/>
        <v>9</v>
      </c>
      <c r="B11" s="34">
        <v>0.25493919022938366</v>
      </c>
      <c r="C11" s="20">
        <v>0.72203423175290182</v>
      </c>
      <c r="D11" s="20">
        <v>0.50275862068965516</v>
      </c>
    </row>
    <row r="12" spans="1:4" x14ac:dyDescent="0.3">
      <c r="A12" s="30">
        <f t="shared" si="0"/>
        <v>10</v>
      </c>
      <c r="B12" s="34">
        <v>0.25493919022938366</v>
      </c>
      <c r="C12" s="20">
        <v>0.72203423175290182</v>
      </c>
      <c r="D12" s="20">
        <v>0.50275862068965516</v>
      </c>
    </row>
    <row r="13" spans="1:4" x14ac:dyDescent="0.3">
      <c r="A13" s="30">
        <f t="shared" si="0"/>
        <v>11</v>
      </c>
      <c r="B13" s="34">
        <v>0.25493919022938366</v>
      </c>
      <c r="C13" s="20">
        <v>0.72203423175290182</v>
      </c>
      <c r="D13" s="20">
        <v>0.50275862068965516</v>
      </c>
    </row>
    <row r="14" spans="1:4" x14ac:dyDescent="0.3">
      <c r="A14" s="30">
        <f t="shared" si="0"/>
        <v>12</v>
      </c>
      <c r="B14" s="34">
        <v>0.25493919022938366</v>
      </c>
      <c r="C14" s="20">
        <v>0.72203423175290182</v>
      </c>
      <c r="D14" s="20">
        <v>0.50275862068965516</v>
      </c>
    </row>
    <row r="15" spans="1:4" x14ac:dyDescent="0.3">
      <c r="A15" s="30">
        <f t="shared" si="0"/>
        <v>13</v>
      </c>
      <c r="B15" s="34">
        <v>0.25493919022938366</v>
      </c>
      <c r="C15" s="20">
        <v>0.72203423175290182</v>
      </c>
      <c r="D15" s="20">
        <v>0.50275862068965516</v>
      </c>
    </row>
    <row r="16" spans="1:4" x14ac:dyDescent="0.3">
      <c r="A16" s="30">
        <f t="shared" si="0"/>
        <v>14</v>
      </c>
      <c r="B16" s="34">
        <v>0.25493919022938366</v>
      </c>
      <c r="C16" s="20">
        <v>0.72203423175290182</v>
      </c>
      <c r="D16" s="20">
        <v>0.50275862068965516</v>
      </c>
    </row>
    <row r="17" spans="1:4" x14ac:dyDescent="0.3">
      <c r="A17" s="30">
        <f t="shared" si="0"/>
        <v>15</v>
      </c>
      <c r="B17" s="34">
        <v>0.25493919022938366</v>
      </c>
      <c r="C17" s="20">
        <v>0.72203423175290182</v>
      </c>
      <c r="D17" s="20">
        <v>0.50275862068965516</v>
      </c>
    </row>
    <row r="18" spans="1:4" x14ac:dyDescent="0.3">
      <c r="A18" s="30">
        <f t="shared" si="0"/>
        <v>16</v>
      </c>
      <c r="B18" s="34">
        <v>0.25493919022938366</v>
      </c>
      <c r="C18" s="20">
        <v>0.72203423175290182</v>
      </c>
      <c r="D18" s="20">
        <v>0.50275862068965516</v>
      </c>
    </row>
    <row r="19" spans="1:4" x14ac:dyDescent="0.3">
      <c r="A19" s="30">
        <f t="shared" si="0"/>
        <v>17</v>
      </c>
      <c r="B19" s="34">
        <v>0.25493919022938366</v>
      </c>
      <c r="C19" s="20">
        <v>0.72203423175290182</v>
      </c>
      <c r="D19" s="20">
        <v>0.50275862068965516</v>
      </c>
    </row>
    <row r="20" spans="1:4" x14ac:dyDescent="0.3">
      <c r="A20" s="30">
        <f t="shared" si="0"/>
        <v>18</v>
      </c>
      <c r="B20" s="34">
        <v>0.25493919022938366</v>
      </c>
      <c r="C20" s="20">
        <v>0.72203423175290182</v>
      </c>
      <c r="D20" s="20">
        <v>0.50275862068965516</v>
      </c>
    </row>
    <row r="21" spans="1:4" x14ac:dyDescent="0.3">
      <c r="A21" s="30">
        <f t="shared" si="0"/>
        <v>19</v>
      </c>
      <c r="B21" s="34">
        <v>0.25493919022938366</v>
      </c>
      <c r="C21" s="20">
        <v>0.72203423175290182</v>
      </c>
      <c r="D21" s="20">
        <v>0.50275862068965516</v>
      </c>
    </row>
    <row r="22" spans="1:4" x14ac:dyDescent="0.3">
      <c r="A22" s="30">
        <f t="shared" si="0"/>
        <v>20</v>
      </c>
      <c r="B22" s="34">
        <v>0.25493919022938366</v>
      </c>
      <c r="C22" s="20">
        <v>0.72203423175290182</v>
      </c>
      <c r="D22" s="20">
        <v>0.50275862068965516</v>
      </c>
    </row>
    <row r="23" spans="1:4" x14ac:dyDescent="0.3">
      <c r="A23" s="30">
        <f t="shared" si="0"/>
        <v>21</v>
      </c>
      <c r="B23" s="34">
        <v>0.25493919022938366</v>
      </c>
      <c r="C23" s="20">
        <v>0.72203423175290182</v>
      </c>
      <c r="D23" s="20">
        <v>0.50275862068965516</v>
      </c>
    </row>
    <row r="24" spans="1:4" x14ac:dyDescent="0.3">
      <c r="A24" s="30">
        <f t="shared" si="0"/>
        <v>22</v>
      </c>
      <c r="B24" s="34">
        <v>0.25493919022938366</v>
      </c>
      <c r="C24" s="20">
        <v>0.72203423175290182</v>
      </c>
      <c r="D24" s="20">
        <v>0.50275862068965516</v>
      </c>
    </row>
    <row r="25" spans="1:4" x14ac:dyDescent="0.3">
      <c r="A25" s="30">
        <f t="shared" si="0"/>
        <v>23</v>
      </c>
      <c r="B25" s="34">
        <v>0.25493919022938366</v>
      </c>
      <c r="C25" s="20">
        <v>0.72203423175290182</v>
      </c>
      <c r="D25" s="20">
        <v>0.50275862068965516</v>
      </c>
    </row>
    <row r="26" spans="1:4" x14ac:dyDescent="0.3">
      <c r="A26" s="30">
        <f t="shared" si="0"/>
        <v>24</v>
      </c>
      <c r="B26" s="34">
        <v>0.25493919022938366</v>
      </c>
      <c r="C26" s="20">
        <v>0.72203423175290182</v>
      </c>
      <c r="D26" s="20">
        <v>0.50275862068965516</v>
      </c>
    </row>
    <row r="27" spans="1:4" x14ac:dyDescent="0.3">
      <c r="A27" s="30">
        <f t="shared" si="0"/>
        <v>25</v>
      </c>
      <c r="B27" s="34">
        <v>0.25493919022938366</v>
      </c>
      <c r="C27" s="20">
        <v>0.72203423175290182</v>
      </c>
      <c r="D27" s="20">
        <v>0.50275862068965516</v>
      </c>
    </row>
    <row r="28" spans="1:4" x14ac:dyDescent="0.3">
      <c r="A28" s="30">
        <f t="shared" si="0"/>
        <v>26</v>
      </c>
      <c r="B28" s="34">
        <v>0.25493919022938366</v>
      </c>
      <c r="C28" s="20">
        <v>0.72203423175290182</v>
      </c>
      <c r="D28" s="20">
        <v>0.50275862068965516</v>
      </c>
    </row>
    <row r="29" spans="1:4" x14ac:dyDescent="0.3">
      <c r="A29" s="30">
        <f t="shared" si="0"/>
        <v>27</v>
      </c>
      <c r="B29" s="34">
        <v>0.25493919022938366</v>
      </c>
      <c r="C29" s="20">
        <v>0.72203423175290182</v>
      </c>
      <c r="D29" s="20">
        <v>0.50275862068965516</v>
      </c>
    </row>
    <row r="30" spans="1:4" x14ac:dyDescent="0.3">
      <c r="A30" s="30">
        <f t="shared" si="0"/>
        <v>28</v>
      </c>
      <c r="B30" s="34">
        <v>0.25493919022938366</v>
      </c>
      <c r="C30" s="20">
        <v>0.72203423175290182</v>
      </c>
      <c r="D30" s="20">
        <v>0.50275862068965516</v>
      </c>
    </row>
    <row r="31" spans="1:4" x14ac:dyDescent="0.3">
      <c r="A31" s="30">
        <f t="shared" si="0"/>
        <v>29</v>
      </c>
      <c r="B31" s="34">
        <v>0.25493919022938366</v>
      </c>
      <c r="C31" s="20">
        <v>0.72203423175290182</v>
      </c>
      <c r="D31" s="20">
        <v>0.50275862068965516</v>
      </c>
    </row>
    <row r="32" spans="1:4" x14ac:dyDescent="0.3">
      <c r="A32" s="30">
        <f t="shared" si="0"/>
        <v>30</v>
      </c>
      <c r="B32" s="34">
        <v>0.25493919022938366</v>
      </c>
      <c r="C32" s="20">
        <v>0.72203423175290182</v>
      </c>
      <c r="D32" s="20">
        <v>0.50275862068965516</v>
      </c>
    </row>
    <row r="33" spans="1:4" x14ac:dyDescent="0.3">
      <c r="A33" s="30">
        <f t="shared" si="0"/>
        <v>31</v>
      </c>
      <c r="B33" s="34">
        <v>0.25493919022938366</v>
      </c>
      <c r="C33" s="20">
        <v>0.72203423175290182</v>
      </c>
      <c r="D33" s="20">
        <v>0.50275862068965516</v>
      </c>
    </row>
    <row r="34" spans="1:4" x14ac:dyDescent="0.3">
      <c r="A34" s="30">
        <f t="shared" si="0"/>
        <v>32</v>
      </c>
      <c r="B34" s="34">
        <v>0.25493919022938366</v>
      </c>
      <c r="C34" s="20">
        <v>0.72203423175290182</v>
      </c>
      <c r="D34" s="20">
        <v>0.50275862068965516</v>
      </c>
    </row>
    <row r="35" spans="1:4" x14ac:dyDescent="0.3">
      <c r="A35" s="30">
        <f t="shared" si="0"/>
        <v>33</v>
      </c>
      <c r="B35" s="34">
        <v>0.25493919022938366</v>
      </c>
      <c r="C35" s="20">
        <v>0.72203423175290182</v>
      </c>
      <c r="D35" s="20">
        <v>0.50275862068965516</v>
      </c>
    </row>
    <row r="36" spans="1:4" x14ac:dyDescent="0.3">
      <c r="A36" s="30">
        <f t="shared" si="0"/>
        <v>34</v>
      </c>
      <c r="B36" s="34">
        <v>0.25493919022938366</v>
      </c>
      <c r="C36" s="20">
        <v>0.72203423175290182</v>
      </c>
      <c r="D36" s="20">
        <v>0.50275862068965516</v>
      </c>
    </row>
    <row r="37" spans="1:4" x14ac:dyDescent="0.3">
      <c r="A37" s="30">
        <f t="shared" si="0"/>
        <v>35</v>
      </c>
      <c r="B37" s="34">
        <v>0.25493919022938366</v>
      </c>
      <c r="C37" s="20">
        <v>0.72203423175290182</v>
      </c>
      <c r="D37" s="20">
        <v>0.50275862068965516</v>
      </c>
    </row>
    <row r="38" spans="1:4" x14ac:dyDescent="0.3">
      <c r="A38" s="30">
        <f t="shared" si="0"/>
        <v>36</v>
      </c>
      <c r="B38" s="34">
        <v>0.25493919022938366</v>
      </c>
      <c r="C38" s="20">
        <v>0.72203423175290182</v>
      </c>
      <c r="D38" s="20">
        <v>0.50275862068965516</v>
      </c>
    </row>
    <row r="39" spans="1:4" x14ac:dyDescent="0.3">
      <c r="A39" s="30">
        <f t="shared" si="0"/>
        <v>37</v>
      </c>
      <c r="B39" s="34">
        <v>0.25493919022938366</v>
      </c>
      <c r="C39" s="20">
        <v>0.72203423175290182</v>
      </c>
      <c r="D39" s="20">
        <v>0.50275862068965516</v>
      </c>
    </row>
    <row r="40" spans="1:4" x14ac:dyDescent="0.3">
      <c r="A40" s="30">
        <f t="shared" si="0"/>
        <v>38</v>
      </c>
      <c r="B40" s="34">
        <v>0.25493919022938366</v>
      </c>
      <c r="C40" s="20">
        <v>0.72203423175290182</v>
      </c>
      <c r="D40" s="20">
        <v>0.50275862068965516</v>
      </c>
    </row>
    <row r="41" spans="1:4" x14ac:dyDescent="0.3">
      <c r="A41" s="30">
        <f t="shared" si="0"/>
        <v>39</v>
      </c>
      <c r="B41" s="34">
        <v>0.25493919022938366</v>
      </c>
      <c r="C41" s="20">
        <v>0.72203423175290182</v>
      </c>
      <c r="D41" s="20">
        <v>0.50275862068965516</v>
      </c>
    </row>
    <row r="42" spans="1:4" x14ac:dyDescent="0.3">
      <c r="A42" s="30">
        <f t="shared" si="0"/>
        <v>40</v>
      </c>
      <c r="B42" s="34">
        <v>0.25493919022938366</v>
      </c>
      <c r="C42" s="20">
        <v>0.72203423175290182</v>
      </c>
      <c r="D42" s="20">
        <v>0.50275862068965516</v>
      </c>
    </row>
    <row r="43" spans="1:4" x14ac:dyDescent="0.3">
      <c r="A43" s="30">
        <f t="shared" si="0"/>
        <v>41</v>
      </c>
      <c r="B43" s="34">
        <v>0.25493919022938366</v>
      </c>
      <c r="C43" s="20">
        <v>0.72203423175290182</v>
      </c>
      <c r="D43" s="20">
        <v>0.50275862068965516</v>
      </c>
    </row>
    <row r="44" spans="1:4" x14ac:dyDescent="0.3">
      <c r="A44" s="30">
        <f t="shared" si="0"/>
        <v>42</v>
      </c>
      <c r="B44" s="34">
        <v>0.25493919022938366</v>
      </c>
      <c r="C44" s="20">
        <v>0.72203423175290182</v>
      </c>
      <c r="D44" s="20">
        <v>0.50275862068965516</v>
      </c>
    </row>
    <row r="45" spans="1:4" x14ac:dyDescent="0.3">
      <c r="A45" s="30">
        <f t="shared" si="0"/>
        <v>43</v>
      </c>
      <c r="B45" s="34">
        <v>0.25493919022938366</v>
      </c>
      <c r="C45" s="20">
        <v>0.72203423175290182</v>
      </c>
      <c r="D45" s="20">
        <v>0.50275862068965516</v>
      </c>
    </row>
    <row r="46" spans="1:4" x14ac:dyDescent="0.3">
      <c r="A46" s="30">
        <f t="shared" si="0"/>
        <v>44</v>
      </c>
      <c r="B46" s="34">
        <v>0.25493919022938366</v>
      </c>
      <c r="C46" s="20">
        <v>0.72203423175290182</v>
      </c>
      <c r="D46" s="20">
        <v>0.50275862068965516</v>
      </c>
    </row>
    <row r="47" spans="1:4" x14ac:dyDescent="0.3">
      <c r="A47" s="30">
        <f t="shared" si="0"/>
        <v>45</v>
      </c>
      <c r="B47" s="34">
        <v>0.25493919022938366</v>
      </c>
      <c r="C47" s="20">
        <v>0.72203423175290182</v>
      </c>
      <c r="D47" s="20">
        <v>0.50275862068965516</v>
      </c>
    </row>
    <row r="48" spans="1:4" x14ac:dyDescent="0.3">
      <c r="A48" s="30">
        <f t="shared" si="0"/>
        <v>46</v>
      </c>
      <c r="B48" s="34">
        <v>0.25493919022938366</v>
      </c>
      <c r="C48" s="20">
        <v>0.72203423175290182</v>
      </c>
      <c r="D48" s="20">
        <v>0.50275862068965516</v>
      </c>
    </row>
    <row r="49" spans="1:4" x14ac:dyDescent="0.3">
      <c r="A49" s="30">
        <f t="shared" si="0"/>
        <v>47</v>
      </c>
      <c r="B49" s="34">
        <v>0.25493919022938366</v>
      </c>
      <c r="C49" s="20">
        <v>0.72203423175290182</v>
      </c>
      <c r="D49" s="20">
        <v>0.50275862068965516</v>
      </c>
    </row>
    <row r="50" spans="1:4" x14ac:dyDescent="0.3">
      <c r="A50" s="30">
        <f t="shared" si="0"/>
        <v>48</v>
      </c>
      <c r="B50" s="34">
        <v>0.25493919022938366</v>
      </c>
      <c r="C50" s="20">
        <v>0.72203423175290182</v>
      </c>
      <c r="D50" s="20">
        <v>0.50275862068965516</v>
      </c>
    </row>
    <row r="51" spans="1:4" x14ac:dyDescent="0.3">
      <c r="A51" s="30">
        <f t="shared" si="0"/>
        <v>49</v>
      </c>
      <c r="B51" s="34">
        <v>0.25493919022938366</v>
      </c>
      <c r="C51" s="20">
        <v>0.72203423175290182</v>
      </c>
      <c r="D51" s="20">
        <v>0.50275862068965516</v>
      </c>
    </row>
    <row r="52" spans="1:4" x14ac:dyDescent="0.3">
      <c r="A52" s="30">
        <f t="shared" si="0"/>
        <v>50</v>
      </c>
      <c r="B52" s="34">
        <v>0.25493919022938366</v>
      </c>
      <c r="C52" s="20">
        <v>0.72203423175290182</v>
      </c>
      <c r="D52" s="20">
        <v>0.50275862068965516</v>
      </c>
    </row>
    <row r="53" spans="1:4" x14ac:dyDescent="0.3">
      <c r="A53" s="30">
        <f t="shared" si="0"/>
        <v>51</v>
      </c>
      <c r="B53" s="34">
        <v>0.25493919022938366</v>
      </c>
      <c r="C53" s="20">
        <v>0.72203423175290182</v>
      </c>
      <c r="D53" s="20">
        <v>0.50275862068965516</v>
      </c>
    </row>
    <row r="54" spans="1:4" x14ac:dyDescent="0.3">
      <c r="A54" s="30">
        <f t="shared" si="0"/>
        <v>52</v>
      </c>
      <c r="B54" s="34">
        <v>0.25493919022938366</v>
      </c>
      <c r="C54" s="20">
        <v>0.72203423175290182</v>
      </c>
      <c r="D54" s="20">
        <v>0.50275862068965516</v>
      </c>
    </row>
    <row r="55" spans="1:4" x14ac:dyDescent="0.3">
      <c r="A55" s="30">
        <f t="shared" si="0"/>
        <v>53</v>
      </c>
      <c r="B55" s="34">
        <v>0.25493919022938366</v>
      </c>
      <c r="C55" s="20">
        <v>0.72203423175290182</v>
      </c>
      <c r="D55" s="20">
        <v>0.50275862068965516</v>
      </c>
    </row>
    <row r="56" spans="1:4" x14ac:dyDescent="0.3">
      <c r="A56" s="30">
        <f t="shared" si="0"/>
        <v>54</v>
      </c>
      <c r="B56" s="34">
        <v>0.25493919022938366</v>
      </c>
      <c r="C56" s="20">
        <v>0.72203423175290182</v>
      </c>
      <c r="D56" s="20">
        <v>0.50275862068965516</v>
      </c>
    </row>
    <row r="57" spans="1:4" x14ac:dyDescent="0.3">
      <c r="A57" s="30">
        <f t="shared" si="0"/>
        <v>55</v>
      </c>
      <c r="B57" s="34">
        <v>0.25493919022938366</v>
      </c>
      <c r="C57" s="20">
        <v>0.72203423175290182</v>
      </c>
      <c r="D57" s="20">
        <v>0.50275862068965516</v>
      </c>
    </row>
    <row r="58" spans="1:4" x14ac:dyDescent="0.3">
      <c r="A58" s="30">
        <f t="shared" si="0"/>
        <v>56</v>
      </c>
      <c r="B58" s="34">
        <v>0.25493919022938366</v>
      </c>
      <c r="C58" s="20">
        <v>0.72203423175290182</v>
      </c>
      <c r="D58" s="20">
        <v>0.50275862068965516</v>
      </c>
    </row>
    <row r="59" spans="1:4" x14ac:dyDescent="0.3">
      <c r="A59" s="30">
        <f t="shared" si="0"/>
        <v>57</v>
      </c>
      <c r="B59" s="34">
        <v>0.25493919022938366</v>
      </c>
      <c r="C59" s="20">
        <v>0.72203423175290182</v>
      </c>
      <c r="D59" s="20">
        <v>0.50275862068965516</v>
      </c>
    </row>
    <row r="60" spans="1:4" x14ac:dyDescent="0.3">
      <c r="A60" s="30">
        <f t="shared" si="0"/>
        <v>58</v>
      </c>
      <c r="B60" s="34">
        <v>0.25493919022938366</v>
      </c>
      <c r="C60" s="20">
        <v>0.72203423175290182</v>
      </c>
      <c r="D60" s="20">
        <v>0.50275862068965516</v>
      </c>
    </row>
    <row r="61" spans="1:4" x14ac:dyDescent="0.3">
      <c r="A61" s="30">
        <f t="shared" si="0"/>
        <v>59</v>
      </c>
      <c r="B61" s="34">
        <v>0.25493919022938366</v>
      </c>
      <c r="C61" s="20">
        <v>0.72203423175290182</v>
      </c>
      <c r="D61" s="20">
        <v>0.50275862068965516</v>
      </c>
    </row>
    <row r="62" spans="1:4" x14ac:dyDescent="0.3">
      <c r="A62" s="30">
        <f t="shared" si="0"/>
        <v>60</v>
      </c>
      <c r="B62" s="34">
        <v>0.25493919022938366</v>
      </c>
      <c r="C62" s="20">
        <v>0.72203423175290182</v>
      </c>
      <c r="D62" s="20">
        <v>0.50275862068965516</v>
      </c>
    </row>
    <row r="63" spans="1:4" x14ac:dyDescent="0.3">
      <c r="A63" s="30">
        <f t="shared" si="0"/>
        <v>61</v>
      </c>
      <c r="B63" s="34">
        <v>0.25493919022938366</v>
      </c>
      <c r="C63" s="20">
        <v>0.72203423175290182</v>
      </c>
      <c r="D63" s="20">
        <v>0.50275862068965516</v>
      </c>
    </row>
    <row r="64" spans="1:4" x14ac:dyDescent="0.3">
      <c r="A64" s="30">
        <f t="shared" si="0"/>
        <v>62</v>
      </c>
      <c r="B64" s="34">
        <v>0.25493919022938366</v>
      </c>
      <c r="C64" s="20">
        <v>0.72203423175290182</v>
      </c>
      <c r="D64" s="20">
        <v>0.50275862068965516</v>
      </c>
    </row>
    <row r="65" spans="1:4" x14ac:dyDescent="0.3">
      <c r="A65" s="30">
        <f t="shared" si="0"/>
        <v>63</v>
      </c>
      <c r="B65" s="34">
        <v>0.25493919022938366</v>
      </c>
      <c r="C65" s="20">
        <v>0.72203423175290182</v>
      </c>
      <c r="D65" s="20">
        <v>0.50275862068965516</v>
      </c>
    </row>
    <row r="66" spans="1:4" x14ac:dyDescent="0.3">
      <c r="A66" s="30">
        <f t="shared" si="0"/>
        <v>64</v>
      </c>
      <c r="B66" s="34">
        <v>0.25493919022938366</v>
      </c>
      <c r="C66" s="20">
        <v>0.72203423175290182</v>
      </c>
      <c r="D66" s="20">
        <v>0.50275862068965516</v>
      </c>
    </row>
    <row r="67" spans="1:4" x14ac:dyDescent="0.3">
      <c r="A67" s="30">
        <f t="shared" si="0"/>
        <v>65</v>
      </c>
      <c r="B67" s="34">
        <v>0.25493919022938366</v>
      </c>
      <c r="C67" s="20">
        <v>0.72203423175290182</v>
      </c>
      <c r="D67" s="20">
        <v>0.50275862068965516</v>
      </c>
    </row>
    <row r="68" spans="1:4" x14ac:dyDescent="0.3">
      <c r="A68" s="30">
        <f t="shared" ref="A68:A131" si="1">A67+1</f>
        <v>66</v>
      </c>
      <c r="B68" s="34">
        <v>0.25493919022938366</v>
      </c>
      <c r="C68" s="20">
        <v>0.72203423175290182</v>
      </c>
      <c r="D68" s="20">
        <v>0.50275862068965516</v>
      </c>
    </row>
    <row r="69" spans="1:4" x14ac:dyDescent="0.3">
      <c r="A69" s="30">
        <f t="shared" si="1"/>
        <v>67</v>
      </c>
      <c r="B69" s="34">
        <v>0.25493919022938366</v>
      </c>
      <c r="C69" s="20">
        <v>0.72203423175290182</v>
      </c>
      <c r="D69" s="20">
        <v>0.50275862068965516</v>
      </c>
    </row>
    <row r="70" spans="1:4" x14ac:dyDescent="0.3">
      <c r="A70" s="30">
        <f t="shared" si="1"/>
        <v>68</v>
      </c>
      <c r="B70" s="34">
        <v>0.25493919022938366</v>
      </c>
      <c r="C70" s="20">
        <v>0.72203423175290182</v>
      </c>
      <c r="D70" s="20">
        <v>0.50275862068965516</v>
      </c>
    </row>
    <row r="71" spans="1:4" x14ac:dyDescent="0.3">
      <c r="A71" s="30">
        <f t="shared" si="1"/>
        <v>69</v>
      </c>
      <c r="B71" s="34">
        <v>0.25493919022938366</v>
      </c>
      <c r="C71" s="20">
        <v>0.72203423175290182</v>
      </c>
      <c r="D71" s="20">
        <v>0.50275862068965516</v>
      </c>
    </row>
    <row r="72" spans="1:4" x14ac:dyDescent="0.3">
      <c r="A72" s="30">
        <f t="shared" si="1"/>
        <v>70</v>
      </c>
      <c r="B72" s="34">
        <v>0.25493919022938366</v>
      </c>
      <c r="C72" s="20">
        <v>0.72203423175290182</v>
      </c>
      <c r="D72" s="20">
        <v>0.50275862068965516</v>
      </c>
    </row>
    <row r="73" spans="1:4" x14ac:dyDescent="0.3">
      <c r="A73" s="30">
        <f t="shared" si="1"/>
        <v>71</v>
      </c>
      <c r="B73" s="34">
        <v>0.25493919022938366</v>
      </c>
      <c r="C73" s="20">
        <v>0.72203423175290182</v>
      </c>
      <c r="D73" s="20">
        <v>0.50275862068965516</v>
      </c>
    </row>
    <row r="74" spans="1:4" x14ac:dyDescent="0.3">
      <c r="A74" s="30">
        <f t="shared" si="1"/>
        <v>72</v>
      </c>
      <c r="B74" s="34">
        <v>0.25493919022938366</v>
      </c>
      <c r="C74" s="20">
        <v>0.72203423175290182</v>
      </c>
      <c r="D74" s="20">
        <v>0.50275862068965516</v>
      </c>
    </row>
    <row r="75" spans="1:4" x14ac:dyDescent="0.3">
      <c r="A75" s="30">
        <f t="shared" si="1"/>
        <v>73</v>
      </c>
      <c r="B75" s="34">
        <v>0.25493919022938366</v>
      </c>
      <c r="C75" s="20">
        <v>0.72203423175290182</v>
      </c>
      <c r="D75" s="20">
        <v>0.50275862068965516</v>
      </c>
    </row>
    <row r="76" spans="1:4" x14ac:dyDescent="0.3">
      <c r="A76" s="30">
        <f t="shared" si="1"/>
        <v>74</v>
      </c>
      <c r="B76" s="34">
        <v>0.25493919022938366</v>
      </c>
      <c r="C76" s="20">
        <v>0.72203423175290182</v>
      </c>
      <c r="D76" s="20">
        <v>0.50275862068965516</v>
      </c>
    </row>
    <row r="77" spans="1:4" x14ac:dyDescent="0.3">
      <c r="A77" s="30">
        <f t="shared" si="1"/>
        <v>75</v>
      </c>
      <c r="B77" s="34">
        <v>0.25493919022938366</v>
      </c>
      <c r="C77" s="20">
        <v>0.72203423175290182</v>
      </c>
      <c r="D77" s="20">
        <v>0.50275862068965516</v>
      </c>
    </row>
    <row r="78" spans="1:4" x14ac:dyDescent="0.3">
      <c r="A78" s="30">
        <f t="shared" si="1"/>
        <v>76</v>
      </c>
      <c r="B78" s="34">
        <v>0.25493919022938366</v>
      </c>
      <c r="C78" s="20">
        <v>0.72203423175290182</v>
      </c>
      <c r="D78" s="20">
        <v>0.50275862068965516</v>
      </c>
    </row>
    <row r="79" spans="1:4" x14ac:dyDescent="0.3">
      <c r="A79" s="30">
        <f t="shared" si="1"/>
        <v>77</v>
      </c>
      <c r="B79" s="34">
        <v>0.25493919022938366</v>
      </c>
      <c r="C79" s="20">
        <v>0.72203423175290182</v>
      </c>
      <c r="D79" s="20">
        <v>0.50275862068965516</v>
      </c>
    </row>
    <row r="80" spans="1:4" x14ac:dyDescent="0.3">
      <c r="A80" s="30">
        <f t="shared" si="1"/>
        <v>78</v>
      </c>
      <c r="B80" s="34">
        <v>0.25493919022938366</v>
      </c>
      <c r="C80" s="20">
        <v>0.72203423175290182</v>
      </c>
      <c r="D80" s="20">
        <v>0.50275862068965516</v>
      </c>
    </row>
    <row r="81" spans="1:4" x14ac:dyDescent="0.3">
      <c r="A81" s="30">
        <f t="shared" si="1"/>
        <v>79</v>
      </c>
      <c r="B81" s="34">
        <v>0.25493919022938366</v>
      </c>
      <c r="C81" s="20">
        <v>0.72203423175290182</v>
      </c>
      <c r="D81" s="20">
        <v>0.50275862068965516</v>
      </c>
    </row>
    <row r="82" spans="1:4" x14ac:dyDescent="0.3">
      <c r="A82" s="30">
        <f t="shared" si="1"/>
        <v>80</v>
      </c>
      <c r="B82" s="34">
        <v>0.25493919022938366</v>
      </c>
      <c r="C82" s="20">
        <v>0.72203423175290182</v>
      </c>
      <c r="D82" s="20">
        <v>0.50275862068965516</v>
      </c>
    </row>
    <row r="83" spans="1:4" x14ac:dyDescent="0.3">
      <c r="A83" s="30">
        <f t="shared" si="1"/>
        <v>81</v>
      </c>
      <c r="B83" s="34">
        <v>0.25493919022938366</v>
      </c>
      <c r="C83" s="20">
        <v>0.72203423175290182</v>
      </c>
      <c r="D83" s="20">
        <v>0.50275862068965516</v>
      </c>
    </row>
    <row r="84" spans="1:4" x14ac:dyDescent="0.3">
      <c r="A84" s="30">
        <f t="shared" si="1"/>
        <v>82</v>
      </c>
      <c r="B84" s="34">
        <v>0.25493919022938366</v>
      </c>
      <c r="C84" s="20">
        <v>0.72203423175290182</v>
      </c>
      <c r="D84" s="20">
        <v>0.50275862068965516</v>
      </c>
    </row>
    <row r="85" spans="1:4" x14ac:dyDescent="0.3">
      <c r="A85" s="30">
        <f t="shared" si="1"/>
        <v>83</v>
      </c>
      <c r="B85" s="34">
        <v>0.25493919022938366</v>
      </c>
      <c r="C85" s="20">
        <v>0.72203423175290182</v>
      </c>
      <c r="D85" s="20">
        <v>0.50275862068965516</v>
      </c>
    </row>
    <row r="86" spans="1:4" x14ac:dyDescent="0.3">
      <c r="A86" s="30">
        <f t="shared" si="1"/>
        <v>84</v>
      </c>
      <c r="B86" s="34">
        <v>0.25493919022938366</v>
      </c>
      <c r="C86" s="20">
        <v>0.72203423175290182</v>
      </c>
      <c r="D86" s="20">
        <v>0.50275862068965516</v>
      </c>
    </row>
    <row r="87" spans="1:4" x14ac:dyDescent="0.3">
      <c r="A87" s="30">
        <f t="shared" si="1"/>
        <v>85</v>
      </c>
      <c r="B87" s="34">
        <v>0.25493919022938366</v>
      </c>
      <c r="C87" s="20">
        <v>0.72203423175290182</v>
      </c>
      <c r="D87" s="20">
        <v>0.50275862068965516</v>
      </c>
    </row>
    <row r="88" spans="1:4" x14ac:dyDescent="0.3">
      <c r="A88" s="30">
        <f t="shared" si="1"/>
        <v>86</v>
      </c>
      <c r="B88" s="34">
        <v>0.25493919022938366</v>
      </c>
      <c r="C88" s="20">
        <v>0.72203423175290182</v>
      </c>
      <c r="D88" s="20">
        <v>0.50275862068965516</v>
      </c>
    </row>
    <row r="89" spans="1:4" x14ac:dyDescent="0.3">
      <c r="A89" s="30">
        <f t="shared" si="1"/>
        <v>87</v>
      </c>
      <c r="B89" s="34">
        <v>0.25493919022938366</v>
      </c>
      <c r="C89" s="20">
        <v>0.72203423175290182</v>
      </c>
      <c r="D89" s="20">
        <v>0.50275862068965516</v>
      </c>
    </row>
    <row r="90" spans="1:4" x14ac:dyDescent="0.3">
      <c r="A90" s="30">
        <f t="shared" si="1"/>
        <v>88</v>
      </c>
      <c r="B90" s="34">
        <v>0.25493919022938366</v>
      </c>
      <c r="C90" s="20">
        <v>0.72203423175290182</v>
      </c>
      <c r="D90" s="20">
        <v>0.50275862068965516</v>
      </c>
    </row>
    <row r="91" spans="1:4" x14ac:dyDescent="0.3">
      <c r="A91" s="30">
        <f t="shared" si="1"/>
        <v>89</v>
      </c>
      <c r="B91" s="34">
        <v>0.25493919022938366</v>
      </c>
      <c r="C91" s="20">
        <v>0.72203423175290182</v>
      </c>
      <c r="D91" s="20">
        <v>0.50275862068965516</v>
      </c>
    </row>
    <row r="92" spans="1:4" x14ac:dyDescent="0.3">
      <c r="A92" s="30">
        <f t="shared" si="1"/>
        <v>90</v>
      </c>
      <c r="B92" s="34">
        <v>0.25493919022938366</v>
      </c>
      <c r="C92" s="20">
        <v>0.72203423175290182</v>
      </c>
      <c r="D92" s="20">
        <v>0.50275862068965516</v>
      </c>
    </row>
    <row r="93" spans="1:4" x14ac:dyDescent="0.3">
      <c r="A93" s="30">
        <f t="shared" si="1"/>
        <v>91</v>
      </c>
      <c r="B93" s="34">
        <v>0.25493919022938366</v>
      </c>
      <c r="C93" s="20">
        <v>0.72203423175290182</v>
      </c>
      <c r="D93" s="20">
        <v>0.50275862068965516</v>
      </c>
    </row>
    <row r="94" spans="1:4" x14ac:dyDescent="0.3">
      <c r="A94" s="30">
        <f t="shared" si="1"/>
        <v>92</v>
      </c>
      <c r="B94" s="34">
        <v>0.25493919022938366</v>
      </c>
      <c r="C94" s="20">
        <v>0.72203423175290182</v>
      </c>
      <c r="D94" s="20">
        <v>0.50275862068965516</v>
      </c>
    </row>
    <row r="95" spans="1:4" x14ac:dyDescent="0.3">
      <c r="A95" s="30">
        <f t="shared" si="1"/>
        <v>93</v>
      </c>
      <c r="B95" s="34">
        <v>0.25493919022938366</v>
      </c>
      <c r="C95" s="20">
        <v>0.72203423175290182</v>
      </c>
      <c r="D95" s="20">
        <v>0.50275862068965516</v>
      </c>
    </row>
    <row r="96" spans="1:4" x14ac:dyDescent="0.3">
      <c r="A96" s="30">
        <f t="shared" si="1"/>
        <v>94</v>
      </c>
      <c r="B96" s="34">
        <v>0.25493919022938366</v>
      </c>
      <c r="C96" s="20">
        <v>0.72203423175290182</v>
      </c>
      <c r="D96" s="20">
        <v>0.50275862068965516</v>
      </c>
    </row>
    <row r="97" spans="1:4" x14ac:dyDescent="0.3">
      <c r="A97" s="30">
        <f t="shared" si="1"/>
        <v>95</v>
      </c>
      <c r="B97" s="34">
        <v>0.25493919022938366</v>
      </c>
      <c r="C97" s="20">
        <v>0.72203423175290182</v>
      </c>
      <c r="D97" s="20">
        <v>0.50275862068965516</v>
      </c>
    </row>
    <row r="98" spans="1:4" x14ac:dyDescent="0.3">
      <c r="A98" s="30">
        <f t="shared" si="1"/>
        <v>96</v>
      </c>
      <c r="B98" s="34">
        <v>0.25493919022938366</v>
      </c>
      <c r="C98" s="20">
        <v>0.72203423175290182</v>
      </c>
      <c r="D98" s="20">
        <v>0.50275862068965516</v>
      </c>
    </row>
    <row r="99" spans="1:4" x14ac:dyDescent="0.3">
      <c r="A99" s="30">
        <f t="shared" si="1"/>
        <v>97</v>
      </c>
      <c r="B99" s="34">
        <v>0.25493919022938366</v>
      </c>
      <c r="C99" s="20">
        <v>0.72203423175290182</v>
      </c>
      <c r="D99" s="20">
        <v>0.50275862068965516</v>
      </c>
    </row>
    <row r="100" spans="1:4" x14ac:dyDescent="0.3">
      <c r="A100" s="30">
        <f t="shared" si="1"/>
        <v>98</v>
      </c>
      <c r="B100" s="34">
        <v>0.25493919022938366</v>
      </c>
      <c r="C100" s="20">
        <v>0.72203423175290182</v>
      </c>
      <c r="D100" s="20">
        <v>0.50275862068965516</v>
      </c>
    </row>
    <row r="101" spans="1:4" x14ac:dyDescent="0.3">
      <c r="A101" s="30">
        <f t="shared" si="1"/>
        <v>99</v>
      </c>
      <c r="B101" s="34">
        <v>0.25493919022938366</v>
      </c>
      <c r="C101" s="20">
        <v>0.72203423175290182</v>
      </c>
      <c r="D101" s="20">
        <v>0.50275862068965516</v>
      </c>
    </row>
    <row r="102" spans="1:4" x14ac:dyDescent="0.3">
      <c r="A102" s="30">
        <f t="shared" si="1"/>
        <v>100</v>
      </c>
      <c r="B102" s="34">
        <v>0.25493919022938366</v>
      </c>
      <c r="C102" s="20">
        <v>0.72203423175290182</v>
      </c>
      <c r="D102" s="20">
        <v>0.50275862068965516</v>
      </c>
    </row>
    <row r="103" spans="1:4" x14ac:dyDescent="0.3">
      <c r="A103" s="30">
        <f t="shared" si="1"/>
        <v>101</v>
      </c>
      <c r="B103" s="34">
        <v>0.25493919022938366</v>
      </c>
      <c r="C103" s="20">
        <v>0.72203423175290182</v>
      </c>
      <c r="D103" s="20">
        <v>0.50275862068965516</v>
      </c>
    </row>
    <row r="104" spans="1:4" x14ac:dyDescent="0.3">
      <c r="A104" s="30">
        <f t="shared" si="1"/>
        <v>102</v>
      </c>
      <c r="B104" s="34">
        <v>0.25493919022938366</v>
      </c>
      <c r="C104" s="20">
        <v>0.72203423175290182</v>
      </c>
      <c r="D104" s="20">
        <v>0.50275862068965516</v>
      </c>
    </row>
    <row r="105" spans="1:4" x14ac:dyDescent="0.3">
      <c r="A105" s="30">
        <f t="shared" si="1"/>
        <v>103</v>
      </c>
      <c r="B105" s="34">
        <v>0.25493919022938366</v>
      </c>
      <c r="C105" s="20">
        <v>0.72203423175290182</v>
      </c>
      <c r="D105" s="20">
        <v>0.50275862068965516</v>
      </c>
    </row>
    <row r="106" spans="1:4" x14ac:dyDescent="0.3">
      <c r="A106" s="30">
        <f t="shared" si="1"/>
        <v>104</v>
      </c>
      <c r="B106" s="34">
        <v>0.25493919022938366</v>
      </c>
      <c r="C106" s="20">
        <v>0.72203423175290182</v>
      </c>
      <c r="D106" s="20">
        <v>0.50275862068965516</v>
      </c>
    </row>
    <row r="107" spans="1:4" x14ac:dyDescent="0.3">
      <c r="A107" s="30">
        <f t="shared" si="1"/>
        <v>105</v>
      </c>
      <c r="B107" s="34">
        <v>0.25493919022938366</v>
      </c>
      <c r="C107" s="20">
        <v>0.72203423175290182</v>
      </c>
      <c r="D107" s="20">
        <v>0.50275862068965516</v>
      </c>
    </row>
    <row r="108" spans="1:4" x14ac:dyDescent="0.3">
      <c r="A108" s="30">
        <f t="shared" si="1"/>
        <v>106</v>
      </c>
      <c r="B108" s="34">
        <v>0.25493919022938366</v>
      </c>
      <c r="C108" s="20">
        <v>0.72203423175290182</v>
      </c>
      <c r="D108" s="20">
        <v>0.50275862068965516</v>
      </c>
    </row>
    <row r="109" spans="1:4" x14ac:dyDescent="0.3">
      <c r="A109" s="30">
        <f t="shared" si="1"/>
        <v>107</v>
      </c>
      <c r="B109" s="34">
        <v>0.25493919022938366</v>
      </c>
      <c r="C109" s="20">
        <v>0.72203423175290182</v>
      </c>
      <c r="D109" s="20">
        <v>0.50275862068965516</v>
      </c>
    </row>
    <row r="110" spans="1:4" x14ac:dyDescent="0.3">
      <c r="A110" s="30">
        <f t="shared" si="1"/>
        <v>108</v>
      </c>
      <c r="B110" s="34">
        <v>0</v>
      </c>
      <c r="C110" s="20">
        <v>0.72203423175290182</v>
      </c>
      <c r="D110" s="20">
        <v>0.50275862068965516</v>
      </c>
    </row>
    <row r="111" spans="1:4" x14ac:dyDescent="0.3">
      <c r="A111" s="30">
        <f t="shared" si="1"/>
        <v>109</v>
      </c>
      <c r="B111" s="34">
        <v>0.25493919022938366</v>
      </c>
      <c r="C111" s="20">
        <v>0.72203423175290182</v>
      </c>
      <c r="D111" s="20">
        <v>0.50275862068965516</v>
      </c>
    </row>
    <row r="112" spans="1:4" x14ac:dyDescent="0.3">
      <c r="A112" s="30">
        <f t="shared" si="1"/>
        <v>110</v>
      </c>
      <c r="B112" s="34">
        <v>0</v>
      </c>
      <c r="C112" s="20">
        <v>0.72203423175290182</v>
      </c>
      <c r="D112" s="20">
        <v>0.50275862068965516</v>
      </c>
    </row>
    <row r="113" spans="1:4" x14ac:dyDescent="0.3">
      <c r="A113" s="30">
        <f t="shared" si="1"/>
        <v>111</v>
      </c>
      <c r="B113" s="34">
        <v>0</v>
      </c>
      <c r="C113" s="20">
        <v>0.72203423175290182</v>
      </c>
      <c r="D113" s="20">
        <v>0.50275862068965516</v>
      </c>
    </row>
    <row r="114" spans="1:4" x14ac:dyDescent="0.3">
      <c r="A114" s="30">
        <f t="shared" si="1"/>
        <v>112</v>
      </c>
      <c r="B114" s="34">
        <v>0.25493919022938366</v>
      </c>
      <c r="C114" s="20">
        <v>0.72203423175290182</v>
      </c>
      <c r="D114" s="20">
        <v>0.50275862068965516</v>
      </c>
    </row>
    <row r="115" spans="1:4" x14ac:dyDescent="0.3">
      <c r="A115" s="30">
        <f t="shared" si="1"/>
        <v>113</v>
      </c>
      <c r="B115" s="34">
        <v>0.25493919022938366</v>
      </c>
      <c r="C115" s="20">
        <v>0.72203423175290182</v>
      </c>
      <c r="D115" s="20">
        <v>0.50275862068965516</v>
      </c>
    </row>
    <row r="116" spans="1:4" x14ac:dyDescent="0.3">
      <c r="A116" s="30">
        <f t="shared" si="1"/>
        <v>114</v>
      </c>
      <c r="B116" s="34">
        <v>0.25493919022938366</v>
      </c>
      <c r="C116" s="20">
        <v>0.72203423175290182</v>
      </c>
      <c r="D116" s="20">
        <v>0.50275862068965516</v>
      </c>
    </row>
    <row r="117" spans="1:4" x14ac:dyDescent="0.3">
      <c r="A117" s="30">
        <f t="shared" si="1"/>
        <v>115</v>
      </c>
      <c r="B117" s="34">
        <v>0.25493919022938366</v>
      </c>
      <c r="C117" s="20">
        <v>0.72203423175290182</v>
      </c>
      <c r="D117" s="20">
        <v>0.50275862068965516</v>
      </c>
    </row>
    <row r="118" spans="1:4" x14ac:dyDescent="0.3">
      <c r="A118" s="30">
        <f t="shared" si="1"/>
        <v>116</v>
      </c>
      <c r="B118" s="34">
        <v>0.25493919022938366</v>
      </c>
      <c r="C118" s="20">
        <v>0.72203423175290182</v>
      </c>
      <c r="D118" s="20">
        <v>0.50275862068965516</v>
      </c>
    </row>
    <row r="119" spans="1:4" x14ac:dyDescent="0.3">
      <c r="A119" s="30">
        <f t="shared" si="1"/>
        <v>117</v>
      </c>
      <c r="B119" s="34">
        <v>0.25493919022938366</v>
      </c>
      <c r="C119" s="20">
        <v>0.72203423175290182</v>
      </c>
      <c r="D119" s="20">
        <v>0.50275862068965516</v>
      </c>
    </row>
    <row r="120" spans="1:4" x14ac:dyDescent="0.3">
      <c r="A120" s="30">
        <f t="shared" si="1"/>
        <v>118</v>
      </c>
      <c r="B120" s="34">
        <v>0.25493919022938366</v>
      </c>
      <c r="C120" s="20">
        <v>0.72203423175290182</v>
      </c>
      <c r="D120" s="20">
        <v>0.50275862068965516</v>
      </c>
    </row>
    <row r="121" spans="1:4" x14ac:dyDescent="0.3">
      <c r="A121" s="30">
        <f t="shared" si="1"/>
        <v>119</v>
      </c>
      <c r="B121" s="34">
        <v>0.25493919022938366</v>
      </c>
      <c r="C121" s="20">
        <v>0.72203423175290182</v>
      </c>
      <c r="D121" s="20">
        <v>0.50275862068965516</v>
      </c>
    </row>
    <row r="122" spans="1:4" x14ac:dyDescent="0.3">
      <c r="A122" s="30">
        <f t="shared" si="1"/>
        <v>120</v>
      </c>
      <c r="B122" s="34">
        <v>0.25493919022938366</v>
      </c>
      <c r="C122" s="20">
        <v>0.72203423175290182</v>
      </c>
      <c r="D122" s="20">
        <v>0.50275862068965516</v>
      </c>
    </row>
    <row r="123" spans="1:4" x14ac:dyDescent="0.3">
      <c r="A123" s="30">
        <f t="shared" si="1"/>
        <v>121</v>
      </c>
      <c r="B123" s="34">
        <v>0.25493919022938366</v>
      </c>
      <c r="C123" s="20">
        <v>0.72203423175290182</v>
      </c>
      <c r="D123" s="20">
        <v>0.50275862068965516</v>
      </c>
    </row>
    <row r="124" spans="1:4" x14ac:dyDescent="0.3">
      <c r="A124" s="30">
        <f t="shared" si="1"/>
        <v>122</v>
      </c>
      <c r="B124" s="34">
        <v>0.25493919022938366</v>
      </c>
      <c r="C124" s="20">
        <v>0.72203423175290182</v>
      </c>
      <c r="D124" s="20">
        <v>0.50275862068965516</v>
      </c>
    </row>
    <row r="125" spans="1:4" x14ac:dyDescent="0.3">
      <c r="A125" s="30">
        <f t="shared" si="1"/>
        <v>123</v>
      </c>
      <c r="B125" s="34">
        <v>0.25493919022938366</v>
      </c>
      <c r="C125" s="20">
        <v>0.72203423175290182</v>
      </c>
      <c r="D125" s="20">
        <v>0.50275862068965516</v>
      </c>
    </row>
    <row r="126" spans="1:4" x14ac:dyDescent="0.3">
      <c r="A126" s="30">
        <f t="shared" si="1"/>
        <v>124</v>
      </c>
      <c r="B126" s="34">
        <v>0.25493919022938366</v>
      </c>
      <c r="C126" s="20">
        <v>0.72203423175290182</v>
      </c>
      <c r="D126" s="20">
        <v>0.50275862068965516</v>
      </c>
    </row>
    <row r="127" spans="1:4" x14ac:dyDescent="0.3">
      <c r="A127" s="30">
        <f t="shared" si="1"/>
        <v>125</v>
      </c>
      <c r="B127" s="34">
        <v>0.25493919022938366</v>
      </c>
      <c r="C127" s="20">
        <v>0.72203423175290182</v>
      </c>
      <c r="D127" s="20">
        <v>0.50275862068965516</v>
      </c>
    </row>
    <row r="128" spans="1:4" x14ac:dyDescent="0.3">
      <c r="A128" s="30">
        <f t="shared" si="1"/>
        <v>126</v>
      </c>
      <c r="B128" s="34">
        <v>0.25493919022938366</v>
      </c>
      <c r="C128" s="20">
        <v>0.72203423175290182</v>
      </c>
      <c r="D128" s="20">
        <v>0.50275862068965516</v>
      </c>
    </row>
    <row r="129" spans="1:4" x14ac:dyDescent="0.3">
      <c r="A129" s="30">
        <f t="shared" si="1"/>
        <v>127</v>
      </c>
      <c r="B129" s="34">
        <v>0.25493919022938366</v>
      </c>
      <c r="C129" s="20">
        <v>0.72203423175290182</v>
      </c>
      <c r="D129" s="20">
        <v>0.50275862068965516</v>
      </c>
    </row>
    <row r="130" spans="1:4" x14ac:dyDescent="0.3">
      <c r="A130" s="30">
        <f t="shared" si="1"/>
        <v>128</v>
      </c>
      <c r="B130" s="34">
        <v>0.25493919022938366</v>
      </c>
      <c r="C130" s="20">
        <v>0.72203423175290182</v>
      </c>
      <c r="D130" s="20">
        <v>0.50275862068965516</v>
      </c>
    </row>
    <row r="131" spans="1:4" x14ac:dyDescent="0.3">
      <c r="A131" s="30">
        <f t="shared" si="1"/>
        <v>129</v>
      </c>
      <c r="B131" s="34">
        <v>0.25493919022938366</v>
      </c>
      <c r="C131" s="20">
        <v>0.72203423175290182</v>
      </c>
      <c r="D131" s="20">
        <v>0.50275862068965516</v>
      </c>
    </row>
    <row r="132" spans="1:4" x14ac:dyDescent="0.3">
      <c r="A132" s="30">
        <f t="shared" ref="A132:A169" si="2">A131+1</f>
        <v>130</v>
      </c>
      <c r="B132" s="34">
        <v>0.25493919022938366</v>
      </c>
      <c r="C132" s="20">
        <v>0.72203423175290182</v>
      </c>
      <c r="D132" s="20">
        <v>0.50275862068965516</v>
      </c>
    </row>
    <row r="133" spans="1:4" x14ac:dyDescent="0.3">
      <c r="A133" s="30">
        <f t="shared" si="2"/>
        <v>131</v>
      </c>
      <c r="B133" s="34">
        <v>0.25493919022938366</v>
      </c>
      <c r="C133" s="20">
        <v>0.72203423175290182</v>
      </c>
      <c r="D133" s="20">
        <v>0.50275862068965516</v>
      </c>
    </row>
    <row r="134" spans="1:4" x14ac:dyDescent="0.3">
      <c r="A134" s="30">
        <f t="shared" si="2"/>
        <v>132</v>
      </c>
      <c r="B134" s="34">
        <v>0.25493919022938366</v>
      </c>
      <c r="C134" s="20">
        <v>0.72203423175290182</v>
      </c>
      <c r="D134" s="20">
        <v>0.50275862068965516</v>
      </c>
    </row>
    <row r="135" spans="1:4" x14ac:dyDescent="0.3">
      <c r="A135" s="30">
        <f t="shared" si="2"/>
        <v>133</v>
      </c>
      <c r="B135" s="34">
        <v>0.25493919022938366</v>
      </c>
      <c r="C135" s="20">
        <v>0.72203423175290182</v>
      </c>
      <c r="D135" s="20">
        <v>0.50275862068965516</v>
      </c>
    </row>
    <row r="136" spans="1:4" x14ac:dyDescent="0.3">
      <c r="A136" s="30">
        <f t="shared" si="2"/>
        <v>134</v>
      </c>
      <c r="B136" s="34">
        <v>0.25493919022938366</v>
      </c>
      <c r="C136" s="20">
        <v>0.72203423175290182</v>
      </c>
      <c r="D136" s="20">
        <v>0.50275862068965516</v>
      </c>
    </row>
    <row r="137" spans="1:4" x14ac:dyDescent="0.3">
      <c r="A137" s="30">
        <f t="shared" si="2"/>
        <v>135</v>
      </c>
      <c r="B137" s="34">
        <v>0.25493919022938366</v>
      </c>
      <c r="C137" s="20">
        <v>0.72203423175290182</v>
      </c>
      <c r="D137" s="20">
        <v>0.50275862068965516</v>
      </c>
    </row>
    <row r="138" spans="1:4" x14ac:dyDescent="0.3">
      <c r="A138" s="30">
        <f t="shared" si="2"/>
        <v>136</v>
      </c>
      <c r="B138" s="34">
        <v>0.25493919022938366</v>
      </c>
      <c r="C138" s="20">
        <v>0.72203423175290182</v>
      </c>
      <c r="D138" s="20">
        <v>0.50275862068965516</v>
      </c>
    </row>
    <row r="139" spans="1:4" x14ac:dyDescent="0.3">
      <c r="A139" s="30">
        <f t="shared" si="2"/>
        <v>137</v>
      </c>
      <c r="B139" s="34">
        <v>0.25493919022938366</v>
      </c>
      <c r="C139" s="20">
        <v>0.72203423175290182</v>
      </c>
      <c r="D139" s="20">
        <v>0.50275862068965516</v>
      </c>
    </row>
    <row r="140" spans="1:4" x14ac:dyDescent="0.3">
      <c r="A140" s="30">
        <f t="shared" si="2"/>
        <v>138</v>
      </c>
      <c r="B140" s="34">
        <v>0.25493919022938366</v>
      </c>
      <c r="C140" s="20">
        <v>0.72203423175290182</v>
      </c>
      <c r="D140" s="20">
        <v>0.50275862068965516</v>
      </c>
    </row>
    <row r="141" spans="1:4" x14ac:dyDescent="0.3">
      <c r="A141" s="30">
        <f t="shared" si="2"/>
        <v>139</v>
      </c>
      <c r="B141" s="34">
        <v>0.25493919022938366</v>
      </c>
      <c r="C141" s="20">
        <v>0.72203423175290182</v>
      </c>
      <c r="D141" s="20">
        <v>0.50275862068965516</v>
      </c>
    </row>
    <row r="142" spans="1:4" x14ac:dyDescent="0.3">
      <c r="A142" s="30">
        <f t="shared" si="2"/>
        <v>140</v>
      </c>
      <c r="B142" s="34">
        <v>0.25493919022938366</v>
      </c>
      <c r="C142" s="20">
        <v>0.72203423175290182</v>
      </c>
      <c r="D142" s="20">
        <v>0.50275862068965516</v>
      </c>
    </row>
    <row r="143" spans="1:4" x14ac:dyDescent="0.3">
      <c r="A143" s="30">
        <f t="shared" si="2"/>
        <v>141</v>
      </c>
      <c r="B143" s="34">
        <v>0.25493919022938366</v>
      </c>
      <c r="C143" s="20">
        <v>0.72203423175290182</v>
      </c>
      <c r="D143" s="20">
        <v>0.50275862068965516</v>
      </c>
    </row>
    <row r="144" spans="1:4" x14ac:dyDescent="0.3">
      <c r="A144" s="30">
        <f t="shared" si="2"/>
        <v>142</v>
      </c>
      <c r="B144" s="34">
        <v>0.25493919022938366</v>
      </c>
      <c r="C144" s="20">
        <v>0.72203423175290182</v>
      </c>
      <c r="D144" s="20">
        <v>0.50275862068965516</v>
      </c>
    </row>
    <row r="145" spans="1:4" x14ac:dyDescent="0.3">
      <c r="A145" s="30">
        <f t="shared" si="2"/>
        <v>143</v>
      </c>
      <c r="B145" s="34">
        <v>0.25493919022938366</v>
      </c>
      <c r="C145" s="20">
        <v>0.72203423175290182</v>
      </c>
      <c r="D145" s="20">
        <v>0.50275862068965516</v>
      </c>
    </row>
    <row r="146" spans="1:4" x14ac:dyDescent="0.3">
      <c r="A146" s="30">
        <f t="shared" si="2"/>
        <v>144</v>
      </c>
      <c r="B146" s="34">
        <v>0.25493919022938366</v>
      </c>
      <c r="C146" s="20">
        <v>0.72203423175290182</v>
      </c>
      <c r="D146" s="20">
        <v>0.50275862068965516</v>
      </c>
    </row>
    <row r="147" spans="1:4" x14ac:dyDescent="0.3">
      <c r="A147" s="30">
        <f t="shared" si="2"/>
        <v>145</v>
      </c>
      <c r="B147" s="34">
        <v>0.25493919022938366</v>
      </c>
      <c r="C147" s="20">
        <v>0.72203423175290182</v>
      </c>
      <c r="D147" s="20">
        <v>0.50275862068965516</v>
      </c>
    </row>
    <row r="148" spans="1:4" x14ac:dyDescent="0.3">
      <c r="A148" s="30">
        <f t="shared" si="2"/>
        <v>146</v>
      </c>
      <c r="B148" s="34">
        <v>0.25493919022938366</v>
      </c>
      <c r="C148" s="20">
        <v>0.72203423175290182</v>
      </c>
      <c r="D148" s="20">
        <v>0.50275862068965516</v>
      </c>
    </row>
    <row r="149" spans="1:4" x14ac:dyDescent="0.3">
      <c r="A149" s="30">
        <f t="shared" si="2"/>
        <v>147</v>
      </c>
      <c r="B149" s="34">
        <v>0.25493919022938366</v>
      </c>
      <c r="C149" s="20">
        <v>0.72203423175290182</v>
      </c>
      <c r="D149" s="20">
        <v>0.50275862068965516</v>
      </c>
    </row>
    <row r="150" spans="1:4" x14ac:dyDescent="0.3">
      <c r="A150" s="30">
        <f t="shared" si="2"/>
        <v>148</v>
      </c>
      <c r="B150" s="34">
        <v>0.25493919022938366</v>
      </c>
      <c r="C150" s="20">
        <v>0.72203423175290182</v>
      </c>
      <c r="D150" s="20">
        <v>0.50275862068965516</v>
      </c>
    </row>
    <row r="151" spans="1:4" x14ac:dyDescent="0.3">
      <c r="A151" s="30">
        <f t="shared" si="2"/>
        <v>149</v>
      </c>
      <c r="B151" s="34">
        <v>0.25493919022938366</v>
      </c>
      <c r="C151" s="20">
        <v>0.72203423175290182</v>
      </c>
      <c r="D151" s="20">
        <v>0.50275862068965516</v>
      </c>
    </row>
    <row r="152" spans="1:4" x14ac:dyDescent="0.3">
      <c r="A152" s="30">
        <f t="shared" si="2"/>
        <v>150</v>
      </c>
      <c r="B152" s="34">
        <v>0.25493919022938366</v>
      </c>
      <c r="C152" s="20">
        <v>0.72203423175290182</v>
      </c>
      <c r="D152" s="20">
        <v>0.50275862068965516</v>
      </c>
    </row>
    <row r="153" spans="1:4" x14ac:dyDescent="0.3">
      <c r="A153" s="30">
        <f t="shared" si="2"/>
        <v>151</v>
      </c>
      <c r="B153" s="34">
        <v>0.25493919022938366</v>
      </c>
      <c r="C153" s="20">
        <v>0.72203423175290182</v>
      </c>
      <c r="D153" s="20">
        <v>0.50275862068965516</v>
      </c>
    </row>
    <row r="154" spans="1:4" x14ac:dyDescent="0.3">
      <c r="A154" s="30">
        <f t="shared" si="2"/>
        <v>152</v>
      </c>
      <c r="B154" s="34">
        <v>0.25493919022938366</v>
      </c>
      <c r="C154" s="20">
        <v>0.72203423175290182</v>
      </c>
      <c r="D154" s="20">
        <v>0.50275862068965516</v>
      </c>
    </row>
    <row r="155" spans="1:4" x14ac:dyDescent="0.3">
      <c r="A155" s="30">
        <f t="shared" si="2"/>
        <v>153</v>
      </c>
      <c r="B155" s="34">
        <v>0.25493919022938366</v>
      </c>
      <c r="C155" s="20">
        <v>0.72203423175290182</v>
      </c>
      <c r="D155" s="20">
        <v>0.50275862068965516</v>
      </c>
    </row>
    <row r="156" spans="1:4" x14ac:dyDescent="0.3">
      <c r="A156" s="30">
        <f t="shared" si="2"/>
        <v>154</v>
      </c>
      <c r="B156" s="34">
        <v>0.25493919022938366</v>
      </c>
      <c r="C156" s="20">
        <v>0.72203423175290182</v>
      </c>
      <c r="D156" s="20">
        <v>0.50275862068965516</v>
      </c>
    </row>
    <row r="157" spans="1:4" x14ac:dyDescent="0.3">
      <c r="A157" s="30">
        <f t="shared" si="2"/>
        <v>155</v>
      </c>
      <c r="B157" s="34">
        <v>0.25493919022938366</v>
      </c>
      <c r="C157" s="20">
        <v>0.72203423175290182</v>
      </c>
      <c r="D157" s="20">
        <v>0.50275862068965516</v>
      </c>
    </row>
    <row r="158" spans="1:4" x14ac:dyDescent="0.3">
      <c r="A158" s="30">
        <f t="shared" si="2"/>
        <v>156</v>
      </c>
      <c r="B158" s="34">
        <v>0.25493919022938366</v>
      </c>
      <c r="C158" s="20">
        <v>0.72203423175290182</v>
      </c>
      <c r="D158" s="20">
        <v>0.50275862068965516</v>
      </c>
    </row>
    <row r="159" spans="1:4" x14ac:dyDescent="0.3">
      <c r="A159" s="30">
        <f t="shared" si="2"/>
        <v>157</v>
      </c>
      <c r="B159" s="34">
        <v>0.25493919022938366</v>
      </c>
      <c r="C159" s="20">
        <v>0.72203423175290182</v>
      </c>
      <c r="D159" s="20">
        <v>0.50275862068965516</v>
      </c>
    </row>
    <row r="160" spans="1:4" x14ac:dyDescent="0.3">
      <c r="A160" s="30">
        <f t="shared" si="2"/>
        <v>158</v>
      </c>
      <c r="B160" s="34">
        <v>0.25493919022938366</v>
      </c>
      <c r="C160" s="20">
        <v>0.72203423175290182</v>
      </c>
      <c r="D160" s="20">
        <v>0.50275862068965516</v>
      </c>
    </row>
    <row r="161" spans="1:4" x14ac:dyDescent="0.3">
      <c r="A161" s="30">
        <f t="shared" si="2"/>
        <v>159</v>
      </c>
      <c r="B161" s="34">
        <v>0</v>
      </c>
      <c r="C161" s="20">
        <v>0.72203423175290182</v>
      </c>
      <c r="D161" s="20">
        <v>0.50275862068965516</v>
      </c>
    </row>
    <row r="162" spans="1:4" x14ac:dyDescent="0.3">
      <c r="A162" s="30">
        <f t="shared" si="2"/>
        <v>160</v>
      </c>
      <c r="B162" s="34">
        <v>0</v>
      </c>
      <c r="C162" s="20">
        <v>0.72203423175290182</v>
      </c>
      <c r="D162" s="20">
        <v>0.50275862068965516</v>
      </c>
    </row>
    <row r="163" spans="1:4" x14ac:dyDescent="0.3">
      <c r="A163" s="30">
        <f t="shared" si="2"/>
        <v>161</v>
      </c>
      <c r="B163" s="34">
        <v>0.25493919022938366</v>
      </c>
      <c r="C163" s="20">
        <v>0.72203423175290182</v>
      </c>
      <c r="D163" s="20">
        <v>0.50275862068965516</v>
      </c>
    </row>
    <row r="164" spans="1:4" x14ac:dyDescent="0.3">
      <c r="A164" s="30">
        <f t="shared" si="2"/>
        <v>162</v>
      </c>
      <c r="B164" s="34">
        <v>0.25493919022938366</v>
      </c>
      <c r="C164" s="20">
        <v>0.72203423175290182</v>
      </c>
      <c r="D164" s="20">
        <v>0.50275862068965516</v>
      </c>
    </row>
    <row r="165" spans="1:4" x14ac:dyDescent="0.3">
      <c r="A165" s="30">
        <f t="shared" si="2"/>
        <v>163</v>
      </c>
      <c r="B165" s="34">
        <v>0.25493919022938366</v>
      </c>
      <c r="C165" s="20">
        <v>0.72203423175290182</v>
      </c>
      <c r="D165" s="20">
        <v>0.50275862068965516</v>
      </c>
    </row>
    <row r="166" spans="1:4" x14ac:dyDescent="0.3">
      <c r="A166" s="30">
        <f t="shared" si="2"/>
        <v>164</v>
      </c>
      <c r="B166" s="34">
        <v>0.25493919022938366</v>
      </c>
      <c r="C166" s="20">
        <v>0.72203423175290182</v>
      </c>
      <c r="D166" s="20">
        <v>0.50275862068965516</v>
      </c>
    </row>
    <row r="167" spans="1:4" x14ac:dyDescent="0.3">
      <c r="A167" s="30">
        <f t="shared" si="2"/>
        <v>165</v>
      </c>
      <c r="B167" s="34">
        <v>0.25493919022938366</v>
      </c>
      <c r="C167" s="20">
        <v>0.72203423175290182</v>
      </c>
      <c r="D167" s="20">
        <v>0.50275862068965516</v>
      </c>
    </row>
    <row r="168" spans="1:4" x14ac:dyDescent="0.3">
      <c r="A168" s="30">
        <f t="shared" si="2"/>
        <v>166</v>
      </c>
      <c r="B168" s="34">
        <v>0.25493919022938366</v>
      </c>
      <c r="C168" s="20">
        <v>0.72203423175290182</v>
      </c>
      <c r="D168" s="20">
        <v>0.50275862068965516</v>
      </c>
    </row>
    <row r="169" spans="1:4" x14ac:dyDescent="0.3">
      <c r="A169" s="30">
        <f t="shared" si="2"/>
        <v>167</v>
      </c>
      <c r="B169" s="34">
        <v>0.25493919022938366</v>
      </c>
      <c r="C169" s="20">
        <v>0.72203423175290182</v>
      </c>
      <c r="D169" s="20">
        <v>0.50275862068965516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1BE57-158B-4031-9160-2231642F37D0}">
  <sheetPr codeName="Hoja8">
    <tabColor theme="4" tint="0.79998168889431442"/>
  </sheetPr>
  <dimension ref="A1:K3"/>
  <sheetViews>
    <sheetView workbookViewId="0">
      <selection activeCell="G17" sqref="G17"/>
    </sheetView>
  </sheetViews>
  <sheetFormatPr baseColWidth="10" defaultRowHeight="14" x14ac:dyDescent="0.3"/>
  <cols>
    <col min="1" max="1" width="17.453125" style="10" customWidth="1"/>
    <col min="2" max="2" width="12.81640625" style="10" bestFit="1" customWidth="1"/>
    <col min="3" max="3" width="12.54296875" style="10" bestFit="1" customWidth="1"/>
    <col min="4" max="6" width="10.90625" style="10"/>
    <col min="7" max="7" width="20" style="10" bestFit="1" customWidth="1"/>
    <col min="8" max="8" width="10.90625" style="10"/>
    <col min="9" max="9" width="12.6328125" style="10" customWidth="1"/>
    <col min="10" max="16384" width="10.90625" style="10"/>
  </cols>
  <sheetData>
    <row r="1" spans="1:11" x14ac:dyDescent="0.3">
      <c r="A1" s="9" t="s">
        <v>5</v>
      </c>
      <c r="B1" s="9" t="s">
        <v>15</v>
      </c>
      <c r="C1" s="9" t="s">
        <v>24</v>
      </c>
      <c r="D1" s="9" t="s">
        <v>25</v>
      </c>
      <c r="E1" s="9" t="s">
        <v>26</v>
      </c>
      <c r="F1" s="9" t="s">
        <v>27</v>
      </c>
      <c r="G1" s="9" t="s">
        <v>23</v>
      </c>
      <c r="H1" s="9" t="s">
        <v>13</v>
      </c>
      <c r="I1" s="9" t="s">
        <v>14</v>
      </c>
      <c r="J1" s="9" t="s">
        <v>0</v>
      </c>
      <c r="K1" s="9" t="s">
        <v>1</v>
      </c>
    </row>
    <row r="2" spans="1:11" x14ac:dyDescent="0.3">
      <c r="A2" s="12" t="s">
        <v>56</v>
      </c>
      <c r="B2" s="10" t="s">
        <v>31</v>
      </c>
      <c r="C2" s="4">
        <f>20414989.14</f>
        <v>20414989.140000001</v>
      </c>
      <c r="D2" s="1">
        <f>C2*F2</f>
        <v>18373490.226</v>
      </c>
      <c r="E2" s="10">
        <v>0.2</v>
      </c>
      <c r="F2" s="10">
        <v>0.9</v>
      </c>
      <c r="G2" s="10" t="s">
        <v>6</v>
      </c>
      <c r="I2" s="10">
        <v>1</v>
      </c>
      <c r="J2" s="10" t="s">
        <v>8</v>
      </c>
      <c r="K2" s="10" t="s">
        <v>6</v>
      </c>
    </row>
    <row r="3" spans="1:11" x14ac:dyDescent="0.3">
      <c r="A3" s="13" t="s">
        <v>57</v>
      </c>
      <c r="B3" s="10" t="s">
        <v>35</v>
      </c>
      <c r="C3" s="4">
        <f>3307600</f>
        <v>3307600</v>
      </c>
      <c r="D3" s="1">
        <f t="shared" ref="D3" si="0">C3*F3</f>
        <v>2976840</v>
      </c>
      <c r="E3" s="10">
        <v>0.2</v>
      </c>
      <c r="F3" s="10">
        <v>0.9</v>
      </c>
      <c r="G3" s="10" t="s">
        <v>6</v>
      </c>
      <c r="I3" s="10">
        <v>1</v>
      </c>
      <c r="J3" s="10" t="s">
        <v>8</v>
      </c>
      <c r="K3" s="10" t="s">
        <v>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DC61A-340E-4CF3-9A90-C8ABA5ADF42E}">
  <sheetPr codeName="Hoja7">
    <tabColor theme="4" tint="0.79998168889431442"/>
  </sheetPr>
  <dimension ref="A1:K4"/>
  <sheetViews>
    <sheetView workbookViewId="0">
      <selection activeCell="B12" sqref="B12"/>
    </sheetView>
  </sheetViews>
  <sheetFormatPr baseColWidth="10" defaultRowHeight="14" x14ac:dyDescent="0.3"/>
  <cols>
    <col min="1" max="1" width="26.7265625" style="1" bestFit="1" customWidth="1"/>
    <col min="2" max="2" width="23.54296875" style="1" bestFit="1" customWidth="1"/>
    <col min="3" max="4" width="10.90625" style="1"/>
    <col min="5" max="5" width="14.54296875" style="1" bestFit="1" customWidth="1"/>
    <col min="6" max="6" width="17.453125" style="1" bestFit="1" customWidth="1"/>
    <col min="7" max="7" width="10.90625" style="1"/>
    <col min="8" max="8" width="20" style="1" bestFit="1" customWidth="1"/>
    <col min="9" max="9" width="12.6328125" style="1" bestFit="1" customWidth="1"/>
    <col min="10" max="16384" width="10.90625" style="1"/>
  </cols>
  <sheetData>
    <row r="1" spans="1:11" x14ac:dyDescent="0.3">
      <c r="A1" s="8" t="s">
        <v>5</v>
      </c>
      <c r="B1" s="8" t="s">
        <v>15</v>
      </c>
      <c r="C1" s="8" t="s">
        <v>12</v>
      </c>
      <c r="D1" s="8" t="s">
        <v>20</v>
      </c>
      <c r="E1" s="8" t="s">
        <v>21</v>
      </c>
      <c r="F1" s="8" t="s">
        <v>22</v>
      </c>
      <c r="G1" s="8" t="s">
        <v>13</v>
      </c>
      <c r="H1" s="8" t="s">
        <v>23</v>
      </c>
      <c r="I1" s="8" t="s">
        <v>14</v>
      </c>
      <c r="J1" s="8" t="s">
        <v>0</v>
      </c>
      <c r="K1" s="8" t="s">
        <v>1</v>
      </c>
    </row>
    <row r="2" spans="1:11" x14ac:dyDescent="0.3">
      <c r="A2" s="2" t="s">
        <v>53</v>
      </c>
      <c r="B2" s="1" t="s">
        <v>30</v>
      </c>
      <c r="C2" s="5">
        <f>57427.04</f>
        <v>57427.040000000001</v>
      </c>
      <c r="D2" s="6">
        <v>4</v>
      </c>
      <c r="E2" s="5">
        <v>0.89658206299999998</v>
      </c>
      <c r="F2" s="5">
        <v>0.89658206299999998</v>
      </c>
      <c r="G2" s="6"/>
      <c r="H2" s="1" t="s">
        <v>29</v>
      </c>
      <c r="I2" s="1">
        <v>0.1</v>
      </c>
      <c r="J2" s="1" t="s">
        <v>7</v>
      </c>
      <c r="K2" s="1" t="s">
        <v>6</v>
      </c>
    </row>
    <row r="3" spans="1:11" x14ac:dyDescent="0.3">
      <c r="A3" s="2" t="s">
        <v>54</v>
      </c>
      <c r="B3" s="1" t="s">
        <v>33</v>
      </c>
      <c r="C3" s="5">
        <v>1528</v>
      </c>
      <c r="D3" s="6">
        <v>1000</v>
      </c>
      <c r="E3" s="6">
        <v>0.99</v>
      </c>
      <c r="F3" s="6">
        <v>0.99</v>
      </c>
      <c r="G3" s="6"/>
      <c r="H3" s="1" t="s">
        <v>29</v>
      </c>
      <c r="I3" s="1">
        <v>2</v>
      </c>
      <c r="J3" s="1" t="s">
        <v>4</v>
      </c>
      <c r="K3" s="1" t="s">
        <v>6</v>
      </c>
    </row>
    <row r="4" spans="1:11" x14ac:dyDescent="0.3">
      <c r="A4" s="3" t="s">
        <v>55</v>
      </c>
      <c r="B4" s="1" t="s">
        <v>34</v>
      </c>
      <c r="C4" s="5">
        <v>12000</v>
      </c>
      <c r="D4" s="6">
        <v>4</v>
      </c>
      <c r="E4" s="5">
        <v>0.92</v>
      </c>
      <c r="F4" s="5">
        <v>0.92</v>
      </c>
      <c r="G4" s="6"/>
      <c r="H4" s="1" t="s">
        <v>29</v>
      </c>
      <c r="I4" s="1">
        <v>0.1</v>
      </c>
      <c r="J4" s="1" t="s">
        <v>7</v>
      </c>
      <c r="K4" s="1" t="s">
        <v>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AEA64-E2C6-4544-97C3-C09FA18EEAC7}">
  <sheetPr codeName="Hoja10">
    <tabColor theme="5" tint="0.79998168889431442"/>
  </sheetPr>
  <dimension ref="A1:I169"/>
  <sheetViews>
    <sheetView tabSelected="1" zoomScale="90" workbookViewId="0">
      <selection activeCell="F10" sqref="F10"/>
    </sheetView>
  </sheetViews>
  <sheetFormatPr baseColWidth="10" defaultRowHeight="14" x14ac:dyDescent="0.3"/>
  <cols>
    <col min="1" max="6" width="22" style="7" customWidth="1"/>
    <col min="7" max="7" width="28.1796875" style="7" customWidth="1"/>
    <col min="8" max="8" width="22" style="7" customWidth="1"/>
    <col min="9" max="9" width="23.7265625" style="7" bestFit="1" customWidth="1"/>
    <col min="10" max="16384" width="10.90625" style="7"/>
  </cols>
  <sheetData>
    <row r="1" spans="1:9" s="19" customFormat="1" x14ac:dyDescent="0.3">
      <c r="A1" s="22" t="s">
        <v>58</v>
      </c>
      <c r="B1" s="22" t="s">
        <v>59</v>
      </c>
      <c r="C1" s="17" t="s">
        <v>60</v>
      </c>
      <c r="D1" s="17" t="s">
        <v>61</v>
      </c>
      <c r="E1" s="23" t="s">
        <v>89</v>
      </c>
      <c r="F1" s="23" t="s">
        <v>90</v>
      </c>
      <c r="G1" s="23" t="s">
        <v>103</v>
      </c>
      <c r="H1" s="23" t="s">
        <v>129</v>
      </c>
      <c r="I1" s="23" t="s">
        <v>128</v>
      </c>
    </row>
    <row r="2" spans="1:9" x14ac:dyDescent="0.3">
      <c r="A2" s="24">
        <v>31741.699000000001</v>
      </c>
      <c r="B2" s="24">
        <v>11835.472839999999</v>
      </c>
      <c r="C2" s="25">
        <v>5108.7860000000001</v>
      </c>
      <c r="D2" s="25">
        <v>1328.747032</v>
      </c>
      <c r="E2" s="25">
        <v>0</v>
      </c>
      <c r="F2" s="25">
        <v>6779.6610170000004</v>
      </c>
      <c r="G2" s="25">
        <v>0</v>
      </c>
      <c r="H2" s="25">
        <v>0</v>
      </c>
      <c r="I2" s="25">
        <v>0</v>
      </c>
    </row>
    <row r="3" spans="1:9" x14ac:dyDescent="0.3">
      <c r="A3" s="24">
        <v>30099.562999999998</v>
      </c>
      <c r="B3" s="24">
        <v>11835.472839999999</v>
      </c>
      <c r="C3" s="25">
        <v>4819.1030000000001</v>
      </c>
      <c r="D3" s="25">
        <v>1328.747032</v>
      </c>
      <c r="E3" s="25">
        <v>0</v>
      </c>
      <c r="F3" s="25">
        <v>6779.6610170000004</v>
      </c>
      <c r="G3" s="25">
        <v>0</v>
      </c>
      <c r="H3" s="25">
        <v>0</v>
      </c>
      <c r="I3" s="25">
        <v>0</v>
      </c>
    </row>
    <row r="4" spans="1:9" x14ac:dyDescent="0.3">
      <c r="A4" s="24">
        <v>28885.16</v>
      </c>
      <c r="B4" s="24">
        <v>11835.472839999999</v>
      </c>
      <c r="C4" s="25">
        <v>4387.7039999999997</v>
      </c>
      <c r="D4" s="25">
        <v>1328.747032</v>
      </c>
      <c r="E4" s="25">
        <v>0</v>
      </c>
      <c r="F4" s="25">
        <v>6779.6610170000004</v>
      </c>
      <c r="G4" s="25">
        <v>0</v>
      </c>
      <c r="H4" s="25">
        <v>0</v>
      </c>
      <c r="I4" s="25">
        <v>0</v>
      </c>
    </row>
    <row r="5" spans="1:9" x14ac:dyDescent="0.3">
      <c r="A5" s="24">
        <v>28278.066000000003</v>
      </c>
      <c r="B5" s="24">
        <v>11835.472839999999</v>
      </c>
      <c r="C5" s="25">
        <v>4234.8289999999997</v>
      </c>
      <c r="D5" s="25">
        <v>1328.747032</v>
      </c>
      <c r="E5" s="25">
        <v>0</v>
      </c>
      <c r="F5" s="25">
        <v>6779.6610170000004</v>
      </c>
      <c r="G5" s="25">
        <v>0</v>
      </c>
      <c r="H5" s="25">
        <v>0</v>
      </c>
      <c r="I5" s="25">
        <v>0</v>
      </c>
    </row>
    <row r="6" spans="1:9" x14ac:dyDescent="0.3">
      <c r="A6" s="24">
        <v>28514.219000000001</v>
      </c>
      <c r="B6" s="24">
        <v>11851.182839999999</v>
      </c>
      <c r="C6" s="25">
        <v>4222.5379999999996</v>
      </c>
      <c r="D6" s="25">
        <v>1328.747032</v>
      </c>
      <c r="E6" s="25">
        <v>0</v>
      </c>
      <c r="F6" s="25">
        <v>6779.6610170000004</v>
      </c>
      <c r="G6" s="25">
        <v>0</v>
      </c>
      <c r="H6" s="25">
        <v>0</v>
      </c>
      <c r="I6" s="25">
        <v>0</v>
      </c>
    </row>
    <row r="7" spans="1:9" x14ac:dyDescent="0.3">
      <c r="A7" s="24">
        <v>29517.690000000002</v>
      </c>
      <c r="B7" s="24">
        <v>11882.602849999999</v>
      </c>
      <c r="C7" s="25">
        <v>4353.5569999999998</v>
      </c>
      <c r="D7" s="25">
        <v>1426.7035080000001</v>
      </c>
      <c r="E7" s="25">
        <v>0</v>
      </c>
      <c r="F7" s="25">
        <v>6779.6610170000004</v>
      </c>
      <c r="G7" s="25">
        <v>0</v>
      </c>
      <c r="H7" s="25">
        <v>0</v>
      </c>
      <c r="I7" s="25">
        <v>0</v>
      </c>
    </row>
    <row r="8" spans="1:9" x14ac:dyDescent="0.3">
      <c r="A8" s="24">
        <v>31303.323</v>
      </c>
      <c r="B8" s="24">
        <v>11898.312849999998</v>
      </c>
      <c r="C8" s="25">
        <v>4546.4669999999996</v>
      </c>
      <c r="D8" s="25">
        <v>1524.659985</v>
      </c>
      <c r="E8" s="25">
        <v>0</v>
      </c>
      <c r="F8" s="25">
        <v>6779.6610170000004</v>
      </c>
      <c r="G8" s="25">
        <v>0</v>
      </c>
      <c r="H8" s="25">
        <v>0</v>
      </c>
      <c r="I8" s="25">
        <v>0</v>
      </c>
    </row>
    <row r="9" spans="1:9" x14ac:dyDescent="0.3">
      <c r="A9" s="24">
        <v>33072.214</v>
      </c>
      <c r="B9" s="24">
        <v>11914.022849999999</v>
      </c>
      <c r="C9" s="25">
        <v>4670.4759999999997</v>
      </c>
      <c r="D9" s="25">
        <v>1617.460857</v>
      </c>
      <c r="E9" s="25">
        <v>0</v>
      </c>
      <c r="F9" s="25">
        <v>6779.6610170000004</v>
      </c>
      <c r="G9" s="25">
        <v>0</v>
      </c>
      <c r="H9" s="25">
        <v>0</v>
      </c>
      <c r="I9" s="25">
        <v>0</v>
      </c>
    </row>
    <row r="10" spans="1:9" x14ac:dyDescent="0.3">
      <c r="A10" s="24">
        <v>34068.637999999999</v>
      </c>
      <c r="B10" s="24">
        <v>11914.022849999999</v>
      </c>
      <c r="C10" s="25">
        <v>4713.0320000000002</v>
      </c>
      <c r="D10" s="25">
        <v>1715.4173330000001</v>
      </c>
      <c r="E10" s="25">
        <v>0</v>
      </c>
      <c r="F10" s="25">
        <v>6779.6610170000004</v>
      </c>
      <c r="G10" s="25">
        <v>0</v>
      </c>
      <c r="H10" s="25">
        <v>0</v>
      </c>
      <c r="I10" s="25">
        <v>0</v>
      </c>
    </row>
    <row r="11" spans="1:9" x14ac:dyDescent="0.3">
      <c r="A11" s="24">
        <v>35359.433000000005</v>
      </c>
      <c r="B11" s="24">
        <v>11914.022849999999</v>
      </c>
      <c r="C11" s="25">
        <v>4911.3090000000002</v>
      </c>
      <c r="D11" s="25">
        <v>1715.4173330000001</v>
      </c>
      <c r="E11" s="25">
        <v>0</v>
      </c>
      <c r="F11" s="25">
        <v>6779.6610170000004</v>
      </c>
      <c r="G11" s="25">
        <v>0</v>
      </c>
      <c r="H11" s="25">
        <v>0</v>
      </c>
      <c r="I11" s="25">
        <v>0</v>
      </c>
    </row>
    <row r="12" spans="1:9" x14ac:dyDescent="0.3">
      <c r="A12" s="24">
        <v>35771.871999999996</v>
      </c>
      <c r="B12" s="24">
        <v>11914.022849999999</v>
      </c>
      <c r="C12" s="25">
        <v>5033.2820000000002</v>
      </c>
      <c r="D12" s="25">
        <v>1766.9733739999999</v>
      </c>
      <c r="E12" s="25">
        <v>578.16100895</v>
      </c>
      <c r="F12" s="25">
        <v>6779.6610170000004</v>
      </c>
      <c r="G12" s="25">
        <v>651.21892933000004</v>
      </c>
      <c r="H12" s="25">
        <v>0</v>
      </c>
      <c r="I12" s="25">
        <v>0</v>
      </c>
    </row>
    <row r="13" spans="1:9" x14ac:dyDescent="0.3">
      <c r="A13" s="24">
        <v>36558.857000000004</v>
      </c>
      <c r="B13" s="24">
        <v>11898.312849999998</v>
      </c>
      <c r="C13" s="25">
        <v>5241.0720000000001</v>
      </c>
      <c r="D13" s="25">
        <v>1766.9733739999999</v>
      </c>
      <c r="E13" s="25">
        <v>5000</v>
      </c>
      <c r="F13" s="25">
        <v>6779.6610170000004</v>
      </c>
      <c r="G13" s="25">
        <v>948.49916551000001</v>
      </c>
      <c r="H13" s="25">
        <v>818</v>
      </c>
      <c r="I13" s="25">
        <v>0</v>
      </c>
    </row>
    <row r="14" spans="1:9" x14ac:dyDescent="0.3">
      <c r="A14" s="24">
        <v>37443.359000000004</v>
      </c>
      <c r="B14" s="24">
        <v>11882.602849999999</v>
      </c>
      <c r="C14" s="25">
        <v>5572.7849999999999</v>
      </c>
      <c r="D14" s="25">
        <v>1715.4173330000001</v>
      </c>
      <c r="E14" s="25">
        <v>5000</v>
      </c>
      <c r="F14" s="25">
        <v>6779.6610170000004</v>
      </c>
      <c r="G14" s="25">
        <v>261.55916551000001</v>
      </c>
      <c r="H14" s="25">
        <v>818</v>
      </c>
      <c r="I14" s="25">
        <v>330</v>
      </c>
    </row>
    <row r="15" spans="1:9" x14ac:dyDescent="0.3">
      <c r="A15" s="24">
        <v>37784.136999999995</v>
      </c>
      <c r="B15" s="24">
        <v>11882.602849999999</v>
      </c>
      <c r="C15" s="25">
        <v>5282.482</v>
      </c>
      <c r="D15" s="25">
        <v>1741.195354</v>
      </c>
      <c r="E15" s="25">
        <v>5000</v>
      </c>
      <c r="F15" s="25">
        <v>6779.6610170000004</v>
      </c>
      <c r="G15" s="25">
        <v>261.55916551000001</v>
      </c>
      <c r="H15" s="25">
        <v>818</v>
      </c>
      <c r="I15" s="25">
        <v>77.210303929999995</v>
      </c>
    </row>
    <row r="16" spans="1:9" x14ac:dyDescent="0.3">
      <c r="A16" s="24">
        <v>37011.836000000003</v>
      </c>
      <c r="B16" s="24">
        <v>11898.312849999998</v>
      </c>
      <c r="C16" s="25">
        <v>5002.3549999999996</v>
      </c>
      <c r="D16" s="25">
        <v>1715.4173330000001</v>
      </c>
      <c r="E16" s="25">
        <v>5000</v>
      </c>
      <c r="F16" s="25">
        <v>6779.6610170000004</v>
      </c>
      <c r="G16" s="25">
        <v>948.49916551000001</v>
      </c>
      <c r="H16" s="25">
        <v>818</v>
      </c>
      <c r="I16" s="25">
        <v>0</v>
      </c>
    </row>
    <row r="17" spans="1:9" x14ac:dyDescent="0.3">
      <c r="A17" s="24">
        <v>36719.424999999996</v>
      </c>
      <c r="B17" s="24">
        <v>11914.022849999999</v>
      </c>
      <c r="C17" s="25">
        <v>5027.03</v>
      </c>
      <c r="D17" s="25">
        <v>1715.4173330000001</v>
      </c>
      <c r="E17" s="25">
        <v>5000</v>
      </c>
      <c r="F17" s="25">
        <v>6779.6610170000004</v>
      </c>
      <c r="G17" s="25">
        <v>981.21892933000004</v>
      </c>
      <c r="H17" s="25">
        <v>0</v>
      </c>
      <c r="I17" s="25">
        <v>0</v>
      </c>
    </row>
    <row r="18" spans="1:9" x14ac:dyDescent="0.3">
      <c r="A18" s="24">
        <v>37509.415000000001</v>
      </c>
      <c r="B18" s="24">
        <v>11914.022849999999</v>
      </c>
      <c r="C18" s="25">
        <v>5250.4759999999997</v>
      </c>
      <c r="D18" s="25">
        <v>1715.4173330000001</v>
      </c>
      <c r="E18" s="25">
        <v>0</v>
      </c>
      <c r="F18" s="25">
        <v>6779.6610170000004</v>
      </c>
      <c r="G18" s="25">
        <v>294.27892932999998</v>
      </c>
      <c r="H18" s="25">
        <v>0</v>
      </c>
      <c r="I18" s="25">
        <v>0</v>
      </c>
    </row>
    <row r="19" spans="1:9" x14ac:dyDescent="0.3">
      <c r="A19" s="24">
        <v>40018.881000000001</v>
      </c>
      <c r="B19" s="24">
        <v>10571.61585</v>
      </c>
      <c r="C19" s="25">
        <v>5897.9110000000001</v>
      </c>
      <c r="D19" s="25">
        <v>1715.4173330000001</v>
      </c>
      <c r="E19" s="25">
        <v>0</v>
      </c>
      <c r="F19" s="25">
        <v>5734.7610169999998</v>
      </c>
      <c r="G19" s="25">
        <v>0</v>
      </c>
      <c r="H19" s="25">
        <v>0</v>
      </c>
      <c r="I19" s="25">
        <v>0</v>
      </c>
    </row>
    <row r="20" spans="1:9" x14ac:dyDescent="0.3">
      <c r="A20" s="24">
        <v>41819.241000000002</v>
      </c>
      <c r="B20" s="24">
        <v>10555.905849999999</v>
      </c>
      <c r="C20" s="25">
        <v>6663.3337199999996</v>
      </c>
      <c r="D20" s="25">
        <v>1715.4173330000001</v>
      </c>
      <c r="E20" s="25">
        <v>0</v>
      </c>
      <c r="F20" s="25">
        <v>4690.3208989100003</v>
      </c>
      <c r="G20" s="25">
        <v>0</v>
      </c>
      <c r="H20" s="25">
        <v>0</v>
      </c>
      <c r="I20" s="25">
        <v>0</v>
      </c>
    </row>
    <row r="21" spans="1:9" x14ac:dyDescent="0.3">
      <c r="A21" s="24">
        <v>42276.455999999998</v>
      </c>
      <c r="B21" s="24">
        <v>10540.19585</v>
      </c>
      <c r="C21" s="25">
        <v>6779.2653191499994</v>
      </c>
      <c r="D21" s="25">
        <v>1560.7492130000001</v>
      </c>
      <c r="E21" s="25">
        <v>0</v>
      </c>
      <c r="F21" s="25">
        <v>3645.8807808299998</v>
      </c>
      <c r="G21" s="25">
        <v>0</v>
      </c>
      <c r="H21" s="25">
        <v>0</v>
      </c>
      <c r="I21" s="25">
        <v>0</v>
      </c>
    </row>
    <row r="22" spans="1:9" x14ac:dyDescent="0.3">
      <c r="A22" s="24">
        <v>41687.913999999997</v>
      </c>
      <c r="B22" s="24">
        <v>10524.485839999999</v>
      </c>
      <c r="C22" s="25">
        <v>6523.1627233999998</v>
      </c>
      <c r="D22" s="25">
        <v>1457.6371320000001</v>
      </c>
      <c r="E22" s="25">
        <v>0</v>
      </c>
      <c r="F22" s="25">
        <v>2601.4406627399999</v>
      </c>
      <c r="G22" s="25">
        <v>0</v>
      </c>
      <c r="H22" s="25">
        <v>0</v>
      </c>
      <c r="I22" s="25">
        <v>0</v>
      </c>
    </row>
    <row r="23" spans="1:9" x14ac:dyDescent="0.3">
      <c r="A23" s="24">
        <v>40136.485999999997</v>
      </c>
      <c r="B23" s="24">
        <v>10508.77584</v>
      </c>
      <c r="C23" s="25">
        <v>6077.3177872300002</v>
      </c>
      <c r="D23" s="25">
        <v>1380.3030719999999</v>
      </c>
      <c r="E23" s="25">
        <v>0</v>
      </c>
      <c r="F23" s="25">
        <v>1557.0005446499999</v>
      </c>
      <c r="G23" s="25">
        <v>0</v>
      </c>
      <c r="H23" s="25">
        <v>0</v>
      </c>
      <c r="I23" s="25">
        <v>0</v>
      </c>
    </row>
    <row r="24" spans="1:9" x14ac:dyDescent="0.3">
      <c r="A24" s="24">
        <v>37779.918000000005</v>
      </c>
      <c r="B24" s="24">
        <v>10493.065839999999</v>
      </c>
      <c r="C24" s="25">
        <v>6448.6117446799999</v>
      </c>
      <c r="D24" s="25">
        <v>1328.747032</v>
      </c>
      <c r="E24" s="25">
        <v>0</v>
      </c>
      <c r="F24" s="25">
        <v>2412.11279491</v>
      </c>
      <c r="G24" s="25">
        <v>0</v>
      </c>
      <c r="H24" s="25">
        <v>0</v>
      </c>
      <c r="I24" s="25">
        <v>0</v>
      </c>
    </row>
    <row r="25" spans="1:9" x14ac:dyDescent="0.3">
      <c r="A25" s="24">
        <v>35192.712</v>
      </c>
      <c r="B25" s="24">
        <v>10493.065839999999</v>
      </c>
      <c r="C25" s="25">
        <v>6118.0184000000008</v>
      </c>
      <c r="D25" s="25">
        <v>1328.747032</v>
      </c>
      <c r="E25" s="25">
        <v>0</v>
      </c>
      <c r="F25" s="25">
        <v>3457.0127949100001</v>
      </c>
      <c r="G25" s="25">
        <v>0</v>
      </c>
      <c r="H25" s="25">
        <v>0</v>
      </c>
      <c r="I25" s="25">
        <v>0</v>
      </c>
    </row>
    <row r="26" spans="1:9" x14ac:dyDescent="0.3">
      <c r="A26" s="24">
        <v>33864.518000000004</v>
      </c>
      <c r="B26" s="24">
        <v>10493.065839999999</v>
      </c>
      <c r="C26" s="25">
        <v>5660.5590000000002</v>
      </c>
      <c r="D26" s="25">
        <v>1293.3053709999999</v>
      </c>
      <c r="E26" s="25">
        <v>0</v>
      </c>
      <c r="F26" s="25">
        <v>4501.9137809599997</v>
      </c>
      <c r="G26" s="25">
        <v>0</v>
      </c>
      <c r="H26" s="25">
        <v>0</v>
      </c>
      <c r="I26" s="25">
        <v>0</v>
      </c>
    </row>
    <row r="27" spans="1:9" x14ac:dyDescent="0.3">
      <c r="A27" s="24">
        <v>32008.525000000001</v>
      </c>
      <c r="B27" s="24">
        <v>10493.065839999999</v>
      </c>
      <c r="C27" s="25">
        <v>5292.4740000000002</v>
      </c>
      <c r="D27" s="25">
        <v>1293.3053709999999</v>
      </c>
      <c r="E27" s="25">
        <v>0</v>
      </c>
      <c r="F27" s="25">
        <v>5546.8137809600003</v>
      </c>
      <c r="G27" s="25">
        <v>0</v>
      </c>
      <c r="H27" s="25">
        <v>0</v>
      </c>
      <c r="I27" s="25">
        <v>0</v>
      </c>
    </row>
    <row r="28" spans="1:9" x14ac:dyDescent="0.3">
      <c r="A28" s="24">
        <v>30957.318000000003</v>
      </c>
      <c r="B28" s="24">
        <v>10493.065839999999</v>
      </c>
      <c r="C28" s="25">
        <v>4865.9650000000001</v>
      </c>
      <c r="D28" s="25">
        <v>1293.3053709999999</v>
      </c>
      <c r="E28" s="25">
        <v>0</v>
      </c>
      <c r="F28" s="25">
        <v>5747.0736735</v>
      </c>
      <c r="G28" s="25">
        <v>0</v>
      </c>
      <c r="H28" s="25">
        <v>0</v>
      </c>
      <c r="I28" s="25">
        <v>0</v>
      </c>
    </row>
    <row r="29" spans="1:9" x14ac:dyDescent="0.3">
      <c r="A29" s="24">
        <v>30600.280999999999</v>
      </c>
      <c r="B29" s="24">
        <v>10493.065839999999</v>
      </c>
      <c r="C29" s="25">
        <v>4748.2039999999997</v>
      </c>
      <c r="D29" s="25">
        <v>1293.3053709999999</v>
      </c>
      <c r="E29" s="25">
        <v>0</v>
      </c>
      <c r="F29" s="25">
        <v>4702.1736735000004</v>
      </c>
      <c r="G29" s="25">
        <v>0</v>
      </c>
      <c r="H29" s="25">
        <v>0</v>
      </c>
      <c r="I29" s="25">
        <v>0</v>
      </c>
    </row>
    <row r="30" spans="1:9" x14ac:dyDescent="0.3">
      <c r="A30" s="24">
        <v>31411.432999999997</v>
      </c>
      <c r="B30" s="24">
        <v>10508.77584</v>
      </c>
      <c r="C30" s="25">
        <v>4916.92293617</v>
      </c>
      <c r="D30" s="25">
        <v>1293.3053709999999</v>
      </c>
      <c r="E30" s="25">
        <v>0</v>
      </c>
      <c r="F30" s="25">
        <v>3656.8137915900002</v>
      </c>
      <c r="G30" s="25">
        <v>0</v>
      </c>
      <c r="H30" s="25">
        <v>0</v>
      </c>
      <c r="I30" s="25">
        <v>0</v>
      </c>
    </row>
    <row r="31" spans="1:9" x14ac:dyDescent="0.3">
      <c r="A31" s="24">
        <v>33624.99</v>
      </c>
      <c r="B31" s="24">
        <v>10540.19585</v>
      </c>
      <c r="C31" s="25">
        <v>4987.0127400000001</v>
      </c>
      <c r="D31" s="25">
        <v>1391.261847</v>
      </c>
      <c r="E31" s="25">
        <v>0</v>
      </c>
      <c r="F31" s="25">
        <v>2610.9940277599999</v>
      </c>
      <c r="G31" s="25">
        <v>0</v>
      </c>
      <c r="H31" s="25">
        <v>0</v>
      </c>
      <c r="I31" s="25">
        <v>0</v>
      </c>
    </row>
    <row r="32" spans="1:9" x14ac:dyDescent="0.3">
      <c r="A32" s="24">
        <v>36794.512000000002</v>
      </c>
      <c r="B32" s="24">
        <v>10555.905849999999</v>
      </c>
      <c r="C32" s="25">
        <v>5322.4690799999998</v>
      </c>
      <c r="D32" s="25">
        <v>1489.2183239999999</v>
      </c>
      <c r="E32" s="25">
        <v>0</v>
      </c>
      <c r="F32" s="25">
        <v>2600.5208989100001</v>
      </c>
      <c r="G32" s="25">
        <v>0</v>
      </c>
      <c r="H32" s="25">
        <v>0</v>
      </c>
      <c r="I32" s="25">
        <v>0</v>
      </c>
    </row>
    <row r="33" spans="1:9" x14ac:dyDescent="0.3">
      <c r="A33" s="24">
        <v>39619.316999999995</v>
      </c>
      <c r="B33" s="24">
        <v>10571.61585</v>
      </c>
      <c r="C33" s="25">
        <v>5858.7920800000002</v>
      </c>
      <c r="D33" s="25">
        <v>1582.019196</v>
      </c>
      <c r="E33" s="25">
        <v>0</v>
      </c>
      <c r="F33" s="25">
        <v>3644.9610170000001</v>
      </c>
      <c r="G33" s="25">
        <v>0</v>
      </c>
      <c r="H33" s="25">
        <v>0</v>
      </c>
      <c r="I33" s="25">
        <v>0</v>
      </c>
    </row>
    <row r="34" spans="1:9" x14ac:dyDescent="0.3">
      <c r="A34" s="24">
        <v>41470.403000000006</v>
      </c>
      <c r="B34" s="24">
        <v>10571.61585</v>
      </c>
      <c r="C34" s="25">
        <v>6357.06808</v>
      </c>
      <c r="D34" s="25">
        <v>1679.9756729999999</v>
      </c>
      <c r="E34" s="25">
        <v>0</v>
      </c>
      <c r="F34" s="25">
        <v>4689.8610170000002</v>
      </c>
      <c r="G34" s="25">
        <v>0</v>
      </c>
      <c r="H34" s="25">
        <v>0</v>
      </c>
      <c r="I34" s="25">
        <v>0</v>
      </c>
    </row>
    <row r="35" spans="1:9" x14ac:dyDescent="0.3">
      <c r="A35" s="24">
        <v>42656.406999999999</v>
      </c>
      <c r="B35" s="24">
        <v>10571.61585</v>
      </c>
      <c r="C35" s="25">
        <v>6491.9089999999997</v>
      </c>
      <c r="D35" s="25">
        <v>1679.9756729999999</v>
      </c>
      <c r="E35" s="25">
        <v>0</v>
      </c>
      <c r="F35" s="25">
        <v>5734.7610169999998</v>
      </c>
      <c r="G35" s="25">
        <v>0</v>
      </c>
      <c r="H35" s="25">
        <v>0</v>
      </c>
      <c r="I35" s="25">
        <v>0</v>
      </c>
    </row>
    <row r="36" spans="1:9" x14ac:dyDescent="0.3">
      <c r="A36" s="24">
        <v>42575.571000000004</v>
      </c>
      <c r="B36" s="24">
        <v>11914.022849999999</v>
      </c>
      <c r="C36" s="25">
        <v>6381.1840000000002</v>
      </c>
      <c r="D36" s="25">
        <v>1731.5317130000001</v>
      </c>
      <c r="E36" s="25">
        <v>0</v>
      </c>
      <c r="F36" s="25">
        <v>6779.6610170000004</v>
      </c>
      <c r="G36" s="25">
        <v>0</v>
      </c>
      <c r="H36" s="25">
        <v>0</v>
      </c>
      <c r="I36" s="25">
        <v>0</v>
      </c>
    </row>
    <row r="37" spans="1:9" x14ac:dyDescent="0.3">
      <c r="A37" s="24">
        <v>42837.446000000004</v>
      </c>
      <c r="B37" s="24">
        <v>11898.312849999998</v>
      </c>
      <c r="C37" s="25">
        <v>6459.91</v>
      </c>
      <c r="D37" s="25">
        <v>1731.5317130000001</v>
      </c>
      <c r="E37" s="25">
        <v>0</v>
      </c>
      <c r="F37" s="25">
        <v>6779.6610170000004</v>
      </c>
      <c r="G37" s="25">
        <v>0</v>
      </c>
      <c r="H37" s="25">
        <v>0</v>
      </c>
      <c r="I37" s="25">
        <v>0</v>
      </c>
    </row>
    <row r="38" spans="1:9" x14ac:dyDescent="0.3">
      <c r="A38" s="24">
        <v>43054.642</v>
      </c>
      <c r="B38" s="24">
        <v>11882.602849999999</v>
      </c>
      <c r="C38" s="25">
        <v>6512.3739999999998</v>
      </c>
      <c r="D38" s="25">
        <v>1679.9756729999999</v>
      </c>
      <c r="E38" s="25">
        <v>0</v>
      </c>
      <c r="F38" s="25">
        <v>6779.6610170000004</v>
      </c>
      <c r="G38" s="25">
        <v>0</v>
      </c>
      <c r="H38" s="25">
        <v>0</v>
      </c>
      <c r="I38" s="25">
        <v>0</v>
      </c>
    </row>
    <row r="39" spans="1:9" x14ac:dyDescent="0.3">
      <c r="A39" s="24">
        <v>42919.839</v>
      </c>
      <c r="B39" s="24">
        <v>11882.602849999999</v>
      </c>
      <c r="C39" s="25">
        <v>6237.08</v>
      </c>
      <c r="D39" s="25">
        <v>1705.7536930000001</v>
      </c>
      <c r="E39" s="25">
        <v>0</v>
      </c>
      <c r="F39" s="25">
        <v>6779.6610170000004</v>
      </c>
      <c r="G39" s="25">
        <v>588.96592054999996</v>
      </c>
      <c r="H39" s="25">
        <v>0</v>
      </c>
      <c r="I39" s="25">
        <v>0</v>
      </c>
    </row>
    <row r="40" spans="1:9" x14ac:dyDescent="0.3">
      <c r="A40" s="24">
        <v>42174.104999999996</v>
      </c>
      <c r="B40" s="24">
        <v>11898.312849999998</v>
      </c>
      <c r="C40" s="25">
        <v>6179.3860000000004</v>
      </c>
      <c r="D40" s="25">
        <v>1679.9756729999999</v>
      </c>
      <c r="E40" s="25">
        <v>0</v>
      </c>
      <c r="F40" s="25">
        <v>6779.6610170000004</v>
      </c>
      <c r="G40" s="25">
        <v>650.75806136999995</v>
      </c>
      <c r="H40" s="25">
        <v>0</v>
      </c>
      <c r="I40" s="25">
        <v>0</v>
      </c>
    </row>
    <row r="41" spans="1:9" x14ac:dyDescent="0.3">
      <c r="A41" s="24">
        <v>42199.495000000003</v>
      </c>
      <c r="B41" s="24">
        <v>11914.022849999999</v>
      </c>
      <c r="C41" s="25">
        <v>6194.5559999999996</v>
      </c>
      <c r="D41" s="25">
        <v>1679.9756729999999</v>
      </c>
      <c r="E41" s="25">
        <v>0</v>
      </c>
      <c r="F41" s="25">
        <v>5990.2735120899997</v>
      </c>
      <c r="G41" s="25">
        <v>651.21794327999999</v>
      </c>
      <c r="H41" s="25">
        <v>0</v>
      </c>
      <c r="I41" s="25">
        <v>0</v>
      </c>
    </row>
    <row r="42" spans="1:9" x14ac:dyDescent="0.3">
      <c r="A42" s="24">
        <v>42908.385000000002</v>
      </c>
      <c r="B42" s="24">
        <v>11914.022849999999</v>
      </c>
      <c r="C42" s="25">
        <v>6425.3190000000004</v>
      </c>
      <c r="D42" s="25">
        <v>1679.9756729999999</v>
      </c>
      <c r="E42" s="25">
        <v>0</v>
      </c>
      <c r="F42" s="25">
        <v>4945.3735120900001</v>
      </c>
      <c r="G42" s="25">
        <v>0</v>
      </c>
      <c r="H42" s="25">
        <v>0</v>
      </c>
      <c r="I42" s="25">
        <v>0</v>
      </c>
    </row>
    <row r="43" spans="1:9" x14ac:dyDescent="0.3">
      <c r="A43" s="24">
        <v>45100.183999999994</v>
      </c>
      <c r="B43" s="24">
        <v>10571.61585</v>
      </c>
      <c r="C43" s="25">
        <v>6957.1009999999997</v>
      </c>
      <c r="D43" s="25">
        <v>1679.9756729999999</v>
      </c>
      <c r="E43" s="25">
        <v>0</v>
      </c>
      <c r="F43" s="25">
        <v>3900.47351209</v>
      </c>
      <c r="G43" s="25">
        <v>0</v>
      </c>
      <c r="H43" s="25">
        <v>0</v>
      </c>
      <c r="I43" s="25">
        <v>0</v>
      </c>
    </row>
    <row r="44" spans="1:9" x14ac:dyDescent="0.3">
      <c r="A44" s="24">
        <v>46450.087</v>
      </c>
      <c r="B44" s="24">
        <v>10555.905849999999</v>
      </c>
      <c r="C44" s="25">
        <v>7690.8571276599996</v>
      </c>
      <c r="D44" s="25">
        <v>1679.9756729999999</v>
      </c>
      <c r="E44" s="25">
        <v>0</v>
      </c>
      <c r="F44" s="25">
        <v>2856.033394</v>
      </c>
      <c r="G44" s="25">
        <v>0</v>
      </c>
      <c r="H44" s="25">
        <v>0</v>
      </c>
      <c r="I44" s="25">
        <v>0</v>
      </c>
    </row>
    <row r="45" spans="1:9" x14ac:dyDescent="0.3">
      <c r="A45" s="24">
        <v>46119.771000000001</v>
      </c>
      <c r="B45" s="24">
        <v>10540.19585</v>
      </c>
      <c r="C45" s="25">
        <v>7753.7723191500008</v>
      </c>
      <c r="D45" s="25">
        <v>1525.307552</v>
      </c>
      <c r="E45" s="25">
        <v>0</v>
      </c>
      <c r="F45" s="25">
        <v>1811.5932759100001</v>
      </c>
      <c r="G45" s="25">
        <v>0</v>
      </c>
      <c r="H45" s="25">
        <v>0</v>
      </c>
      <c r="I45" s="25">
        <v>0</v>
      </c>
    </row>
    <row r="46" spans="1:9" x14ac:dyDescent="0.3">
      <c r="A46" s="24">
        <v>44509.570999999996</v>
      </c>
      <c r="B46" s="24">
        <v>10524.485839999999</v>
      </c>
      <c r="C46" s="25">
        <v>7411.6607233999994</v>
      </c>
      <c r="D46" s="25">
        <v>1422.195471</v>
      </c>
      <c r="E46" s="25">
        <v>0</v>
      </c>
      <c r="F46" s="25">
        <v>767.15315782000005</v>
      </c>
      <c r="G46" s="25">
        <v>0</v>
      </c>
      <c r="H46" s="25">
        <v>0</v>
      </c>
      <c r="I46" s="25">
        <v>0</v>
      </c>
    </row>
    <row r="47" spans="1:9" x14ac:dyDescent="0.3">
      <c r="A47" s="24">
        <v>41916.962999999996</v>
      </c>
      <c r="B47" s="24">
        <v>10508.77584</v>
      </c>
      <c r="C47" s="25">
        <v>6906.3997872300006</v>
      </c>
      <c r="D47" s="25">
        <v>1344.8614110000001</v>
      </c>
      <c r="E47" s="25">
        <v>0</v>
      </c>
      <c r="F47" s="25">
        <v>422.70993096000001</v>
      </c>
      <c r="G47" s="25">
        <v>0</v>
      </c>
      <c r="H47" s="25">
        <v>0</v>
      </c>
      <c r="I47" s="25">
        <v>0</v>
      </c>
    </row>
    <row r="48" spans="1:9" x14ac:dyDescent="0.3">
      <c r="A48" s="24">
        <v>39305.498999999996</v>
      </c>
      <c r="B48" s="24">
        <v>10493.065839999999</v>
      </c>
      <c r="C48" s="25">
        <v>7179.3247446799996</v>
      </c>
      <c r="D48" s="25">
        <v>1293.3053709999999</v>
      </c>
      <c r="E48" s="25">
        <v>0</v>
      </c>
      <c r="F48" s="25">
        <v>323.07465397999999</v>
      </c>
      <c r="G48" s="25">
        <v>0</v>
      </c>
      <c r="H48" s="25">
        <v>0</v>
      </c>
      <c r="I48" s="25">
        <v>0</v>
      </c>
    </row>
    <row r="49" spans="1:9" x14ac:dyDescent="0.3">
      <c r="A49" s="24">
        <v>36822.039000000004</v>
      </c>
      <c r="B49" s="24">
        <v>10493.065839999999</v>
      </c>
      <c r="C49" s="25">
        <v>6744.73897872</v>
      </c>
      <c r="D49" s="25">
        <v>1293.3053709999999</v>
      </c>
      <c r="E49" s="25">
        <v>0</v>
      </c>
      <c r="F49" s="25">
        <v>164.34492398</v>
      </c>
      <c r="G49" s="25">
        <v>0</v>
      </c>
      <c r="H49" s="25">
        <v>0</v>
      </c>
      <c r="I49" s="25">
        <v>0</v>
      </c>
    </row>
    <row r="50" spans="1:9" x14ac:dyDescent="0.3">
      <c r="A50" s="24">
        <v>34041.472999999998</v>
      </c>
      <c r="B50" s="24">
        <v>10493.065839999999</v>
      </c>
      <c r="C50" s="25">
        <v>5937.9502340399995</v>
      </c>
      <c r="D50" s="25">
        <v>1174.815008</v>
      </c>
      <c r="E50" s="25">
        <v>0</v>
      </c>
      <c r="F50" s="25">
        <v>174.87043702</v>
      </c>
      <c r="G50" s="25">
        <v>0</v>
      </c>
      <c r="H50" s="25">
        <v>0</v>
      </c>
      <c r="I50" s="25">
        <v>0</v>
      </c>
    </row>
    <row r="51" spans="1:9" x14ac:dyDescent="0.3">
      <c r="A51" s="24">
        <v>32186.687000000002</v>
      </c>
      <c r="B51" s="24">
        <v>10493.065839999999</v>
      </c>
      <c r="C51" s="25">
        <v>5424.3986645499999</v>
      </c>
      <c r="D51" s="25">
        <v>1174.815008</v>
      </c>
      <c r="E51" s="25">
        <v>0</v>
      </c>
      <c r="F51" s="25">
        <v>266.18921702</v>
      </c>
      <c r="G51" s="25">
        <v>0</v>
      </c>
      <c r="H51" s="25">
        <v>0</v>
      </c>
      <c r="I51" s="25">
        <v>0</v>
      </c>
    </row>
    <row r="52" spans="1:9" x14ac:dyDescent="0.3">
      <c r="A52" s="24">
        <v>31139.749</v>
      </c>
      <c r="B52" s="24">
        <v>10493.065839999999</v>
      </c>
      <c r="C52" s="25">
        <v>5070.7197021300008</v>
      </c>
      <c r="D52" s="25">
        <v>1174.815008</v>
      </c>
      <c r="E52" s="25">
        <v>0</v>
      </c>
      <c r="F52" s="25">
        <v>358.58648701999999</v>
      </c>
      <c r="G52" s="25">
        <v>0</v>
      </c>
      <c r="H52" s="25">
        <v>0</v>
      </c>
      <c r="I52" s="25">
        <v>0</v>
      </c>
    </row>
    <row r="53" spans="1:9" x14ac:dyDescent="0.3">
      <c r="A53" s="24">
        <v>30786.334999999999</v>
      </c>
      <c r="B53" s="24">
        <v>10493.065839999999</v>
      </c>
      <c r="C53" s="25">
        <v>4933.6143191499996</v>
      </c>
      <c r="D53" s="25">
        <v>1174.815008</v>
      </c>
      <c r="E53" s="25">
        <v>0</v>
      </c>
      <c r="F53" s="25">
        <v>263.65451702000001</v>
      </c>
      <c r="G53" s="25">
        <v>0</v>
      </c>
      <c r="H53" s="25">
        <v>0</v>
      </c>
      <c r="I53" s="25">
        <v>0</v>
      </c>
    </row>
    <row r="54" spans="1:9" x14ac:dyDescent="0.3">
      <c r="A54" s="24">
        <v>31563.398999999998</v>
      </c>
      <c r="B54" s="24">
        <v>10508.77584</v>
      </c>
      <c r="C54" s="25">
        <v>4938.7969361699998</v>
      </c>
      <c r="D54" s="25">
        <v>1174.815008</v>
      </c>
      <c r="E54" s="25">
        <v>0</v>
      </c>
      <c r="F54" s="25">
        <v>138.12049425999999</v>
      </c>
      <c r="G54" s="25">
        <v>0</v>
      </c>
      <c r="H54" s="25">
        <v>0</v>
      </c>
      <c r="I54" s="25">
        <v>0</v>
      </c>
    </row>
    <row r="55" spans="1:9" x14ac:dyDescent="0.3">
      <c r="A55" s="24">
        <v>33761.370999999999</v>
      </c>
      <c r="B55" s="24">
        <v>10540.19585</v>
      </c>
      <c r="C55" s="25">
        <v>5010.1087400000006</v>
      </c>
      <c r="D55" s="25">
        <v>1272.7714840000001</v>
      </c>
      <c r="E55" s="25">
        <v>0</v>
      </c>
      <c r="F55" s="25">
        <v>0</v>
      </c>
      <c r="G55" s="25">
        <v>0</v>
      </c>
      <c r="H55" s="25">
        <v>0</v>
      </c>
      <c r="I55" s="25">
        <v>0</v>
      </c>
    </row>
    <row r="56" spans="1:9" x14ac:dyDescent="0.3">
      <c r="A56" s="24">
        <v>36898.642</v>
      </c>
      <c r="B56" s="24">
        <v>10555.905849999999</v>
      </c>
      <c r="C56" s="25">
        <v>5351.7030799999993</v>
      </c>
      <c r="D56" s="25">
        <v>1370.7279610000001</v>
      </c>
      <c r="E56" s="25">
        <v>0</v>
      </c>
      <c r="F56" s="25">
        <v>517.83283323000001</v>
      </c>
      <c r="G56" s="25">
        <v>0</v>
      </c>
      <c r="H56" s="25">
        <v>0</v>
      </c>
      <c r="I56" s="25">
        <v>0</v>
      </c>
    </row>
    <row r="57" spans="1:9" x14ac:dyDescent="0.3">
      <c r="A57" s="24">
        <v>39710.42</v>
      </c>
      <c r="B57" s="24">
        <v>10571.61585</v>
      </c>
      <c r="C57" s="25">
        <v>5890.0850799999998</v>
      </c>
      <c r="D57" s="25">
        <v>1463.5288330000001</v>
      </c>
      <c r="E57" s="25">
        <v>0</v>
      </c>
      <c r="F57" s="25">
        <v>1562.2729513199999</v>
      </c>
      <c r="G57" s="25">
        <v>0</v>
      </c>
      <c r="H57" s="25">
        <v>0</v>
      </c>
      <c r="I57" s="25">
        <v>0</v>
      </c>
    </row>
    <row r="58" spans="1:9" x14ac:dyDescent="0.3">
      <c r="A58" s="24">
        <v>41635.459000000003</v>
      </c>
      <c r="B58" s="24">
        <v>10571.61585</v>
      </c>
      <c r="C58" s="25">
        <v>6392.25108</v>
      </c>
      <c r="D58" s="25">
        <v>1561.48531</v>
      </c>
      <c r="E58" s="25">
        <v>0</v>
      </c>
      <c r="F58" s="25">
        <v>2607.1729513199998</v>
      </c>
      <c r="G58" s="25">
        <v>0</v>
      </c>
      <c r="H58" s="25">
        <v>0</v>
      </c>
      <c r="I58" s="25">
        <v>0</v>
      </c>
    </row>
    <row r="59" spans="1:9" x14ac:dyDescent="0.3">
      <c r="A59" s="24">
        <v>43017.055999999997</v>
      </c>
      <c r="B59" s="24">
        <v>10571.61585</v>
      </c>
      <c r="C59" s="25">
        <v>6535.6229999999996</v>
      </c>
      <c r="D59" s="25">
        <v>1561.48531</v>
      </c>
      <c r="E59" s="25">
        <v>0</v>
      </c>
      <c r="F59" s="25">
        <v>3652.0729513199999</v>
      </c>
      <c r="G59" s="25">
        <v>0</v>
      </c>
      <c r="H59" s="25">
        <v>0</v>
      </c>
      <c r="I59" s="25">
        <v>0</v>
      </c>
    </row>
    <row r="60" spans="1:9" x14ac:dyDescent="0.3">
      <c r="A60" s="24">
        <v>42980.409</v>
      </c>
      <c r="B60" s="24">
        <v>11914.022849999999</v>
      </c>
      <c r="C60" s="25">
        <v>6439.6170000000002</v>
      </c>
      <c r="D60" s="25">
        <v>1613.04135</v>
      </c>
      <c r="E60" s="25">
        <v>0</v>
      </c>
      <c r="F60" s="25">
        <v>4696.97295132</v>
      </c>
      <c r="G60" s="25">
        <v>0</v>
      </c>
      <c r="H60" s="25">
        <v>0</v>
      </c>
      <c r="I60" s="25">
        <v>0</v>
      </c>
    </row>
    <row r="61" spans="1:9" x14ac:dyDescent="0.3">
      <c r="A61" s="24">
        <v>42961.798999999999</v>
      </c>
      <c r="B61" s="24">
        <v>11898.312849999998</v>
      </c>
      <c r="C61" s="25">
        <v>6528.7719999999999</v>
      </c>
      <c r="D61" s="25">
        <v>1613.04135</v>
      </c>
      <c r="E61" s="25">
        <v>0</v>
      </c>
      <c r="F61" s="25">
        <v>5742.3328332299998</v>
      </c>
      <c r="G61" s="25">
        <v>165.50463893</v>
      </c>
      <c r="H61" s="25">
        <v>0</v>
      </c>
      <c r="I61" s="25">
        <v>0</v>
      </c>
    </row>
    <row r="62" spans="1:9" x14ac:dyDescent="0.3">
      <c r="A62" s="24">
        <v>43064.267999999996</v>
      </c>
      <c r="B62" s="24">
        <v>11882.602849999999</v>
      </c>
      <c r="C62" s="25">
        <v>6583.1930000000002</v>
      </c>
      <c r="D62" s="25">
        <v>1561.48531</v>
      </c>
      <c r="E62" s="25">
        <v>0</v>
      </c>
      <c r="F62" s="25">
        <v>6779.6610170000004</v>
      </c>
      <c r="G62" s="25">
        <v>650.29719340999998</v>
      </c>
      <c r="H62" s="25">
        <v>0</v>
      </c>
      <c r="I62" s="25">
        <v>0</v>
      </c>
    </row>
    <row r="63" spans="1:9" x14ac:dyDescent="0.3">
      <c r="A63" s="24">
        <v>42777.860999999997</v>
      </c>
      <c r="B63" s="24">
        <v>11882.602849999999</v>
      </c>
      <c r="C63" s="25">
        <v>6305.54</v>
      </c>
      <c r="D63" s="25">
        <v>1587.26333</v>
      </c>
      <c r="E63" s="25">
        <v>0</v>
      </c>
      <c r="F63" s="25">
        <v>6779.6610170000004</v>
      </c>
      <c r="G63" s="25">
        <v>650.29719340999998</v>
      </c>
      <c r="H63" s="25">
        <v>0</v>
      </c>
      <c r="I63" s="25">
        <v>0</v>
      </c>
    </row>
    <row r="64" spans="1:9" x14ac:dyDescent="0.3">
      <c r="A64" s="24">
        <v>42145.585999999996</v>
      </c>
      <c r="B64" s="24">
        <v>11898.312849999998</v>
      </c>
      <c r="C64" s="25">
        <v>6245.7089999999998</v>
      </c>
      <c r="D64" s="25">
        <v>1561.48531</v>
      </c>
      <c r="E64" s="25">
        <v>0</v>
      </c>
      <c r="F64" s="25">
        <v>6093.3312093699997</v>
      </c>
      <c r="G64" s="25">
        <v>650.75707532000001</v>
      </c>
      <c r="H64" s="25">
        <v>0</v>
      </c>
      <c r="I64" s="25">
        <v>0</v>
      </c>
    </row>
    <row r="65" spans="1:9" x14ac:dyDescent="0.3">
      <c r="A65" s="24">
        <v>42152.854000000007</v>
      </c>
      <c r="B65" s="24">
        <v>11914.022849999999</v>
      </c>
      <c r="C65" s="25">
        <v>6248.9279999999999</v>
      </c>
      <c r="D65" s="25">
        <v>1561.48531</v>
      </c>
      <c r="E65" s="25">
        <v>0</v>
      </c>
      <c r="F65" s="25">
        <v>5047.9713274599999</v>
      </c>
      <c r="G65" s="25">
        <v>0</v>
      </c>
      <c r="H65" s="25">
        <v>0</v>
      </c>
      <c r="I65" s="25">
        <v>0</v>
      </c>
    </row>
    <row r="66" spans="1:9" x14ac:dyDescent="0.3">
      <c r="A66" s="24">
        <v>42840.685999999994</v>
      </c>
      <c r="B66" s="24">
        <v>10571.61585</v>
      </c>
      <c r="C66" s="25">
        <v>6466.9210000000003</v>
      </c>
      <c r="D66" s="25">
        <v>1561.48531</v>
      </c>
      <c r="E66" s="25">
        <v>0</v>
      </c>
      <c r="F66" s="25">
        <v>4003.0713274599998</v>
      </c>
      <c r="G66" s="25">
        <v>0</v>
      </c>
      <c r="H66" s="25">
        <v>0</v>
      </c>
      <c r="I66" s="25">
        <v>0</v>
      </c>
    </row>
    <row r="67" spans="1:9" x14ac:dyDescent="0.3">
      <c r="A67" s="24">
        <v>44969.057000000001</v>
      </c>
      <c r="B67" s="24">
        <v>10571.61585</v>
      </c>
      <c r="C67" s="25">
        <v>6989.848</v>
      </c>
      <c r="D67" s="25">
        <v>1561.48531</v>
      </c>
      <c r="E67" s="25">
        <v>0</v>
      </c>
      <c r="F67" s="25">
        <v>2958.1713274600002</v>
      </c>
      <c r="G67" s="25">
        <v>0</v>
      </c>
      <c r="H67" s="25">
        <v>0</v>
      </c>
      <c r="I67" s="25">
        <v>0</v>
      </c>
    </row>
    <row r="68" spans="1:9" x14ac:dyDescent="0.3">
      <c r="A68" s="24">
        <v>46147.664999999994</v>
      </c>
      <c r="B68" s="24">
        <v>10555.905849999999</v>
      </c>
      <c r="C68" s="25">
        <v>7702.2851276599995</v>
      </c>
      <c r="D68" s="25">
        <v>1561.48531</v>
      </c>
      <c r="E68" s="25">
        <v>0</v>
      </c>
      <c r="F68" s="25">
        <v>1262.97413405</v>
      </c>
      <c r="G68" s="25">
        <v>0</v>
      </c>
      <c r="H68" s="25">
        <v>0</v>
      </c>
      <c r="I68" s="25">
        <v>0</v>
      </c>
    </row>
    <row r="69" spans="1:9" x14ac:dyDescent="0.3">
      <c r="A69" s="24">
        <v>45745.038999999997</v>
      </c>
      <c r="B69" s="24">
        <v>10540.19585</v>
      </c>
      <c r="C69" s="25">
        <v>7752.3703191500008</v>
      </c>
      <c r="D69" s="25">
        <v>1406.8171890000001</v>
      </c>
      <c r="E69" s="25">
        <v>0</v>
      </c>
      <c r="F69" s="25">
        <v>285.00377354</v>
      </c>
      <c r="G69" s="25">
        <v>0</v>
      </c>
      <c r="H69" s="25">
        <v>0</v>
      </c>
      <c r="I69" s="25">
        <v>0</v>
      </c>
    </row>
    <row r="70" spans="1:9" x14ac:dyDescent="0.3">
      <c r="A70" s="24">
        <v>44156.023999999998</v>
      </c>
      <c r="B70" s="24">
        <v>10524.485839999999</v>
      </c>
      <c r="C70" s="25">
        <v>7406.4287233999994</v>
      </c>
      <c r="D70" s="25">
        <v>1303.705109</v>
      </c>
      <c r="E70" s="25">
        <v>0</v>
      </c>
      <c r="F70" s="25">
        <v>0</v>
      </c>
      <c r="G70" s="25">
        <v>0</v>
      </c>
      <c r="H70" s="25">
        <v>0</v>
      </c>
      <c r="I70" s="25">
        <v>0</v>
      </c>
    </row>
    <row r="71" spans="1:9" x14ac:dyDescent="0.3">
      <c r="A71" s="24">
        <v>41586.962</v>
      </c>
      <c r="B71" s="24">
        <v>10508.77584</v>
      </c>
      <c r="C71" s="25">
        <v>6901.7147872300002</v>
      </c>
      <c r="D71" s="25">
        <v>1226.371048</v>
      </c>
      <c r="E71" s="25">
        <v>0</v>
      </c>
      <c r="F71" s="25">
        <v>0</v>
      </c>
      <c r="G71" s="25">
        <v>0</v>
      </c>
      <c r="H71" s="25">
        <v>0</v>
      </c>
      <c r="I71" s="25">
        <v>0</v>
      </c>
    </row>
    <row r="72" spans="1:9" x14ac:dyDescent="0.3">
      <c r="A72" s="24">
        <v>38994.726999999999</v>
      </c>
      <c r="B72" s="24">
        <v>10493.065839999999</v>
      </c>
      <c r="C72" s="25">
        <v>7179.7607446799993</v>
      </c>
      <c r="D72" s="25">
        <v>1174.815008</v>
      </c>
      <c r="E72" s="25">
        <v>0</v>
      </c>
      <c r="F72" s="25">
        <v>0</v>
      </c>
      <c r="G72" s="25">
        <v>0</v>
      </c>
      <c r="H72" s="25">
        <v>0</v>
      </c>
      <c r="I72" s="25">
        <v>0</v>
      </c>
    </row>
    <row r="73" spans="1:9" x14ac:dyDescent="0.3">
      <c r="A73" s="24">
        <v>36572.055999999997</v>
      </c>
      <c r="B73" s="24">
        <v>10493.065839999999</v>
      </c>
      <c r="C73" s="25">
        <v>6740.6619787200007</v>
      </c>
      <c r="D73" s="25">
        <v>1174.815008</v>
      </c>
      <c r="E73" s="25">
        <v>0</v>
      </c>
      <c r="F73" s="25">
        <v>0</v>
      </c>
      <c r="G73" s="25">
        <v>0</v>
      </c>
      <c r="H73" s="25">
        <v>0</v>
      </c>
      <c r="I73" s="25">
        <v>0</v>
      </c>
    </row>
    <row r="74" spans="1:9" x14ac:dyDescent="0.3">
      <c r="A74" s="24">
        <v>33950.953999999998</v>
      </c>
      <c r="B74" s="24">
        <v>10493.065839999999</v>
      </c>
      <c r="C74" s="25">
        <v>5935.5832340399993</v>
      </c>
      <c r="D74" s="25">
        <v>1178.6316489999999</v>
      </c>
      <c r="E74" s="25">
        <v>0</v>
      </c>
      <c r="F74" s="25">
        <v>0</v>
      </c>
      <c r="G74" s="25">
        <v>0</v>
      </c>
      <c r="H74" s="25">
        <v>0</v>
      </c>
      <c r="I74" s="25">
        <v>0</v>
      </c>
    </row>
    <row r="75" spans="1:9" x14ac:dyDescent="0.3">
      <c r="A75" s="24">
        <v>32148.978000000003</v>
      </c>
      <c r="B75" s="24">
        <v>10493.065839999999</v>
      </c>
      <c r="C75" s="25">
        <v>5549.8117872299999</v>
      </c>
      <c r="D75" s="25">
        <v>1178.6316489999999</v>
      </c>
      <c r="E75" s="25">
        <v>0</v>
      </c>
      <c r="F75" s="25">
        <v>0</v>
      </c>
      <c r="G75" s="25">
        <v>0</v>
      </c>
      <c r="H75" s="25">
        <v>0</v>
      </c>
      <c r="I75" s="25">
        <v>0</v>
      </c>
    </row>
    <row r="76" spans="1:9" x14ac:dyDescent="0.3">
      <c r="A76" s="24">
        <v>31138.452000000001</v>
      </c>
      <c r="B76" s="24">
        <v>10493.065839999999</v>
      </c>
      <c r="C76" s="25">
        <v>5064.1977021300008</v>
      </c>
      <c r="D76" s="25">
        <v>1178.6316489999999</v>
      </c>
      <c r="E76" s="25">
        <v>0</v>
      </c>
      <c r="F76" s="25">
        <v>0</v>
      </c>
      <c r="G76" s="25">
        <v>0</v>
      </c>
      <c r="H76" s="25">
        <v>0</v>
      </c>
      <c r="I76" s="25">
        <v>0</v>
      </c>
    </row>
    <row r="77" spans="1:9" x14ac:dyDescent="0.3">
      <c r="A77" s="24">
        <v>30792.75</v>
      </c>
      <c r="B77" s="24">
        <v>10493.065839999999</v>
      </c>
      <c r="C77" s="25">
        <v>4928.15231915</v>
      </c>
      <c r="D77" s="25">
        <v>1178.6316489999999</v>
      </c>
      <c r="E77" s="25">
        <v>0</v>
      </c>
      <c r="F77" s="25">
        <v>0</v>
      </c>
      <c r="G77" s="25">
        <v>0</v>
      </c>
      <c r="H77" s="25">
        <v>0</v>
      </c>
      <c r="I77" s="25">
        <v>0</v>
      </c>
    </row>
    <row r="78" spans="1:9" x14ac:dyDescent="0.3">
      <c r="A78" s="24">
        <v>31541.613999999998</v>
      </c>
      <c r="B78" s="24">
        <v>10508.77584</v>
      </c>
      <c r="C78" s="25">
        <v>4931.54793617</v>
      </c>
      <c r="D78" s="25">
        <v>1178.6316489999999</v>
      </c>
      <c r="E78" s="25">
        <v>0</v>
      </c>
      <c r="F78" s="25">
        <v>0</v>
      </c>
      <c r="G78" s="25">
        <v>0</v>
      </c>
      <c r="H78" s="25">
        <v>0</v>
      </c>
      <c r="I78" s="25">
        <v>0</v>
      </c>
    </row>
    <row r="79" spans="1:9" x14ac:dyDescent="0.3">
      <c r="A79" s="24">
        <v>33680.780999999995</v>
      </c>
      <c r="B79" s="24">
        <v>10540.19585</v>
      </c>
      <c r="C79" s="25">
        <v>5063.0123191500006</v>
      </c>
      <c r="D79" s="25">
        <v>1276.5881260000001</v>
      </c>
      <c r="E79" s="25">
        <v>0</v>
      </c>
      <c r="F79" s="25">
        <v>0</v>
      </c>
      <c r="G79" s="25">
        <v>0</v>
      </c>
      <c r="H79" s="25">
        <v>0</v>
      </c>
      <c r="I79" s="25">
        <v>0</v>
      </c>
    </row>
    <row r="80" spans="1:9" x14ac:dyDescent="0.3">
      <c r="A80" s="24">
        <v>36758.305</v>
      </c>
      <c r="B80" s="24">
        <v>10555.905849999999</v>
      </c>
      <c r="C80" s="25">
        <v>5324.9650799999999</v>
      </c>
      <c r="D80" s="25">
        <v>1374.5446019999999</v>
      </c>
      <c r="E80" s="25">
        <v>0</v>
      </c>
      <c r="F80" s="25">
        <v>762.68383259999996</v>
      </c>
      <c r="G80" s="25">
        <v>0</v>
      </c>
      <c r="H80" s="25">
        <v>0</v>
      </c>
      <c r="I80" s="25">
        <v>0</v>
      </c>
    </row>
    <row r="81" spans="1:9" x14ac:dyDescent="0.3">
      <c r="A81" s="24">
        <v>39558.201000000001</v>
      </c>
      <c r="B81" s="24">
        <v>10571.61585</v>
      </c>
      <c r="C81" s="25">
        <v>5852.1070799999998</v>
      </c>
      <c r="D81" s="25">
        <v>1467.345474</v>
      </c>
      <c r="E81" s="25">
        <v>0</v>
      </c>
      <c r="F81" s="25">
        <v>1807.12395068</v>
      </c>
      <c r="G81" s="25">
        <v>0</v>
      </c>
      <c r="H81" s="25">
        <v>0</v>
      </c>
      <c r="I81" s="25">
        <v>0</v>
      </c>
    </row>
    <row r="82" spans="1:9" x14ac:dyDescent="0.3">
      <c r="A82" s="24">
        <v>41586.856999999996</v>
      </c>
      <c r="B82" s="24">
        <v>10571.61585</v>
      </c>
      <c r="C82" s="25">
        <v>6340.3400799999999</v>
      </c>
      <c r="D82" s="25">
        <v>1565.3019509999999</v>
      </c>
      <c r="E82" s="25">
        <v>0</v>
      </c>
      <c r="F82" s="25">
        <v>2852.0239506799999</v>
      </c>
      <c r="G82" s="25">
        <v>0</v>
      </c>
      <c r="H82" s="25">
        <v>0</v>
      </c>
      <c r="I82" s="25">
        <v>0</v>
      </c>
    </row>
    <row r="83" spans="1:9" x14ac:dyDescent="0.3">
      <c r="A83" s="24">
        <v>43111.647999999994</v>
      </c>
      <c r="B83" s="24">
        <v>10571.61585</v>
      </c>
      <c r="C83" s="25">
        <v>6477.848</v>
      </c>
      <c r="D83" s="25">
        <v>1565.3019509999999</v>
      </c>
      <c r="E83" s="25">
        <v>0</v>
      </c>
      <c r="F83" s="25">
        <v>3896.92395068</v>
      </c>
      <c r="G83" s="25">
        <v>0</v>
      </c>
      <c r="H83" s="25">
        <v>0</v>
      </c>
      <c r="I83" s="25">
        <v>0</v>
      </c>
    </row>
    <row r="84" spans="1:9" x14ac:dyDescent="0.3">
      <c r="A84" s="24">
        <v>42899.063000000002</v>
      </c>
      <c r="B84" s="24">
        <v>11914.022849999999</v>
      </c>
      <c r="C84" s="25">
        <v>6399.0910000000003</v>
      </c>
      <c r="D84" s="25">
        <v>1616.8579910000001</v>
      </c>
      <c r="E84" s="25">
        <v>0</v>
      </c>
      <c r="F84" s="25">
        <v>4941.8239506800001</v>
      </c>
      <c r="G84" s="25">
        <v>0</v>
      </c>
      <c r="H84" s="25">
        <v>0</v>
      </c>
      <c r="I84" s="25">
        <v>0</v>
      </c>
    </row>
    <row r="85" spans="1:9" x14ac:dyDescent="0.3">
      <c r="A85" s="24">
        <v>43329.032999999996</v>
      </c>
      <c r="B85" s="24">
        <v>11898.312849999998</v>
      </c>
      <c r="C85" s="25">
        <v>6517.8050000000003</v>
      </c>
      <c r="D85" s="25">
        <v>1616.8579910000001</v>
      </c>
      <c r="E85" s="25">
        <v>0</v>
      </c>
      <c r="F85" s="25">
        <v>5987.1838325999997</v>
      </c>
      <c r="G85" s="25">
        <v>0</v>
      </c>
      <c r="H85" s="25">
        <v>0</v>
      </c>
      <c r="I85" s="25">
        <v>0</v>
      </c>
    </row>
    <row r="86" spans="1:9" x14ac:dyDescent="0.3">
      <c r="A86" s="24">
        <v>43728.13</v>
      </c>
      <c r="B86" s="24">
        <v>11882.602849999999</v>
      </c>
      <c r="C86" s="25">
        <v>6604.152</v>
      </c>
      <c r="D86" s="25">
        <v>1565.3019509999999</v>
      </c>
      <c r="E86" s="25">
        <v>0</v>
      </c>
      <c r="F86" s="25">
        <v>6779.6610170000004</v>
      </c>
      <c r="G86" s="25">
        <v>650.29620736000004</v>
      </c>
      <c r="H86" s="25">
        <v>0</v>
      </c>
      <c r="I86" s="25">
        <v>0</v>
      </c>
    </row>
    <row r="87" spans="1:9" x14ac:dyDescent="0.3">
      <c r="A87" s="24">
        <v>43650.438000000002</v>
      </c>
      <c r="B87" s="24">
        <v>11882.602849999999</v>
      </c>
      <c r="C87" s="25">
        <v>6357.2460000000001</v>
      </c>
      <c r="D87" s="25">
        <v>1591.0799709999999</v>
      </c>
      <c r="E87" s="25">
        <v>0</v>
      </c>
      <c r="F87" s="25">
        <v>6779.6610170000004</v>
      </c>
      <c r="G87" s="25">
        <v>592.51350984999999</v>
      </c>
      <c r="H87" s="25">
        <v>0</v>
      </c>
      <c r="I87" s="25">
        <v>0</v>
      </c>
    </row>
    <row r="88" spans="1:9" x14ac:dyDescent="0.3">
      <c r="A88" s="24">
        <v>42943.040000000001</v>
      </c>
      <c r="B88" s="24">
        <v>11898.312849999998</v>
      </c>
      <c r="C88" s="25">
        <v>6317.0320000000002</v>
      </c>
      <c r="D88" s="25">
        <v>1565.3019509999999</v>
      </c>
      <c r="E88" s="25">
        <v>0</v>
      </c>
      <c r="F88" s="25">
        <v>6779.6610170000004</v>
      </c>
      <c r="G88" s="25">
        <v>0</v>
      </c>
      <c r="H88" s="25">
        <v>0</v>
      </c>
      <c r="I88" s="25">
        <v>0</v>
      </c>
    </row>
    <row r="89" spans="1:9" x14ac:dyDescent="0.3">
      <c r="A89" s="24">
        <v>42826.260999999999</v>
      </c>
      <c r="B89" s="24">
        <v>11914.022849999999</v>
      </c>
      <c r="C89" s="25">
        <v>6344.6639999999998</v>
      </c>
      <c r="D89" s="25">
        <v>1565.3019509999999</v>
      </c>
      <c r="E89" s="25">
        <v>0</v>
      </c>
      <c r="F89" s="25">
        <v>6779.6610170000004</v>
      </c>
      <c r="G89" s="25">
        <v>0</v>
      </c>
      <c r="H89" s="25">
        <v>0</v>
      </c>
      <c r="I89" s="25">
        <v>0</v>
      </c>
    </row>
    <row r="90" spans="1:9" x14ac:dyDescent="0.3">
      <c r="A90" s="24">
        <v>43600.136000000006</v>
      </c>
      <c r="B90" s="24">
        <v>11914.022849999999</v>
      </c>
      <c r="C90" s="25">
        <v>6566.5119999999997</v>
      </c>
      <c r="D90" s="25">
        <v>1565.3019509999999</v>
      </c>
      <c r="E90" s="25">
        <v>0</v>
      </c>
      <c r="F90" s="25">
        <v>6779.6610170000004</v>
      </c>
      <c r="G90" s="25">
        <v>0</v>
      </c>
      <c r="H90" s="25">
        <v>0</v>
      </c>
      <c r="I90" s="25">
        <v>0</v>
      </c>
    </row>
    <row r="91" spans="1:9" x14ac:dyDescent="0.3">
      <c r="A91" s="24">
        <v>45774.112000000001</v>
      </c>
      <c r="B91" s="24">
        <v>11914.022849999999</v>
      </c>
      <c r="C91" s="25">
        <v>7042.9809999999998</v>
      </c>
      <c r="D91" s="25">
        <v>1565.3019509999999</v>
      </c>
      <c r="E91" s="25">
        <v>0</v>
      </c>
      <c r="F91" s="25">
        <v>6779.6610170000004</v>
      </c>
      <c r="G91" s="25">
        <v>0</v>
      </c>
      <c r="H91" s="25">
        <v>0</v>
      </c>
      <c r="I91" s="25">
        <v>0</v>
      </c>
    </row>
    <row r="92" spans="1:9" x14ac:dyDescent="0.3">
      <c r="A92" s="24">
        <v>46985.129000000001</v>
      </c>
      <c r="B92" s="24">
        <v>11898.312849999998</v>
      </c>
      <c r="C92" s="25">
        <v>7434.8710000000001</v>
      </c>
      <c r="D92" s="25">
        <v>1565.3019509999999</v>
      </c>
      <c r="E92" s="25">
        <v>0</v>
      </c>
      <c r="F92" s="25">
        <v>6779.6610170000004</v>
      </c>
      <c r="G92" s="25">
        <v>0</v>
      </c>
      <c r="H92" s="25">
        <v>0</v>
      </c>
      <c r="I92" s="25">
        <v>0</v>
      </c>
    </row>
    <row r="93" spans="1:9" x14ac:dyDescent="0.3">
      <c r="A93" s="24">
        <v>46543.966999999997</v>
      </c>
      <c r="B93" s="24">
        <v>11882.602849999999</v>
      </c>
      <c r="C93" s="25">
        <v>7515.1890000000003</v>
      </c>
      <c r="D93" s="25">
        <v>1410.63383</v>
      </c>
      <c r="E93" s="25">
        <v>0</v>
      </c>
      <c r="F93" s="25">
        <v>6779.6610170000004</v>
      </c>
      <c r="G93" s="25">
        <v>0</v>
      </c>
      <c r="H93" s="25">
        <v>0</v>
      </c>
      <c r="I93" s="25">
        <v>0</v>
      </c>
    </row>
    <row r="94" spans="1:9" x14ac:dyDescent="0.3">
      <c r="A94" s="24">
        <v>44908.347000000002</v>
      </c>
      <c r="B94" s="24">
        <v>11866.892839999999</v>
      </c>
      <c r="C94" s="25">
        <v>7256.3289999999997</v>
      </c>
      <c r="D94" s="25">
        <v>1307.5217500000001</v>
      </c>
      <c r="E94" s="25">
        <v>0</v>
      </c>
      <c r="F94" s="25">
        <v>6779.6610170000004</v>
      </c>
      <c r="G94" s="25">
        <v>0</v>
      </c>
      <c r="H94" s="25">
        <v>0</v>
      </c>
      <c r="I94" s="25">
        <v>0</v>
      </c>
    </row>
    <row r="95" spans="1:9" x14ac:dyDescent="0.3">
      <c r="A95" s="24">
        <v>42329.292999999998</v>
      </c>
      <c r="B95" s="24">
        <v>11851.182839999999</v>
      </c>
      <c r="C95" s="25">
        <v>6822.1850000000004</v>
      </c>
      <c r="D95" s="25">
        <v>1230.1876890000001</v>
      </c>
      <c r="E95" s="25">
        <v>0</v>
      </c>
      <c r="F95" s="25">
        <v>6779.6610170000004</v>
      </c>
      <c r="G95" s="25">
        <v>0</v>
      </c>
      <c r="H95" s="25">
        <v>0</v>
      </c>
      <c r="I95" s="25">
        <v>0</v>
      </c>
    </row>
    <row r="96" spans="1:9" x14ac:dyDescent="0.3">
      <c r="A96" s="24">
        <v>39693.309000000001</v>
      </c>
      <c r="B96" s="24">
        <v>11835.472839999999</v>
      </c>
      <c r="C96" s="25">
        <v>6940.8670000000002</v>
      </c>
      <c r="D96" s="25">
        <v>1178.6316489999999</v>
      </c>
      <c r="E96" s="25">
        <v>0</v>
      </c>
      <c r="F96" s="25">
        <v>6779.6610170000004</v>
      </c>
      <c r="G96" s="25">
        <v>0</v>
      </c>
      <c r="H96" s="25">
        <v>0</v>
      </c>
      <c r="I96" s="25">
        <v>0</v>
      </c>
    </row>
    <row r="97" spans="1:9" x14ac:dyDescent="0.3">
      <c r="A97" s="24">
        <v>37196.329000000005</v>
      </c>
      <c r="B97" s="24">
        <v>11835.472839999999</v>
      </c>
      <c r="C97" s="25">
        <v>6443.0649999999996</v>
      </c>
      <c r="D97" s="25">
        <v>1178.6316489999999</v>
      </c>
      <c r="E97" s="25">
        <v>0</v>
      </c>
      <c r="F97" s="25">
        <v>6779.6610170000004</v>
      </c>
      <c r="G97" s="25">
        <v>0</v>
      </c>
      <c r="H97" s="25">
        <v>0</v>
      </c>
      <c r="I97" s="25">
        <v>0</v>
      </c>
    </row>
    <row r="98" spans="1:9" x14ac:dyDescent="0.3">
      <c r="A98" s="24">
        <v>34480.929000000004</v>
      </c>
      <c r="B98" s="24">
        <v>11835.472839999999</v>
      </c>
      <c r="C98" s="25">
        <v>5694.0230000000001</v>
      </c>
      <c r="D98" s="25">
        <v>1258.8719140000001</v>
      </c>
      <c r="E98" s="25">
        <v>0</v>
      </c>
      <c r="F98" s="25">
        <v>6779.6610170000004</v>
      </c>
      <c r="G98" s="25">
        <v>0</v>
      </c>
      <c r="H98" s="25">
        <v>0</v>
      </c>
      <c r="I98" s="25">
        <v>0</v>
      </c>
    </row>
    <row r="99" spans="1:9" x14ac:dyDescent="0.3">
      <c r="A99" s="24">
        <v>32526.065999999999</v>
      </c>
      <c r="B99" s="24">
        <v>11835.472839999999</v>
      </c>
      <c r="C99" s="25">
        <v>5318.067</v>
      </c>
      <c r="D99" s="25">
        <v>1258.8719140000001</v>
      </c>
      <c r="E99" s="25">
        <v>353.90529597</v>
      </c>
      <c r="F99" s="25">
        <v>6779.6610170000004</v>
      </c>
      <c r="G99" s="25">
        <v>0</v>
      </c>
      <c r="H99" s="25">
        <v>0</v>
      </c>
      <c r="I99" s="25">
        <v>0</v>
      </c>
    </row>
    <row r="100" spans="1:9" x14ac:dyDescent="0.3">
      <c r="A100" s="24">
        <v>31404.126</v>
      </c>
      <c r="B100" s="24">
        <v>11835.472839999999</v>
      </c>
      <c r="C100" s="25">
        <v>4886.8729999999996</v>
      </c>
      <c r="D100" s="25">
        <v>1258.8719140000001</v>
      </c>
      <c r="E100" s="25">
        <v>2858.6637063200001</v>
      </c>
      <c r="F100" s="25">
        <v>6779.6610170000004</v>
      </c>
      <c r="G100" s="25">
        <v>0</v>
      </c>
      <c r="H100" s="25">
        <v>0</v>
      </c>
      <c r="I100" s="25">
        <v>0</v>
      </c>
    </row>
    <row r="101" spans="1:9" x14ac:dyDescent="0.3">
      <c r="A101" s="24">
        <v>31010.085999999999</v>
      </c>
      <c r="B101" s="24">
        <v>11835.472839999999</v>
      </c>
      <c r="C101" s="25">
        <v>4764.5219999999999</v>
      </c>
      <c r="D101" s="25">
        <v>1258.8719140000001</v>
      </c>
      <c r="E101" s="25">
        <v>0</v>
      </c>
      <c r="F101" s="25">
        <v>6779.6610170000004</v>
      </c>
      <c r="G101" s="25">
        <v>0</v>
      </c>
      <c r="H101" s="25">
        <v>0</v>
      </c>
      <c r="I101" s="25">
        <v>0</v>
      </c>
    </row>
    <row r="102" spans="1:9" x14ac:dyDescent="0.3">
      <c r="A102" s="24">
        <v>31779.829999999998</v>
      </c>
      <c r="B102" s="24">
        <v>11851.182839999999</v>
      </c>
      <c r="C102" s="25">
        <v>4767.6689999999999</v>
      </c>
      <c r="D102" s="25">
        <v>1258.8719140000001</v>
      </c>
      <c r="E102" s="25">
        <v>0</v>
      </c>
      <c r="F102" s="25">
        <v>6779.6610170000004</v>
      </c>
      <c r="G102" s="25">
        <v>0</v>
      </c>
      <c r="H102" s="25">
        <v>0</v>
      </c>
      <c r="I102" s="25">
        <v>0</v>
      </c>
    </row>
    <row r="103" spans="1:9" x14ac:dyDescent="0.3">
      <c r="A103" s="24">
        <v>33941.966999999997</v>
      </c>
      <c r="B103" s="24">
        <v>11882.602849999999</v>
      </c>
      <c r="C103" s="25">
        <v>4904.3209999999999</v>
      </c>
      <c r="D103" s="25">
        <v>1356.828391</v>
      </c>
      <c r="E103" s="25">
        <v>1329.8327752099999</v>
      </c>
      <c r="F103" s="25">
        <v>6779.6610170000004</v>
      </c>
      <c r="G103" s="25">
        <v>0</v>
      </c>
      <c r="H103" s="25">
        <v>0</v>
      </c>
      <c r="I103" s="25">
        <v>0</v>
      </c>
    </row>
    <row r="104" spans="1:9" x14ac:dyDescent="0.3">
      <c r="A104" s="24">
        <v>37031.663</v>
      </c>
      <c r="B104" s="24">
        <v>11898.312849999998</v>
      </c>
      <c r="C104" s="25">
        <v>5261.7860000000001</v>
      </c>
      <c r="D104" s="25">
        <v>1454.7848670000001</v>
      </c>
      <c r="E104" s="25">
        <v>3030.0808235099998</v>
      </c>
      <c r="F104" s="25">
        <v>6779.6610170000004</v>
      </c>
      <c r="G104" s="25">
        <v>0</v>
      </c>
      <c r="H104" s="25">
        <v>0</v>
      </c>
      <c r="I104" s="25">
        <v>0</v>
      </c>
    </row>
    <row r="105" spans="1:9" x14ac:dyDescent="0.3">
      <c r="A105" s="24">
        <v>39814.494999999995</v>
      </c>
      <c r="B105" s="24">
        <v>11914.022849999999</v>
      </c>
      <c r="C105" s="25">
        <v>5787.902</v>
      </c>
      <c r="D105" s="25">
        <v>1547.58574</v>
      </c>
      <c r="E105" s="25">
        <v>197.61554663999999</v>
      </c>
      <c r="F105" s="25">
        <v>6779.6610170000004</v>
      </c>
      <c r="G105" s="25">
        <v>0</v>
      </c>
      <c r="H105" s="25">
        <v>0</v>
      </c>
      <c r="I105" s="25">
        <v>0</v>
      </c>
    </row>
    <row r="106" spans="1:9" x14ac:dyDescent="0.3">
      <c r="A106" s="24">
        <v>41641.185999999994</v>
      </c>
      <c r="B106" s="24">
        <v>11914.022849999999</v>
      </c>
      <c r="C106" s="25">
        <v>6273.2460000000001</v>
      </c>
      <c r="D106" s="25">
        <v>1645.5422160000001</v>
      </c>
      <c r="E106" s="25">
        <v>843.23938495000004</v>
      </c>
      <c r="F106" s="25">
        <v>6779.6610170000004</v>
      </c>
      <c r="G106" s="25">
        <v>0</v>
      </c>
      <c r="H106" s="25">
        <v>103.1</v>
      </c>
      <c r="I106" s="25">
        <v>0</v>
      </c>
    </row>
    <row r="107" spans="1:9" x14ac:dyDescent="0.3">
      <c r="A107" s="24">
        <v>42953.364999999998</v>
      </c>
      <c r="B107" s="24">
        <v>11914.022849999999</v>
      </c>
      <c r="C107" s="25">
        <v>6495.6360000000004</v>
      </c>
      <c r="D107" s="25">
        <v>1645.5422160000001</v>
      </c>
      <c r="E107" s="25">
        <v>5000</v>
      </c>
      <c r="F107" s="25">
        <v>6779.6610170000004</v>
      </c>
      <c r="G107" s="25">
        <v>0</v>
      </c>
      <c r="H107" s="25">
        <v>818</v>
      </c>
      <c r="I107" s="25">
        <v>330</v>
      </c>
    </row>
    <row r="108" spans="1:9" x14ac:dyDescent="0.3">
      <c r="A108" s="24">
        <v>42971.335000000006</v>
      </c>
      <c r="B108" s="24">
        <v>11914.022849999999</v>
      </c>
      <c r="C108" s="25">
        <v>6423.1790000000001</v>
      </c>
      <c r="D108" s="25">
        <v>1697.0982570000001</v>
      </c>
      <c r="E108" s="25">
        <v>5000</v>
      </c>
      <c r="F108" s="25">
        <v>6779.6610170000004</v>
      </c>
      <c r="G108" s="25">
        <v>0</v>
      </c>
      <c r="H108" s="25">
        <v>818</v>
      </c>
      <c r="I108" s="25">
        <v>330</v>
      </c>
    </row>
    <row r="109" spans="1:9" x14ac:dyDescent="0.3">
      <c r="A109" s="24">
        <v>43535.763999999996</v>
      </c>
      <c r="B109" s="24">
        <v>11898.312849999998</v>
      </c>
      <c r="C109" s="25">
        <v>6554.3549999999996</v>
      </c>
      <c r="D109" s="25">
        <v>1697.0982570000001</v>
      </c>
      <c r="E109" s="25">
        <v>5000</v>
      </c>
      <c r="F109" s="25">
        <v>6779.6610170000004</v>
      </c>
      <c r="G109" s="25">
        <v>0</v>
      </c>
      <c r="H109" s="25">
        <v>818</v>
      </c>
      <c r="I109" s="25">
        <v>330</v>
      </c>
    </row>
    <row r="110" spans="1:9" x14ac:dyDescent="0.3">
      <c r="A110" s="24">
        <v>44056.064999999995</v>
      </c>
      <c r="B110" s="24">
        <v>11882.602849999999</v>
      </c>
      <c r="C110" s="25">
        <v>6677.2020000000002</v>
      </c>
      <c r="D110" s="25">
        <v>1645.5422160000001</v>
      </c>
      <c r="E110" s="25">
        <v>5000</v>
      </c>
      <c r="F110" s="25">
        <v>6779.6610170000004</v>
      </c>
      <c r="G110" s="25">
        <v>0</v>
      </c>
      <c r="H110" s="25">
        <v>818</v>
      </c>
      <c r="I110" s="25">
        <v>330</v>
      </c>
    </row>
    <row r="111" spans="1:9" x14ac:dyDescent="0.3">
      <c r="A111" s="24">
        <v>44045.721999999994</v>
      </c>
      <c r="B111" s="24">
        <v>11882.602849999999</v>
      </c>
      <c r="C111" s="25">
        <v>6452.0839999999998</v>
      </c>
      <c r="D111" s="25">
        <v>1671.320236</v>
      </c>
      <c r="E111" s="25">
        <v>5000</v>
      </c>
      <c r="F111" s="25">
        <v>6779.6610170000004</v>
      </c>
      <c r="G111" s="25">
        <v>0</v>
      </c>
      <c r="H111" s="25">
        <v>818</v>
      </c>
      <c r="I111" s="25">
        <v>330</v>
      </c>
    </row>
    <row r="112" spans="1:9" x14ac:dyDescent="0.3">
      <c r="A112" s="24">
        <v>43237.392</v>
      </c>
      <c r="B112" s="24">
        <v>11898.312849999998</v>
      </c>
      <c r="C112" s="25">
        <v>6412.6229999999996</v>
      </c>
      <c r="D112" s="25">
        <v>1645.5422160000001</v>
      </c>
      <c r="E112" s="25">
        <v>5000</v>
      </c>
      <c r="F112" s="25">
        <v>6779.6610170000004</v>
      </c>
      <c r="G112" s="25">
        <v>0</v>
      </c>
      <c r="H112" s="25">
        <v>818</v>
      </c>
      <c r="I112" s="25">
        <v>330</v>
      </c>
    </row>
    <row r="113" spans="1:9" x14ac:dyDescent="0.3">
      <c r="A113" s="24">
        <v>43095.958999999995</v>
      </c>
      <c r="B113" s="24">
        <v>11914.022849999999</v>
      </c>
      <c r="C113" s="25">
        <v>6413.6030000000001</v>
      </c>
      <c r="D113" s="25">
        <v>1645.5422160000001</v>
      </c>
      <c r="E113" s="25">
        <v>5000</v>
      </c>
      <c r="F113" s="25">
        <v>6779.6610170000004</v>
      </c>
      <c r="G113" s="25">
        <v>0</v>
      </c>
      <c r="H113" s="25">
        <v>818</v>
      </c>
      <c r="I113" s="25">
        <v>330</v>
      </c>
    </row>
    <row r="114" spans="1:9" x14ac:dyDescent="0.3">
      <c r="A114" s="24">
        <v>43820.275999999998</v>
      </c>
      <c r="B114" s="24">
        <v>11914.022849999999</v>
      </c>
      <c r="C114" s="25">
        <v>6608.0029999999997</v>
      </c>
      <c r="D114" s="25">
        <v>1645.5422160000001</v>
      </c>
      <c r="E114" s="25">
        <v>5000</v>
      </c>
      <c r="F114" s="25">
        <v>6779.6610170000004</v>
      </c>
      <c r="G114" s="25">
        <v>0</v>
      </c>
      <c r="H114" s="25">
        <v>818</v>
      </c>
      <c r="I114" s="25">
        <v>330</v>
      </c>
    </row>
    <row r="115" spans="1:9" x14ac:dyDescent="0.3">
      <c r="A115" s="24">
        <v>46060.450000000004</v>
      </c>
      <c r="B115" s="24">
        <v>11914.022849999999</v>
      </c>
      <c r="C115" s="25">
        <v>7061.5820000000003</v>
      </c>
      <c r="D115" s="25">
        <v>1645.5422160000001</v>
      </c>
      <c r="E115" s="25">
        <v>5000</v>
      </c>
      <c r="F115" s="25">
        <v>6779.6610170000004</v>
      </c>
      <c r="G115" s="25">
        <v>0</v>
      </c>
      <c r="H115" s="25">
        <v>818</v>
      </c>
      <c r="I115" s="25">
        <v>0</v>
      </c>
    </row>
    <row r="116" spans="1:9" x14ac:dyDescent="0.3">
      <c r="A116" s="24">
        <v>47164.550999999999</v>
      </c>
      <c r="B116" s="24">
        <v>11898.312849999998</v>
      </c>
      <c r="C116" s="25">
        <v>7459.0020000000004</v>
      </c>
      <c r="D116" s="25">
        <v>1645.5422160000001</v>
      </c>
      <c r="E116" s="25">
        <v>5000</v>
      </c>
      <c r="F116" s="25">
        <v>6779.6610170000004</v>
      </c>
      <c r="G116" s="25">
        <v>0</v>
      </c>
      <c r="H116" s="25">
        <v>167.00042579999999</v>
      </c>
      <c r="I116" s="25">
        <v>0</v>
      </c>
    </row>
    <row r="117" spans="1:9" x14ac:dyDescent="0.3">
      <c r="A117" s="24">
        <v>46362.289000000004</v>
      </c>
      <c r="B117" s="24">
        <v>11882.602849999999</v>
      </c>
      <c r="C117" s="25">
        <v>7511.308</v>
      </c>
      <c r="D117" s="25">
        <v>1490.874096</v>
      </c>
      <c r="E117" s="25">
        <v>5000</v>
      </c>
      <c r="F117" s="25">
        <v>6779.6610170000004</v>
      </c>
      <c r="G117" s="25">
        <v>0</v>
      </c>
      <c r="H117" s="25">
        <v>0</v>
      </c>
      <c r="I117" s="25">
        <v>0</v>
      </c>
    </row>
    <row r="118" spans="1:9" x14ac:dyDescent="0.3">
      <c r="A118" s="24">
        <v>44574.281000000003</v>
      </c>
      <c r="B118" s="24">
        <v>11866.892839999999</v>
      </c>
      <c r="C118" s="25">
        <v>7234.3190000000004</v>
      </c>
      <c r="D118" s="25">
        <v>1387.762015</v>
      </c>
      <c r="E118" s="25">
        <v>2797.6247696400001</v>
      </c>
      <c r="F118" s="25">
        <v>6779.6610170000004</v>
      </c>
      <c r="G118" s="25">
        <v>0</v>
      </c>
      <c r="H118" s="25">
        <v>0</v>
      </c>
      <c r="I118" s="25">
        <v>0</v>
      </c>
    </row>
    <row r="119" spans="1:9" x14ac:dyDescent="0.3">
      <c r="A119" s="24">
        <v>42176.116999999998</v>
      </c>
      <c r="B119" s="24">
        <v>11851.182839999999</v>
      </c>
      <c r="C119" s="25">
        <v>6791.7879999999996</v>
      </c>
      <c r="D119" s="25">
        <v>1310.4279550000001</v>
      </c>
      <c r="E119" s="25">
        <v>0</v>
      </c>
      <c r="F119" s="25">
        <v>6779.6610170000004</v>
      </c>
      <c r="G119" s="25">
        <v>0</v>
      </c>
      <c r="H119" s="25">
        <v>0</v>
      </c>
      <c r="I119" s="25">
        <v>0</v>
      </c>
    </row>
    <row r="120" spans="1:9" x14ac:dyDescent="0.3">
      <c r="A120" s="24">
        <v>39847.638999999996</v>
      </c>
      <c r="B120" s="24">
        <v>11835.472839999999</v>
      </c>
      <c r="C120" s="25">
        <v>6938.5410000000002</v>
      </c>
      <c r="D120" s="25">
        <v>1258.8719140000001</v>
      </c>
      <c r="E120" s="25">
        <v>29.88274315</v>
      </c>
      <c r="F120" s="25">
        <v>6779.6610170000004</v>
      </c>
      <c r="G120" s="25">
        <v>0</v>
      </c>
      <c r="H120" s="25">
        <v>0</v>
      </c>
      <c r="I120" s="25">
        <v>0</v>
      </c>
    </row>
    <row r="121" spans="1:9" x14ac:dyDescent="0.3">
      <c r="A121" s="24">
        <v>37475.285000000003</v>
      </c>
      <c r="B121" s="24">
        <v>11835.472839999999</v>
      </c>
      <c r="C121" s="25">
        <v>6454.8519999999999</v>
      </c>
      <c r="D121" s="25">
        <v>1258.8719140000001</v>
      </c>
      <c r="E121" s="25">
        <v>2244.1603927199999</v>
      </c>
      <c r="F121" s="25">
        <v>6779.6610170000004</v>
      </c>
      <c r="G121" s="25">
        <v>0</v>
      </c>
      <c r="H121" s="25">
        <v>0</v>
      </c>
      <c r="I121" s="25">
        <v>0</v>
      </c>
    </row>
    <row r="122" spans="1:9" x14ac:dyDescent="0.3">
      <c r="A122" s="24">
        <v>34403.582999999999</v>
      </c>
      <c r="B122" s="24">
        <v>11832.805579999998</v>
      </c>
      <c r="C122" s="25">
        <v>5643.5910000000003</v>
      </c>
      <c r="D122" s="25">
        <v>1660.1195</v>
      </c>
      <c r="E122" s="25">
        <v>5000</v>
      </c>
      <c r="F122" s="25">
        <v>6779.6610170000004</v>
      </c>
      <c r="G122" s="25">
        <v>0</v>
      </c>
      <c r="H122" s="25">
        <v>0</v>
      </c>
      <c r="I122" s="25">
        <v>330</v>
      </c>
    </row>
    <row r="123" spans="1:9" x14ac:dyDescent="0.3">
      <c r="A123" s="24">
        <v>32286.286</v>
      </c>
      <c r="B123" s="24">
        <v>11832.805579999998</v>
      </c>
      <c r="C123" s="25">
        <v>5246</v>
      </c>
      <c r="D123" s="25">
        <v>1660.1195</v>
      </c>
      <c r="E123" s="25">
        <v>5000</v>
      </c>
      <c r="F123" s="25">
        <v>6779.6610170000004</v>
      </c>
      <c r="G123" s="25">
        <v>0</v>
      </c>
      <c r="H123" s="25">
        <v>818</v>
      </c>
      <c r="I123" s="25">
        <v>292.82237085000003</v>
      </c>
    </row>
    <row r="124" spans="1:9" x14ac:dyDescent="0.3">
      <c r="A124" s="24">
        <v>30708.298999999999</v>
      </c>
      <c r="B124" s="24">
        <v>11832.805579999998</v>
      </c>
      <c r="C124" s="25">
        <v>4773.5889999999999</v>
      </c>
      <c r="D124" s="25">
        <v>1660.1195</v>
      </c>
      <c r="E124" s="25">
        <v>5000</v>
      </c>
      <c r="F124" s="25">
        <v>6779.6610170000004</v>
      </c>
      <c r="G124" s="25">
        <v>0</v>
      </c>
      <c r="H124" s="25">
        <v>818</v>
      </c>
      <c r="I124" s="25">
        <v>0</v>
      </c>
    </row>
    <row r="125" spans="1:9" x14ac:dyDescent="0.3">
      <c r="A125" s="24">
        <v>29613.284</v>
      </c>
      <c r="B125" s="24">
        <v>11832.805579999998</v>
      </c>
      <c r="C125" s="25">
        <v>4611.43</v>
      </c>
      <c r="D125" s="25">
        <v>1660.1195</v>
      </c>
      <c r="E125" s="25">
        <v>5000</v>
      </c>
      <c r="F125" s="25">
        <v>6779.6610170000004</v>
      </c>
      <c r="G125" s="25">
        <v>0</v>
      </c>
      <c r="H125" s="25">
        <v>818</v>
      </c>
      <c r="I125" s="25">
        <v>330</v>
      </c>
    </row>
    <row r="126" spans="1:9" x14ac:dyDescent="0.3">
      <c r="A126" s="24">
        <v>28629.774000000001</v>
      </c>
      <c r="B126" s="24">
        <v>11864.49785</v>
      </c>
      <c r="C126" s="25">
        <v>4572.915</v>
      </c>
      <c r="D126" s="25">
        <v>1660.1195</v>
      </c>
      <c r="E126" s="25">
        <v>5000</v>
      </c>
      <c r="F126" s="25">
        <v>6779.6610170000004</v>
      </c>
      <c r="G126" s="25">
        <v>0</v>
      </c>
      <c r="H126" s="25">
        <v>818</v>
      </c>
      <c r="I126" s="25">
        <v>330</v>
      </c>
    </row>
    <row r="127" spans="1:9" x14ac:dyDescent="0.3">
      <c r="A127" s="24">
        <v>27657.187000000002</v>
      </c>
      <c r="B127" s="24">
        <v>11896.19011</v>
      </c>
      <c r="C127" s="25">
        <v>4625.1139999999996</v>
      </c>
      <c r="D127" s="25">
        <v>1660.1195</v>
      </c>
      <c r="E127" s="25">
        <v>5000</v>
      </c>
      <c r="F127" s="25">
        <v>6779.6610170000004</v>
      </c>
      <c r="G127" s="25">
        <v>0</v>
      </c>
      <c r="H127" s="25">
        <v>0</v>
      </c>
      <c r="I127" s="25">
        <v>330</v>
      </c>
    </row>
    <row r="128" spans="1:9" x14ac:dyDescent="0.3">
      <c r="A128" s="24">
        <v>27583.936999999998</v>
      </c>
      <c r="B128" s="24">
        <v>11912.036249999999</v>
      </c>
      <c r="C128" s="25">
        <v>4739.2560000000003</v>
      </c>
      <c r="D128" s="25">
        <v>1660.1195</v>
      </c>
      <c r="E128" s="25">
        <v>5000</v>
      </c>
      <c r="F128" s="25">
        <v>6779.6610170000004</v>
      </c>
      <c r="G128" s="25">
        <v>0</v>
      </c>
      <c r="H128" s="25">
        <v>818</v>
      </c>
      <c r="I128" s="25">
        <v>330</v>
      </c>
    </row>
    <row r="129" spans="1:9" x14ac:dyDescent="0.3">
      <c r="A129" s="24">
        <v>28764.89</v>
      </c>
      <c r="B129" s="24">
        <v>11896.19011</v>
      </c>
      <c r="C129" s="25">
        <v>4803.72</v>
      </c>
      <c r="D129" s="25">
        <v>1660.1195</v>
      </c>
      <c r="E129" s="25">
        <v>5000</v>
      </c>
      <c r="F129" s="25">
        <v>6779.6610170000004</v>
      </c>
      <c r="G129" s="25">
        <v>0</v>
      </c>
      <c r="H129" s="25">
        <v>818</v>
      </c>
      <c r="I129" s="25">
        <v>0</v>
      </c>
    </row>
    <row r="130" spans="1:9" x14ac:dyDescent="0.3">
      <c r="A130" s="24">
        <v>30670.206000000002</v>
      </c>
      <c r="B130" s="24">
        <v>11896.19011</v>
      </c>
      <c r="C130" s="25">
        <v>4894.0069999999996</v>
      </c>
      <c r="D130" s="25">
        <v>1660.1195</v>
      </c>
      <c r="E130" s="25">
        <v>5000</v>
      </c>
      <c r="F130" s="25">
        <v>6779.6610170000004</v>
      </c>
      <c r="G130" s="25">
        <v>0</v>
      </c>
      <c r="H130" s="25">
        <v>818</v>
      </c>
      <c r="I130" s="25">
        <v>0</v>
      </c>
    </row>
    <row r="131" spans="1:9" x14ac:dyDescent="0.3">
      <c r="A131" s="24">
        <v>33008.887999999999</v>
      </c>
      <c r="B131" s="24">
        <v>11896.19011</v>
      </c>
      <c r="C131" s="25">
        <v>5145.4859999999999</v>
      </c>
      <c r="D131" s="25">
        <v>1660.1195</v>
      </c>
      <c r="E131" s="25">
        <v>5000</v>
      </c>
      <c r="F131" s="25">
        <v>6779.6610170000004</v>
      </c>
      <c r="G131" s="25">
        <v>0</v>
      </c>
      <c r="H131" s="25">
        <v>818</v>
      </c>
      <c r="I131" s="25">
        <v>330</v>
      </c>
    </row>
    <row r="132" spans="1:9" x14ac:dyDescent="0.3">
      <c r="A132" s="24">
        <v>33449.326000000001</v>
      </c>
      <c r="B132" s="24">
        <v>11896.19011</v>
      </c>
      <c r="C132" s="25">
        <v>5222.2489999999998</v>
      </c>
      <c r="D132" s="25">
        <v>1843.839338</v>
      </c>
      <c r="E132" s="25">
        <v>5000</v>
      </c>
      <c r="F132" s="25">
        <v>6779.6610170000004</v>
      </c>
      <c r="G132" s="25">
        <v>0</v>
      </c>
      <c r="H132" s="25">
        <v>818</v>
      </c>
      <c r="I132" s="25">
        <v>330</v>
      </c>
    </row>
    <row r="133" spans="1:9" x14ac:dyDescent="0.3">
      <c r="A133" s="24">
        <v>34221.460999999996</v>
      </c>
      <c r="B133" s="24">
        <v>11912.036249999999</v>
      </c>
      <c r="C133" s="25">
        <v>5428.2359999999999</v>
      </c>
      <c r="D133" s="25">
        <v>1843.839338</v>
      </c>
      <c r="E133" s="25">
        <v>5000</v>
      </c>
      <c r="F133" s="25">
        <v>6779.6610170000004</v>
      </c>
      <c r="G133" s="25">
        <v>0</v>
      </c>
      <c r="H133" s="25">
        <v>818</v>
      </c>
      <c r="I133" s="25">
        <v>330</v>
      </c>
    </row>
    <row r="134" spans="1:9" x14ac:dyDescent="0.3">
      <c r="A134" s="24">
        <v>35155.864999999998</v>
      </c>
      <c r="B134" s="24">
        <v>11896.19011</v>
      </c>
      <c r="C134" s="25">
        <v>5772.0529999999999</v>
      </c>
      <c r="D134" s="25">
        <v>1843.839338</v>
      </c>
      <c r="E134" s="25">
        <v>5000</v>
      </c>
      <c r="F134" s="25">
        <v>6779.6610170000004</v>
      </c>
      <c r="G134" s="25">
        <v>0</v>
      </c>
      <c r="H134" s="25">
        <v>818</v>
      </c>
      <c r="I134" s="25">
        <v>330</v>
      </c>
    </row>
    <row r="135" spans="1:9" x14ac:dyDescent="0.3">
      <c r="A135" s="24">
        <v>35486.675999999999</v>
      </c>
      <c r="B135" s="24">
        <v>11896.19011</v>
      </c>
      <c r="C135" s="25">
        <v>5541.1480000000001</v>
      </c>
      <c r="D135" s="25">
        <v>1843.839338</v>
      </c>
      <c r="E135" s="25">
        <v>5000</v>
      </c>
      <c r="F135" s="25">
        <v>6779.6610170000004</v>
      </c>
      <c r="G135" s="25">
        <v>0</v>
      </c>
      <c r="H135" s="25">
        <v>818</v>
      </c>
      <c r="I135" s="25">
        <v>330</v>
      </c>
    </row>
    <row r="136" spans="1:9" x14ac:dyDescent="0.3">
      <c r="A136" s="24">
        <v>34433.777999999998</v>
      </c>
      <c r="B136" s="24">
        <v>11912.036249999999</v>
      </c>
      <c r="C136" s="25">
        <v>5346.7479999999996</v>
      </c>
      <c r="D136" s="25">
        <v>1843.839338</v>
      </c>
      <c r="E136" s="25">
        <v>5000</v>
      </c>
      <c r="F136" s="25">
        <v>6779.6610170000004</v>
      </c>
      <c r="G136" s="25">
        <v>0</v>
      </c>
      <c r="H136" s="25">
        <v>818</v>
      </c>
      <c r="I136" s="25">
        <v>330</v>
      </c>
    </row>
    <row r="137" spans="1:9" x14ac:dyDescent="0.3">
      <c r="A137" s="24">
        <v>33882.572999999997</v>
      </c>
      <c r="B137" s="24">
        <v>11896.19011</v>
      </c>
      <c r="C137" s="25">
        <v>5363.0209999999997</v>
      </c>
      <c r="D137" s="25">
        <v>1660.1195</v>
      </c>
      <c r="E137" s="25">
        <v>5000</v>
      </c>
      <c r="F137" s="25">
        <v>6779.6610170000004</v>
      </c>
      <c r="G137" s="25">
        <v>0</v>
      </c>
      <c r="H137" s="25">
        <v>818</v>
      </c>
      <c r="I137" s="25">
        <v>330</v>
      </c>
    </row>
    <row r="138" spans="1:9" x14ac:dyDescent="0.3">
      <c r="A138" s="24">
        <v>34240.737000000001</v>
      </c>
      <c r="B138" s="24">
        <v>11896.19011</v>
      </c>
      <c r="C138" s="25">
        <v>5578.4830000000002</v>
      </c>
      <c r="D138" s="25">
        <v>1660.1195</v>
      </c>
      <c r="E138" s="25">
        <v>5000</v>
      </c>
      <c r="F138" s="25">
        <v>6779.6610170000004</v>
      </c>
      <c r="G138" s="25">
        <v>0</v>
      </c>
      <c r="H138" s="25">
        <v>818</v>
      </c>
      <c r="I138" s="25">
        <v>330</v>
      </c>
    </row>
    <row r="139" spans="1:9" x14ac:dyDescent="0.3">
      <c r="A139" s="24">
        <v>36876.286</v>
      </c>
      <c r="B139" s="24">
        <v>11896.19011</v>
      </c>
      <c r="C139" s="25">
        <v>6202.8130000000001</v>
      </c>
      <c r="D139" s="25">
        <v>1660.1195</v>
      </c>
      <c r="E139" s="25">
        <v>5000</v>
      </c>
      <c r="F139" s="25">
        <v>6779.6610170000004</v>
      </c>
      <c r="G139" s="25">
        <v>0</v>
      </c>
      <c r="H139" s="25">
        <v>0</v>
      </c>
      <c r="I139" s="25">
        <v>104.02773392</v>
      </c>
    </row>
    <row r="140" spans="1:9" x14ac:dyDescent="0.3">
      <c r="A140" s="24">
        <v>38816.682000000001</v>
      </c>
      <c r="B140" s="24">
        <v>11912.036249999999</v>
      </c>
      <c r="C140" s="25">
        <v>6750.8119999999999</v>
      </c>
      <c r="D140" s="25">
        <v>1660.1195</v>
      </c>
      <c r="E140" s="25">
        <v>5000</v>
      </c>
      <c r="F140" s="25">
        <v>6779.6610170000004</v>
      </c>
      <c r="G140" s="25">
        <v>0</v>
      </c>
      <c r="H140" s="25">
        <v>818</v>
      </c>
      <c r="I140" s="25">
        <v>330</v>
      </c>
    </row>
    <row r="141" spans="1:9" x14ac:dyDescent="0.3">
      <c r="A141" s="24">
        <v>39459.180999999997</v>
      </c>
      <c r="B141" s="24">
        <v>11896.19011</v>
      </c>
      <c r="C141" s="25">
        <v>6825.0439999999999</v>
      </c>
      <c r="D141" s="25">
        <v>1660.1195</v>
      </c>
      <c r="E141" s="25">
        <v>5000</v>
      </c>
      <c r="F141" s="25">
        <v>6779.6610170000004</v>
      </c>
      <c r="G141" s="25">
        <v>0</v>
      </c>
      <c r="H141" s="25">
        <v>818</v>
      </c>
      <c r="I141" s="25">
        <v>0</v>
      </c>
    </row>
    <row r="142" spans="1:9" x14ac:dyDescent="0.3">
      <c r="A142" s="24">
        <v>39457.144</v>
      </c>
      <c r="B142" s="24">
        <v>11880.34398</v>
      </c>
      <c r="C142" s="25">
        <v>6558.56</v>
      </c>
      <c r="D142" s="25">
        <v>1660.1195</v>
      </c>
      <c r="E142" s="25">
        <v>5000</v>
      </c>
      <c r="F142" s="25">
        <v>6779.6610170000004</v>
      </c>
      <c r="G142" s="25">
        <v>0</v>
      </c>
      <c r="H142" s="25">
        <v>818</v>
      </c>
      <c r="I142" s="25">
        <v>330</v>
      </c>
    </row>
    <row r="143" spans="1:9" x14ac:dyDescent="0.3">
      <c r="A143" s="24">
        <v>38604.329999999994</v>
      </c>
      <c r="B143" s="24">
        <v>11864.49785</v>
      </c>
      <c r="C143" s="25">
        <v>6112.9520000000002</v>
      </c>
      <c r="D143" s="25">
        <v>1660.1195</v>
      </c>
      <c r="E143" s="25">
        <v>5000</v>
      </c>
      <c r="F143" s="25">
        <v>6779.6610170000004</v>
      </c>
      <c r="G143" s="25">
        <v>0</v>
      </c>
      <c r="H143" s="25">
        <v>818</v>
      </c>
      <c r="I143" s="25">
        <v>0</v>
      </c>
    </row>
    <row r="144" spans="1:9" x14ac:dyDescent="0.3">
      <c r="A144" s="24">
        <v>36813.754999999997</v>
      </c>
      <c r="B144" s="24">
        <v>11832.805579999998</v>
      </c>
      <c r="C144" s="25">
        <v>6325.7550000000001</v>
      </c>
      <c r="D144" s="25">
        <v>1660.1195</v>
      </c>
      <c r="E144" s="25">
        <v>5000</v>
      </c>
      <c r="F144" s="25">
        <v>6779.6610170000004</v>
      </c>
      <c r="G144" s="25">
        <v>0</v>
      </c>
      <c r="H144" s="25">
        <v>0</v>
      </c>
      <c r="I144" s="25">
        <v>330</v>
      </c>
    </row>
    <row r="145" spans="1:9" x14ac:dyDescent="0.3">
      <c r="A145" s="24">
        <v>34282.080000000002</v>
      </c>
      <c r="B145" s="24">
        <v>11832.805579999998</v>
      </c>
      <c r="C145" s="25">
        <v>5965.1719999999996</v>
      </c>
      <c r="D145" s="25">
        <v>1660.1195</v>
      </c>
      <c r="E145" s="25">
        <v>5000</v>
      </c>
      <c r="F145" s="25">
        <v>6779.6610170000004</v>
      </c>
      <c r="G145" s="25">
        <v>0</v>
      </c>
      <c r="H145" s="25">
        <v>818</v>
      </c>
      <c r="I145" s="25">
        <v>0</v>
      </c>
    </row>
    <row r="146" spans="1:9" x14ac:dyDescent="0.3">
      <c r="A146" s="24">
        <v>32633.776000000002</v>
      </c>
      <c r="B146" s="24">
        <v>11832.805579999998</v>
      </c>
      <c r="C146" s="25">
        <v>5339.4930000000004</v>
      </c>
      <c r="D146" s="25">
        <v>1687.8581449999999</v>
      </c>
      <c r="E146" s="25">
        <v>5000</v>
      </c>
      <c r="F146" s="25">
        <v>6779.6610170000004</v>
      </c>
      <c r="G146" s="25">
        <v>0</v>
      </c>
      <c r="H146" s="25">
        <v>818</v>
      </c>
      <c r="I146" s="25">
        <v>330</v>
      </c>
    </row>
    <row r="147" spans="1:9" x14ac:dyDescent="0.3">
      <c r="A147" s="24">
        <v>30727.125999999997</v>
      </c>
      <c r="B147" s="24">
        <v>11832.805579999998</v>
      </c>
      <c r="C147" s="25">
        <v>4957.9459999999999</v>
      </c>
      <c r="D147" s="25">
        <v>1687.8581449999999</v>
      </c>
      <c r="E147" s="25">
        <v>5000</v>
      </c>
      <c r="F147" s="25">
        <v>6779.6610170000004</v>
      </c>
      <c r="G147" s="25">
        <v>0</v>
      </c>
      <c r="H147" s="25">
        <v>818</v>
      </c>
      <c r="I147" s="25">
        <v>330</v>
      </c>
    </row>
    <row r="148" spans="1:9" x14ac:dyDescent="0.3">
      <c r="A148" s="24">
        <v>29460.581999999999</v>
      </c>
      <c r="B148" s="24">
        <v>11832.805579999998</v>
      </c>
      <c r="C148" s="25">
        <v>4496.732</v>
      </c>
      <c r="D148" s="25">
        <v>1687.8581449999999</v>
      </c>
      <c r="E148" s="25">
        <v>5000</v>
      </c>
      <c r="F148" s="25">
        <v>6779.6610170000004</v>
      </c>
      <c r="G148" s="25">
        <v>0</v>
      </c>
      <c r="H148" s="25">
        <v>818</v>
      </c>
      <c r="I148" s="25">
        <v>330</v>
      </c>
    </row>
    <row r="149" spans="1:9" x14ac:dyDescent="0.3">
      <c r="A149" s="24">
        <v>28758.135999999999</v>
      </c>
      <c r="B149" s="24">
        <v>11832.805579999998</v>
      </c>
      <c r="C149" s="25">
        <v>4343.1559999999999</v>
      </c>
      <c r="D149" s="25">
        <v>1687.8581449999999</v>
      </c>
      <c r="E149" s="25">
        <v>5000</v>
      </c>
      <c r="F149" s="25">
        <v>6779.6610170000004</v>
      </c>
      <c r="G149" s="25">
        <v>0</v>
      </c>
      <c r="H149" s="25">
        <v>818</v>
      </c>
      <c r="I149" s="25">
        <v>330</v>
      </c>
    </row>
    <row r="150" spans="1:9" x14ac:dyDescent="0.3">
      <c r="A150" s="24">
        <v>28585.671000000002</v>
      </c>
      <c r="B150" s="24">
        <v>11864.49785</v>
      </c>
      <c r="C150" s="25">
        <v>4305.777</v>
      </c>
      <c r="D150" s="25">
        <v>1687.8581449999999</v>
      </c>
      <c r="E150" s="25">
        <v>5000</v>
      </c>
      <c r="F150" s="25">
        <v>6779.6610170000004</v>
      </c>
      <c r="G150" s="25">
        <v>0</v>
      </c>
      <c r="H150" s="25">
        <v>818</v>
      </c>
      <c r="I150" s="25">
        <v>330</v>
      </c>
    </row>
    <row r="151" spans="1:9" x14ac:dyDescent="0.3">
      <c r="A151" s="24">
        <v>28783.722000000002</v>
      </c>
      <c r="B151" s="24">
        <v>11896.19011</v>
      </c>
      <c r="C151" s="25">
        <v>4336.7520000000004</v>
      </c>
      <c r="D151" s="25">
        <v>1687.8581449999999</v>
      </c>
      <c r="E151" s="25">
        <v>5000</v>
      </c>
      <c r="F151" s="25">
        <v>6779.6610170000004</v>
      </c>
      <c r="G151" s="25">
        <v>0</v>
      </c>
      <c r="H151" s="25">
        <v>818</v>
      </c>
      <c r="I151" s="25">
        <v>330</v>
      </c>
    </row>
    <row r="152" spans="1:9" x14ac:dyDescent="0.3">
      <c r="A152" s="24">
        <v>29674.134999999998</v>
      </c>
      <c r="B152" s="24">
        <v>11912.036249999999</v>
      </c>
      <c r="C152" s="25">
        <v>4388.3490000000002</v>
      </c>
      <c r="D152" s="25">
        <v>1687.8581449999999</v>
      </c>
      <c r="E152" s="25">
        <v>5000</v>
      </c>
      <c r="F152" s="25">
        <v>6779.6610170000004</v>
      </c>
      <c r="G152" s="25">
        <v>0</v>
      </c>
      <c r="H152" s="25">
        <v>818</v>
      </c>
      <c r="I152" s="25">
        <v>330</v>
      </c>
    </row>
    <row r="153" spans="1:9" x14ac:dyDescent="0.3">
      <c r="A153" s="24">
        <v>31319.714</v>
      </c>
      <c r="B153" s="24">
        <v>11896.19011</v>
      </c>
      <c r="C153" s="25">
        <v>4334.1949999999997</v>
      </c>
      <c r="D153" s="25">
        <v>1687.8581449999999</v>
      </c>
      <c r="E153" s="25">
        <v>5000</v>
      </c>
      <c r="F153" s="25">
        <v>6779.6610170000004</v>
      </c>
      <c r="G153" s="25">
        <v>0</v>
      </c>
      <c r="H153" s="25">
        <v>818</v>
      </c>
      <c r="I153" s="25">
        <v>330</v>
      </c>
    </row>
    <row r="154" spans="1:9" x14ac:dyDescent="0.3">
      <c r="A154" s="24">
        <v>33635.925999999999</v>
      </c>
      <c r="B154" s="24">
        <v>11896.19011</v>
      </c>
      <c r="C154" s="25">
        <v>4342.3630000000003</v>
      </c>
      <c r="D154" s="25">
        <v>1687.8581449999999</v>
      </c>
      <c r="E154" s="25">
        <v>5000</v>
      </c>
      <c r="F154" s="25">
        <v>6779.6610170000004</v>
      </c>
      <c r="G154" s="25">
        <v>0</v>
      </c>
      <c r="H154" s="25">
        <v>818</v>
      </c>
      <c r="I154" s="25">
        <v>330</v>
      </c>
    </row>
    <row r="155" spans="1:9" x14ac:dyDescent="0.3">
      <c r="A155" s="24">
        <v>36023.576000000001</v>
      </c>
      <c r="B155" s="24">
        <v>11896.19011</v>
      </c>
      <c r="C155" s="25">
        <v>4640.1970000000001</v>
      </c>
      <c r="D155" s="25">
        <v>1687.8581449999999</v>
      </c>
      <c r="E155" s="25">
        <v>5000</v>
      </c>
      <c r="F155" s="25">
        <v>6779.6610170000004</v>
      </c>
      <c r="G155" s="25">
        <v>0</v>
      </c>
      <c r="H155" s="25">
        <v>818</v>
      </c>
      <c r="I155" s="25">
        <v>330</v>
      </c>
    </row>
    <row r="156" spans="1:9" x14ac:dyDescent="0.3">
      <c r="A156" s="24">
        <v>36804.972999999998</v>
      </c>
      <c r="B156" s="24">
        <v>11896.19011</v>
      </c>
      <c r="C156" s="25">
        <v>4886.9849999999997</v>
      </c>
      <c r="D156" s="25">
        <v>1871.5779829999999</v>
      </c>
      <c r="E156" s="25">
        <v>5000</v>
      </c>
      <c r="F156" s="25">
        <v>6779.6610170000004</v>
      </c>
      <c r="G156" s="25">
        <v>0</v>
      </c>
      <c r="H156" s="25">
        <v>818</v>
      </c>
      <c r="I156" s="25">
        <v>330</v>
      </c>
    </row>
    <row r="157" spans="1:9" x14ac:dyDescent="0.3">
      <c r="A157" s="24">
        <v>37638.228000000003</v>
      </c>
      <c r="B157" s="24">
        <v>11912.036249999999</v>
      </c>
      <c r="C157" s="25">
        <v>5229.9260000000004</v>
      </c>
      <c r="D157" s="25">
        <v>1871.5779829999999</v>
      </c>
      <c r="E157" s="25">
        <v>5000</v>
      </c>
      <c r="F157" s="25">
        <v>6779.6610170000004</v>
      </c>
      <c r="G157" s="25">
        <v>0</v>
      </c>
      <c r="H157" s="25">
        <v>818</v>
      </c>
      <c r="I157" s="25">
        <v>330</v>
      </c>
    </row>
    <row r="158" spans="1:9" x14ac:dyDescent="0.3">
      <c r="A158" s="24">
        <v>38535.195</v>
      </c>
      <c r="B158" s="24">
        <v>11896.19011</v>
      </c>
      <c r="C158" s="25">
        <v>5596.19</v>
      </c>
      <c r="D158" s="25">
        <v>1871.5779829999999</v>
      </c>
      <c r="E158" s="25">
        <v>5000</v>
      </c>
      <c r="F158" s="25">
        <v>6779.6610170000004</v>
      </c>
      <c r="G158" s="25">
        <v>0</v>
      </c>
      <c r="H158" s="25">
        <v>818</v>
      </c>
      <c r="I158" s="25">
        <v>330</v>
      </c>
    </row>
    <row r="159" spans="1:9" x14ac:dyDescent="0.3">
      <c r="A159" s="24">
        <v>38968.957000000002</v>
      </c>
      <c r="B159" s="24">
        <v>11896.19011</v>
      </c>
      <c r="C159" s="25">
        <v>5280.6869999999999</v>
      </c>
      <c r="D159" s="25">
        <v>1871.5779829999999</v>
      </c>
      <c r="E159" s="25">
        <v>5000</v>
      </c>
      <c r="F159" s="25">
        <v>6779.6610170000004</v>
      </c>
      <c r="G159" s="25">
        <v>0</v>
      </c>
      <c r="H159" s="25">
        <v>818</v>
      </c>
      <c r="I159" s="25">
        <v>330</v>
      </c>
    </row>
    <row r="160" spans="1:9" x14ac:dyDescent="0.3">
      <c r="A160" s="24">
        <v>38089.428</v>
      </c>
      <c r="B160" s="24">
        <v>11912.036249999999</v>
      </c>
      <c r="C160" s="25">
        <v>4999.6120000000001</v>
      </c>
      <c r="D160" s="25">
        <v>1871.5779829999999</v>
      </c>
      <c r="E160" s="25">
        <v>5000</v>
      </c>
      <c r="F160" s="25">
        <v>6779.6610170000004</v>
      </c>
      <c r="G160" s="25">
        <v>0</v>
      </c>
      <c r="H160" s="25">
        <v>818</v>
      </c>
      <c r="I160" s="25">
        <v>330</v>
      </c>
    </row>
    <row r="161" spans="1:9" x14ac:dyDescent="0.3">
      <c r="A161" s="24">
        <v>37514.300000000003</v>
      </c>
      <c r="B161" s="24">
        <v>11896.19011</v>
      </c>
      <c r="C161" s="25">
        <v>5002.7030000000004</v>
      </c>
      <c r="D161" s="25">
        <v>1687.8581449999999</v>
      </c>
      <c r="E161" s="25">
        <v>5000</v>
      </c>
      <c r="F161" s="25">
        <v>6779.6610170000004</v>
      </c>
      <c r="G161" s="25">
        <v>0</v>
      </c>
      <c r="H161" s="25">
        <v>818</v>
      </c>
      <c r="I161" s="25">
        <v>330</v>
      </c>
    </row>
    <row r="162" spans="1:9" x14ac:dyDescent="0.3">
      <c r="A162" s="24">
        <v>37580.498999999996</v>
      </c>
      <c r="B162" s="24">
        <v>11896.19011</v>
      </c>
      <c r="C162" s="25">
        <v>5228.2780000000002</v>
      </c>
      <c r="D162" s="25">
        <v>1687.8581449999999</v>
      </c>
      <c r="E162" s="25">
        <v>5000</v>
      </c>
      <c r="F162" s="25">
        <v>6779.6610170000004</v>
      </c>
      <c r="G162" s="25">
        <v>0</v>
      </c>
      <c r="H162" s="25">
        <v>818</v>
      </c>
      <c r="I162" s="25">
        <v>330</v>
      </c>
    </row>
    <row r="163" spans="1:9" x14ac:dyDescent="0.3">
      <c r="A163" s="24">
        <v>39518.828999999998</v>
      </c>
      <c r="B163" s="24">
        <v>11896.19011</v>
      </c>
      <c r="C163" s="25">
        <v>5872.1220000000003</v>
      </c>
      <c r="D163" s="25">
        <v>1687.8581449999999</v>
      </c>
      <c r="E163" s="25">
        <v>5000</v>
      </c>
      <c r="F163" s="25">
        <v>6779.6610170000004</v>
      </c>
      <c r="G163" s="25">
        <v>0</v>
      </c>
      <c r="H163" s="25">
        <v>818</v>
      </c>
      <c r="I163" s="25">
        <v>330</v>
      </c>
    </row>
    <row r="164" spans="1:9" x14ac:dyDescent="0.3">
      <c r="A164" s="24">
        <v>40568.229999999996</v>
      </c>
      <c r="B164" s="24">
        <v>11912.036249999999</v>
      </c>
      <c r="C164" s="25">
        <v>6451.0309999999999</v>
      </c>
      <c r="D164" s="25">
        <v>1687.8581449999999</v>
      </c>
      <c r="E164" s="25">
        <v>5000</v>
      </c>
      <c r="F164" s="25">
        <v>6779.6610170000004</v>
      </c>
      <c r="G164" s="25">
        <v>0</v>
      </c>
      <c r="H164" s="25">
        <v>818</v>
      </c>
      <c r="I164" s="25">
        <v>330</v>
      </c>
    </row>
    <row r="165" spans="1:9" x14ac:dyDescent="0.3">
      <c r="A165" s="24">
        <v>40863.873</v>
      </c>
      <c r="B165" s="24">
        <v>11896.19011</v>
      </c>
      <c r="C165" s="25">
        <v>6593.3879999999999</v>
      </c>
      <c r="D165" s="25">
        <v>1687.8581449999999</v>
      </c>
      <c r="E165" s="25">
        <v>5000</v>
      </c>
      <c r="F165" s="25">
        <v>6779.6610170000004</v>
      </c>
      <c r="G165" s="25">
        <v>0</v>
      </c>
      <c r="H165" s="25">
        <v>818</v>
      </c>
      <c r="I165" s="25">
        <v>330</v>
      </c>
    </row>
    <row r="166" spans="1:9" x14ac:dyDescent="0.3">
      <c r="A166" s="24">
        <v>40529.981</v>
      </c>
      <c r="B166" s="24">
        <v>11880.34398</v>
      </c>
      <c r="C166" s="25">
        <v>6426.7089999999998</v>
      </c>
      <c r="D166" s="25">
        <v>1687.8581449999999</v>
      </c>
      <c r="E166" s="25">
        <v>5000</v>
      </c>
      <c r="F166" s="25">
        <v>6779.6610170000004</v>
      </c>
      <c r="G166" s="25">
        <v>0</v>
      </c>
      <c r="H166" s="25">
        <v>818</v>
      </c>
      <c r="I166" s="25">
        <v>330</v>
      </c>
    </row>
    <row r="167" spans="1:9" x14ac:dyDescent="0.3">
      <c r="A167" s="24">
        <v>39225.506000000001</v>
      </c>
      <c r="B167" s="24">
        <v>11864.49785</v>
      </c>
      <c r="C167" s="25">
        <v>6037.9189999999999</v>
      </c>
      <c r="D167" s="25">
        <v>1687.8581449999999</v>
      </c>
      <c r="E167" s="25">
        <v>5000</v>
      </c>
      <c r="F167" s="25">
        <v>6779.6610170000004</v>
      </c>
      <c r="G167" s="25">
        <v>0</v>
      </c>
      <c r="H167" s="25">
        <v>818</v>
      </c>
      <c r="I167" s="25">
        <v>330</v>
      </c>
    </row>
    <row r="168" spans="1:9" x14ac:dyDescent="0.3">
      <c r="A168" s="24">
        <v>37244.282999999996</v>
      </c>
      <c r="B168" s="24">
        <v>11832.805579999998</v>
      </c>
      <c r="C168" s="25">
        <v>6241.08</v>
      </c>
      <c r="D168" s="25">
        <v>1687.8581449999999</v>
      </c>
      <c r="E168" s="25">
        <v>5000</v>
      </c>
      <c r="F168" s="25">
        <v>6779.6610170000004</v>
      </c>
      <c r="G168" s="25">
        <v>0</v>
      </c>
      <c r="H168" s="25">
        <v>818</v>
      </c>
      <c r="I168" s="25">
        <v>330</v>
      </c>
    </row>
    <row r="169" spans="1:9" x14ac:dyDescent="0.3">
      <c r="A169" s="24">
        <v>34857.546000000002</v>
      </c>
      <c r="B169" s="24">
        <v>11832.805579999998</v>
      </c>
      <c r="C169" s="25">
        <v>5886.9840000000004</v>
      </c>
      <c r="D169" s="25">
        <v>1687.8581449999999</v>
      </c>
      <c r="E169" s="25">
        <v>5000</v>
      </c>
      <c r="F169" s="25">
        <v>6779.6610170000004</v>
      </c>
      <c r="G169" s="25">
        <v>0</v>
      </c>
      <c r="H169" s="25">
        <v>818</v>
      </c>
      <c r="I169" s="25">
        <v>330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89FD-31AB-4C42-9A94-70915BA60CAC}">
  <sheetPr codeName="Hoja12">
    <tabColor theme="5" tint="0.79998168889431442"/>
  </sheetPr>
  <dimension ref="A1:U338"/>
  <sheetViews>
    <sheetView topLeftCell="H1" zoomScale="88" zoomScaleNormal="85" workbookViewId="0">
      <selection activeCell="Q2" sqref="Q2:Q169"/>
    </sheetView>
  </sheetViews>
  <sheetFormatPr baseColWidth="10" defaultRowHeight="14" x14ac:dyDescent="0.3"/>
  <cols>
    <col min="1" max="2" width="20.26953125" style="109" customWidth="1"/>
    <col min="3" max="3" width="22.81640625" style="109" bestFit="1" customWidth="1"/>
    <col min="4" max="5" width="20.36328125" style="109" bestFit="1" customWidth="1"/>
    <col min="6" max="6" width="21.26953125" style="109" bestFit="1" customWidth="1"/>
    <col min="7" max="7" width="20.36328125" style="109" bestFit="1" customWidth="1"/>
    <col min="8" max="8" width="23" style="109" bestFit="1" customWidth="1"/>
    <col min="9" max="10" width="20.36328125" style="109" bestFit="1" customWidth="1"/>
    <col min="11" max="12" width="20.453125" style="109" customWidth="1"/>
    <col min="13" max="13" width="21.1796875" style="109" bestFit="1" customWidth="1"/>
    <col min="14" max="15" width="27.1796875" style="109" customWidth="1"/>
    <col min="16" max="16" width="21.26953125" style="109" customWidth="1"/>
    <col min="17" max="17" width="19.453125" style="109" customWidth="1"/>
    <col min="18" max="20" width="21.7265625" style="109" bestFit="1" customWidth="1"/>
    <col min="21" max="21" width="13.6328125" style="109" bestFit="1" customWidth="1"/>
    <col min="22" max="16384" width="10.90625" style="109"/>
  </cols>
  <sheetData>
    <row r="1" spans="1:21" s="19" customFormat="1" x14ac:dyDescent="0.3">
      <c r="A1" s="16" t="s">
        <v>137</v>
      </c>
      <c r="B1" s="16" t="s">
        <v>135</v>
      </c>
      <c r="C1" s="16" t="s">
        <v>136</v>
      </c>
      <c r="D1" s="16" t="s">
        <v>62</v>
      </c>
      <c r="E1" s="16" t="s">
        <v>183</v>
      </c>
      <c r="F1" s="16" t="s">
        <v>127</v>
      </c>
      <c r="G1" s="16" t="s">
        <v>126</v>
      </c>
      <c r="H1" s="14" t="s">
        <v>158</v>
      </c>
      <c r="I1" s="14" t="s">
        <v>143</v>
      </c>
      <c r="J1" s="14" t="s">
        <v>171</v>
      </c>
      <c r="K1" s="14" t="s">
        <v>172</v>
      </c>
      <c r="L1" s="14" t="s">
        <v>184</v>
      </c>
      <c r="M1" s="14" t="s">
        <v>124</v>
      </c>
      <c r="N1" s="17" t="s">
        <v>125</v>
      </c>
      <c r="O1" s="26" t="s">
        <v>134</v>
      </c>
      <c r="P1" s="26" t="s">
        <v>133</v>
      </c>
      <c r="Q1" s="18" t="s">
        <v>117</v>
      </c>
      <c r="R1" s="18" t="s">
        <v>123</v>
      </c>
      <c r="S1" s="18" t="s">
        <v>119</v>
      </c>
      <c r="T1" s="18" t="s">
        <v>129</v>
      </c>
      <c r="U1" s="18" t="s">
        <v>128</v>
      </c>
    </row>
    <row r="2" spans="1:21" s="24" customFormat="1" x14ac:dyDescent="0.3">
      <c r="A2" s="103">
        <v>0</v>
      </c>
      <c r="B2" s="103">
        <v>0</v>
      </c>
      <c r="C2" s="103">
        <v>0</v>
      </c>
      <c r="D2" s="103">
        <v>0.27513821599999999</v>
      </c>
      <c r="E2" s="103">
        <v>0.2690001867898939</v>
      </c>
      <c r="F2" s="103">
        <v>0.32070481809153373</v>
      </c>
      <c r="G2" s="104">
        <v>0</v>
      </c>
      <c r="H2" s="103">
        <v>0</v>
      </c>
      <c r="I2" s="103">
        <v>0</v>
      </c>
      <c r="J2" s="103">
        <v>0.11900000000000001</v>
      </c>
      <c r="K2" s="103">
        <v>0.13200000000000001</v>
      </c>
      <c r="L2" s="103">
        <v>0.53761169881767268</v>
      </c>
      <c r="M2" s="103">
        <v>0.10459032585279714</v>
      </c>
      <c r="N2" s="24">
        <v>0</v>
      </c>
      <c r="O2" s="105">
        <v>0.77362125528354786</v>
      </c>
      <c r="P2" s="105">
        <f>1</f>
        <v>1</v>
      </c>
      <c r="Q2" s="106">
        <v>1</v>
      </c>
      <c r="R2" s="107">
        <v>0</v>
      </c>
      <c r="S2" s="107">
        <v>1</v>
      </c>
      <c r="T2" s="107">
        <v>1240</v>
      </c>
      <c r="U2" s="107">
        <v>330</v>
      </c>
    </row>
    <row r="3" spans="1:21" s="24" customFormat="1" x14ac:dyDescent="0.3">
      <c r="A3" s="103">
        <v>0</v>
      </c>
      <c r="B3" s="103">
        <v>0</v>
      </c>
      <c r="C3" s="103">
        <v>0</v>
      </c>
      <c r="D3" s="103">
        <v>0.29443187700000001</v>
      </c>
      <c r="E3" s="103">
        <v>0.26699991066570294</v>
      </c>
      <c r="F3" s="103">
        <v>0.34319376975837423</v>
      </c>
      <c r="G3" s="104">
        <v>0</v>
      </c>
      <c r="H3" s="103">
        <v>0</v>
      </c>
      <c r="I3" s="103">
        <v>0</v>
      </c>
      <c r="J3" s="103">
        <v>0.125</v>
      </c>
      <c r="K3" s="103">
        <v>0.11799999999999999</v>
      </c>
      <c r="L3" s="103">
        <v>0.53382202862476658</v>
      </c>
      <c r="M3" s="103">
        <v>9.6099798406588527E-2</v>
      </c>
      <c r="N3" s="24">
        <v>0</v>
      </c>
      <c r="O3" s="105">
        <v>0.77362125528354786</v>
      </c>
      <c r="P3" s="105">
        <f>1</f>
        <v>1</v>
      </c>
      <c r="Q3" s="106">
        <v>1</v>
      </c>
      <c r="R3" s="107">
        <v>0</v>
      </c>
      <c r="S3" s="107">
        <v>1</v>
      </c>
      <c r="T3" s="107">
        <v>1240</v>
      </c>
      <c r="U3" s="107">
        <v>330</v>
      </c>
    </row>
    <row r="4" spans="1:21" s="24" customFormat="1" x14ac:dyDescent="0.3">
      <c r="A4" s="103">
        <v>0</v>
      </c>
      <c r="B4" s="103">
        <v>0</v>
      </c>
      <c r="C4" s="103">
        <v>0</v>
      </c>
      <c r="D4" s="103">
        <v>0.29945537999999999</v>
      </c>
      <c r="E4" s="103">
        <v>0.26500004060649868</v>
      </c>
      <c r="F4" s="103">
        <v>0.34904923265705523</v>
      </c>
      <c r="G4" s="104">
        <v>0</v>
      </c>
      <c r="H4" s="103">
        <v>0</v>
      </c>
      <c r="I4" s="103">
        <v>0</v>
      </c>
      <c r="J4" s="103">
        <v>0.13699999999999998</v>
      </c>
      <c r="K4" s="103">
        <v>0.11</v>
      </c>
      <c r="L4" s="103">
        <v>0.53300435594275042</v>
      </c>
      <c r="M4" s="103">
        <v>9.0471182387891369E-2</v>
      </c>
      <c r="N4" s="24">
        <v>0</v>
      </c>
      <c r="O4" s="105">
        <v>0.77362125528354786</v>
      </c>
      <c r="P4" s="105">
        <f>1</f>
        <v>1</v>
      </c>
      <c r="Q4" s="106">
        <v>1</v>
      </c>
      <c r="R4" s="107">
        <v>0</v>
      </c>
      <c r="S4" s="107">
        <v>1</v>
      </c>
      <c r="T4" s="107">
        <v>1240</v>
      </c>
      <c r="U4" s="107">
        <v>330</v>
      </c>
    </row>
    <row r="5" spans="1:21" s="24" customFormat="1" x14ac:dyDescent="0.3">
      <c r="A5" s="103">
        <v>0</v>
      </c>
      <c r="B5" s="103">
        <v>0</v>
      </c>
      <c r="C5" s="103">
        <v>0</v>
      </c>
      <c r="D5" s="103">
        <v>0.30697123399999998</v>
      </c>
      <c r="E5" s="103">
        <v>0.2749997969675067</v>
      </c>
      <c r="F5" s="103">
        <v>0.3578098135204294</v>
      </c>
      <c r="G5" s="104">
        <v>0</v>
      </c>
      <c r="H5" s="103">
        <v>0</v>
      </c>
      <c r="I5" s="103">
        <v>0</v>
      </c>
      <c r="J5" s="103">
        <v>0.153</v>
      </c>
      <c r="K5" s="103">
        <v>0.105</v>
      </c>
      <c r="L5" s="103">
        <v>0.53906596141879282</v>
      </c>
      <c r="M5" s="103">
        <v>8.519956391452739E-2</v>
      </c>
      <c r="N5" s="24">
        <v>0</v>
      </c>
      <c r="O5" s="105">
        <v>0.77362125528354786</v>
      </c>
      <c r="P5" s="105">
        <f>1</f>
        <v>1</v>
      </c>
      <c r="Q5" s="106">
        <v>1</v>
      </c>
      <c r="R5" s="107">
        <v>0</v>
      </c>
      <c r="S5" s="107">
        <v>1</v>
      </c>
      <c r="T5" s="107">
        <v>1240</v>
      </c>
      <c r="U5" s="107">
        <v>330</v>
      </c>
    </row>
    <row r="6" spans="1:21" s="24" customFormat="1" x14ac:dyDescent="0.3">
      <c r="A6" s="103">
        <v>0</v>
      </c>
      <c r="B6" s="103">
        <v>0</v>
      </c>
      <c r="C6" s="103">
        <v>0</v>
      </c>
      <c r="D6" s="103">
        <v>0.32181367900000002</v>
      </c>
      <c r="E6" s="103">
        <v>0.27899994315090187</v>
      </c>
      <c r="F6" s="103">
        <v>0.37511036773990797</v>
      </c>
      <c r="G6" s="104">
        <v>0</v>
      </c>
      <c r="H6" s="103">
        <v>0</v>
      </c>
      <c r="I6" s="103">
        <v>0</v>
      </c>
      <c r="J6" s="103">
        <v>0.16699999999999998</v>
      </c>
      <c r="K6" s="103">
        <v>0.10099999999999999</v>
      </c>
      <c r="L6" s="103">
        <v>0.54218046048537649</v>
      </c>
      <c r="M6" s="103">
        <v>8.1436625942127916E-2</v>
      </c>
      <c r="N6" s="24">
        <v>0</v>
      </c>
      <c r="O6" s="105">
        <v>0.77362125528354786</v>
      </c>
      <c r="P6" s="105">
        <f>1</f>
        <v>1</v>
      </c>
      <c r="Q6" s="106">
        <v>1</v>
      </c>
      <c r="R6" s="107">
        <v>0</v>
      </c>
      <c r="S6" s="107">
        <v>1</v>
      </c>
      <c r="T6" s="107">
        <v>1240</v>
      </c>
      <c r="U6" s="107">
        <v>330</v>
      </c>
    </row>
    <row r="7" spans="1:21" s="24" customFormat="1" x14ac:dyDescent="0.3">
      <c r="A7" s="103">
        <v>0</v>
      </c>
      <c r="B7" s="103">
        <v>0</v>
      </c>
      <c r="C7" s="103">
        <v>0</v>
      </c>
      <c r="D7" s="103">
        <v>0.323743155</v>
      </c>
      <c r="E7" s="103">
        <v>0.2909999756361008</v>
      </c>
      <c r="F7" s="103">
        <v>0.37735939100751537</v>
      </c>
      <c r="G7" s="104">
        <v>0</v>
      </c>
      <c r="H7" s="103">
        <v>0</v>
      </c>
      <c r="I7" s="103">
        <v>0</v>
      </c>
      <c r="J7" s="103">
        <v>0.17800000000000002</v>
      </c>
      <c r="K7" s="103">
        <v>9.7000000000000003E-2</v>
      </c>
      <c r="L7" s="103">
        <v>0.55440074673304296</v>
      </c>
      <c r="M7" s="103">
        <v>7.9330834267695508E-2</v>
      </c>
      <c r="N7" s="24">
        <v>0</v>
      </c>
      <c r="O7" s="105">
        <v>0.77362125528354786</v>
      </c>
      <c r="P7" s="105">
        <f>1</f>
        <v>1</v>
      </c>
      <c r="Q7" s="106">
        <v>1</v>
      </c>
      <c r="R7" s="107">
        <v>0</v>
      </c>
      <c r="S7" s="107">
        <v>1</v>
      </c>
      <c r="T7" s="107">
        <v>1240</v>
      </c>
      <c r="U7" s="107">
        <v>330</v>
      </c>
    </row>
    <row r="8" spans="1:21" s="24" customFormat="1" x14ac:dyDescent="0.3">
      <c r="A8" s="103">
        <v>0</v>
      </c>
      <c r="B8" s="103">
        <v>0</v>
      </c>
      <c r="C8" s="103">
        <v>0</v>
      </c>
      <c r="D8" s="103">
        <v>0.30273460200000002</v>
      </c>
      <c r="E8" s="103">
        <v>0.32799980508880644</v>
      </c>
      <c r="F8" s="103">
        <v>0.35287153807969324</v>
      </c>
      <c r="G8" s="104">
        <v>0</v>
      </c>
      <c r="H8" s="103">
        <v>0</v>
      </c>
      <c r="I8" s="103">
        <v>0</v>
      </c>
      <c r="J8" s="103">
        <v>0.183</v>
      </c>
      <c r="K8" s="103">
        <v>9.1999999999999998E-2</v>
      </c>
      <c r="L8" s="103">
        <v>0.56481269446172988</v>
      </c>
      <c r="M8" s="103">
        <v>7.6747302668941975E-2</v>
      </c>
      <c r="N8" s="24">
        <v>0</v>
      </c>
      <c r="O8" s="105">
        <v>0.77362125528354786</v>
      </c>
      <c r="P8" s="105">
        <f>1</f>
        <v>1</v>
      </c>
      <c r="Q8" s="106">
        <v>1</v>
      </c>
      <c r="R8" s="107">
        <v>0</v>
      </c>
      <c r="S8" s="107">
        <v>1</v>
      </c>
      <c r="T8" s="107">
        <v>1240</v>
      </c>
      <c r="U8" s="107">
        <v>330</v>
      </c>
    </row>
    <row r="9" spans="1:21" s="24" customFormat="1" x14ac:dyDescent="0.3">
      <c r="A9" s="103">
        <v>0</v>
      </c>
      <c r="B9" s="103">
        <v>0</v>
      </c>
      <c r="C9" s="103">
        <v>0</v>
      </c>
      <c r="D9" s="103">
        <v>0.24533328800000001</v>
      </c>
      <c r="E9" s="103">
        <v>0.35799988630180374</v>
      </c>
      <c r="F9" s="103">
        <v>0.28596379173963193</v>
      </c>
      <c r="G9" s="104">
        <v>0</v>
      </c>
      <c r="H9" s="103">
        <v>0</v>
      </c>
      <c r="I9" s="103">
        <v>0</v>
      </c>
      <c r="J9" s="103">
        <v>0.183</v>
      </c>
      <c r="K9" s="103">
        <v>9.0999999999999998E-2</v>
      </c>
      <c r="L9" s="103">
        <v>0.56885127566894833</v>
      </c>
      <c r="M9" s="103">
        <v>7.707484609585992E-2</v>
      </c>
      <c r="N9" s="24">
        <v>0</v>
      </c>
      <c r="O9" s="105">
        <v>0.77362125528354786</v>
      </c>
      <c r="P9" s="105">
        <f>1</f>
        <v>1</v>
      </c>
      <c r="Q9" s="106">
        <v>1</v>
      </c>
      <c r="R9" s="107">
        <v>0</v>
      </c>
      <c r="S9" s="107">
        <v>1</v>
      </c>
      <c r="T9" s="107">
        <v>1240</v>
      </c>
      <c r="U9" s="107">
        <v>330</v>
      </c>
    </row>
    <row r="10" spans="1:21" s="24" customFormat="1" x14ac:dyDescent="0.3">
      <c r="A10" s="103">
        <v>0</v>
      </c>
      <c r="B10" s="103">
        <v>0</v>
      </c>
      <c r="C10" s="103">
        <v>0</v>
      </c>
      <c r="D10" s="103">
        <v>0.19145563500000001</v>
      </c>
      <c r="E10" s="103">
        <v>0.37100005684909815</v>
      </c>
      <c r="F10" s="103">
        <v>0.2342226597032209</v>
      </c>
      <c r="G10" s="104">
        <v>0</v>
      </c>
      <c r="H10" s="103">
        <v>0</v>
      </c>
      <c r="I10" s="103">
        <v>0</v>
      </c>
      <c r="J10" s="103">
        <v>0.17199999999999999</v>
      </c>
      <c r="K10" s="103">
        <v>8.8999999999999996E-2</v>
      </c>
      <c r="L10" s="103">
        <v>0.5673571873055383</v>
      </c>
      <c r="M10" s="103">
        <v>7.7038908653806207E-2</v>
      </c>
      <c r="N10" s="24">
        <v>0</v>
      </c>
      <c r="O10" s="105">
        <v>0.77362125528354786</v>
      </c>
      <c r="P10" s="105">
        <f>1</f>
        <v>1</v>
      </c>
      <c r="Q10" s="106">
        <v>1</v>
      </c>
      <c r="R10" s="107">
        <v>0</v>
      </c>
      <c r="S10" s="107">
        <v>1</v>
      </c>
      <c r="T10" s="107">
        <v>1240</v>
      </c>
      <c r="U10" s="107">
        <v>330</v>
      </c>
    </row>
    <row r="11" spans="1:21" s="24" customFormat="1" x14ac:dyDescent="0.3">
      <c r="A11" s="103">
        <v>0.122</v>
      </c>
      <c r="B11" s="103">
        <v>7.0999999999999994E-2</v>
      </c>
      <c r="C11" s="103">
        <v>0.13100000000000001</v>
      </c>
      <c r="D11" s="103">
        <v>0.16467230399999999</v>
      </c>
      <c r="E11" s="103">
        <v>0.39099997563610084</v>
      </c>
      <c r="F11" s="103">
        <v>0.48723140723128838</v>
      </c>
      <c r="G11" s="104">
        <v>0</v>
      </c>
      <c r="H11" s="103">
        <v>7.3999999999999996E-2</v>
      </c>
      <c r="I11" s="103">
        <v>3.7999999999999999E-2</v>
      </c>
      <c r="J11" s="103">
        <v>0.13400000000000001</v>
      </c>
      <c r="K11" s="103">
        <v>8.8999999999999996E-2</v>
      </c>
      <c r="L11" s="103">
        <v>0.56726260112009952</v>
      </c>
      <c r="M11" s="103">
        <v>0.17921139968660038</v>
      </c>
      <c r="N11" s="24">
        <v>0</v>
      </c>
      <c r="O11" s="105">
        <v>0.77362125528354786</v>
      </c>
      <c r="P11" s="105">
        <f>1</f>
        <v>1</v>
      </c>
      <c r="Q11" s="106">
        <v>1</v>
      </c>
      <c r="R11" s="107">
        <v>0</v>
      </c>
      <c r="S11" s="107">
        <v>1</v>
      </c>
      <c r="T11" s="107">
        <v>1240</v>
      </c>
      <c r="U11" s="107">
        <v>330</v>
      </c>
    </row>
    <row r="12" spans="1:21" s="24" customFormat="1" x14ac:dyDescent="0.3">
      <c r="A12" s="103">
        <v>0.313</v>
      </c>
      <c r="B12" s="103">
        <v>0.188</v>
      </c>
      <c r="C12" s="103">
        <v>0.30499999999999999</v>
      </c>
      <c r="D12" s="103">
        <v>0.15553496</v>
      </c>
      <c r="E12" s="103">
        <v>0.39899986193790454</v>
      </c>
      <c r="F12" s="103">
        <v>0.90175446132622705</v>
      </c>
      <c r="G12" s="104">
        <v>0</v>
      </c>
      <c r="H12" s="103">
        <v>0.26499999999999996</v>
      </c>
      <c r="I12" s="103">
        <v>0.14199999999999999</v>
      </c>
      <c r="J12" s="103">
        <v>7.1999999999999995E-2</v>
      </c>
      <c r="K12" s="103">
        <v>8.4999999999999992E-2</v>
      </c>
      <c r="L12" s="103">
        <v>0.57141879278158059</v>
      </c>
      <c r="M12" s="103">
        <v>0.45094925511292477</v>
      </c>
      <c r="N12" s="24">
        <v>0</v>
      </c>
      <c r="O12" s="105">
        <v>0</v>
      </c>
      <c r="P12" s="105">
        <f>1</f>
        <v>1</v>
      </c>
      <c r="Q12" s="106">
        <v>0</v>
      </c>
      <c r="R12" s="107">
        <v>0</v>
      </c>
      <c r="S12" s="107">
        <v>1</v>
      </c>
      <c r="T12" s="107">
        <v>195.1</v>
      </c>
      <c r="U12" s="107">
        <v>330</v>
      </c>
    </row>
    <row r="13" spans="1:21" s="24" customFormat="1" x14ac:dyDescent="0.3">
      <c r="A13" s="103">
        <v>0.379</v>
      </c>
      <c r="B13" s="103">
        <v>0.31</v>
      </c>
      <c r="C13" s="103">
        <v>0.442</v>
      </c>
      <c r="D13" s="103">
        <v>0.16481443000000001</v>
      </c>
      <c r="E13" s="103">
        <v>0.40499987818050404</v>
      </c>
      <c r="F13" s="103">
        <v>1</v>
      </c>
      <c r="G13" s="104">
        <v>0.11169860020390342</v>
      </c>
      <c r="H13" s="103">
        <v>0.44199999999999995</v>
      </c>
      <c r="I13" s="103">
        <v>0.251</v>
      </c>
      <c r="J13" s="103">
        <v>3.7999999999999999E-2</v>
      </c>
      <c r="K13" s="103">
        <v>8.2000000000000003E-2</v>
      </c>
      <c r="L13" s="103">
        <v>0.56903049159925323</v>
      </c>
      <c r="M13" s="103">
        <v>0.71574828134411639</v>
      </c>
      <c r="N13" s="24">
        <v>0</v>
      </c>
      <c r="O13" s="105">
        <v>0</v>
      </c>
      <c r="P13" s="105">
        <f>1</f>
        <v>1</v>
      </c>
      <c r="Q13" s="106">
        <v>0</v>
      </c>
      <c r="R13" s="107">
        <v>0</v>
      </c>
      <c r="S13" s="107">
        <v>0.97923636659023339</v>
      </c>
      <c r="T13" s="107">
        <v>0</v>
      </c>
      <c r="U13" s="107">
        <v>0</v>
      </c>
    </row>
    <row r="14" spans="1:21" s="24" customFormat="1" x14ac:dyDescent="0.3">
      <c r="A14" s="103">
        <v>0.39100000000000001</v>
      </c>
      <c r="B14" s="103">
        <v>0.38900000000000001</v>
      </c>
      <c r="C14" s="103">
        <v>0.51</v>
      </c>
      <c r="D14" s="103">
        <v>0.189962678</v>
      </c>
      <c r="E14" s="103">
        <v>0.40400014618339519</v>
      </c>
      <c r="F14" s="103">
        <v>1</v>
      </c>
      <c r="G14" s="104">
        <v>0.20369786457629394</v>
      </c>
      <c r="H14" s="103">
        <v>0.54799999999999993</v>
      </c>
      <c r="I14" s="103">
        <v>0.32300000000000001</v>
      </c>
      <c r="J14" s="103">
        <v>3.6999999999999998E-2</v>
      </c>
      <c r="K14" s="103">
        <v>7.8E-2</v>
      </c>
      <c r="L14" s="103">
        <v>0.5700429371499689</v>
      </c>
      <c r="M14" s="103">
        <v>0.88176991006855621</v>
      </c>
      <c r="N14" s="24">
        <v>0</v>
      </c>
      <c r="O14" s="105">
        <v>0</v>
      </c>
      <c r="P14" s="105">
        <f>1</f>
        <v>1</v>
      </c>
      <c r="Q14" s="106">
        <v>0</v>
      </c>
      <c r="R14" s="107">
        <v>0</v>
      </c>
      <c r="S14" s="107">
        <v>0.32499278940606868</v>
      </c>
      <c r="T14" s="107">
        <v>0</v>
      </c>
      <c r="U14" s="107">
        <v>0</v>
      </c>
    </row>
    <row r="15" spans="1:21" s="24" customFormat="1" x14ac:dyDescent="0.3">
      <c r="A15" s="103">
        <v>0.38900000000000001</v>
      </c>
      <c r="B15" s="103">
        <v>0.39899999999999997</v>
      </c>
      <c r="C15" s="103">
        <v>0.51100000000000001</v>
      </c>
      <c r="D15" s="103">
        <v>0.20713524</v>
      </c>
      <c r="E15" s="103">
        <v>0.40600001624259952</v>
      </c>
      <c r="F15" s="103">
        <v>1</v>
      </c>
      <c r="G15" s="104">
        <v>0.21867058520662241</v>
      </c>
      <c r="H15" s="103">
        <v>0.58100000000000007</v>
      </c>
      <c r="I15" s="103">
        <v>0.34800000000000003</v>
      </c>
      <c r="J15" s="103">
        <v>4.2999999999999997E-2</v>
      </c>
      <c r="K15" s="103">
        <v>0.08</v>
      </c>
      <c r="L15" s="103">
        <v>0.5675121344119477</v>
      </c>
      <c r="M15" s="103">
        <v>0.94061033319335208</v>
      </c>
      <c r="N15" s="24">
        <v>0</v>
      </c>
      <c r="O15" s="105">
        <v>0</v>
      </c>
      <c r="P15" s="105">
        <f>1</f>
        <v>1</v>
      </c>
      <c r="Q15" s="106">
        <v>0</v>
      </c>
      <c r="R15" s="107">
        <v>0</v>
      </c>
      <c r="S15" s="107">
        <v>0.48769743270288041</v>
      </c>
      <c r="T15" s="107">
        <v>0</v>
      </c>
      <c r="U15" s="107">
        <v>0</v>
      </c>
    </row>
    <row r="16" spans="1:21" s="24" customFormat="1" x14ac:dyDescent="0.3">
      <c r="A16" s="103">
        <v>0.378</v>
      </c>
      <c r="B16" s="103">
        <v>0.34799999999999998</v>
      </c>
      <c r="C16" s="103">
        <v>0.45100000000000001</v>
      </c>
      <c r="D16" s="103">
        <v>0.21409618999999999</v>
      </c>
      <c r="E16" s="103">
        <v>0.40799988630180378</v>
      </c>
      <c r="F16" s="103">
        <v>1</v>
      </c>
      <c r="G16" s="104">
        <v>0.16246703377805433</v>
      </c>
      <c r="H16" s="103">
        <v>0.54200000000000004</v>
      </c>
      <c r="I16" s="103">
        <v>0.32300000000000001</v>
      </c>
      <c r="J16" s="103">
        <v>4.9999999999999996E-2</v>
      </c>
      <c r="K16" s="103">
        <v>8.7999999999999995E-2</v>
      </c>
      <c r="L16" s="103">
        <v>0.56426135656502807</v>
      </c>
      <c r="M16" s="103">
        <v>0.88691653607597576</v>
      </c>
      <c r="N16" s="24">
        <v>0</v>
      </c>
      <c r="O16" s="105">
        <v>0</v>
      </c>
      <c r="P16" s="105">
        <f>1</f>
        <v>1</v>
      </c>
      <c r="Q16" s="106">
        <v>0</v>
      </c>
      <c r="R16" s="107">
        <v>0</v>
      </c>
      <c r="S16" s="107">
        <v>0.97923636659023339</v>
      </c>
      <c r="T16" s="107">
        <v>0</v>
      </c>
      <c r="U16" s="107">
        <v>0</v>
      </c>
    </row>
    <row r="17" spans="1:21" s="24" customFormat="1" x14ac:dyDescent="0.3">
      <c r="A17" s="103">
        <v>0.35499999999999998</v>
      </c>
      <c r="B17" s="103">
        <v>0.253</v>
      </c>
      <c r="C17" s="103">
        <v>0.34899999999999998</v>
      </c>
      <c r="D17" s="103">
        <v>0.214720357</v>
      </c>
      <c r="E17" s="103">
        <v>0.40700015430469494</v>
      </c>
      <c r="F17" s="103">
        <v>1</v>
      </c>
      <c r="G17" s="104">
        <v>5.2976599774851314E-2</v>
      </c>
      <c r="H17" s="103">
        <v>0.44099999999999995</v>
      </c>
      <c r="I17" s="103">
        <v>0.251</v>
      </c>
      <c r="J17" s="103">
        <v>5.7000000000000002E-2</v>
      </c>
      <c r="K17" s="103">
        <v>0.10099999999999999</v>
      </c>
      <c r="L17" s="103">
        <v>0.5602644679527069</v>
      </c>
      <c r="M17" s="103">
        <v>0.73182482926695336</v>
      </c>
      <c r="N17" s="24">
        <v>0</v>
      </c>
      <c r="O17" s="105">
        <v>0</v>
      </c>
      <c r="P17" s="105">
        <f>1</f>
        <v>1</v>
      </c>
      <c r="Q17" s="106">
        <v>0</v>
      </c>
      <c r="R17" s="107">
        <v>0</v>
      </c>
      <c r="S17" s="107">
        <v>1</v>
      </c>
      <c r="T17" s="107">
        <v>195.1</v>
      </c>
      <c r="U17" s="107">
        <v>0</v>
      </c>
    </row>
    <row r="18" spans="1:21" s="24" customFormat="1" x14ac:dyDescent="0.3">
      <c r="A18" s="103">
        <v>0.252</v>
      </c>
      <c r="B18" s="103">
        <v>0.128</v>
      </c>
      <c r="C18" s="103">
        <v>0.20699999999999999</v>
      </c>
      <c r="D18" s="103">
        <v>0.20648649199999999</v>
      </c>
      <c r="E18" s="103">
        <v>0.41000016242599469</v>
      </c>
      <c r="F18" s="103">
        <v>0.77479944331727002</v>
      </c>
      <c r="G18" s="104">
        <v>0</v>
      </c>
      <c r="H18" s="103">
        <v>0.29399999999999998</v>
      </c>
      <c r="I18" s="103">
        <v>0.152</v>
      </c>
      <c r="J18" s="103">
        <v>5.7999999999999996E-2</v>
      </c>
      <c r="K18" s="103">
        <v>0.111</v>
      </c>
      <c r="L18" s="103">
        <v>0.55359240821406352</v>
      </c>
      <c r="M18" s="103">
        <v>0.50303042582015134</v>
      </c>
      <c r="N18" s="24">
        <v>0</v>
      </c>
      <c r="O18" s="105">
        <v>0</v>
      </c>
      <c r="P18" s="105">
        <f>1</f>
        <v>1</v>
      </c>
      <c r="Q18" s="106">
        <v>0</v>
      </c>
      <c r="R18" s="107">
        <v>0</v>
      </c>
      <c r="S18" s="107">
        <v>1</v>
      </c>
      <c r="T18" s="107">
        <v>1240</v>
      </c>
      <c r="U18" s="107">
        <v>330</v>
      </c>
    </row>
    <row r="19" spans="1:21" s="24" customFormat="1" x14ac:dyDescent="0.3">
      <c r="A19" s="103">
        <v>5.5E-2</v>
      </c>
      <c r="B19" s="103">
        <v>1.3000000000000001E-2</v>
      </c>
      <c r="C19" s="103">
        <v>5.2000000000000005E-2</v>
      </c>
      <c r="D19" s="103">
        <v>0.17191646599999999</v>
      </c>
      <c r="E19" s="103">
        <v>0.42599993502960221</v>
      </c>
      <c r="F19" s="103">
        <v>0.32497085625386501</v>
      </c>
      <c r="G19" s="104">
        <v>0</v>
      </c>
      <c r="H19" s="103">
        <v>0.12099999999999998</v>
      </c>
      <c r="I19" s="103">
        <v>5.2999999999999999E-2</v>
      </c>
      <c r="J19" s="103">
        <v>6.9000000000000006E-2</v>
      </c>
      <c r="K19" s="103">
        <v>0.125</v>
      </c>
      <c r="L19" s="103">
        <v>0.54495395146235215</v>
      </c>
      <c r="M19" s="103">
        <v>0.25609828499925802</v>
      </c>
      <c r="N19" s="24">
        <v>0</v>
      </c>
      <c r="O19" s="105">
        <v>0.77362125528354786</v>
      </c>
      <c r="P19" s="105">
        <f>1</f>
        <v>1</v>
      </c>
      <c r="Q19" s="106">
        <v>1</v>
      </c>
      <c r="R19" s="107">
        <v>0</v>
      </c>
      <c r="S19" s="107">
        <v>1</v>
      </c>
      <c r="T19" s="107">
        <v>1240</v>
      </c>
      <c r="U19" s="107">
        <v>330</v>
      </c>
    </row>
    <row r="20" spans="1:21" s="24" customFormat="1" x14ac:dyDescent="0.3">
      <c r="A20" s="103">
        <v>0</v>
      </c>
      <c r="B20" s="103">
        <v>0</v>
      </c>
      <c r="C20" s="103">
        <v>0</v>
      </c>
      <c r="D20" s="103">
        <v>0.158973279</v>
      </c>
      <c r="E20" s="103">
        <v>0.42400006497039783</v>
      </c>
      <c r="F20" s="103">
        <v>0.18531099265309814</v>
      </c>
      <c r="G20" s="104">
        <v>0</v>
      </c>
      <c r="H20" s="103">
        <v>0</v>
      </c>
      <c r="I20" s="103">
        <v>0</v>
      </c>
      <c r="J20" s="103">
        <v>9.5999999999999988E-2</v>
      </c>
      <c r="K20" s="103">
        <v>0.13999999999999999</v>
      </c>
      <c r="L20" s="103">
        <v>0.54184256378344742</v>
      </c>
      <c r="M20" s="103">
        <v>0.10460849959667608</v>
      </c>
      <c r="N20" s="24">
        <v>0</v>
      </c>
      <c r="O20" s="105">
        <v>0.77362125528354786</v>
      </c>
      <c r="P20" s="105">
        <f>1</f>
        <v>1</v>
      </c>
      <c r="Q20" s="106">
        <v>1</v>
      </c>
      <c r="R20" s="107">
        <v>0</v>
      </c>
      <c r="S20" s="107">
        <v>1</v>
      </c>
      <c r="T20" s="107">
        <v>1240</v>
      </c>
      <c r="U20" s="107">
        <v>330</v>
      </c>
    </row>
    <row r="21" spans="1:21" s="24" customFormat="1" x14ac:dyDescent="0.3">
      <c r="A21" s="103">
        <v>0</v>
      </c>
      <c r="B21" s="103">
        <v>0</v>
      </c>
      <c r="C21" s="103">
        <v>0</v>
      </c>
      <c r="D21" s="103">
        <v>0.15493874299999999</v>
      </c>
      <c r="E21" s="103">
        <v>0.42400006497039783</v>
      </c>
      <c r="F21" s="103">
        <v>0.18059869003855825</v>
      </c>
      <c r="G21" s="104">
        <v>0</v>
      </c>
      <c r="H21" s="103">
        <v>0</v>
      </c>
      <c r="I21" s="103">
        <v>0</v>
      </c>
      <c r="J21" s="103">
        <v>0.11299999999999999</v>
      </c>
      <c r="K21" s="103">
        <v>0.14900000000000002</v>
      </c>
      <c r="L21" s="103">
        <v>0.54204044803982576</v>
      </c>
      <c r="M21" s="103">
        <v>0.10872006536904585</v>
      </c>
      <c r="N21" s="24">
        <v>0</v>
      </c>
      <c r="O21" s="105">
        <v>0.77362125528354786</v>
      </c>
      <c r="P21" s="105">
        <f>1</f>
        <v>1</v>
      </c>
      <c r="Q21" s="106">
        <v>1</v>
      </c>
      <c r="R21" s="107">
        <v>0</v>
      </c>
      <c r="S21" s="107">
        <v>1</v>
      </c>
      <c r="T21" s="107">
        <v>1240</v>
      </c>
      <c r="U21" s="107">
        <v>330</v>
      </c>
    </row>
    <row r="22" spans="1:21" s="24" customFormat="1" x14ac:dyDescent="0.3">
      <c r="A22" s="103">
        <v>0</v>
      </c>
      <c r="B22" s="103">
        <v>0</v>
      </c>
      <c r="C22" s="103">
        <v>0</v>
      </c>
      <c r="D22" s="103">
        <v>0.15646373499999999</v>
      </c>
      <c r="E22" s="103">
        <v>0.42599993502960221</v>
      </c>
      <c r="F22" s="103">
        <v>0.1823762412964724</v>
      </c>
      <c r="G22" s="104">
        <v>0</v>
      </c>
      <c r="H22" s="103">
        <v>0</v>
      </c>
      <c r="I22" s="103">
        <v>0</v>
      </c>
      <c r="J22" s="103">
        <v>0.114</v>
      </c>
      <c r="K22" s="103">
        <v>0.153</v>
      </c>
      <c r="L22" s="103">
        <v>0.54269943995021785</v>
      </c>
      <c r="M22" s="103">
        <v>0.11190486128357323</v>
      </c>
      <c r="N22" s="24">
        <v>0</v>
      </c>
      <c r="O22" s="105">
        <v>0.77362125528354786</v>
      </c>
      <c r="P22" s="105">
        <f>1</f>
        <v>1</v>
      </c>
      <c r="Q22" s="106">
        <v>1</v>
      </c>
      <c r="R22" s="107">
        <v>0</v>
      </c>
      <c r="S22" s="107">
        <v>1</v>
      </c>
      <c r="T22" s="107">
        <v>1240</v>
      </c>
      <c r="U22" s="107">
        <v>330</v>
      </c>
    </row>
    <row r="23" spans="1:21" s="24" customFormat="1" x14ac:dyDescent="0.3">
      <c r="A23" s="103">
        <v>0</v>
      </c>
      <c r="B23" s="103">
        <v>0</v>
      </c>
      <c r="C23" s="103">
        <v>0</v>
      </c>
      <c r="D23" s="103">
        <v>0.161745637</v>
      </c>
      <c r="E23" s="103">
        <v>0.40799988630180378</v>
      </c>
      <c r="F23" s="103">
        <v>0.18853289755714725</v>
      </c>
      <c r="G23" s="104">
        <v>0</v>
      </c>
      <c r="H23" s="103">
        <v>0</v>
      </c>
      <c r="I23" s="103">
        <v>0</v>
      </c>
      <c r="J23" s="103">
        <v>0.114</v>
      </c>
      <c r="K23" s="103">
        <v>0.154</v>
      </c>
      <c r="L23" s="103">
        <v>0.5432227753578095</v>
      </c>
      <c r="M23" s="103">
        <v>0.11391570460454074</v>
      </c>
      <c r="N23" s="24">
        <v>0</v>
      </c>
      <c r="O23" s="105">
        <v>0.77362125528354786</v>
      </c>
      <c r="P23" s="105">
        <f>1</f>
        <v>1</v>
      </c>
      <c r="Q23" s="106">
        <v>1</v>
      </c>
      <c r="R23" s="107">
        <v>0</v>
      </c>
      <c r="S23" s="107">
        <v>1</v>
      </c>
      <c r="T23" s="107">
        <v>1240</v>
      </c>
      <c r="U23" s="107">
        <v>330</v>
      </c>
    </row>
    <row r="24" spans="1:21" s="24" customFormat="1" x14ac:dyDescent="0.3">
      <c r="A24" s="103">
        <v>0</v>
      </c>
      <c r="B24" s="103">
        <v>0</v>
      </c>
      <c r="C24" s="103">
        <v>0</v>
      </c>
      <c r="D24" s="103">
        <v>0.172932218</v>
      </c>
      <c r="E24" s="103">
        <v>0.41099989442310353</v>
      </c>
      <c r="F24" s="103">
        <v>0.20157212735527608</v>
      </c>
      <c r="G24" s="104">
        <v>0</v>
      </c>
      <c r="H24" s="103">
        <v>0</v>
      </c>
      <c r="I24" s="103">
        <v>0</v>
      </c>
      <c r="J24" s="103">
        <v>0.12799999999999997</v>
      </c>
      <c r="K24" s="103">
        <v>0.14699999999999999</v>
      </c>
      <c r="L24" s="103">
        <v>0.54796764156813937</v>
      </c>
      <c r="M24" s="103">
        <v>0.10984830653628136</v>
      </c>
      <c r="N24" s="24">
        <v>0</v>
      </c>
      <c r="O24" s="105">
        <v>0.77362125528354786</v>
      </c>
      <c r="P24" s="105">
        <f>1</f>
        <v>1</v>
      </c>
      <c r="Q24" s="106">
        <v>1</v>
      </c>
      <c r="R24" s="107">
        <v>0</v>
      </c>
      <c r="S24" s="107">
        <v>1</v>
      </c>
      <c r="T24" s="107">
        <v>1240</v>
      </c>
      <c r="U24" s="107">
        <v>330</v>
      </c>
    </row>
    <row r="25" spans="1:21" s="24" customFormat="1" x14ac:dyDescent="0.3">
      <c r="A25" s="103">
        <v>0</v>
      </c>
      <c r="B25" s="103">
        <v>0</v>
      </c>
      <c r="C25" s="103">
        <v>0</v>
      </c>
      <c r="D25" s="103">
        <v>0.18310457299999999</v>
      </c>
      <c r="E25" s="103">
        <v>0.40799988630180378</v>
      </c>
      <c r="F25" s="103">
        <v>0.21342916163886502</v>
      </c>
      <c r="G25" s="104">
        <v>0</v>
      </c>
      <c r="H25" s="103">
        <v>0</v>
      </c>
      <c r="I25" s="103">
        <v>0</v>
      </c>
      <c r="J25" s="103">
        <v>0.156</v>
      </c>
      <c r="K25" s="103">
        <v>0.13699999999999998</v>
      </c>
      <c r="L25" s="103">
        <v>0.55428064716863723</v>
      </c>
      <c r="M25" s="103">
        <v>0.1043831912693278</v>
      </c>
      <c r="N25" s="24">
        <v>0</v>
      </c>
      <c r="O25" s="105">
        <v>0.77362125528354786</v>
      </c>
      <c r="P25" s="105">
        <f>1</f>
        <v>1</v>
      </c>
      <c r="Q25" s="106">
        <v>1</v>
      </c>
      <c r="R25" s="107">
        <v>0</v>
      </c>
      <c r="S25" s="107">
        <v>1</v>
      </c>
      <c r="T25" s="107">
        <v>1240</v>
      </c>
      <c r="U25" s="107">
        <v>330</v>
      </c>
    </row>
    <row r="26" spans="1:21" s="24" customFormat="1" x14ac:dyDescent="0.3">
      <c r="A26" s="103">
        <v>0</v>
      </c>
      <c r="B26" s="103">
        <v>0</v>
      </c>
      <c r="C26" s="103">
        <v>0</v>
      </c>
      <c r="D26" s="103">
        <v>0.191308168</v>
      </c>
      <c r="E26" s="103">
        <v>0.39099997563610084</v>
      </c>
      <c r="F26" s="103">
        <v>0.22299138269423313</v>
      </c>
      <c r="G26" s="104">
        <v>0</v>
      </c>
      <c r="H26" s="103">
        <v>0</v>
      </c>
      <c r="I26" s="103">
        <v>0</v>
      </c>
      <c r="J26" s="103">
        <v>0.17699999999999999</v>
      </c>
      <c r="K26" s="103">
        <v>0.125</v>
      </c>
      <c r="L26" s="103">
        <v>0.55494523957685127</v>
      </c>
      <c r="M26" s="103">
        <v>9.7894825739723995E-2</v>
      </c>
      <c r="N26" s="24">
        <v>0</v>
      </c>
      <c r="O26" s="105">
        <v>0.83886932004309223</v>
      </c>
      <c r="P26" s="105">
        <f>1</f>
        <v>1</v>
      </c>
      <c r="Q26" s="106">
        <v>1</v>
      </c>
      <c r="R26" s="107">
        <v>0</v>
      </c>
      <c r="S26" s="107">
        <v>1</v>
      </c>
      <c r="T26" s="107">
        <v>1240</v>
      </c>
      <c r="U26" s="107">
        <v>330</v>
      </c>
    </row>
    <row r="27" spans="1:21" s="24" customFormat="1" x14ac:dyDescent="0.3">
      <c r="A27" s="103">
        <v>0</v>
      </c>
      <c r="B27" s="103">
        <v>0</v>
      </c>
      <c r="C27" s="103">
        <v>0</v>
      </c>
      <c r="D27" s="103">
        <v>0.18462990100000001</v>
      </c>
      <c r="E27" s="103">
        <v>0.38699982945270561</v>
      </c>
      <c r="F27" s="103">
        <v>0.21520710454291414</v>
      </c>
      <c r="G27" s="104">
        <v>0</v>
      </c>
      <c r="H27" s="103">
        <v>0</v>
      </c>
      <c r="I27" s="103">
        <v>0</v>
      </c>
      <c r="J27" s="103">
        <v>0.183</v>
      </c>
      <c r="K27" s="103">
        <v>0.113</v>
      </c>
      <c r="L27" s="103">
        <v>0.55443061605476041</v>
      </c>
      <c r="M27" s="103">
        <v>9.2014504440124642E-2</v>
      </c>
      <c r="N27" s="24">
        <v>0</v>
      </c>
      <c r="O27" s="105">
        <v>0.83886932004309223</v>
      </c>
      <c r="P27" s="105">
        <f>1</f>
        <v>1</v>
      </c>
      <c r="Q27" s="106">
        <v>1</v>
      </c>
      <c r="R27" s="107">
        <v>0</v>
      </c>
      <c r="S27" s="107">
        <v>1</v>
      </c>
      <c r="T27" s="107">
        <v>1240</v>
      </c>
      <c r="U27" s="107">
        <v>330</v>
      </c>
    </row>
    <row r="28" spans="1:21" s="24" customFormat="1" x14ac:dyDescent="0.3">
      <c r="A28" s="103">
        <v>0</v>
      </c>
      <c r="B28" s="103">
        <v>0</v>
      </c>
      <c r="C28" s="103">
        <v>0</v>
      </c>
      <c r="D28" s="103">
        <v>0.175203316</v>
      </c>
      <c r="E28" s="103">
        <v>0.38699982945270561</v>
      </c>
      <c r="F28" s="103">
        <v>0.20421934983693249</v>
      </c>
      <c r="G28" s="104">
        <v>0</v>
      </c>
      <c r="H28" s="103">
        <v>0</v>
      </c>
      <c r="I28" s="103">
        <v>0</v>
      </c>
      <c r="J28" s="103">
        <v>0.183</v>
      </c>
      <c r="K28" s="103">
        <v>0.10099999999999999</v>
      </c>
      <c r="L28" s="103">
        <v>0.55368077162414431</v>
      </c>
      <c r="M28" s="103">
        <v>8.5238154529455407E-2</v>
      </c>
      <c r="N28" s="24">
        <v>0</v>
      </c>
      <c r="O28" s="105">
        <v>0.83886932004309223</v>
      </c>
      <c r="P28" s="105">
        <f>1</f>
        <v>1</v>
      </c>
      <c r="Q28" s="106">
        <v>1</v>
      </c>
      <c r="R28" s="107">
        <v>0</v>
      </c>
      <c r="S28" s="107">
        <v>1</v>
      </c>
      <c r="T28" s="107">
        <v>1240</v>
      </c>
      <c r="U28" s="107">
        <v>330</v>
      </c>
    </row>
    <row r="29" spans="1:21" s="24" customFormat="1" x14ac:dyDescent="0.3">
      <c r="A29" s="103">
        <v>0</v>
      </c>
      <c r="B29" s="103">
        <v>0</v>
      </c>
      <c r="C29" s="103">
        <v>0</v>
      </c>
      <c r="D29" s="103">
        <v>0.164087805</v>
      </c>
      <c r="E29" s="103">
        <v>0.38699982945270561</v>
      </c>
      <c r="F29" s="103">
        <v>0.1912629601900307</v>
      </c>
      <c r="G29" s="104">
        <v>0</v>
      </c>
      <c r="H29" s="103">
        <v>0</v>
      </c>
      <c r="I29" s="103">
        <v>0</v>
      </c>
      <c r="J29" s="103">
        <v>0.18</v>
      </c>
      <c r="K29" s="103">
        <v>9.1999999999999998E-2</v>
      </c>
      <c r="L29" s="103">
        <v>0.54962476664592408</v>
      </c>
      <c r="M29" s="103">
        <v>7.9252758474551127E-2</v>
      </c>
      <c r="N29" s="24">
        <v>0</v>
      </c>
      <c r="O29" s="105">
        <v>0.83886932004309223</v>
      </c>
      <c r="P29" s="105">
        <f>1</f>
        <v>1</v>
      </c>
      <c r="Q29" s="106">
        <v>1</v>
      </c>
      <c r="R29" s="107">
        <v>0</v>
      </c>
      <c r="S29" s="107">
        <v>1</v>
      </c>
      <c r="T29" s="107">
        <v>1240</v>
      </c>
      <c r="U29" s="107">
        <v>330</v>
      </c>
    </row>
    <row r="30" spans="1:21" s="24" customFormat="1" x14ac:dyDescent="0.3">
      <c r="A30" s="103">
        <v>0</v>
      </c>
      <c r="B30" s="103">
        <v>0</v>
      </c>
      <c r="C30" s="103">
        <v>0</v>
      </c>
      <c r="D30" s="103">
        <v>0.15585540000000001</v>
      </c>
      <c r="E30" s="103">
        <v>0.38699982945270561</v>
      </c>
      <c r="F30" s="103">
        <v>0.18166715780981596</v>
      </c>
      <c r="G30" s="104">
        <v>0</v>
      </c>
      <c r="H30" s="103">
        <v>0</v>
      </c>
      <c r="I30" s="103">
        <v>0</v>
      </c>
      <c r="J30" s="103">
        <v>0.183</v>
      </c>
      <c r="K30" s="103">
        <v>8.4000000000000005E-2</v>
      </c>
      <c r="L30" s="103">
        <v>0.54362725575606718</v>
      </c>
      <c r="M30" s="103">
        <v>7.4230829166048368E-2</v>
      </c>
      <c r="N30" s="24">
        <v>0</v>
      </c>
      <c r="O30" s="105">
        <v>0.83886932004309223</v>
      </c>
      <c r="P30" s="105">
        <f>1</f>
        <v>1</v>
      </c>
      <c r="Q30" s="106">
        <v>1</v>
      </c>
      <c r="R30" s="107">
        <v>0</v>
      </c>
      <c r="S30" s="107">
        <v>1</v>
      </c>
      <c r="T30" s="107">
        <v>1240</v>
      </c>
      <c r="U30" s="107">
        <v>330</v>
      </c>
    </row>
    <row r="31" spans="1:21" s="24" customFormat="1" x14ac:dyDescent="0.3">
      <c r="A31" s="103">
        <v>0</v>
      </c>
      <c r="B31" s="103">
        <v>0</v>
      </c>
      <c r="C31" s="103">
        <v>0</v>
      </c>
      <c r="D31" s="103">
        <v>0.148141731</v>
      </c>
      <c r="E31" s="103">
        <v>0.38699982945270561</v>
      </c>
      <c r="F31" s="103">
        <v>0.17267600111254602</v>
      </c>
      <c r="G31" s="104">
        <v>0</v>
      </c>
      <c r="H31" s="103">
        <v>0</v>
      </c>
      <c r="I31" s="103">
        <v>0</v>
      </c>
      <c r="J31" s="103">
        <v>0.18499999999999997</v>
      </c>
      <c r="K31" s="103">
        <v>7.8E-2</v>
      </c>
      <c r="L31" s="103">
        <v>0.54071499688861235</v>
      </c>
      <c r="M31" s="103">
        <v>6.8519858705149136E-2</v>
      </c>
      <c r="N31" s="24">
        <v>0</v>
      </c>
      <c r="O31" s="105">
        <v>0.83886932004309223</v>
      </c>
      <c r="P31" s="105">
        <f>1</f>
        <v>1</v>
      </c>
      <c r="Q31" s="106">
        <v>1</v>
      </c>
      <c r="R31" s="107">
        <v>0</v>
      </c>
      <c r="S31" s="107">
        <v>1</v>
      </c>
      <c r="T31" s="107">
        <v>1240</v>
      </c>
      <c r="U31" s="107">
        <v>330</v>
      </c>
    </row>
    <row r="32" spans="1:21" s="24" customFormat="1" x14ac:dyDescent="0.3">
      <c r="A32" s="103">
        <v>0</v>
      </c>
      <c r="B32" s="103">
        <v>0</v>
      </c>
      <c r="C32" s="103">
        <v>0</v>
      </c>
      <c r="D32" s="103">
        <v>0.133788193</v>
      </c>
      <c r="E32" s="103">
        <v>0.39099997563610084</v>
      </c>
      <c r="F32" s="103">
        <v>0.15594532349101228</v>
      </c>
      <c r="G32" s="104">
        <v>0</v>
      </c>
      <c r="H32" s="103">
        <v>0</v>
      </c>
      <c r="I32" s="103">
        <v>0</v>
      </c>
      <c r="J32" s="103">
        <v>0.182</v>
      </c>
      <c r="K32" s="103">
        <v>7.5999999999999998E-2</v>
      </c>
      <c r="L32" s="103">
        <v>0.55184380833851898</v>
      </c>
      <c r="M32" s="103">
        <v>6.6121519590443684E-2</v>
      </c>
      <c r="N32" s="24">
        <v>0</v>
      </c>
      <c r="O32" s="105">
        <v>0.83886932004309223</v>
      </c>
      <c r="P32" s="105">
        <f>1</f>
        <v>1</v>
      </c>
      <c r="Q32" s="106">
        <v>1</v>
      </c>
      <c r="R32" s="107">
        <v>0</v>
      </c>
      <c r="S32" s="107">
        <v>1</v>
      </c>
      <c r="T32" s="107">
        <v>1240</v>
      </c>
      <c r="U32" s="107">
        <v>330</v>
      </c>
    </row>
    <row r="33" spans="1:21" s="24" customFormat="1" x14ac:dyDescent="0.3">
      <c r="A33" s="103">
        <v>0</v>
      </c>
      <c r="B33" s="103">
        <v>0</v>
      </c>
      <c r="C33" s="103">
        <v>0</v>
      </c>
      <c r="D33" s="103">
        <v>0.115257552</v>
      </c>
      <c r="E33" s="103">
        <v>0.42100005684909814</v>
      </c>
      <c r="F33" s="103">
        <v>0.13434575823460124</v>
      </c>
      <c r="G33" s="104">
        <v>0</v>
      </c>
      <c r="H33" s="103">
        <v>0</v>
      </c>
      <c r="I33" s="103">
        <v>0</v>
      </c>
      <c r="J33" s="103">
        <v>0.16499999999999998</v>
      </c>
      <c r="K33" s="103">
        <v>7.9000000000000001E-2</v>
      </c>
      <c r="L33" s="103">
        <v>0.59684131922837591</v>
      </c>
      <c r="M33" s="103">
        <v>6.8034689642973739E-2</v>
      </c>
      <c r="N33" s="24">
        <v>0</v>
      </c>
      <c r="O33" s="105">
        <v>0.83886932004309223</v>
      </c>
      <c r="P33" s="105">
        <f>1</f>
        <v>1</v>
      </c>
      <c r="Q33" s="106">
        <v>1</v>
      </c>
      <c r="R33" s="107">
        <v>0</v>
      </c>
      <c r="S33" s="107">
        <v>1</v>
      </c>
      <c r="T33" s="107">
        <v>1240</v>
      </c>
      <c r="U33" s="107">
        <v>330</v>
      </c>
    </row>
    <row r="34" spans="1:21" s="24" customFormat="1" x14ac:dyDescent="0.3">
      <c r="A34" s="103">
        <v>0</v>
      </c>
      <c r="B34" s="103">
        <v>0</v>
      </c>
      <c r="C34" s="103">
        <v>0</v>
      </c>
      <c r="D34" s="103">
        <v>0.113440635</v>
      </c>
      <c r="E34" s="103">
        <v>0.44099997563610077</v>
      </c>
      <c r="F34" s="103">
        <v>0.14147520637947852</v>
      </c>
      <c r="G34" s="104">
        <v>0</v>
      </c>
      <c r="H34" s="103">
        <v>0</v>
      </c>
      <c r="I34" s="103">
        <v>0</v>
      </c>
      <c r="J34" s="103">
        <v>0.13600000000000001</v>
      </c>
      <c r="K34" s="103">
        <v>8.1000000000000003E-2</v>
      </c>
      <c r="L34" s="103">
        <v>0.60673304293714991</v>
      </c>
      <c r="M34" s="103">
        <v>7.0901234568630359E-2</v>
      </c>
      <c r="N34" s="24">
        <v>0</v>
      </c>
      <c r="O34" s="105">
        <v>0.83886932004309223</v>
      </c>
      <c r="P34" s="105">
        <f>1</f>
        <v>1</v>
      </c>
      <c r="Q34" s="106">
        <v>1</v>
      </c>
      <c r="R34" s="107">
        <v>0</v>
      </c>
      <c r="S34" s="107">
        <v>1</v>
      </c>
      <c r="T34" s="107">
        <v>1240</v>
      </c>
      <c r="U34" s="107">
        <v>330</v>
      </c>
    </row>
    <row r="35" spans="1:21" s="24" customFormat="1" x14ac:dyDescent="0.3">
      <c r="A35" s="103">
        <v>0.107</v>
      </c>
      <c r="B35" s="103">
        <v>6.6000000000000003E-2</v>
      </c>
      <c r="C35" s="103">
        <v>0.113</v>
      </c>
      <c r="D35" s="103">
        <v>0.103052199</v>
      </c>
      <c r="E35" s="103">
        <v>0.4390001055768965</v>
      </c>
      <c r="F35" s="103">
        <v>0.37635916874088954</v>
      </c>
      <c r="G35" s="104">
        <v>0</v>
      </c>
      <c r="H35" s="103">
        <v>6.699999999999999E-2</v>
      </c>
      <c r="I35" s="103">
        <v>3.6999999999999998E-2</v>
      </c>
      <c r="J35" s="103">
        <v>0.108</v>
      </c>
      <c r="K35" s="103">
        <v>8.1000000000000003E-2</v>
      </c>
      <c r="L35" s="103">
        <v>0.61458369632856247</v>
      </c>
      <c r="M35" s="103">
        <v>0.16883210920967504</v>
      </c>
      <c r="N35" s="24">
        <v>0</v>
      </c>
      <c r="O35" s="105">
        <v>0.83886932004309223</v>
      </c>
      <c r="P35" s="105">
        <f>1</f>
        <v>1</v>
      </c>
      <c r="Q35" s="106">
        <v>1</v>
      </c>
      <c r="R35" s="107">
        <v>0</v>
      </c>
      <c r="S35" s="107">
        <v>1</v>
      </c>
      <c r="T35" s="107">
        <v>1240</v>
      </c>
      <c r="U35" s="107">
        <v>330</v>
      </c>
    </row>
    <row r="36" spans="1:21" s="24" customFormat="1" x14ac:dyDescent="0.3">
      <c r="A36" s="103">
        <v>0.28100000000000003</v>
      </c>
      <c r="B36" s="103">
        <v>0.17</v>
      </c>
      <c r="C36" s="103">
        <v>0.27399999999999997</v>
      </c>
      <c r="D36" s="103">
        <v>8.6513140000000002E-2</v>
      </c>
      <c r="E36" s="103">
        <v>0.42700007309169763</v>
      </c>
      <c r="F36" s="103">
        <v>0.74699356899644176</v>
      </c>
      <c r="G36" s="104">
        <v>0</v>
      </c>
      <c r="H36" s="103">
        <v>0.24399999999999999</v>
      </c>
      <c r="I36" s="103">
        <v>0.14100000000000001</v>
      </c>
      <c r="J36" s="103">
        <v>6.7000000000000004E-2</v>
      </c>
      <c r="K36" s="103">
        <v>7.8E-2</v>
      </c>
      <c r="L36" s="103">
        <v>0.61537585563161168</v>
      </c>
      <c r="M36" s="103">
        <v>0.4294760421261315</v>
      </c>
      <c r="N36" s="24">
        <v>0</v>
      </c>
      <c r="O36" s="105">
        <v>0.78977169096992472</v>
      </c>
      <c r="P36" s="105">
        <f>1</f>
        <v>1</v>
      </c>
      <c r="Q36" s="106">
        <v>1</v>
      </c>
      <c r="R36" s="107">
        <v>0</v>
      </c>
      <c r="S36" s="107">
        <v>1</v>
      </c>
      <c r="T36" s="107">
        <v>1240</v>
      </c>
      <c r="U36" s="107">
        <v>330</v>
      </c>
    </row>
    <row r="37" spans="1:21" s="24" customFormat="1" x14ac:dyDescent="0.3">
      <c r="A37" s="103">
        <v>0.35199999999999998</v>
      </c>
      <c r="B37" s="103">
        <v>0.28299999999999903</v>
      </c>
      <c r="C37" s="103">
        <v>0.40600000000000003</v>
      </c>
      <c r="D37" s="103">
        <v>8.1672468999999998E-2</v>
      </c>
      <c r="E37" s="103">
        <v>0.42499979696750673</v>
      </c>
      <c r="F37" s="103">
        <v>0.97861329486843562</v>
      </c>
      <c r="G37" s="104">
        <v>0</v>
      </c>
      <c r="H37" s="103">
        <v>0.41299999999999998</v>
      </c>
      <c r="I37" s="103">
        <v>0.25</v>
      </c>
      <c r="J37" s="103">
        <v>4.1000000000000002E-2</v>
      </c>
      <c r="K37" s="103">
        <v>7.1999999999999995E-2</v>
      </c>
      <c r="L37" s="103">
        <v>0.61282576228998131</v>
      </c>
      <c r="M37" s="103">
        <v>0.68106644409675032</v>
      </c>
      <c r="N37" s="24">
        <v>0</v>
      </c>
      <c r="O37" s="105">
        <v>0</v>
      </c>
      <c r="P37" s="105">
        <f>1</f>
        <v>1</v>
      </c>
      <c r="Q37" s="106">
        <v>0</v>
      </c>
      <c r="R37" s="107">
        <v>0</v>
      </c>
      <c r="S37" s="107">
        <v>1</v>
      </c>
      <c r="T37" s="107">
        <v>194.64011808999999</v>
      </c>
      <c r="U37" s="107">
        <v>330</v>
      </c>
    </row>
    <row r="38" spans="1:21" s="24" customFormat="1" x14ac:dyDescent="0.3">
      <c r="A38" s="103">
        <v>0.38300000000000001</v>
      </c>
      <c r="B38" s="103">
        <v>0.36899999999999999</v>
      </c>
      <c r="C38" s="103">
        <v>0.49</v>
      </c>
      <c r="D38" s="103">
        <v>8.7381510999999995E-2</v>
      </c>
      <c r="E38" s="103">
        <v>0.4150000406064987</v>
      </c>
      <c r="F38" s="103">
        <v>1</v>
      </c>
      <c r="G38" s="104">
        <v>8.9597589216807119E-2</v>
      </c>
      <c r="H38" s="103">
        <v>0.52699999999999991</v>
      </c>
      <c r="I38" s="103">
        <v>0.33100000000000002</v>
      </c>
      <c r="J38" s="103">
        <v>3.3000000000000002E-2</v>
      </c>
      <c r="K38" s="103">
        <v>6.2E-2</v>
      </c>
      <c r="L38" s="103">
        <v>0.61471437461107659</v>
      </c>
      <c r="M38" s="103">
        <v>0.85178789699154178</v>
      </c>
      <c r="N38" s="24">
        <v>0</v>
      </c>
      <c r="O38" s="105">
        <v>0</v>
      </c>
      <c r="P38" s="105">
        <f>1</f>
        <v>1</v>
      </c>
      <c r="Q38" s="106">
        <v>0</v>
      </c>
      <c r="R38" s="107">
        <v>0</v>
      </c>
      <c r="S38" s="107">
        <v>0.45244581614125873</v>
      </c>
      <c r="T38" s="107">
        <v>0</v>
      </c>
      <c r="U38" s="107">
        <v>129.57841562999999</v>
      </c>
    </row>
    <row r="39" spans="1:21" s="24" customFormat="1" x14ac:dyDescent="0.3">
      <c r="A39" s="103">
        <v>0.39400000000000002</v>
      </c>
      <c r="B39" s="103">
        <v>0.4</v>
      </c>
      <c r="C39" s="103">
        <v>0.51100000000000001</v>
      </c>
      <c r="D39" s="103">
        <v>8.9404032999999994E-2</v>
      </c>
      <c r="E39" s="103">
        <v>0.41800004872779845</v>
      </c>
      <c r="F39" s="103">
        <v>1</v>
      </c>
      <c r="G39" s="104">
        <v>0.12021310980632743</v>
      </c>
      <c r="H39" s="103">
        <v>0.57200000000000006</v>
      </c>
      <c r="I39" s="103">
        <v>0.36399999999999999</v>
      </c>
      <c r="J39" s="103">
        <v>2.4999999999999998E-2</v>
      </c>
      <c r="K39" s="103">
        <v>5.3999999999999999E-2</v>
      </c>
      <c r="L39" s="103">
        <v>0.61426571250777851</v>
      </c>
      <c r="M39" s="103">
        <v>0.91594941120730078</v>
      </c>
      <c r="N39" s="24">
        <v>0</v>
      </c>
      <c r="O39" s="105">
        <v>0</v>
      </c>
      <c r="P39" s="105">
        <f>1</f>
        <v>1</v>
      </c>
      <c r="Q39" s="106">
        <v>0.204938505864</v>
      </c>
      <c r="R39" s="107">
        <v>0</v>
      </c>
      <c r="S39" s="107">
        <v>0.96052432728201087</v>
      </c>
      <c r="T39" s="107">
        <v>0</v>
      </c>
      <c r="U39" s="107">
        <v>330</v>
      </c>
    </row>
    <row r="40" spans="1:21" s="24" customFormat="1" x14ac:dyDescent="0.3">
      <c r="A40" s="103">
        <v>0.39800000000000002</v>
      </c>
      <c r="B40" s="103">
        <v>0.36299999999999999</v>
      </c>
      <c r="C40" s="103">
        <v>0.47</v>
      </c>
      <c r="D40" s="103">
        <v>8.3889897000000005E-2</v>
      </c>
      <c r="E40" s="103">
        <v>0.43000008121299732</v>
      </c>
      <c r="F40" s="103">
        <v>1</v>
      </c>
      <c r="G40" s="104">
        <v>8.2397632420319056E-2</v>
      </c>
      <c r="H40" s="103">
        <v>0.54399999999999993</v>
      </c>
      <c r="I40" s="103">
        <v>0.34299999999999997</v>
      </c>
      <c r="J40" s="103">
        <v>2.1000000000000001E-2</v>
      </c>
      <c r="K40" s="103">
        <v>4.9999999999999996E-2</v>
      </c>
      <c r="L40" s="103">
        <v>0.60625326695706283</v>
      </c>
      <c r="M40" s="103">
        <v>0.86852362447751885</v>
      </c>
      <c r="N40" s="24">
        <v>0</v>
      </c>
      <c r="O40" s="105">
        <v>0</v>
      </c>
      <c r="P40" s="105">
        <f>1</f>
        <v>1</v>
      </c>
      <c r="Q40" s="106">
        <v>0.40402203442199996</v>
      </c>
      <c r="R40" s="107">
        <v>0</v>
      </c>
      <c r="S40" s="107">
        <v>1</v>
      </c>
      <c r="T40" s="107">
        <v>984.02762299999995</v>
      </c>
      <c r="U40" s="107">
        <v>330</v>
      </c>
    </row>
    <row r="41" spans="1:21" s="24" customFormat="1" x14ac:dyDescent="0.3">
      <c r="A41" s="103">
        <v>0.375</v>
      </c>
      <c r="B41" s="103">
        <v>0.26500000000000001</v>
      </c>
      <c r="C41" s="103">
        <v>0.36199999999999904</v>
      </c>
      <c r="D41" s="103">
        <v>7.8523670000000004E-2</v>
      </c>
      <c r="E41" s="103">
        <v>0.42599993502960221</v>
      </c>
      <c r="F41" s="103">
        <v>0.9503845149898773</v>
      </c>
      <c r="G41" s="104">
        <v>0</v>
      </c>
      <c r="H41" s="103">
        <v>0.44700000000000001</v>
      </c>
      <c r="I41" s="103">
        <v>0.26999999999999996</v>
      </c>
      <c r="J41" s="103">
        <v>2.3E-2</v>
      </c>
      <c r="K41" s="103">
        <v>5.0999999999999997E-2</v>
      </c>
      <c r="L41" s="103">
        <v>0.60138270068450528</v>
      </c>
      <c r="M41" s="103">
        <v>0.71125098950140964</v>
      </c>
      <c r="N41" s="24">
        <v>0</v>
      </c>
      <c r="O41" s="105">
        <v>0</v>
      </c>
      <c r="P41" s="105">
        <f>1</f>
        <v>1</v>
      </c>
      <c r="Q41" s="106">
        <v>0.73645597202000002</v>
      </c>
      <c r="R41" s="107">
        <v>0</v>
      </c>
      <c r="S41" s="107">
        <v>1</v>
      </c>
      <c r="T41" s="107">
        <v>1240</v>
      </c>
      <c r="U41" s="107">
        <v>330</v>
      </c>
    </row>
    <row r="42" spans="1:21" s="24" customFormat="1" x14ac:dyDescent="0.3">
      <c r="A42" s="103">
        <v>0.26400000000000001</v>
      </c>
      <c r="B42" s="103">
        <v>0.13300000000000001</v>
      </c>
      <c r="C42" s="103">
        <v>0.21299999999999999</v>
      </c>
      <c r="D42" s="103">
        <v>7.2706811999999996E-2</v>
      </c>
      <c r="E42" s="103">
        <v>0.42499979696750673</v>
      </c>
      <c r="F42" s="103">
        <v>0.64035485154865035</v>
      </c>
      <c r="G42" s="104">
        <v>0</v>
      </c>
      <c r="H42" s="103">
        <v>0.30099999999999999</v>
      </c>
      <c r="I42" s="103">
        <v>0.16600000000000001</v>
      </c>
      <c r="J42" s="103">
        <v>3.3000000000000002E-2</v>
      </c>
      <c r="K42" s="103">
        <v>6.0999999999999999E-2</v>
      </c>
      <c r="L42" s="103">
        <v>0.60076913503422524</v>
      </c>
      <c r="M42" s="103">
        <v>0.49063856106603354</v>
      </c>
      <c r="N42" s="24">
        <v>0</v>
      </c>
      <c r="O42" s="105">
        <v>0.83886932004309223</v>
      </c>
      <c r="P42" s="105">
        <f>1</f>
        <v>1</v>
      </c>
      <c r="Q42" s="106">
        <v>1</v>
      </c>
      <c r="R42" s="107">
        <v>0</v>
      </c>
      <c r="S42" s="107">
        <v>1</v>
      </c>
      <c r="T42" s="107">
        <v>1240</v>
      </c>
      <c r="U42" s="107">
        <v>330</v>
      </c>
    </row>
    <row r="43" spans="1:21" s="24" customFormat="1" x14ac:dyDescent="0.3">
      <c r="A43" s="103">
        <v>5.8000000000000003E-2</v>
      </c>
      <c r="B43" s="103">
        <v>1.3000000000000001E-2</v>
      </c>
      <c r="C43" s="103">
        <v>5.4000000000000006E-2</v>
      </c>
      <c r="D43" s="103">
        <v>7.3486639000000006E-2</v>
      </c>
      <c r="E43" s="103">
        <v>0.43000008121299732</v>
      </c>
      <c r="F43" s="103">
        <v>0.21586356291141107</v>
      </c>
      <c r="G43" s="104">
        <v>0</v>
      </c>
      <c r="H43" s="103">
        <v>0.126</v>
      </c>
      <c r="I43" s="103">
        <v>6.0000000000000005E-2</v>
      </c>
      <c r="J43" s="103">
        <v>5.8999999999999997E-2</v>
      </c>
      <c r="K43" s="103">
        <v>8.1000000000000003E-2</v>
      </c>
      <c r="L43" s="103">
        <v>0.60318232731798382</v>
      </c>
      <c r="M43" s="103">
        <v>0.24945497940080133</v>
      </c>
      <c r="N43" s="24">
        <v>0</v>
      </c>
      <c r="O43" s="105">
        <v>0.83886932004309223</v>
      </c>
      <c r="P43" s="105">
        <f>1</f>
        <v>1</v>
      </c>
      <c r="Q43" s="106">
        <v>1</v>
      </c>
      <c r="R43" s="107">
        <v>0</v>
      </c>
      <c r="S43" s="107">
        <v>1</v>
      </c>
      <c r="T43" s="107">
        <v>1240</v>
      </c>
      <c r="U43" s="107">
        <v>330</v>
      </c>
    </row>
    <row r="44" spans="1:21" s="24" customFormat="1" x14ac:dyDescent="0.3">
      <c r="A44" s="103">
        <v>0</v>
      </c>
      <c r="B44" s="103">
        <v>0</v>
      </c>
      <c r="C44" s="103">
        <v>0</v>
      </c>
      <c r="D44" s="103">
        <v>0.115611123</v>
      </c>
      <c r="E44" s="103">
        <v>0.43600009745559681</v>
      </c>
      <c r="F44" s="103">
        <v>0.13477711798702452</v>
      </c>
      <c r="G44" s="104">
        <v>0</v>
      </c>
      <c r="H44" s="103">
        <v>0</v>
      </c>
      <c r="I44" s="103">
        <v>0</v>
      </c>
      <c r="J44" s="103">
        <v>0.159</v>
      </c>
      <c r="K44" s="103">
        <v>0.106</v>
      </c>
      <c r="L44" s="103">
        <v>0.60607342874922221</v>
      </c>
      <c r="M44" s="103">
        <v>0.1020421906389672</v>
      </c>
      <c r="N44" s="24">
        <v>0</v>
      </c>
      <c r="O44" s="105">
        <v>0.83886932004309223</v>
      </c>
      <c r="P44" s="105">
        <f>1</f>
        <v>1</v>
      </c>
      <c r="Q44" s="106">
        <v>1</v>
      </c>
      <c r="R44" s="107">
        <v>0</v>
      </c>
      <c r="S44" s="107">
        <v>1</v>
      </c>
      <c r="T44" s="107">
        <v>1240</v>
      </c>
      <c r="U44" s="107">
        <v>330</v>
      </c>
    </row>
    <row r="45" spans="1:21" s="24" customFormat="1" x14ac:dyDescent="0.3">
      <c r="A45" s="103">
        <v>0</v>
      </c>
      <c r="B45" s="103">
        <v>0</v>
      </c>
      <c r="C45" s="103">
        <v>0</v>
      </c>
      <c r="D45" s="103">
        <v>0.13827661499999999</v>
      </c>
      <c r="E45" s="103">
        <v>0.44299984569530515</v>
      </c>
      <c r="F45" s="103">
        <v>0.16117708875414108</v>
      </c>
      <c r="G45" s="104">
        <v>0</v>
      </c>
      <c r="H45" s="103">
        <v>0</v>
      </c>
      <c r="I45" s="103">
        <v>0</v>
      </c>
      <c r="J45" s="103">
        <v>0.22199999999999998</v>
      </c>
      <c r="K45" s="103">
        <v>0.124</v>
      </c>
      <c r="L45" s="103">
        <v>0.61117672682016178</v>
      </c>
      <c r="M45" s="103">
        <v>0.11529016369639412</v>
      </c>
      <c r="N45" s="24">
        <v>0</v>
      </c>
      <c r="O45" s="105">
        <v>0.83886932004309223</v>
      </c>
      <c r="P45" s="105">
        <f>1</f>
        <v>1</v>
      </c>
      <c r="Q45" s="106">
        <v>1</v>
      </c>
      <c r="R45" s="107">
        <v>0</v>
      </c>
      <c r="S45" s="107">
        <v>1</v>
      </c>
      <c r="T45" s="107">
        <v>1240</v>
      </c>
      <c r="U45" s="107">
        <v>330</v>
      </c>
    </row>
    <row r="46" spans="1:21" s="24" customFormat="1" x14ac:dyDescent="0.3">
      <c r="A46" s="103">
        <v>0</v>
      </c>
      <c r="B46" s="103">
        <v>0</v>
      </c>
      <c r="C46" s="103">
        <v>0</v>
      </c>
      <c r="D46" s="103">
        <v>0.13061771899999999</v>
      </c>
      <c r="E46" s="103">
        <v>0.45199987005920433</v>
      </c>
      <c r="F46" s="103">
        <v>0.15224977620493865</v>
      </c>
      <c r="G46" s="104">
        <v>0</v>
      </c>
      <c r="H46" s="103">
        <v>0</v>
      </c>
      <c r="I46" s="103">
        <v>0</v>
      </c>
      <c r="J46" s="103">
        <v>0.223</v>
      </c>
      <c r="K46" s="103">
        <v>0.13100000000000001</v>
      </c>
      <c r="L46" s="103">
        <v>0.61380460485376476</v>
      </c>
      <c r="M46" s="103">
        <v>0.12076607667369046</v>
      </c>
      <c r="N46" s="24">
        <v>0</v>
      </c>
      <c r="O46" s="105">
        <v>0.83886932004309223</v>
      </c>
      <c r="P46" s="105">
        <f>1</f>
        <v>1</v>
      </c>
      <c r="Q46" s="106">
        <v>1</v>
      </c>
      <c r="R46" s="107">
        <v>0</v>
      </c>
      <c r="S46" s="107">
        <v>1</v>
      </c>
      <c r="T46" s="107">
        <v>1240</v>
      </c>
      <c r="U46" s="107">
        <v>330</v>
      </c>
    </row>
    <row r="47" spans="1:21" s="24" customFormat="1" x14ac:dyDescent="0.3">
      <c r="A47" s="103">
        <v>0</v>
      </c>
      <c r="B47" s="103">
        <v>0</v>
      </c>
      <c r="C47" s="103">
        <v>0</v>
      </c>
      <c r="D47" s="103">
        <v>0.11403063400000001</v>
      </c>
      <c r="E47" s="103">
        <v>0.44999999999999996</v>
      </c>
      <c r="F47" s="103">
        <v>0.1329156460541718</v>
      </c>
      <c r="G47" s="104">
        <v>0</v>
      </c>
      <c r="H47" s="103">
        <v>0</v>
      </c>
      <c r="I47" s="103">
        <v>0</v>
      </c>
      <c r="J47" s="103">
        <v>0.20699999999999999</v>
      </c>
      <c r="K47" s="103">
        <v>0.13</v>
      </c>
      <c r="L47" s="103">
        <v>0.61083322962041076</v>
      </c>
      <c r="M47" s="103">
        <v>0.12176602135598753</v>
      </c>
      <c r="N47" s="24">
        <v>0</v>
      </c>
      <c r="O47" s="105">
        <v>0.83886932004309223</v>
      </c>
      <c r="P47" s="105">
        <f>1</f>
        <v>1</v>
      </c>
      <c r="Q47" s="106">
        <v>1</v>
      </c>
      <c r="R47" s="107">
        <v>0</v>
      </c>
      <c r="S47" s="107">
        <v>1</v>
      </c>
      <c r="T47" s="107">
        <v>1240</v>
      </c>
      <c r="U47" s="107">
        <v>330</v>
      </c>
    </row>
    <row r="48" spans="1:21" s="24" customFormat="1" x14ac:dyDescent="0.3">
      <c r="A48" s="103">
        <v>0</v>
      </c>
      <c r="B48" s="103">
        <v>0</v>
      </c>
      <c r="C48" s="103">
        <v>0</v>
      </c>
      <c r="D48" s="103">
        <v>0.107394823</v>
      </c>
      <c r="E48" s="103">
        <v>0.44599985381660484</v>
      </c>
      <c r="F48" s="103">
        <v>0.12518085518947852</v>
      </c>
      <c r="G48" s="104">
        <v>0</v>
      </c>
      <c r="H48" s="103">
        <v>0</v>
      </c>
      <c r="I48" s="103">
        <v>0</v>
      </c>
      <c r="J48" s="103">
        <v>0.20299999999999999</v>
      </c>
      <c r="K48" s="103">
        <v>0.127</v>
      </c>
      <c r="L48" s="103">
        <v>0.61162227753578091</v>
      </c>
      <c r="M48" s="103">
        <v>0.12298570986674581</v>
      </c>
      <c r="N48" s="24">
        <v>0</v>
      </c>
      <c r="O48" s="105">
        <v>0.83886932004309223</v>
      </c>
      <c r="P48" s="105">
        <f>1</f>
        <v>1</v>
      </c>
      <c r="Q48" s="106">
        <v>1</v>
      </c>
      <c r="R48" s="107">
        <v>0</v>
      </c>
      <c r="S48" s="107">
        <v>1</v>
      </c>
      <c r="T48" s="107">
        <v>1240</v>
      </c>
      <c r="U48" s="107">
        <v>330</v>
      </c>
    </row>
    <row r="49" spans="1:21" s="24" customFormat="1" x14ac:dyDescent="0.3">
      <c r="A49" s="103">
        <v>0</v>
      </c>
      <c r="B49" s="103">
        <v>0</v>
      </c>
      <c r="C49" s="103">
        <v>0</v>
      </c>
      <c r="D49" s="103">
        <v>0.103424957</v>
      </c>
      <c r="E49" s="103">
        <v>0.44599985381660484</v>
      </c>
      <c r="F49" s="103">
        <v>0.12055352579886504</v>
      </c>
      <c r="G49" s="104">
        <v>0</v>
      </c>
      <c r="H49" s="103">
        <v>0</v>
      </c>
      <c r="I49" s="103">
        <v>0</v>
      </c>
      <c r="J49" s="103">
        <v>0.21499999999999997</v>
      </c>
      <c r="K49" s="103">
        <v>0.11600000000000001</v>
      </c>
      <c r="L49" s="103">
        <v>0.60667019290603608</v>
      </c>
      <c r="M49" s="103">
        <v>0.11759107197358661</v>
      </c>
      <c r="N49" s="24">
        <v>0</v>
      </c>
      <c r="O49" s="105">
        <v>0.83886932004309223</v>
      </c>
      <c r="P49" s="105">
        <f>1</f>
        <v>1</v>
      </c>
      <c r="Q49" s="106">
        <v>1</v>
      </c>
      <c r="R49" s="107">
        <v>0</v>
      </c>
      <c r="S49" s="107">
        <v>1</v>
      </c>
      <c r="T49" s="107">
        <v>1240</v>
      </c>
      <c r="U49" s="107">
        <v>330</v>
      </c>
    </row>
    <row r="50" spans="1:21" s="24" customFormat="1" x14ac:dyDescent="0.3">
      <c r="A50" s="103">
        <v>0</v>
      </c>
      <c r="B50" s="103">
        <v>0</v>
      </c>
      <c r="C50" s="103">
        <v>0</v>
      </c>
      <c r="D50" s="103">
        <v>0.107749769</v>
      </c>
      <c r="E50" s="103">
        <v>0.43399982133140597</v>
      </c>
      <c r="F50" s="103">
        <v>0.12559458503776072</v>
      </c>
      <c r="G50" s="104">
        <v>0</v>
      </c>
      <c r="H50" s="103">
        <v>0</v>
      </c>
      <c r="I50" s="103">
        <v>0</v>
      </c>
      <c r="J50" s="103">
        <v>0.23500000000000001</v>
      </c>
      <c r="K50" s="103">
        <v>0.11</v>
      </c>
      <c r="L50" s="103">
        <v>0.55700684505289355</v>
      </c>
      <c r="M50" s="103">
        <v>0.11309323699094821</v>
      </c>
      <c r="N50" s="24">
        <v>0</v>
      </c>
      <c r="O50" s="105">
        <v>0.83005541447393671</v>
      </c>
      <c r="P50" s="105">
        <f>1</f>
        <v>1</v>
      </c>
      <c r="Q50" s="106">
        <v>1</v>
      </c>
      <c r="R50" s="107">
        <v>0</v>
      </c>
      <c r="S50" s="107">
        <v>1</v>
      </c>
      <c r="T50" s="107">
        <v>1240</v>
      </c>
      <c r="U50" s="107">
        <v>330</v>
      </c>
    </row>
    <row r="51" spans="1:21" s="24" customFormat="1" x14ac:dyDescent="0.3">
      <c r="A51" s="103">
        <v>0</v>
      </c>
      <c r="B51" s="103">
        <v>0</v>
      </c>
      <c r="C51" s="103">
        <v>0</v>
      </c>
      <c r="D51" s="103">
        <v>0.111496518</v>
      </c>
      <c r="E51" s="103">
        <v>0.43000008121299732</v>
      </c>
      <c r="F51" s="103">
        <v>0.12996184624177914</v>
      </c>
      <c r="G51" s="104">
        <v>0</v>
      </c>
      <c r="H51" s="103">
        <v>0</v>
      </c>
      <c r="I51" s="103">
        <v>0</v>
      </c>
      <c r="J51" s="103">
        <v>0.247</v>
      </c>
      <c r="K51" s="103">
        <v>0.106</v>
      </c>
      <c r="L51" s="103">
        <v>0.55283696328562537</v>
      </c>
      <c r="M51" s="103">
        <v>0.11207257960083099</v>
      </c>
      <c r="N51" s="24">
        <v>0</v>
      </c>
      <c r="O51" s="105">
        <v>0.83005541447393671</v>
      </c>
      <c r="P51" s="105">
        <f>1</f>
        <v>1</v>
      </c>
      <c r="Q51" s="106">
        <v>1</v>
      </c>
      <c r="R51" s="107">
        <v>0</v>
      </c>
      <c r="S51" s="107">
        <v>1</v>
      </c>
      <c r="T51" s="107">
        <v>1240</v>
      </c>
      <c r="U51" s="107">
        <v>330</v>
      </c>
    </row>
    <row r="52" spans="1:21" s="24" customFormat="1" x14ac:dyDescent="0.3">
      <c r="A52" s="103">
        <v>0</v>
      </c>
      <c r="B52" s="103">
        <v>0</v>
      </c>
      <c r="C52" s="103">
        <v>0</v>
      </c>
      <c r="D52" s="103">
        <v>0.11350845499999999</v>
      </c>
      <c r="E52" s="103">
        <v>0.42200019491119356</v>
      </c>
      <c r="F52" s="103">
        <v>0.13230698716395706</v>
      </c>
      <c r="G52" s="104">
        <v>0</v>
      </c>
      <c r="H52" s="103">
        <v>0</v>
      </c>
      <c r="I52" s="103">
        <v>0</v>
      </c>
      <c r="J52" s="103">
        <v>0.255</v>
      </c>
      <c r="K52" s="103">
        <v>0.11</v>
      </c>
      <c r="L52" s="103">
        <v>0.55230180460485379</v>
      </c>
      <c r="M52" s="103">
        <v>0.11605561479566702</v>
      </c>
      <c r="N52" s="24">
        <v>0</v>
      </c>
      <c r="O52" s="105">
        <v>0.83005541447393671</v>
      </c>
      <c r="P52" s="105">
        <f>1</f>
        <v>1</v>
      </c>
      <c r="Q52" s="106">
        <v>1</v>
      </c>
      <c r="R52" s="107">
        <v>0</v>
      </c>
      <c r="S52" s="107">
        <v>1</v>
      </c>
      <c r="T52" s="107">
        <v>1240</v>
      </c>
      <c r="U52" s="107">
        <v>330</v>
      </c>
    </row>
    <row r="53" spans="1:21" s="24" customFormat="1" x14ac:dyDescent="0.3">
      <c r="A53" s="103">
        <v>0</v>
      </c>
      <c r="B53" s="103">
        <v>0</v>
      </c>
      <c r="C53" s="103">
        <v>0</v>
      </c>
      <c r="D53" s="103">
        <v>0.10916308</v>
      </c>
      <c r="E53" s="103">
        <v>0.41699991066570302</v>
      </c>
      <c r="F53" s="103">
        <v>0.12724195941472391</v>
      </c>
      <c r="G53" s="104">
        <v>0</v>
      </c>
      <c r="H53" s="103">
        <v>0</v>
      </c>
      <c r="I53" s="103">
        <v>0</v>
      </c>
      <c r="J53" s="103">
        <v>0.254</v>
      </c>
      <c r="K53" s="103">
        <v>0.111</v>
      </c>
      <c r="L53" s="103">
        <v>0.54694337274424387</v>
      </c>
      <c r="M53" s="103">
        <v>0.1183865675577979</v>
      </c>
      <c r="N53" s="24">
        <v>0</v>
      </c>
      <c r="O53" s="105">
        <v>0.83005541447393671</v>
      </c>
      <c r="P53" s="105">
        <f>1</f>
        <v>1</v>
      </c>
      <c r="Q53" s="106">
        <v>1</v>
      </c>
      <c r="R53" s="107">
        <v>0</v>
      </c>
      <c r="S53" s="107">
        <v>1</v>
      </c>
      <c r="T53" s="107">
        <v>1240</v>
      </c>
      <c r="U53" s="107">
        <v>330</v>
      </c>
    </row>
    <row r="54" spans="1:21" s="24" customFormat="1" x14ac:dyDescent="0.3">
      <c r="A54" s="103">
        <v>0</v>
      </c>
      <c r="B54" s="103">
        <v>0</v>
      </c>
      <c r="C54" s="103">
        <v>0</v>
      </c>
      <c r="D54" s="103">
        <v>0.104742366</v>
      </c>
      <c r="E54" s="103">
        <v>0.4150000406064987</v>
      </c>
      <c r="F54" s="103">
        <v>0.1220891155102454</v>
      </c>
      <c r="G54" s="104">
        <v>0</v>
      </c>
      <c r="H54" s="103">
        <v>0</v>
      </c>
      <c r="I54" s="103">
        <v>0</v>
      </c>
      <c r="J54" s="103">
        <v>0.25</v>
      </c>
      <c r="K54" s="103">
        <v>0.112</v>
      </c>
      <c r="L54" s="103">
        <v>0.53815805849408838</v>
      </c>
      <c r="M54" s="103">
        <v>0.11942170257367561</v>
      </c>
      <c r="N54" s="24">
        <v>0</v>
      </c>
      <c r="O54" s="105">
        <v>0.83005541447393671</v>
      </c>
      <c r="P54" s="105">
        <f>1</f>
        <v>1</v>
      </c>
      <c r="Q54" s="106">
        <v>1</v>
      </c>
      <c r="R54" s="107">
        <v>0</v>
      </c>
      <c r="S54" s="107">
        <v>1</v>
      </c>
      <c r="T54" s="107">
        <v>1240</v>
      </c>
      <c r="U54" s="107">
        <v>330</v>
      </c>
    </row>
    <row r="55" spans="1:21" s="24" customFormat="1" x14ac:dyDescent="0.3">
      <c r="A55" s="103">
        <v>0</v>
      </c>
      <c r="B55" s="103">
        <v>0</v>
      </c>
      <c r="C55" s="103">
        <v>0</v>
      </c>
      <c r="D55" s="103">
        <v>0.10133547399999999</v>
      </c>
      <c r="E55" s="103">
        <v>0.41600017866859418</v>
      </c>
      <c r="F55" s="103">
        <v>0.11811799621245397</v>
      </c>
      <c r="G55" s="104">
        <v>0</v>
      </c>
      <c r="H55" s="103">
        <v>0</v>
      </c>
      <c r="I55" s="103">
        <v>0</v>
      </c>
      <c r="J55" s="103">
        <v>0.26100000000000001</v>
      </c>
      <c r="K55" s="103">
        <v>0.11</v>
      </c>
      <c r="L55" s="103">
        <v>0.53500124455507159</v>
      </c>
      <c r="M55" s="103">
        <v>0.12108407562635407</v>
      </c>
      <c r="N55" s="24">
        <v>0</v>
      </c>
      <c r="O55" s="105">
        <v>0.83005541447393671</v>
      </c>
      <c r="P55" s="105">
        <f>1</f>
        <v>1</v>
      </c>
      <c r="Q55" s="106">
        <v>1</v>
      </c>
      <c r="R55" s="107">
        <v>1.0057257668049571E-2</v>
      </c>
      <c r="S55" s="107">
        <v>1</v>
      </c>
      <c r="T55" s="107">
        <v>1240</v>
      </c>
      <c r="U55" s="107">
        <v>330</v>
      </c>
    </row>
    <row r="56" spans="1:21" s="24" customFormat="1" x14ac:dyDescent="0.3">
      <c r="A56" s="103">
        <v>0</v>
      </c>
      <c r="B56" s="103">
        <v>0</v>
      </c>
      <c r="C56" s="103">
        <v>0</v>
      </c>
      <c r="D56" s="103">
        <v>9.3626618999999994E-2</v>
      </c>
      <c r="E56" s="103">
        <v>0.41900018678989387</v>
      </c>
      <c r="F56" s="103">
        <v>0.10913245077855828</v>
      </c>
      <c r="G56" s="104">
        <v>0</v>
      </c>
      <c r="H56" s="103">
        <v>0</v>
      </c>
      <c r="I56" s="103">
        <v>0</v>
      </c>
      <c r="J56" s="103">
        <v>0.26100000000000001</v>
      </c>
      <c r="K56" s="103">
        <v>0.104</v>
      </c>
      <c r="L56" s="103">
        <v>0.53214250155569387</v>
      </c>
      <c r="M56" s="103">
        <v>0.11921791243092446</v>
      </c>
      <c r="N56" s="24">
        <v>0</v>
      </c>
      <c r="O56" s="105">
        <v>0.83005541447393671</v>
      </c>
      <c r="P56" s="105">
        <f>1</f>
        <v>1</v>
      </c>
      <c r="Q56" s="106">
        <v>1</v>
      </c>
      <c r="R56" s="107">
        <v>0</v>
      </c>
      <c r="S56" s="107">
        <v>1</v>
      </c>
      <c r="T56" s="107">
        <v>1240</v>
      </c>
      <c r="U56" s="107">
        <v>55.778239650000003</v>
      </c>
    </row>
    <row r="57" spans="1:21" s="24" customFormat="1" x14ac:dyDescent="0.3">
      <c r="A57" s="103">
        <v>0</v>
      </c>
      <c r="B57" s="103">
        <v>0</v>
      </c>
      <c r="C57" s="103">
        <v>0</v>
      </c>
      <c r="D57" s="103">
        <v>8.0518063000000001E-2</v>
      </c>
      <c r="E57" s="103">
        <v>0.42200019491119356</v>
      </c>
      <c r="F57" s="103">
        <v>9.3852940979662569E-2</v>
      </c>
      <c r="G57" s="104">
        <v>0</v>
      </c>
      <c r="H57" s="103">
        <v>0</v>
      </c>
      <c r="I57" s="103">
        <v>0</v>
      </c>
      <c r="J57" s="103">
        <v>0.24299999999999999</v>
      </c>
      <c r="K57" s="103">
        <v>9.5000000000000001E-2</v>
      </c>
      <c r="L57" s="103">
        <v>0.57415308027380207</v>
      </c>
      <c r="M57" s="103">
        <v>0.11391848176910521</v>
      </c>
      <c r="N57" s="24">
        <v>0</v>
      </c>
      <c r="O57" s="105">
        <v>0.83005541447393671</v>
      </c>
      <c r="P57" s="105">
        <f>1</f>
        <v>1</v>
      </c>
      <c r="Q57" s="106">
        <v>1</v>
      </c>
      <c r="R57" s="107">
        <v>0</v>
      </c>
      <c r="S57" s="107">
        <v>1</v>
      </c>
      <c r="T57" s="107">
        <v>1240</v>
      </c>
      <c r="U57" s="107">
        <v>330</v>
      </c>
    </row>
    <row r="58" spans="1:21" s="24" customFormat="1" x14ac:dyDescent="0.3">
      <c r="A58" s="103">
        <v>0</v>
      </c>
      <c r="B58" s="103">
        <v>0</v>
      </c>
      <c r="C58" s="103">
        <v>0</v>
      </c>
      <c r="D58" s="103">
        <v>7.7173868000000007E-2</v>
      </c>
      <c r="E58" s="103">
        <v>0.43199995127220159</v>
      </c>
      <c r="F58" s="103">
        <v>0.10176235240233131</v>
      </c>
      <c r="G58" s="104">
        <v>0</v>
      </c>
      <c r="H58" s="103">
        <v>0</v>
      </c>
      <c r="I58" s="103">
        <v>0</v>
      </c>
      <c r="J58" s="103">
        <v>0.19199999999999998</v>
      </c>
      <c r="K58" s="103">
        <v>8.5999999999999993E-2</v>
      </c>
      <c r="L58" s="103">
        <v>0.58168388301182328</v>
      </c>
      <c r="M58" s="103">
        <v>0.10583036785991987</v>
      </c>
      <c r="N58" s="24">
        <v>0</v>
      </c>
      <c r="O58" s="105">
        <v>0.83005541447393671</v>
      </c>
      <c r="P58" s="105">
        <f>1</f>
        <v>1</v>
      </c>
      <c r="Q58" s="106">
        <v>1</v>
      </c>
      <c r="R58" s="107">
        <v>0</v>
      </c>
      <c r="S58" s="107">
        <v>1</v>
      </c>
      <c r="T58" s="107">
        <v>1240</v>
      </c>
      <c r="U58" s="107">
        <v>330</v>
      </c>
    </row>
    <row r="59" spans="1:21" s="24" customFormat="1" x14ac:dyDescent="0.3">
      <c r="A59" s="103">
        <v>0.113</v>
      </c>
      <c r="B59" s="103">
        <v>6.5000000000000002E-2</v>
      </c>
      <c r="C59" s="103">
        <v>0.128</v>
      </c>
      <c r="D59" s="103">
        <v>6.3607421999999997E-2</v>
      </c>
      <c r="E59" s="103">
        <v>0.44299984569530515</v>
      </c>
      <c r="F59" s="103">
        <v>0.35477086214524534</v>
      </c>
      <c r="G59" s="104">
        <v>0</v>
      </c>
      <c r="H59" s="103">
        <v>5.3999999999999999E-2</v>
      </c>
      <c r="I59" s="103">
        <v>3.5000000000000003E-2</v>
      </c>
      <c r="J59" s="103">
        <v>0.12999999999999998</v>
      </c>
      <c r="K59" s="103">
        <v>7.5999999999999998E-2</v>
      </c>
      <c r="L59" s="103">
        <v>0.58828375855631609</v>
      </c>
      <c r="M59" s="103">
        <v>0.17988008701172278</v>
      </c>
      <c r="N59" s="24">
        <v>0</v>
      </c>
      <c r="O59" s="105">
        <v>0.83005541447393671</v>
      </c>
      <c r="P59" s="105">
        <f>1</f>
        <v>1</v>
      </c>
      <c r="Q59" s="106">
        <v>1</v>
      </c>
      <c r="R59" s="107">
        <v>0</v>
      </c>
      <c r="S59" s="107">
        <v>1</v>
      </c>
      <c r="T59" s="107">
        <v>1240</v>
      </c>
      <c r="U59" s="107">
        <v>330</v>
      </c>
    </row>
    <row r="60" spans="1:21" s="24" customFormat="1" x14ac:dyDescent="0.3">
      <c r="A60" s="103">
        <v>0.28000000000000003</v>
      </c>
      <c r="B60" s="103">
        <v>0.16800000000000001</v>
      </c>
      <c r="C60" s="103">
        <v>0.29099999999999898</v>
      </c>
      <c r="D60" s="103">
        <v>3.2033387000000003E-2</v>
      </c>
      <c r="E60" s="103">
        <v>0.445000121819496</v>
      </c>
      <c r="F60" s="103">
        <v>0.70262498429021469</v>
      </c>
      <c r="G60" s="104">
        <v>0</v>
      </c>
      <c r="H60" s="103">
        <v>0.21099999999999999</v>
      </c>
      <c r="I60" s="103">
        <v>0.13900000000000001</v>
      </c>
      <c r="J60" s="103">
        <v>6.4999999999999988E-2</v>
      </c>
      <c r="K60" s="103">
        <v>6.3E-2</v>
      </c>
      <c r="L60" s="103">
        <v>0.59056378344741756</v>
      </c>
      <c r="M60" s="103">
        <v>0.41367958513310582</v>
      </c>
      <c r="N60" s="24">
        <v>0</v>
      </c>
      <c r="O60" s="105">
        <v>0.83005541447393671</v>
      </c>
      <c r="P60" s="105">
        <f>1</f>
        <v>1</v>
      </c>
      <c r="Q60" s="106">
        <v>1</v>
      </c>
      <c r="R60" s="107">
        <v>0</v>
      </c>
      <c r="S60" s="107">
        <v>1</v>
      </c>
      <c r="T60" s="107">
        <v>1240</v>
      </c>
      <c r="U60" s="107">
        <v>330</v>
      </c>
    </row>
    <row r="61" spans="1:21" s="24" customFormat="1" x14ac:dyDescent="0.3">
      <c r="A61" s="103">
        <v>0.34599999999999997</v>
      </c>
      <c r="B61" s="103">
        <v>0.27399999999999997</v>
      </c>
      <c r="C61" s="103">
        <v>0.41799999999999998</v>
      </c>
      <c r="D61" s="103">
        <v>1.5442123E-2</v>
      </c>
      <c r="E61" s="103">
        <v>0.42799980508880647</v>
      </c>
      <c r="F61" s="103">
        <v>0.90860627082665635</v>
      </c>
      <c r="G61" s="104">
        <v>0</v>
      </c>
      <c r="H61" s="103">
        <v>0.36699999999999999</v>
      </c>
      <c r="I61" s="103">
        <v>0.25</v>
      </c>
      <c r="J61" s="103">
        <v>0.03</v>
      </c>
      <c r="K61" s="103">
        <v>5.3999999999999999E-2</v>
      </c>
      <c r="L61" s="103">
        <v>0.58891599253266957</v>
      </c>
      <c r="M61" s="103">
        <v>0.65317095511292478</v>
      </c>
      <c r="N61" s="24">
        <v>0</v>
      </c>
      <c r="O61" s="105">
        <v>0</v>
      </c>
      <c r="P61" s="105">
        <f>1</f>
        <v>1</v>
      </c>
      <c r="Q61" s="106">
        <v>1</v>
      </c>
      <c r="R61" s="107">
        <v>0</v>
      </c>
      <c r="S61" s="107">
        <v>1</v>
      </c>
      <c r="T61" s="107">
        <v>1240</v>
      </c>
      <c r="U61" s="107">
        <v>330</v>
      </c>
    </row>
    <row r="62" spans="1:21" s="24" customFormat="1" x14ac:dyDescent="0.3">
      <c r="A62" s="103">
        <v>0.371</v>
      </c>
      <c r="B62" s="103">
        <v>0.34299999999999997</v>
      </c>
      <c r="C62" s="103">
        <v>0.48899999999999999</v>
      </c>
      <c r="D62" s="103">
        <v>1.1414298999999999E-2</v>
      </c>
      <c r="E62" s="103">
        <v>0.42499979696750673</v>
      </c>
      <c r="F62" s="103">
        <v>1</v>
      </c>
      <c r="G62" s="104">
        <v>1.2338342533734271E-2</v>
      </c>
      <c r="H62" s="103">
        <v>0.47399999999999998</v>
      </c>
      <c r="I62" s="103">
        <v>0.32900000000000001</v>
      </c>
      <c r="J62" s="103">
        <v>1.9E-2</v>
      </c>
      <c r="K62" s="103">
        <v>4.5999999999999999E-2</v>
      </c>
      <c r="L62" s="103">
        <v>0.58766023646546361</v>
      </c>
      <c r="M62" s="103">
        <v>0.81956640960973448</v>
      </c>
      <c r="N62" s="24">
        <v>0</v>
      </c>
      <c r="O62" s="105">
        <v>0</v>
      </c>
      <c r="P62" s="105">
        <f>1</f>
        <v>1</v>
      </c>
      <c r="Q62" s="106">
        <v>1</v>
      </c>
      <c r="R62" s="107">
        <v>0</v>
      </c>
      <c r="S62" s="107">
        <v>1</v>
      </c>
      <c r="T62" s="107">
        <v>1231.96830185</v>
      </c>
      <c r="U62" s="107">
        <v>330</v>
      </c>
    </row>
    <row r="63" spans="1:21" s="24" customFormat="1" x14ac:dyDescent="0.3">
      <c r="A63" s="103">
        <v>0.378</v>
      </c>
      <c r="B63" s="103">
        <v>0.35299999999999998</v>
      </c>
      <c r="C63" s="103">
        <v>0.498</v>
      </c>
      <c r="D63" s="103">
        <v>1.0335405000000001E-2</v>
      </c>
      <c r="E63" s="103">
        <v>0.42700007309169763</v>
      </c>
      <c r="F63" s="103">
        <v>1</v>
      </c>
      <c r="G63" s="104">
        <v>2.414658825950524E-2</v>
      </c>
      <c r="H63" s="103">
        <v>0.5179999999999999</v>
      </c>
      <c r="I63" s="103">
        <v>0.36099999999999999</v>
      </c>
      <c r="J63" s="103">
        <v>1.3000000000000001E-2</v>
      </c>
      <c r="K63" s="103">
        <v>4.4999999999999998E-2</v>
      </c>
      <c r="L63" s="103">
        <v>0.58805538270068447</v>
      </c>
      <c r="M63" s="103">
        <v>0.88616368332156104</v>
      </c>
      <c r="N63" s="24">
        <v>0</v>
      </c>
      <c r="O63" s="105">
        <v>0</v>
      </c>
      <c r="P63" s="105">
        <f>1</f>
        <v>1</v>
      </c>
      <c r="Q63" s="106">
        <v>1</v>
      </c>
      <c r="R63" s="107">
        <v>0</v>
      </c>
      <c r="S63" s="107">
        <v>1</v>
      </c>
      <c r="T63" s="107">
        <v>880.96992571999999</v>
      </c>
      <c r="U63" s="107">
        <v>330</v>
      </c>
    </row>
    <row r="64" spans="1:21" s="24" customFormat="1" x14ac:dyDescent="0.3">
      <c r="A64" s="103">
        <v>0.372</v>
      </c>
      <c r="B64" s="103">
        <v>0.30399999999999999</v>
      </c>
      <c r="C64" s="103">
        <v>0.44700000000000001</v>
      </c>
      <c r="D64" s="103">
        <v>1.0208371000000001E-2</v>
      </c>
      <c r="E64" s="103">
        <v>0.42499979696750673</v>
      </c>
      <c r="F64" s="103">
        <v>0.96591377146785284</v>
      </c>
      <c r="G64" s="104">
        <v>0</v>
      </c>
      <c r="H64" s="103">
        <v>0.49199999999999999</v>
      </c>
      <c r="I64" s="103">
        <v>0.33800000000000002</v>
      </c>
      <c r="J64" s="103">
        <v>1.1999999999999999E-2</v>
      </c>
      <c r="K64" s="103">
        <v>5.1999999999999998E-2</v>
      </c>
      <c r="L64" s="103">
        <v>0.58320970752955814</v>
      </c>
      <c r="M64" s="103">
        <v>0.8449269973645942</v>
      </c>
      <c r="N64" s="24">
        <v>0</v>
      </c>
      <c r="O64" s="105">
        <v>0</v>
      </c>
      <c r="P64" s="105">
        <f>1</f>
        <v>1</v>
      </c>
      <c r="Q64" s="106">
        <v>1</v>
      </c>
      <c r="R64" s="107">
        <v>0</v>
      </c>
      <c r="S64" s="107">
        <v>1</v>
      </c>
      <c r="T64" s="107">
        <v>1240</v>
      </c>
      <c r="U64" s="107">
        <v>330</v>
      </c>
    </row>
    <row r="65" spans="1:21" s="24" customFormat="1" x14ac:dyDescent="0.3">
      <c r="A65" s="103">
        <v>0.34499999999999997</v>
      </c>
      <c r="B65" s="103">
        <v>0.21099999999999899</v>
      </c>
      <c r="C65" s="103">
        <v>0.34299999999999997</v>
      </c>
      <c r="D65" s="103">
        <v>1.1060390999999999E-2</v>
      </c>
      <c r="E65" s="103">
        <v>0.43000008121299732</v>
      </c>
      <c r="F65" s="103">
        <v>0.81497789694331291</v>
      </c>
      <c r="G65" s="104">
        <v>0</v>
      </c>
      <c r="H65" s="103">
        <v>0.40600000000000003</v>
      </c>
      <c r="I65" s="103">
        <v>0.26800000000000002</v>
      </c>
      <c r="J65" s="103">
        <v>1.7000000000000001E-2</v>
      </c>
      <c r="K65" s="103">
        <v>7.0999999999999994E-2</v>
      </c>
      <c r="L65" s="103">
        <v>0.58527566894835092</v>
      </c>
      <c r="M65" s="103">
        <v>0.7082887352200623</v>
      </c>
      <c r="N65" s="24">
        <v>0</v>
      </c>
      <c r="O65" s="105">
        <v>0</v>
      </c>
      <c r="P65" s="105">
        <f>1</f>
        <v>1</v>
      </c>
      <c r="Q65" s="106">
        <v>1</v>
      </c>
      <c r="R65" s="107">
        <v>0</v>
      </c>
      <c r="S65" s="107">
        <v>1</v>
      </c>
      <c r="T65" s="107">
        <v>1240</v>
      </c>
      <c r="U65" s="107">
        <v>330</v>
      </c>
    </row>
    <row r="66" spans="1:21" s="24" customFormat="1" x14ac:dyDescent="0.3">
      <c r="A66" s="103">
        <v>0.24099999999999999</v>
      </c>
      <c r="B66" s="103">
        <v>0.1</v>
      </c>
      <c r="C66" s="103">
        <v>0.2</v>
      </c>
      <c r="D66" s="103">
        <v>9.8989430000000003E-3</v>
      </c>
      <c r="E66" s="103">
        <v>0.43499995939350139</v>
      </c>
      <c r="F66" s="103">
        <v>0.52570687506042957</v>
      </c>
      <c r="G66" s="104">
        <v>0</v>
      </c>
      <c r="H66" s="103">
        <v>0.27899999999999997</v>
      </c>
      <c r="I66" s="103">
        <v>0.16500000000000001</v>
      </c>
      <c r="J66" s="103">
        <v>2.3999999999999997E-2</v>
      </c>
      <c r="K66" s="103">
        <v>0.09</v>
      </c>
      <c r="L66" s="103">
        <v>0.59435407591785938</v>
      </c>
      <c r="M66" s="103">
        <v>0.50347388227155365</v>
      </c>
      <c r="N66" s="24">
        <v>0</v>
      </c>
      <c r="O66" s="105">
        <v>0.83005541447393671</v>
      </c>
      <c r="P66" s="105">
        <f>1</f>
        <v>1</v>
      </c>
      <c r="Q66" s="106">
        <v>1</v>
      </c>
      <c r="R66" s="107">
        <v>0</v>
      </c>
      <c r="S66" s="107">
        <v>1</v>
      </c>
      <c r="T66" s="107">
        <v>1240</v>
      </c>
      <c r="U66" s="107">
        <v>330</v>
      </c>
    </row>
    <row r="67" spans="1:21" s="24" customFormat="1" x14ac:dyDescent="0.3">
      <c r="A67" s="103">
        <v>5.5E-2</v>
      </c>
      <c r="B67" s="103">
        <v>0</v>
      </c>
      <c r="C67" s="103">
        <v>5.2000000000000005E-2</v>
      </c>
      <c r="D67" s="103">
        <v>1.7780221999999998E-2</v>
      </c>
      <c r="E67" s="103">
        <v>0.43999983757400535</v>
      </c>
      <c r="F67" s="103">
        <v>0.14465671228533741</v>
      </c>
      <c r="G67" s="104">
        <v>0</v>
      </c>
      <c r="H67" s="103">
        <v>0.123</v>
      </c>
      <c r="I67" s="103">
        <v>6.0000000000000005E-2</v>
      </c>
      <c r="J67" s="103">
        <v>3.9E-2</v>
      </c>
      <c r="K67" s="103">
        <v>0.107</v>
      </c>
      <c r="L67" s="103">
        <v>0.59948911014312389</v>
      </c>
      <c r="M67" s="103">
        <v>0.27169370674907256</v>
      </c>
      <c r="N67" s="24">
        <v>0</v>
      </c>
      <c r="O67" s="105">
        <v>0.83005541447393671</v>
      </c>
      <c r="P67" s="105">
        <f>1</f>
        <v>1</v>
      </c>
      <c r="Q67" s="106">
        <v>1</v>
      </c>
      <c r="R67" s="107">
        <v>0</v>
      </c>
      <c r="S67" s="107">
        <v>1</v>
      </c>
      <c r="T67" s="107">
        <v>1240</v>
      </c>
      <c r="U67" s="107">
        <v>330</v>
      </c>
    </row>
    <row r="68" spans="1:21" s="24" customFormat="1" x14ac:dyDescent="0.3">
      <c r="A68" s="103">
        <v>0</v>
      </c>
      <c r="B68" s="103">
        <v>0</v>
      </c>
      <c r="C68" s="103">
        <v>0</v>
      </c>
      <c r="D68" s="103">
        <v>3.2348742999999999E-2</v>
      </c>
      <c r="E68" s="103">
        <v>0.4669999106657029</v>
      </c>
      <c r="F68" s="103">
        <v>3.7750891007883439E-2</v>
      </c>
      <c r="G68" s="104">
        <v>0</v>
      </c>
      <c r="H68" s="103">
        <v>0</v>
      </c>
      <c r="I68" s="103">
        <v>0</v>
      </c>
      <c r="J68" s="103">
        <v>6.9000000000000006E-2</v>
      </c>
      <c r="K68" s="103">
        <v>0.123</v>
      </c>
      <c r="L68" s="103">
        <v>0.60423459863098938</v>
      </c>
      <c r="M68" s="103">
        <v>0.11658670972251074</v>
      </c>
      <c r="N68" s="24">
        <v>0</v>
      </c>
      <c r="O68" s="105">
        <v>0.83005541447393671</v>
      </c>
      <c r="P68" s="105">
        <f>1</f>
        <v>1</v>
      </c>
      <c r="Q68" s="106">
        <v>1</v>
      </c>
      <c r="R68" s="107">
        <v>0</v>
      </c>
      <c r="S68" s="107">
        <v>0.58114907585672515</v>
      </c>
      <c r="T68" s="107">
        <v>1240</v>
      </c>
      <c r="U68" s="107">
        <v>330</v>
      </c>
    </row>
    <row r="69" spans="1:21" s="24" customFormat="1" x14ac:dyDescent="0.3">
      <c r="A69" s="103">
        <v>0</v>
      </c>
      <c r="B69" s="103">
        <v>0</v>
      </c>
      <c r="C69" s="103">
        <v>0</v>
      </c>
      <c r="D69" s="103">
        <v>3.3034015999999999E-2</v>
      </c>
      <c r="E69" s="103">
        <v>0.47299992690830239</v>
      </c>
      <c r="F69" s="103">
        <v>3.8504894907484662E-2</v>
      </c>
      <c r="G69" s="104">
        <v>0</v>
      </c>
      <c r="H69" s="103">
        <v>0</v>
      </c>
      <c r="I69" s="103">
        <v>0</v>
      </c>
      <c r="J69" s="103">
        <v>8.4999999999999992E-2</v>
      </c>
      <c r="K69" s="103">
        <v>0.13200000000000001</v>
      </c>
      <c r="L69" s="103">
        <v>0.60335718730553833</v>
      </c>
      <c r="M69" s="103">
        <v>0.12157653370411041</v>
      </c>
      <c r="N69" s="24">
        <v>0</v>
      </c>
      <c r="O69" s="105">
        <v>0.83005541447393671</v>
      </c>
      <c r="P69" s="105">
        <f>1</f>
        <v>1</v>
      </c>
      <c r="Q69" s="106">
        <v>1</v>
      </c>
      <c r="R69" s="107">
        <v>0</v>
      </c>
      <c r="S69" s="107">
        <v>0.62393142958875658</v>
      </c>
      <c r="T69" s="107">
        <v>1240</v>
      </c>
      <c r="U69" s="107">
        <v>330</v>
      </c>
    </row>
    <row r="70" spans="1:21" s="24" customFormat="1" x14ac:dyDescent="0.3">
      <c r="A70" s="103">
        <v>0</v>
      </c>
      <c r="B70" s="103">
        <v>0</v>
      </c>
      <c r="C70" s="103">
        <v>0</v>
      </c>
      <c r="D70" s="103">
        <v>2.1762911999999999E-2</v>
      </c>
      <c r="E70" s="103">
        <v>0.46200003248519894</v>
      </c>
      <c r="F70" s="103">
        <v>2.53671439597546E-2</v>
      </c>
      <c r="G70" s="104">
        <v>0</v>
      </c>
      <c r="H70" s="103">
        <v>0</v>
      </c>
      <c r="I70" s="103">
        <v>0</v>
      </c>
      <c r="J70" s="103">
        <v>7.3999999999999996E-2</v>
      </c>
      <c r="K70" s="103">
        <v>0.13300000000000001</v>
      </c>
      <c r="L70" s="103">
        <v>0.60276042314872436</v>
      </c>
      <c r="M70" s="103">
        <v>0.12203718194301827</v>
      </c>
      <c r="N70" s="24">
        <v>0</v>
      </c>
      <c r="O70" s="105">
        <v>0.83005541447393671</v>
      </c>
      <c r="P70" s="105">
        <f>1</f>
        <v>1</v>
      </c>
      <c r="Q70" s="106">
        <v>1</v>
      </c>
      <c r="R70" s="107">
        <v>2.5834481454281241E-2</v>
      </c>
      <c r="S70" s="107">
        <v>1</v>
      </c>
      <c r="T70" s="107">
        <v>1240</v>
      </c>
      <c r="U70" s="107">
        <v>330</v>
      </c>
    </row>
    <row r="71" spans="1:21" s="24" customFormat="1" x14ac:dyDescent="0.3">
      <c r="A71" s="103">
        <v>0</v>
      </c>
      <c r="B71" s="103">
        <v>0</v>
      </c>
      <c r="C71" s="103">
        <v>0</v>
      </c>
      <c r="D71" s="103">
        <v>1.7486972E-2</v>
      </c>
      <c r="E71" s="103">
        <v>0.46399990254440321</v>
      </c>
      <c r="F71" s="103">
        <v>2.0383050583680982E-2</v>
      </c>
      <c r="G71" s="104">
        <v>0</v>
      </c>
      <c r="H71" s="103">
        <v>0</v>
      </c>
      <c r="I71" s="103">
        <v>0</v>
      </c>
      <c r="J71" s="103">
        <v>6.3E-2</v>
      </c>
      <c r="K71" s="103">
        <v>0.125</v>
      </c>
      <c r="L71" s="103">
        <v>0.59546546359676411</v>
      </c>
      <c r="M71" s="103">
        <v>0.11404656153494583</v>
      </c>
      <c r="N71" s="24">
        <v>0</v>
      </c>
      <c r="O71" s="105">
        <v>0.83005541447393671</v>
      </c>
      <c r="P71" s="105">
        <f>1</f>
        <v>1</v>
      </c>
      <c r="Q71" s="106">
        <v>1</v>
      </c>
      <c r="R71" s="107">
        <v>0.1798893988699258</v>
      </c>
      <c r="S71" s="107">
        <v>1</v>
      </c>
      <c r="T71" s="107">
        <v>1240</v>
      </c>
      <c r="U71" s="107">
        <v>330</v>
      </c>
    </row>
    <row r="72" spans="1:21" s="24" customFormat="1" x14ac:dyDescent="0.3">
      <c r="A72" s="103">
        <v>0</v>
      </c>
      <c r="B72" s="103">
        <v>0</v>
      </c>
      <c r="C72" s="103">
        <v>0</v>
      </c>
      <c r="D72" s="103">
        <v>1.8721867E-2</v>
      </c>
      <c r="E72" s="103">
        <v>0.43999983757400535</v>
      </c>
      <c r="F72" s="103">
        <v>2.182246086297546E-2</v>
      </c>
      <c r="G72" s="104">
        <v>0</v>
      </c>
      <c r="H72" s="103">
        <v>0</v>
      </c>
      <c r="I72" s="103">
        <v>0</v>
      </c>
      <c r="J72" s="103">
        <v>5.6000000000000001E-2</v>
      </c>
      <c r="K72" s="103">
        <v>0.12</v>
      </c>
      <c r="L72" s="103">
        <v>0.5918811449906658</v>
      </c>
      <c r="M72" s="103">
        <v>0.10923232726309541</v>
      </c>
      <c r="N72" s="24">
        <v>0</v>
      </c>
      <c r="O72" s="105">
        <v>0.83005541447393671</v>
      </c>
      <c r="P72" s="105">
        <f>1</f>
        <v>1</v>
      </c>
      <c r="Q72" s="106">
        <v>1</v>
      </c>
      <c r="R72" s="107">
        <v>0.33394431628704541</v>
      </c>
      <c r="S72" s="107">
        <v>1</v>
      </c>
      <c r="T72" s="107">
        <v>1240</v>
      </c>
      <c r="U72" s="107">
        <v>330</v>
      </c>
    </row>
    <row r="73" spans="1:21" s="24" customFormat="1" x14ac:dyDescent="0.3">
      <c r="A73" s="103">
        <v>0</v>
      </c>
      <c r="B73" s="103">
        <v>0</v>
      </c>
      <c r="C73" s="103">
        <v>0</v>
      </c>
      <c r="D73" s="103">
        <v>1.9438409E-2</v>
      </c>
      <c r="E73" s="103">
        <v>0.43199995127220159</v>
      </c>
      <c r="F73" s="103">
        <v>2.2657671889294476E-2</v>
      </c>
      <c r="G73" s="104">
        <v>0</v>
      </c>
      <c r="H73" s="103">
        <v>0</v>
      </c>
      <c r="I73" s="103">
        <v>0</v>
      </c>
      <c r="J73" s="103">
        <v>5.1000000000000004E-2</v>
      </c>
      <c r="K73" s="103">
        <v>0.109</v>
      </c>
      <c r="L73" s="103">
        <v>0.58858182949595517</v>
      </c>
      <c r="M73" s="103">
        <v>0.10407688121472028</v>
      </c>
      <c r="N73" s="24">
        <v>0</v>
      </c>
      <c r="O73" s="105">
        <v>1.0491679074103448</v>
      </c>
      <c r="P73" s="105">
        <f>1</f>
        <v>1</v>
      </c>
      <c r="Q73" s="106">
        <v>1</v>
      </c>
      <c r="R73" s="107">
        <v>0.29240005938043201</v>
      </c>
      <c r="S73" s="107">
        <v>1</v>
      </c>
      <c r="T73" s="107">
        <v>1240</v>
      </c>
      <c r="U73" s="107">
        <v>330</v>
      </c>
    </row>
    <row r="74" spans="1:21" s="24" customFormat="1" x14ac:dyDescent="0.3">
      <c r="A74" s="103">
        <v>0</v>
      </c>
      <c r="B74" s="103">
        <v>0</v>
      </c>
      <c r="C74" s="103">
        <v>0</v>
      </c>
      <c r="D74" s="103">
        <v>2.2797543E-2</v>
      </c>
      <c r="E74" s="103">
        <v>0.40799988630180378</v>
      </c>
      <c r="F74" s="103">
        <v>2.6573123817699388E-2</v>
      </c>
      <c r="G74" s="104">
        <v>0</v>
      </c>
      <c r="H74" s="103">
        <v>0</v>
      </c>
      <c r="I74" s="103">
        <v>0</v>
      </c>
      <c r="J74" s="103">
        <v>4.8999999999999995E-2</v>
      </c>
      <c r="K74" s="103">
        <v>0.10199999999999999</v>
      </c>
      <c r="L74" s="103">
        <v>0.53292159303049158</v>
      </c>
      <c r="M74" s="103">
        <v>0.10053002823475292</v>
      </c>
      <c r="N74" s="24">
        <v>0</v>
      </c>
      <c r="O74" s="105">
        <v>1.0491679074103448</v>
      </c>
      <c r="P74" s="105">
        <f>1</f>
        <v>1</v>
      </c>
      <c r="Q74" s="106">
        <v>1</v>
      </c>
      <c r="R74" s="107">
        <v>0.27429636860559276</v>
      </c>
      <c r="S74" s="107">
        <v>1</v>
      </c>
      <c r="T74" s="107">
        <v>1240</v>
      </c>
      <c r="U74" s="107">
        <v>330</v>
      </c>
    </row>
    <row r="75" spans="1:21" s="24" customFormat="1" x14ac:dyDescent="0.3">
      <c r="A75" s="103">
        <v>0</v>
      </c>
      <c r="B75" s="103">
        <v>0</v>
      </c>
      <c r="C75" s="103">
        <v>0</v>
      </c>
      <c r="D75" s="103">
        <v>2.6731528000000001E-2</v>
      </c>
      <c r="E75" s="103">
        <v>0.39899986193790454</v>
      </c>
      <c r="F75" s="103">
        <v>3.1158629830429448E-2</v>
      </c>
      <c r="G75" s="104">
        <v>0</v>
      </c>
      <c r="H75" s="103">
        <v>0</v>
      </c>
      <c r="I75" s="103">
        <v>0</v>
      </c>
      <c r="J75" s="103">
        <v>4.7999999999999994E-2</v>
      </c>
      <c r="K75" s="103">
        <v>9.5000000000000001E-2</v>
      </c>
      <c r="L75" s="103">
        <v>0.52842688238954572</v>
      </c>
      <c r="M75" s="103">
        <v>9.4340097543255674E-2</v>
      </c>
      <c r="N75" s="24">
        <v>0</v>
      </c>
      <c r="O75" s="105">
        <v>1.0491679074103448</v>
      </c>
      <c r="P75" s="105">
        <f>1</f>
        <v>1</v>
      </c>
      <c r="Q75" s="106">
        <v>1</v>
      </c>
      <c r="R75" s="107">
        <v>0.26737792093064466</v>
      </c>
      <c r="S75" s="107">
        <v>1</v>
      </c>
      <c r="T75" s="107">
        <v>1240</v>
      </c>
      <c r="U75" s="107">
        <v>330</v>
      </c>
    </row>
    <row r="76" spans="1:21" s="24" customFormat="1" x14ac:dyDescent="0.3">
      <c r="A76" s="103">
        <v>0</v>
      </c>
      <c r="B76" s="103">
        <v>0</v>
      </c>
      <c r="C76" s="103">
        <v>0</v>
      </c>
      <c r="D76" s="103">
        <v>3.2651092999999999E-2</v>
      </c>
      <c r="E76" s="103">
        <v>0.39800012994079575</v>
      </c>
      <c r="F76" s="103">
        <v>3.8058554690398767E-2</v>
      </c>
      <c r="G76" s="104">
        <v>0</v>
      </c>
      <c r="H76" s="103">
        <v>0</v>
      </c>
      <c r="I76" s="103">
        <v>0</v>
      </c>
      <c r="J76" s="103">
        <v>4.6999999999999993E-2</v>
      </c>
      <c r="K76" s="103">
        <v>9.2999999999999999E-2</v>
      </c>
      <c r="L76" s="103">
        <v>0.52615930304915992</v>
      </c>
      <c r="M76" s="103">
        <v>9.3465996021071376E-2</v>
      </c>
      <c r="N76" s="24">
        <v>0</v>
      </c>
      <c r="O76" s="105">
        <v>1.0491679074103448</v>
      </c>
      <c r="P76" s="105">
        <f>1</f>
        <v>1</v>
      </c>
      <c r="Q76" s="106">
        <v>1</v>
      </c>
      <c r="R76" s="107">
        <v>0.24505473993081206</v>
      </c>
      <c r="S76" s="107">
        <v>1</v>
      </c>
      <c r="T76" s="107">
        <v>1240</v>
      </c>
      <c r="U76" s="107">
        <v>330</v>
      </c>
    </row>
    <row r="77" spans="1:21" s="24" customFormat="1" x14ac:dyDescent="0.3">
      <c r="A77" s="103">
        <v>0</v>
      </c>
      <c r="B77" s="103">
        <v>0</v>
      </c>
      <c r="C77" s="103">
        <v>0</v>
      </c>
      <c r="D77" s="103">
        <v>4.0581737999999999E-2</v>
      </c>
      <c r="E77" s="103">
        <v>0.3959998538166048</v>
      </c>
      <c r="F77" s="103">
        <v>4.7302621541779138E-2</v>
      </c>
      <c r="G77" s="104">
        <v>0</v>
      </c>
      <c r="H77" s="103">
        <v>0</v>
      </c>
      <c r="I77" s="103">
        <v>0</v>
      </c>
      <c r="J77" s="103">
        <v>4.2999999999999997E-2</v>
      </c>
      <c r="K77" s="103">
        <v>9.2999999999999999E-2</v>
      </c>
      <c r="L77" s="103">
        <v>0.52646919726197883</v>
      </c>
      <c r="M77" s="103">
        <v>9.4142161868526489E-2</v>
      </c>
      <c r="N77" s="24">
        <v>0</v>
      </c>
      <c r="O77" s="105">
        <v>1.0491679074103448</v>
      </c>
      <c r="P77" s="105">
        <f>1</f>
        <v>1</v>
      </c>
      <c r="Q77" s="106">
        <v>1</v>
      </c>
      <c r="R77" s="107">
        <v>0.21254024555605594</v>
      </c>
      <c r="S77" s="107">
        <v>1</v>
      </c>
      <c r="T77" s="107">
        <v>1240</v>
      </c>
      <c r="U77" s="107">
        <v>330</v>
      </c>
    </row>
    <row r="78" spans="1:21" s="24" customFormat="1" x14ac:dyDescent="0.3">
      <c r="A78" s="103">
        <v>0</v>
      </c>
      <c r="B78" s="103">
        <v>0</v>
      </c>
      <c r="C78" s="103">
        <v>0</v>
      </c>
      <c r="D78" s="103">
        <v>5.0982284000000003E-2</v>
      </c>
      <c r="E78" s="103">
        <v>0.40199987005920429</v>
      </c>
      <c r="F78" s="103">
        <v>5.9425638334846632E-2</v>
      </c>
      <c r="G78" s="104">
        <v>0</v>
      </c>
      <c r="H78" s="103">
        <v>0</v>
      </c>
      <c r="I78" s="103">
        <v>0</v>
      </c>
      <c r="J78" s="103">
        <v>3.9E-2</v>
      </c>
      <c r="K78" s="103">
        <v>9.9000000000000005E-2</v>
      </c>
      <c r="L78" s="103">
        <v>0.52788923459863102</v>
      </c>
      <c r="M78" s="103">
        <v>9.712807023208192E-2</v>
      </c>
      <c r="N78" s="24">
        <v>0</v>
      </c>
      <c r="O78" s="105">
        <v>1.0491679074103448</v>
      </c>
      <c r="P78" s="105">
        <f>1</f>
        <v>1</v>
      </c>
      <c r="Q78" s="106">
        <v>1</v>
      </c>
      <c r="R78" s="107">
        <v>0.16932165003848007</v>
      </c>
      <c r="S78" s="107">
        <v>1</v>
      </c>
      <c r="T78" s="107">
        <v>1240</v>
      </c>
      <c r="U78" s="107">
        <v>330</v>
      </c>
    </row>
    <row r="79" spans="1:21" s="24" customFormat="1" x14ac:dyDescent="0.3">
      <c r="A79" s="103">
        <v>0</v>
      </c>
      <c r="B79" s="103">
        <v>0</v>
      </c>
      <c r="C79" s="103">
        <v>0</v>
      </c>
      <c r="D79" s="103">
        <v>5.9373763000000003E-2</v>
      </c>
      <c r="E79" s="103">
        <v>0.40799988630180378</v>
      </c>
      <c r="F79" s="103">
        <v>6.9206859516472388E-2</v>
      </c>
      <c r="G79" s="104">
        <v>0</v>
      </c>
      <c r="H79" s="103">
        <v>0</v>
      </c>
      <c r="I79" s="103">
        <v>0</v>
      </c>
      <c r="J79" s="103">
        <v>3.9E-2</v>
      </c>
      <c r="K79" s="103">
        <v>0.106</v>
      </c>
      <c r="L79" s="103">
        <v>0.54071935283136285</v>
      </c>
      <c r="M79" s="103">
        <v>0.10142727758302419</v>
      </c>
      <c r="N79" s="24">
        <v>0</v>
      </c>
      <c r="O79" s="105">
        <v>1.0491679074103448</v>
      </c>
      <c r="P79" s="105">
        <f>1</f>
        <v>1</v>
      </c>
      <c r="Q79" s="106">
        <v>1</v>
      </c>
      <c r="R79" s="107">
        <v>4.1559052109463306E-2</v>
      </c>
      <c r="S79" s="107">
        <v>1</v>
      </c>
      <c r="T79" s="107">
        <v>1240</v>
      </c>
      <c r="U79" s="107">
        <v>330</v>
      </c>
    </row>
    <row r="80" spans="1:21" s="24" customFormat="1" x14ac:dyDescent="0.3">
      <c r="A80" s="103">
        <v>0</v>
      </c>
      <c r="B80" s="103">
        <v>0</v>
      </c>
      <c r="C80" s="103">
        <v>0</v>
      </c>
      <c r="D80" s="103">
        <v>6.6060953000000006E-2</v>
      </c>
      <c r="E80" s="103">
        <v>0.41200003248519895</v>
      </c>
      <c r="F80" s="103">
        <v>7.700153843702455E-2</v>
      </c>
      <c r="G80" s="104">
        <v>0</v>
      </c>
      <c r="H80" s="103">
        <v>0</v>
      </c>
      <c r="I80" s="103">
        <v>0</v>
      </c>
      <c r="J80" s="103">
        <v>4.5999999999999999E-2</v>
      </c>
      <c r="K80" s="103">
        <v>0.115</v>
      </c>
      <c r="L80" s="103">
        <v>0.54252706907280646</v>
      </c>
      <c r="M80" s="103">
        <v>0.10650952346134442</v>
      </c>
      <c r="N80" s="24">
        <v>0</v>
      </c>
      <c r="O80" s="105">
        <v>1.0491679074103448</v>
      </c>
      <c r="P80" s="105">
        <f>1</f>
        <v>1</v>
      </c>
      <c r="Q80" s="106">
        <v>1</v>
      </c>
      <c r="R80" s="107">
        <v>0</v>
      </c>
      <c r="S80" s="107">
        <v>1</v>
      </c>
      <c r="T80" s="107">
        <v>1240</v>
      </c>
      <c r="U80" s="107">
        <v>330</v>
      </c>
    </row>
    <row r="81" spans="1:21" s="24" customFormat="1" x14ac:dyDescent="0.3">
      <c r="A81" s="103">
        <v>0</v>
      </c>
      <c r="B81" s="103">
        <v>0</v>
      </c>
      <c r="C81" s="103">
        <v>0</v>
      </c>
      <c r="D81" s="103">
        <v>6.9969826999999998E-2</v>
      </c>
      <c r="E81" s="103">
        <v>0.4150000406064987</v>
      </c>
      <c r="F81" s="103">
        <v>8.1557774729233132E-2</v>
      </c>
      <c r="G81" s="104">
        <v>0</v>
      </c>
      <c r="H81" s="103">
        <v>0</v>
      </c>
      <c r="I81" s="103">
        <v>0</v>
      </c>
      <c r="J81" s="103">
        <v>5.7999999999999996E-2</v>
      </c>
      <c r="K81" s="103">
        <v>0.12</v>
      </c>
      <c r="L81" s="103">
        <v>0.57488301182327317</v>
      </c>
      <c r="M81" s="103">
        <v>0.10783352593025672</v>
      </c>
      <c r="N81" s="24">
        <v>0</v>
      </c>
      <c r="O81" s="105">
        <v>1.0491679074103448</v>
      </c>
      <c r="P81" s="105">
        <f>1</f>
        <v>1</v>
      </c>
      <c r="Q81" s="106">
        <v>1</v>
      </c>
      <c r="R81" s="107">
        <v>0</v>
      </c>
      <c r="S81" s="107">
        <v>1</v>
      </c>
      <c r="T81" s="107">
        <v>1240</v>
      </c>
      <c r="U81" s="107">
        <v>330</v>
      </c>
    </row>
    <row r="82" spans="1:21" s="24" customFormat="1" x14ac:dyDescent="0.3">
      <c r="A82" s="103">
        <v>0</v>
      </c>
      <c r="B82" s="103">
        <v>0</v>
      </c>
      <c r="C82" s="103">
        <v>0</v>
      </c>
      <c r="D82" s="103">
        <v>7.8754295000000002E-2</v>
      </c>
      <c r="E82" s="103">
        <v>0.43999983757400535</v>
      </c>
      <c r="F82" s="103">
        <v>9.979335845245399E-2</v>
      </c>
      <c r="G82" s="104">
        <v>0</v>
      </c>
      <c r="H82" s="103">
        <v>0</v>
      </c>
      <c r="I82" s="103">
        <v>0</v>
      </c>
      <c r="J82" s="103">
        <v>7.4999999999999997E-2</v>
      </c>
      <c r="K82" s="103">
        <v>0.126</v>
      </c>
      <c r="L82" s="103">
        <v>0.58355444928438083</v>
      </c>
      <c r="M82" s="103">
        <v>0.11039642633773555</v>
      </c>
      <c r="N82" s="24">
        <v>0</v>
      </c>
      <c r="O82" s="105">
        <v>1.0491679074103448</v>
      </c>
      <c r="P82" s="105">
        <f>1</f>
        <v>1</v>
      </c>
      <c r="Q82" s="106">
        <v>1</v>
      </c>
      <c r="R82" s="107">
        <v>0</v>
      </c>
      <c r="S82" s="107">
        <v>1</v>
      </c>
      <c r="T82" s="107">
        <v>1240</v>
      </c>
      <c r="U82" s="107">
        <v>330</v>
      </c>
    </row>
    <row r="83" spans="1:21" s="24" customFormat="1" x14ac:dyDescent="0.3">
      <c r="A83" s="103">
        <v>6.7000000000000004E-2</v>
      </c>
      <c r="B83" s="103">
        <v>2.3E-2</v>
      </c>
      <c r="C83" s="103">
        <v>8.199999999999999E-2</v>
      </c>
      <c r="D83" s="103">
        <v>9.0938508000000001E-2</v>
      </c>
      <c r="E83" s="103">
        <v>0.44200011369819631</v>
      </c>
      <c r="F83" s="103">
        <v>0.27956679646641103</v>
      </c>
      <c r="G83" s="104">
        <v>0</v>
      </c>
      <c r="H83" s="103">
        <v>0.03</v>
      </c>
      <c r="I83" s="103">
        <v>2.5000000000000001E-2</v>
      </c>
      <c r="J83" s="103">
        <v>7.4999999999999997E-2</v>
      </c>
      <c r="K83" s="103">
        <v>0.13100000000000001</v>
      </c>
      <c r="L83" s="103">
        <v>0.59908214063472309</v>
      </c>
      <c r="M83" s="103">
        <v>0.16014798779106693</v>
      </c>
      <c r="N83" s="24">
        <v>0</v>
      </c>
      <c r="O83" s="105">
        <v>1.0491679074103448</v>
      </c>
      <c r="P83" s="105">
        <f>1</f>
        <v>1</v>
      </c>
      <c r="Q83" s="106">
        <v>1</v>
      </c>
      <c r="R83" s="107">
        <v>0</v>
      </c>
      <c r="S83" s="107">
        <v>1</v>
      </c>
      <c r="T83" s="107">
        <v>1240</v>
      </c>
      <c r="U83" s="107">
        <v>330</v>
      </c>
    </row>
    <row r="84" spans="1:21" s="24" customFormat="1" x14ac:dyDescent="0.3">
      <c r="A84" s="103">
        <v>0.17</v>
      </c>
      <c r="B84" s="103">
        <v>5.4000000000000006E-2</v>
      </c>
      <c r="C84" s="103">
        <v>0.19399999999999998</v>
      </c>
      <c r="D84" s="103">
        <v>0.100598005</v>
      </c>
      <c r="E84" s="103">
        <v>0.42400006497039783</v>
      </c>
      <c r="F84" s="103">
        <v>0.54092350467361971</v>
      </c>
      <c r="G84" s="104">
        <v>0</v>
      </c>
      <c r="H84" s="103">
        <v>0.124</v>
      </c>
      <c r="I84" s="103">
        <v>0.10100000000000001</v>
      </c>
      <c r="J84" s="103">
        <v>4.2999999999999997E-2</v>
      </c>
      <c r="K84" s="103">
        <v>0.13200000000000001</v>
      </c>
      <c r="L84" s="103">
        <v>0.59940945861854389</v>
      </c>
      <c r="M84" s="103">
        <v>0.3162349570888856</v>
      </c>
      <c r="N84" s="24">
        <v>0</v>
      </c>
      <c r="O84" s="105">
        <v>1.0491679074103448</v>
      </c>
      <c r="P84" s="105">
        <f>1</f>
        <v>1</v>
      </c>
      <c r="Q84" s="106">
        <v>1</v>
      </c>
      <c r="R84" s="107">
        <v>0</v>
      </c>
      <c r="S84" s="107">
        <v>1</v>
      </c>
      <c r="T84" s="107">
        <v>1240</v>
      </c>
      <c r="U84" s="107">
        <v>330</v>
      </c>
    </row>
    <row r="85" spans="1:21" s="24" customFormat="1" x14ac:dyDescent="0.3">
      <c r="A85" s="103">
        <v>0.23699999999999999</v>
      </c>
      <c r="B85" s="103">
        <v>8.5999999999999993E-2</v>
      </c>
      <c r="C85" s="103">
        <v>0.28499999999999903</v>
      </c>
      <c r="D85" s="103">
        <v>0.11549854399999999</v>
      </c>
      <c r="E85" s="103">
        <v>0.43399982133140597</v>
      </c>
      <c r="F85" s="103">
        <v>0.74392364727064408</v>
      </c>
      <c r="G85" s="104">
        <v>0</v>
      </c>
      <c r="H85" s="103">
        <v>0.223</v>
      </c>
      <c r="I85" s="103">
        <v>0.184</v>
      </c>
      <c r="J85" s="103">
        <v>2.8000000000000001E-2</v>
      </c>
      <c r="K85" s="103">
        <v>0.13</v>
      </c>
      <c r="L85" s="103">
        <v>0.60055320472930929</v>
      </c>
      <c r="M85" s="103">
        <v>0.48194535932482563</v>
      </c>
      <c r="N85" s="24">
        <v>0</v>
      </c>
      <c r="O85" s="105">
        <v>0</v>
      </c>
      <c r="P85" s="105">
        <f>1</f>
        <v>1</v>
      </c>
      <c r="Q85" s="106">
        <v>0</v>
      </c>
      <c r="R85" s="107">
        <v>0</v>
      </c>
      <c r="S85" s="107">
        <v>1</v>
      </c>
      <c r="T85" s="107">
        <v>1240</v>
      </c>
      <c r="U85" s="107">
        <v>330</v>
      </c>
    </row>
    <row r="86" spans="1:21" s="24" customFormat="1" x14ac:dyDescent="0.3">
      <c r="A86" s="103">
        <v>0.28100000000000003</v>
      </c>
      <c r="B86" s="103">
        <v>0.11199999999999999</v>
      </c>
      <c r="C86" s="103">
        <v>0.34</v>
      </c>
      <c r="D86" s="103">
        <v>0.13827719199999999</v>
      </c>
      <c r="E86" s="103">
        <v>0.43499995939350139</v>
      </c>
      <c r="F86" s="103">
        <v>0.88440612744389568</v>
      </c>
      <c r="G86" s="104">
        <v>0</v>
      </c>
      <c r="H86" s="103">
        <v>0.30499999999999994</v>
      </c>
      <c r="I86" s="103">
        <v>0.245</v>
      </c>
      <c r="J86" s="103">
        <v>4.2999999999999997E-2</v>
      </c>
      <c r="K86" s="103">
        <v>0.13100000000000001</v>
      </c>
      <c r="L86" s="103">
        <v>0.60160360920970757</v>
      </c>
      <c r="M86" s="103">
        <v>0.61537316962190236</v>
      </c>
      <c r="N86" s="24">
        <v>0</v>
      </c>
      <c r="O86" s="105">
        <v>0</v>
      </c>
      <c r="P86" s="105">
        <f>1</f>
        <v>1</v>
      </c>
      <c r="Q86" s="106">
        <v>0</v>
      </c>
      <c r="R86" s="107">
        <v>0</v>
      </c>
      <c r="S86" s="107">
        <v>1</v>
      </c>
      <c r="T86" s="107">
        <v>987.11730249000004</v>
      </c>
      <c r="U86" s="107">
        <v>330</v>
      </c>
    </row>
    <row r="87" spans="1:21" s="24" customFormat="1" x14ac:dyDescent="0.3">
      <c r="A87" s="103">
        <v>0.29399999999999998</v>
      </c>
      <c r="B87" s="103">
        <v>0.122</v>
      </c>
      <c r="C87" s="103">
        <v>0.34599999999999903</v>
      </c>
      <c r="D87" s="103">
        <v>0.16269359799999999</v>
      </c>
      <c r="E87" s="103">
        <v>0.43000008121299732</v>
      </c>
      <c r="F87" s="103">
        <v>0.93557822095846621</v>
      </c>
      <c r="G87" s="104">
        <v>0</v>
      </c>
      <c r="H87" s="103">
        <v>0.34500000000000003</v>
      </c>
      <c r="I87" s="103">
        <v>0.26999999999999996</v>
      </c>
      <c r="J87" s="103">
        <v>0.11499999999999999</v>
      </c>
      <c r="K87" s="103">
        <v>0.154</v>
      </c>
      <c r="L87" s="103">
        <v>0.5866888612321095</v>
      </c>
      <c r="M87" s="103">
        <v>0.69094465229618629</v>
      </c>
      <c r="N87" s="24">
        <v>0</v>
      </c>
      <c r="O87" s="105">
        <v>0</v>
      </c>
      <c r="P87" s="105">
        <f>1</f>
        <v>1</v>
      </c>
      <c r="Q87" s="106">
        <v>0</v>
      </c>
      <c r="R87" s="107">
        <v>0</v>
      </c>
      <c r="S87" s="107">
        <v>0.96280895410986711</v>
      </c>
      <c r="T87" s="107">
        <v>0</v>
      </c>
      <c r="U87" s="107">
        <v>330</v>
      </c>
    </row>
    <row r="88" spans="1:21" s="24" customFormat="1" x14ac:dyDescent="0.3">
      <c r="A88" s="103">
        <v>0.28199999999999997</v>
      </c>
      <c r="B88" s="103">
        <v>0.114</v>
      </c>
      <c r="C88" s="103">
        <v>0.307</v>
      </c>
      <c r="D88" s="103">
        <v>0.18848293999999999</v>
      </c>
      <c r="E88" s="103">
        <v>0.43199995127220159</v>
      </c>
      <c r="F88" s="103">
        <v>0.90524874679223921</v>
      </c>
      <c r="G88" s="104">
        <v>0</v>
      </c>
      <c r="H88" s="103">
        <v>0.33499999999999996</v>
      </c>
      <c r="I88" s="103">
        <v>0.254</v>
      </c>
      <c r="J88" s="103">
        <v>0.23800000000000002</v>
      </c>
      <c r="K88" s="103">
        <v>0.193</v>
      </c>
      <c r="L88" s="103">
        <v>0.58425575606720592</v>
      </c>
      <c r="M88" s="103">
        <v>0.691891916312806</v>
      </c>
      <c r="N88" s="24">
        <v>0</v>
      </c>
      <c r="O88" s="105">
        <v>0</v>
      </c>
      <c r="P88" s="105">
        <f>1</f>
        <v>1</v>
      </c>
      <c r="Q88" s="106">
        <v>0</v>
      </c>
      <c r="R88" s="107">
        <v>0</v>
      </c>
      <c r="S88" s="107">
        <v>0.58114971051437148</v>
      </c>
      <c r="T88" s="107">
        <v>0</v>
      </c>
      <c r="U88" s="107">
        <v>330</v>
      </c>
    </row>
    <row r="89" spans="1:21" s="24" customFormat="1" x14ac:dyDescent="0.3">
      <c r="A89" s="103">
        <v>0.255</v>
      </c>
      <c r="B89" s="103">
        <v>0.09</v>
      </c>
      <c r="C89" s="103">
        <v>0.245</v>
      </c>
      <c r="D89" s="103">
        <v>0.20757709799999999</v>
      </c>
      <c r="E89" s="103">
        <v>0.42400006497039783</v>
      </c>
      <c r="F89" s="103">
        <v>0.82392602152150318</v>
      </c>
      <c r="G89" s="104">
        <v>0</v>
      </c>
      <c r="H89" s="103">
        <v>0.25700000000000001</v>
      </c>
      <c r="I89" s="103">
        <v>0.192</v>
      </c>
      <c r="J89" s="103">
        <v>0.33099999999999996</v>
      </c>
      <c r="K89" s="103">
        <v>0.23399999999999999</v>
      </c>
      <c r="L89" s="103">
        <v>0.59029184816428126</v>
      </c>
      <c r="M89" s="103">
        <v>0.58857415116871947</v>
      </c>
      <c r="N89" s="24">
        <v>0</v>
      </c>
      <c r="O89" s="105">
        <v>0</v>
      </c>
      <c r="P89" s="105">
        <f>1</f>
        <v>1</v>
      </c>
      <c r="Q89" s="106">
        <v>0.62782949274599997</v>
      </c>
      <c r="R89" s="107">
        <v>0</v>
      </c>
      <c r="S89" s="107">
        <v>0.58085371378947137</v>
      </c>
      <c r="T89" s="107">
        <v>0</v>
      </c>
      <c r="U89" s="107">
        <v>330</v>
      </c>
    </row>
    <row r="90" spans="1:21" s="24" customFormat="1" x14ac:dyDescent="0.3">
      <c r="A90" s="103">
        <v>0.189</v>
      </c>
      <c r="B90" s="103">
        <v>5.0999999999999997E-2</v>
      </c>
      <c r="C90" s="103">
        <v>0.157</v>
      </c>
      <c r="D90" s="103">
        <v>0.21244671500000001</v>
      </c>
      <c r="E90" s="103">
        <v>0.42499979696750673</v>
      </c>
      <c r="F90" s="103">
        <v>0.65132831816438652</v>
      </c>
      <c r="G90" s="104">
        <v>0</v>
      </c>
      <c r="H90" s="103">
        <v>0.15699999999999997</v>
      </c>
      <c r="I90" s="103">
        <v>0.11100000000000002</v>
      </c>
      <c r="J90" s="103">
        <v>0.35600000000000004</v>
      </c>
      <c r="K90" s="103">
        <v>0.26700000000000002</v>
      </c>
      <c r="L90" s="103">
        <v>0.59544243932794028</v>
      </c>
      <c r="M90" s="103">
        <v>0.44207258242884695</v>
      </c>
      <c r="N90" s="24">
        <v>0</v>
      </c>
      <c r="O90" s="105">
        <v>0</v>
      </c>
      <c r="P90" s="105">
        <f>1</f>
        <v>1</v>
      </c>
      <c r="Q90" s="106">
        <v>0</v>
      </c>
      <c r="R90" s="107">
        <v>0</v>
      </c>
      <c r="S90" s="107">
        <v>1</v>
      </c>
      <c r="T90" s="107">
        <v>0</v>
      </c>
      <c r="U90" s="107">
        <v>330</v>
      </c>
    </row>
    <row r="91" spans="1:21" s="24" customFormat="1" x14ac:dyDescent="0.3">
      <c r="A91" s="103">
        <v>5.1999999999999998E-2</v>
      </c>
      <c r="B91" s="103">
        <v>0</v>
      </c>
      <c r="C91" s="103">
        <v>5.0999999999999997E-2</v>
      </c>
      <c r="D91" s="103">
        <v>0.20457370999999999</v>
      </c>
      <c r="E91" s="103">
        <v>0.44899986193790453</v>
      </c>
      <c r="F91" s="103">
        <v>0.35899591733702452</v>
      </c>
      <c r="G91" s="104">
        <v>0</v>
      </c>
      <c r="H91" s="103">
        <v>6.4000000000000001E-2</v>
      </c>
      <c r="I91" s="103">
        <v>3.6999999999999998E-2</v>
      </c>
      <c r="J91" s="103">
        <v>0.22</v>
      </c>
      <c r="K91" s="103">
        <v>0.316</v>
      </c>
      <c r="L91" s="103">
        <v>0.60199626633478531</v>
      </c>
      <c r="M91" s="103">
        <v>0.3250494925828758</v>
      </c>
      <c r="N91" s="24">
        <v>0</v>
      </c>
      <c r="O91" s="105">
        <v>0</v>
      </c>
      <c r="P91" s="105">
        <f>1</f>
        <v>1</v>
      </c>
      <c r="Q91" s="106">
        <v>1</v>
      </c>
      <c r="R91" s="107">
        <v>0</v>
      </c>
      <c r="S91" s="107">
        <v>0.87442654348372717</v>
      </c>
      <c r="T91" s="107">
        <v>1240</v>
      </c>
      <c r="U91" s="107">
        <v>330</v>
      </c>
    </row>
    <row r="92" spans="1:21" s="24" customFormat="1" x14ac:dyDescent="0.3">
      <c r="A92" s="103">
        <v>0</v>
      </c>
      <c r="B92" s="103">
        <v>0</v>
      </c>
      <c r="C92" s="103">
        <v>0</v>
      </c>
      <c r="D92" s="103">
        <v>0.22267505300000001</v>
      </c>
      <c r="E92" s="103">
        <v>0.45499987818050402</v>
      </c>
      <c r="F92" s="103">
        <v>0.25964291600757672</v>
      </c>
      <c r="G92" s="104">
        <v>0</v>
      </c>
      <c r="H92" s="103">
        <v>0</v>
      </c>
      <c r="I92" s="103">
        <v>0</v>
      </c>
      <c r="J92" s="103">
        <v>0.16499999999999998</v>
      </c>
      <c r="K92" s="103">
        <v>0.36399999999999999</v>
      </c>
      <c r="L92" s="103">
        <v>0.61056253889234602</v>
      </c>
      <c r="M92" s="103">
        <v>0.27338270578067964</v>
      </c>
      <c r="N92" s="24">
        <v>0</v>
      </c>
      <c r="O92" s="105">
        <v>0</v>
      </c>
      <c r="P92" s="105">
        <f>1</f>
        <v>1</v>
      </c>
      <c r="Q92" s="106">
        <v>1</v>
      </c>
      <c r="R92" s="107">
        <v>0</v>
      </c>
      <c r="S92" s="107">
        <v>1</v>
      </c>
      <c r="T92" s="107">
        <v>1240</v>
      </c>
      <c r="U92" s="107">
        <v>330</v>
      </c>
    </row>
    <row r="93" spans="1:21" s="24" customFormat="1" x14ac:dyDescent="0.3">
      <c r="A93" s="103">
        <v>0</v>
      </c>
      <c r="B93" s="103">
        <v>0</v>
      </c>
      <c r="C93" s="103">
        <v>0</v>
      </c>
      <c r="D93" s="103">
        <v>0.254737767</v>
      </c>
      <c r="E93" s="103">
        <v>0.4669999106657029</v>
      </c>
      <c r="F93" s="103">
        <v>0.29692577939365034</v>
      </c>
      <c r="G93" s="104">
        <v>0</v>
      </c>
      <c r="H93" s="103">
        <v>0</v>
      </c>
      <c r="I93" s="103">
        <v>0</v>
      </c>
      <c r="J93" s="103">
        <v>0.14599999999999999</v>
      </c>
      <c r="K93" s="103">
        <v>0.38800000000000001</v>
      </c>
      <c r="L93" s="103">
        <v>0.62000622277535777</v>
      </c>
      <c r="M93" s="103">
        <v>0.28904426518682297</v>
      </c>
      <c r="N93" s="24">
        <v>0</v>
      </c>
      <c r="O93" s="105">
        <v>0</v>
      </c>
      <c r="P93" s="105">
        <f>1</f>
        <v>1</v>
      </c>
      <c r="Q93" s="106">
        <v>1</v>
      </c>
      <c r="R93" s="107">
        <v>0</v>
      </c>
      <c r="S93" s="107">
        <v>1</v>
      </c>
      <c r="T93" s="107">
        <v>1240</v>
      </c>
      <c r="U93" s="107">
        <v>330</v>
      </c>
    </row>
    <row r="94" spans="1:21" s="24" customFormat="1" x14ac:dyDescent="0.3">
      <c r="A94" s="103">
        <v>0</v>
      </c>
      <c r="B94" s="103">
        <v>0</v>
      </c>
      <c r="C94" s="103">
        <v>0</v>
      </c>
      <c r="D94" s="103">
        <v>0.27501555100000002</v>
      </c>
      <c r="E94" s="103">
        <v>0.47299992690830239</v>
      </c>
      <c r="F94" s="103">
        <v>0.32056183811193256</v>
      </c>
      <c r="G94" s="104">
        <v>0</v>
      </c>
      <c r="H94" s="103">
        <v>0</v>
      </c>
      <c r="I94" s="103">
        <v>0</v>
      </c>
      <c r="J94" s="103">
        <v>0.14799999999999999</v>
      </c>
      <c r="K94" s="103">
        <v>0.43099999999999999</v>
      </c>
      <c r="L94" s="103">
        <v>0.62357311761045431</v>
      </c>
      <c r="M94" s="103">
        <v>0.31937469637720728</v>
      </c>
      <c r="N94" s="24">
        <v>0</v>
      </c>
      <c r="O94" s="105">
        <v>0</v>
      </c>
      <c r="P94" s="105">
        <f>1</f>
        <v>1</v>
      </c>
      <c r="Q94" s="106">
        <v>1</v>
      </c>
      <c r="R94" s="107">
        <v>0</v>
      </c>
      <c r="S94" s="107">
        <v>1</v>
      </c>
      <c r="T94" s="107">
        <v>1240</v>
      </c>
      <c r="U94" s="107">
        <v>330</v>
      </c>
    </row>
    <row r="95" spans="1:21" s="24" customFormat="1" x14ac:dyDescent="0.3">
      <c r="A95" s="103">
        <v>0</v>
      </c>
      <c r="B95" s="103">
        <v>0</v>
      </c>
      <c r="C95" s="103">
        <v>0</v>
      </c>
      <c r="D95" s="103">
        <v>0.28818690899999999</v>
      </c>
      <c r="E95" s="103">
        <v>0.4669999106657029</v>
      </c>
      <c r="F95" s="103">
        <v>0.33591455076966253</v>
      </c>
      <c r="G95" s="104">
        <v>0</v>
      </c>
      <c r="H95" s="103">
        <v>0</v>
      </c>
      <c r="I95" s="103">
        <v>0</v>
      </c>
      <c r="J95" s="103">
        <v>0.16800000000000001</v>
      </c>
      <c r="K95" s="103">
        <v>0.49800000000000005</v>
      </c>
      <c r="L95" s="103">
        <v>0.62135345364032357</v>
      </c>
      <c r="M95" s="103">
        <v>0.36329312911648609</v>
      </c>
      <c r="N95" s="24">
        <v>0</v>
      </c>
      <c r="O95" s="105">
        <v>0</v>
      </c>
      <c r="P95" s="105">
        <f>1</f>
        <v>1</v>
      </c>
      <c r="Q95" s="106">
        <v>1</v>
      </c>
      <c r="R95" s="107">
        <v>0</v>
      </c>
      <c r="S95" s="107">
        <v>1</v>
      </c>
      <c r="T95" s="107">
        <v>1240</v>
      </c>
      <c r="U95" s="107">
        <v>330</v>
      </c>
    </row>
    <row r="96" spans="1:21" s="24" customFormat="1" x14ac:dyDescent="0.3">
      <c r="A96" s="103">
        <v>0</v>
      </c>
      <c r="B96" s="103">
        <v>0</v>
      </c>
      <c r="C96" s="103">
        <v>0</v>
      </c>
      <c r="D96" s="103">
        <v>0.31947301099999997</v>
      </c>
      <c r="E96" s="103">
        <v>0.46500004060649869</v>
      </c>
      <c r="F96" s="103">
        <v>0.37238205352726989</v>
      </c>
      <c r="G96" s="104">
        <v>0</v>
      </c>
      <c r="H96" s="103">
        <v>0</v>
      </c>
      <c r="I96" s="103">
        <v>0</v>
      </c>
      <c r="J96" s="103">
        <v>0.20500000000000002</v>
      </c>
      <c r="K96" s="103">
        <v>0.53500000000000003</v>
      </c>
      <c r="L96" s="103">
        <v>0.60562912258867452</v>
      </c>
      <c r="M96" s="103">
        <v>0.38648346597418021</v>
      </c>
      <c r="N96" s="24">
        <v>0</v>
      </c>
      <c r="O96" s="105">
        <v>0</v>
      </c>
      <c r="P96" s="105">
        <f>1</f>
        <v>1</v>
      </c>
      <c r="Q96" s="106">
        <v>0.14925558578000001</v>
      </c>
      <c r="R96" s="107">
        <v>0</v>
      </c>
      <c r="S96" s="107">
        <v>1</v>
      </c>
      <c r="T96" s="107">
        <v>194.64011808999999</v>
      </c>
      <c r="U96" s="107">
        <v>330</v>
      </c>
    </row>
    <row r="97" spans="1:21" s="24" customFormat="1" x14ac:dyDescent="0.3">
      <c r="A97" s="103">
        <v>0</v>
      </c>
      <c r="B97" s="103">
        <v>0</v>
      </c>
      <c r="C97" s="103">
        <v>0</v>
      </c>
      <c r="D97" s="103">
        <v>0.353982937</v>
      </c>
      <c r="E97" s="103">
        <v>0.46500004060649869</v>
      </c>
      <c r="F97" s="103">
        <v>0.41260728905101229</v>
      </c>
      <c r="G97" s="104">
        <v>0</v>
      </c>
      <c r="H97" s="103">
        <v>0</v>
      </c>
      <c r="I97" s="103">
        <v>0</v>
      </c>
      <c r="J97" s="103">
        <v>0.23599999999999999</v>
      </c>
      <c r="K97" s="103">
        <v>0.55800000000000005</v>
      </c>
      <c r="L97" s="103">
        <v>0.60581767268201614</v>
      </c>
      <c r="M97" s="103">
        <v>0.39477331616827416</v>
      </c>
      <c r="N97" s="24">
        <v>0</v>
      </c>
      <c r="O97" s="105">
        <v>0</v>
      </c>
      <c r="P97" s="105">
        <f>1</f>
        <v>1</v>
      </c>
      <c r="Q97" s="106">
        <v>0</v>
      </c>
      <c r="R97" s="107">
        <v>0</v>
      </c>
      <c r="S97" s="107">
        <v>0.45274181287259513</v>
      </c>
      <c r="T97" s="107">
        <v>0</v>
      </c>
      <c r="U97" s="107">
        <v>128.65667970999999</v>
      </c>
    </row>
    <row r="98" spans="1:21" s="24" customFormat="1" x14ac:dyDescent="0.3">
      <c r="A98" s="103">
        <v>0</v>
      </c>
      <c r="B98" s="103">
        <v>0</v>
      </c>
      <c r="C98" s="103">
        <v>0</v>
      </c>
      <c r="D98" s="103">
        <v>0.36701989000000002</v>
      </c>
      <c r="E98" s="103">
        <v>0.445000121819496</v>
      </c>
      <c r="F98" s="103">
        <v>0.42780333742668714</v>
      </c>
      <c r="G98" s="104">
        <v>0</v>
      </c>
      <c r="H98" s="103">
        <v>0</v>
      </c>
      <c r="I98" s="103">
        <v>0</v>
      </c>
      <c r="J98" s="103">
        <v>0.25</v>
      </c>
      <c r="K98" s="103">
        <v>0.57599999999999996</v>
      </c>
      <c r="L98" s="103">
        <v>0.57914312383322963</v>
      </c>
      <c r="M98" s="103">
        <v>0.39723248950081613</v>
      </c>
      <c r="N98" s="24">
        <v>0</v>
      </c>
      <c r="O98" s="105">
        <v>0</v>
      </c>
      <c r="P98" s="105">
        <f>1</f>
        <v>1</v>
      </c>
      <c r="Q98" s="106">
        <v>0</v>
      </c>
      <c r="R98" s="107">
        <v>0</v>
      </c>
      <c r="S98" s="107">
        <v>0.58233433207805452</v>
      </c>
      <c r="T98" s="107">
        <v>0</v>
      </c>
      <c r="U98" s="107">
        <v>330</v>
      </c>
    </row>
    <row r="99" spans="1:21" s="24" customFormat="1" x14ac:dyDescent="0.3">
      <c r="A99" s="103">
        <v>0</v>
      </c>
      <c r="B99" s="103">
        <v>0</v>
      </c>
      <c r="C99" s="103">
        <v>0</v>
      </c>
      <c r="D99" s="103">
        <v>0.342508282</v>
      </c>
      <c r="E99" s="103">
        <v>0.41999991878700271</v>
      </c>
      <c r="F99" s="103">
        <v>0.39923227631036806</v>
      </c>
      <c r="G99" s="104">
        <v>0</v>
      </c>
      <c r="H99" s="103">
        <v>0</v>
      </c>
      <c r="I99" s="103">
        <v>0</v>
      </c>
      <c r="J99" s="103">
        <v>0.24299999999999999</v>
      </c>
      <c r="K99" s="103">
        <v>0.59099999999999997</v>
      </c>
      <c r="L99" s="103">
        <v>0.57756191661481027</v>
      </c>
      <c r="M99" s="103">
        <v>0.40193977309541473</v>
      </c>
      <c r="N99" s="24">
        <v>0</v>
      </c>
      <c r="O99" s="105">
        <v>0</v>
      </c>
      <c r="P99" s="105">
        <f>1</f>
        <v>1</v>
      </c>
      <c r="Q99" s="106">
        <v>0</v>
      </c>
      <c r="R99" s="107">
        <v>0</v>
      </c>
      <c r="S99" s="107">
        <v>0.58233433207805452</v>
      </c>
      <c r="T99" s="107">
        <v>0</v>
      </c>
      <c r="U99" s="107">
        <v>330</v>
      </c>
    </row>
    <row r="100" spans="1:21" s="24" customFormat="1" x14ac:dyDescent="0.3">
      <c r="A100" s="103">
        <v>0</v>
      </c>
      <c r="B100" s="103">
        <v>0</v>
      </c>
      <c r="C100" s="103">
        <v>0</v>
      </c>
      <c r="D100" s="103">
        <v>0.33470191500000002</v>
      </c>
      <c r="E100" s="103">
        <v>0.41900018678989387</v>
      </c>
      <c r="F100" s="103">
        <v>0.39013306957315952</v>
      </c>
      <c r="G100" s="104">
        <v>0</v>
      </c>
      <c r="H100" s="103">
        <v>0</v>
      </c>
      <c r="I100" s="103">
        <v>0</v>
      </c>
      <c r="J100" s="103">
        <v>0.24199999999999999</v>
      </c>
      <c r="K100" s="103">
        <v>0.59699999999999998</v>
      </c>
      <c r="L100" s="103">
        <v>0.58091039203484751</v>
      </c>
      <c r="M100" s="103">
        <v>0.40435105513429287</v>
      </c>
      <c r="N100" s="24">
        <v>0</v>
      </c>
      <c r="O100" s="105">
        <v>0</v>
      </c>
      <c r="P100" s="105">
        <f>1</f>
        <v>1</v>
      </c>
      <c r="Q100" s="106">
        <v>0</v>
      </c>
      <c r="R100" s="107">
        <v>0</v>
      </c>
      <c r="S100" s="107">
        <v>0.43258373855327792</v>
      </c>
      <c r="T100" s="107">
        <v>0</v>
      </c>
      <c r="U100" s="107">
        <v>97.336652130000004</v>
      </c>
    </row>
    <row r="101" spans="1:21" s="24" customFormat="1" x14ac:dyDescent="0.3">
      <c r="A101" s="103">
        <v>0</v>
      </c>
      <c r="B101" s="103">
        <v>0</v>
      </c>
      <c r="C101" s="103">
        <v>0</v>
      </c>
      <c r="D101" s="103">
        <v>0.35738882900000002</v>
      </c>
      <c r="E101" s="103">
        <v>0.40700015430469494</v>
      </c>
      <c r="F101" s="103">
        <v>0.41657724273530677</v>
      </c>
      <c r="G101" s="104">
        <v>0</v>
      </c>
      <c r="H101" s="103">
        <v>0</v>
      </c>
      <c r="I101" s="103">
        <v>0</v>
      </c>
      <c r="J101" s="103">
        <v>0.26200000000000001</v>
      </c>
      <c r="K101" s="103">
        <v>0.58299999999999996</v>
      </c>
      <c r="L101" s="103">
        <v>0.58569010578718106</v>
      </c>
      <c r="M101" s="103">
        <v>0.39393186500311622</v>
      </c>
      <c r="N101" s="24">
        <v>0</v>
      </c>
      <c r="O101" s="105">
        <v>0</v>
      </c>
      <c r="P101" s="105">
        <f>1</f>
        <v>1</v>
      </c>
      <c r="Q101" s="106">
        <v>0</v>
      </c>
      <c r="R101" s="107">
        <v>0</v>
      </c>
      <c r="S101" s="107">
        <v>0.36993432874453297</v>
      </c>
      <c r="T101" s="107">
        <v>0</v>
      </c>
      <c r="U101" s="107">
        <v>0</v>
      </c>
    </row>
    <row r="102" spans="1:21" s="24" customFormat="1" x14ac:dyDescent="0.3">
      <c r="A102" s="103">
        <v>0</v>
      </c>
      <c r="B102" s="103">
        <v>0</v>
      </c>
      <c r="C102" s="103">
        <v>0</v>
      </c>
      <c r="D102" s="103">
        <v>0.41485719700000001</v>
      </c>
      <c r="E102" s="103">
        <v>0.4010001380620955</v>
      </c>
      <c r="F102" s="103">
        <v>0.48356314812279144</v>
      </c>
      <c r="G102" s="104">
        <v>0</v>
      </c>
      <c r="H102" s="103">
        <v>0</v>
      </c>
      <c r="I102" s="103">
        <v>0</v>
      </c>
      <c r="J102" s="103">
        <v>0.28300000000000003</v>
      </c>
      <c r="K102" s="103">
        <v>0.56299999999999994</v>
      </c>
      <c r="L102" s="103">
        <v>0.58854075917859361</v>
      </c>
      <c r="M102" s="103">
        <v>0.37934732127971504</v>
      </c>
      <c r="N102" s="24">
        <v>0</v>
      </c>
      <c r="O102" s="105">
        <v>0</v>
      </c>
      <c r="P102" s="105">
        <f>1</f>
        <v>1</v>
      </c>
      <c r="Q102" s="106">
        <v>0</v>
      </c>
      <c r="R102" s="107">
        <v>0</v>
      </c>
      <c r="S102" s="107">
        <v>0.58203833535315441</v>
      </c>
      <c r="T102" s="107">
        <v>0</v>
      </c>
      <c r="U102" s="107">
        <v>330</v>
      </c>
    </row>
    <row r="103" spans="1:21" s="24" customFormat="1" x14ac:dyDescent="0.3">
      <c r="A103" s="103">
        <v>0</v>
      </c>
      <c r="B103" s="103">
        <v>0</v>
      </c>
      <c r="C103" s="103">
        <v>0</v>
      </c>
      <c r="D103" s="103">
        <v>0.47076277500000002</v>
      </c>
      <c r="E103" s="103">
        <v>0.39800012994079575</v>
      </c>
      <c r="F103" s="103">
        <v>0.54872744439340493</v>
      </c>
      <c r="G103" s="104">
        <v>0</v>
      </c>
      <c r="H103" s="103">
        <v>0</v>
      </c>
      <c r="I103" s="103">
        <v>0</v>
      </c>
      <c r="J103" s="103">
        <v>0.3</v>
      </c>
      <c r="K103" s="103">
        <v>0.55700000000000005</v>
      </c>
      <c r="L103" s="103">
        <v>0.58027442439327936</v>
      </c>
      <c r="M103" s="103">
        <v>0.37455350769253604</v>
      </c>
      <c r="N103" s="24">
        <v>0</v>
      </c>
      <c r="O103" s="105">
        <v>0</v>
      </c>
      <c r="P103" s="105">
        <f>1</f>
        <v>1</v>
      </c>
      <c r="Q103" s="106">
        <v>0</v>
      </c>
      <c r="R103" s="107">
        <v>0</v>
      </c>
      <c r="S103" s="107">
        <v>0.58144634189691791</v>
      </c>
      <c r="T103" s="107">
        <v>0</v>
      </c>
      <c r="U103" s="107">
        <v>330</v>
      </c>
    </row>
    <row r="104" spans="1:21" s="24" customFormat="1" x14ac:dyDescent="0.3">
      <c r="A104" s="103">
        <v>0</v>
      </c>
      <c r="B104" s="103">
        <v>0</v>
      </c>
      <c r="C104" s="103">
        <v>0</v>
      </c>
      <c r="D104" s="103">
        <v>0.49756946400000002</v>
      </c>
      <c r="E104" s="103">
        <v>0.40199987005920429</v>
      </c>
      <c r="F104" s="103">
        <v>0.57997368289987727</v>
      </c>
      <c r="G104" s="104">
        <v>0</v>
      </c>
      <c r="H104" s="103">
        <v>0</v>
      </c>
      <c r="I104" s="103">
        <v>0</v>
      </c>
      <c r="J104" s="103">
        <v>0.29299999999999998</v>
      </c>
      <c r="K104" s="103">
        <v>0.56100000000000005</v>
      </c>
      <c r="L104" s="103">
        <v>0.57440510267579337</v>
      </c>
      <c r="M104" s="103">
        <v>0.37719064248879658</v>
      </c>
      <c r="N104" s="24">
        <v>0</v>
      </c>
      <c r="O104" s="105">
        <v>0</v>
      </c>
      <c r="P104" s="105">
        <f>1</f>
        <v>1</v>
      </c>
      <c r="Q104" s="106">
        <v>0</v>
      </c>
      <c r="R104" s="107">
        <v>0</v>
      </c>
      <c r="S104" s="107">
        <v>0.36875034183849625</v>
      </c>
      <c r="T104" s="107">
        <v>0</v>
      </c>
      <c r="U104" s="107">
        <v>0</v>
      </c>
    </row>
    <row r="105" spans="1:21" s="24" customFormat="1" x14ac:dyDescent="0.3">
      <c r="A105" s="103">
        <v>0</v>
      </c>
      <c r="B105" s="103">
        <v>0</v>
      </c>
      <c r="C105" s="103">
        <v>0</v>
      </c>
      <c r="D105" s="103">
        <v>0.51359013099999995</v>
      </c>
      <c r="E105" s="103">
        <v>0.40900002436389921</v>
      </c>
      <c r="F105" s="103">
        <v>0.59864758858493861</v>
      </c>
      <c r="G105" s="104">
        <v>0</v>
      </c>
      <c r="H105" s="103">
        <v>0</v>
      </c>
      <c r="I105" s="103">
        <v>0</v>
      </c>
      <c r="J105" s="103">
        <v>0.27099999999999996</v>
      </c>
      <c r="K105" s="103">
        <v>0.53800000000000003</v>
      </c>
      <c r="L105" s="103">
        <v>0.55938207840696952</v>
      </c>
      <c r="M105" s="103">
        <v>0.36183307578453777</v>
      </c>
      <c r="N105" s="24">
        <v>0</v>
      </c>
      <c r="O105" s="105">
        <v>0</v>
      </c>
      <c r="P105" s="105">
        <f>1</f>
        <v>1</v>
      </c>
      <c r="Q105" s="106">
        <v>0</v>
      </c>
      <c r="R105" s="107">
        <v>0</v>
      </c>
      <c r="S105" s="107">
        <v>0.3684543451135962</v>
      </c>
      <c r="T105" s="107">
        <v>0</v>
      </c>
      <c r="U105" s="107">
        <v>0</v>
      </c>
    </row>
    <row r="106" spans="1:21" s="24" customFormat="1" x14ac:dyDescent="0.3">
      <c r="A106" s="103">
        <v>0</v>
      </c>
      <c r="B106" s="103">
        <v>0</v>
      </c>
      <c r="C106" s="103">
        <v>0</v>
      </c>
      <c r="D106" s="103">
        <v>0.54317550699999995</v>
      </c>
      <c r="E106" s="103">
        <v>0.42100005684909814</v>
      </c>
      <c r="F106" s="103">
        <v>0.63896250524552145</v>
      </c>
      <c r="G106" s="104">
        <v>0</v>
      </c>
      <c r="H106" s="103">
        <v>0</v>
      </c>
      <c r="I106" s="103">
        <v>0</v>
      </c>
      <c r="J106" s="103">
        <v>0.27699999999999997</v>
      </c>
      <c r="K106" s="103">
        <v>0.501</v>
      </c>
      <c r="L106" s="103">
        <v>0.54305164903546976</v>
      </c>
      <c r="M106" s="103">
        <v>0.33695295803650388</v>
      </c>
      <c r="N106" s="24">
        <v>0</v>
      </c>
      <c r="O106" s="105">
        <v>0</v>
      </c>
      <c r="P106" s="105">
        <f>1</f>
        <v>1</v>
      </c>
      <c r="Q106" s="106">
        <v>0</v>
      </c>
      <c r="R106" s="107">
        <v>0</v>
      </c>
      <c r="S106" s="107">
        <v>0.3684543451135962</v>
      </c>
      <c r="T106" s="107">
        <v>0</v>
      </c>
      <c r="U106" s="107">
        <v>0</v>
      </c>
    </row>
    <row r="107" spans="1:21" s="24" customFormat="1" x14ac:dyDescent="0.3">
      <c r="A107" s="103">
        <v>6.3E-2</v>
      </c>
      <c r="B107" s="103">
        <v>1.9E-2</v>
      </c>
      <c r="C107" s="103">
        <v>7.1999999999999897E-2</v>
      </c>
      <c r="D107" s="103">
        <v>0.57570690099999999</v>
      </c>
      <c r="E107" s="103">
        <v>0.42700007309169763</v>
      </c>
      <c r="F107" s="103">
        <v>0.82807058061079741</v>
      </c>
      <c r="G107" s="104">
        <v>0</v>
      </c>
      <c r="H107" s="103">
        <v>4.7999999999999994E-2</v>
      </c>
      <c r="I107" s="103">
        <v>3.1000000000000003E-2</v>
      </c>
      <c r="J107" s="103">
        <v>0.311</v>
      </c>
      <c r="K107" s="103">
        <v>0.47000000000000003</v>
      </c>
      <c r="L107" s="103">
        <v>0.54292283758556314</v>
      </c>
      <c r="M107" s="103">
        <v>0.38874320193411488</v>
      </c>
      <c r="N107" s="24">
        <v>0</v>
      </c>
      <c r="O107" s="105">
        <v>0</v>
      </c>
      <c r="P107" s="105">
        <f>1</f>
        <v>1</v>
      </c>
      <c r="Q107" s="106">
        <v>0</v>
      </c>
      <c r="R107" s="107">
        <v>0</v>
      </c>
      <c r="S107" s="107">
        <v>0.15605434178007468</v>
      </c>
      <c r="T107" s="107">
        <v>0</v>
      </c>
      <c r="U107" s="107">
        <v>0</v>
      </c>
    </row>
    <row r="108" spans="1:21" s="24" customFormat="1" x14ac:dyDescent="0.3">
      <c r="A108" s="103">
        <v>0.187</v>
      </c>
      <c r="B108" s="103">
        <v>0.05</v>
      </c>
      <c r="C108" s="103">
        <v>0.19600000000000001</v>
      </c>
      <c r="D108" s="103">
        <v>0.61551767300000004</v>
      </c>
      <c r="E108" s="103">
        <v>0.41200003248519895</v>
      </c>
      <c r="F108" s="103">
        <v>1</v>
      </c>
      <c r="G108" s="104">
        <v>0.12310887211795472</v>
      </c>
      <c r="H108" s="103">
        <v>0.19499999999999998</v>
      </c>
      <c r="I108" s="103">
        <v>0.125</v>
      </c>
      <c r="J108" s="103">
        <v>0.36499999999999999</v>
      </c>
      <c r="K108" s="103">
        <v>0.435</v>
      </c>
      <c r="L108" s="103">
        <v>0.54569943995021775</v>
      </c>
      <c r="M108" s="103">
        <v>0.59005906231696093</v>
      </c>
      <c r="N108" s="24">
        <v>0</v>
      </c>
      <c r="O108" s="105">
        <v>0</v>
      </c>
      <c r="P108" s="105">
        <f>1</f>
        <v>1</v>
      </c>
      <c r="Q108" s="106">
        <v>0</v>
      </c>
      <c r="R108" s="107">
        <v>0</v>
      </c>
      <c r="S108" s="107">
        <v>0.15605434178007468</v>
      </c>
      <c r="T108" s="107">
        <v>0</v>
      </c>
      <c r="U108" s="107">
        <v>0</v>
      </c>
    </row>
    <row r="109" spans="1:21" s="24" customFormat="1" x14ac:dyDescent="0.3">
      <c r="A109" s="103">
        <v>0.27200000000000002</v>
      </c>
      <c r="B109" s="103">
        <v>9.3000000000000013E-2</v>
      </c>
      <c r="C109" s="103">
        <v>0.313</v>
      </c>
      <c r="D109" s="103">
        <v>0.64408793200000003</v>
      </c>
      <c r="E109" s="103">
        <v>0.40400014618339519</v>
      </c>
      <c r="F109" s="103">
        <v>1</v>
      </c>
      <c r="G109" s="104">
        <v>0.32492136060707877</v>
      </c>
      <c r="H109" s="103">
        <v>0.34699999999999998</v>
      </c>
      <c r="I109" s="103">
        <v>0.22799999999999998</v>
      </c>
      <c r="J109" s="103">
        <v>0.499</v>
      </c>
      <c r="K109" s="103">
        <v>0.39999999999999997</v>
      </c>
      <c r="L109" s="103">
        <v>0.55619228375855634</v>
      </c>
      <c r="M109" s="103">
        <v>0.80423682013236386</v>
      </c>
      <c r="N109" s="24">
        <v>0</v>
      </c>
      <c r="O109" s="105">
        <v>0</v>
      </c>
      <c r="P109" s="105">
        <f>1</f>
        <v>1</v>
      </c>
      <c r="Q109" s="106">
        <v>0</v>
      </c>
      <c r="R109" s="107">
        <v>0</v>
      </c>
      <c r="S109" s="107">
        <v>0.15635033850497476</v>
      </c>
      <c r="T109" s="107">
        <v>0</v>
      </c>
      <c r="U109" s="107">
        <v>0</v>
      </c>
    </row>
    <row r="110" spans="1:21" s="24" customFormat="1" x14ac:dyDescent="0.3">
      <c r="A110" s="103">
        <v>0.32200000000000001</v>
      </c>
      <c r="B110" s="103">
        <v>0.14099999999999902</v>
      </c>
      <c r="C110" s="103">
        <v>0.40600000000000003</v>
      </c>
      <c r="D110" s="103">
        <v>0.67036331400000004</v>
      </c>
      <c r="E110" s="103">
        <v>0.39899986193790454</v>
      </c>
      <c r="F110" s="103">
        <v>1</v>
      </c>
      <c r="G110" s="104">
        <v>0.47353348652679855</v>
      </c>
      <c r="H110" s="103">
        <v>0.45299999999999996</v>
      </c>
      <c r="I110" s="103">
        <v>0.29500000000000004</v>
      </c>
      <c r="J110" s="103">
        <v>0.57299999999999995</v>
      </c>
      <c r="K110" s="103">
        <v>0.375</v>
      </c>
      <c r="L110" s="103">
        <v>0.55786309894212815</v>
      </c>
      <c r="M110" s="103">
        <v>0.94993070514646094</v>
      </c>
      <c r="N110" s="24">
        <v>0</v>
      </c>
      <c r="O110" s="105">
        <v>0</v>
      </c>
      <c r="P110" s="105">
        <f>1</f>
        <v>1</v>
      </c>
      <c r="Q110" s="106">
        <v>0</v>
      </c>
      <c r="R110" s="107">
        <v>0</v>
      </c>
      <c r="S110" s="107">
        <v>0.15664633522987487</v>
      </c>
      <c r="T110" s="107">
        <v>0</v>
      </c>
      <c r="U110" s="107">
        <v>0</v>
      </c>
    </row>
    <row r="111" spans="1:21" s="24" customFormat="1" x14ac:dyDescent="0.3">
      <c r="A111" s="103">
        <v>0.34499999999999997</v>
      </c>
      <c r="B111" s="103">
        <v>0.17800000000000002</v>
      </c>
      <c r="C111" s="103">
        <v>0.44900000000000001</v>
      </c>
      <c r="D111" s="103">
        <v>0.68859970000000004</v>
      </c>
      <c r="E111" s="103">
        <v>0.38699982945270561</v>
      </c>
      <c r="F111" s="103">
        <v>1</v>
      </c>
      <c r="G111" s="104">
        <v>0.54744899019938698</v>
      </c>
      <c r="H111" s="103">
        <v>0.498</v>
      </c>
      <c r="I111" s="103">
        <v>0.318</v>
      </c>
      <c r="J111" s="103">
        <v>0.61399999999999999</v>
      </c>
      <c r="K111" s="103">
        <v>0.37</v>
      </c>
      <c r="L111" s="103">
        <v>0.54186247666459242</v>
      </c>
      <c r="M111" s="103">
        <v>1</v>
      </c>
      <c r="N111" s="24">
        <v>1.2947126319706735E-2</v>
      </c>
      <c r="O111" s="105">
        <v>0</v>
      </c>
      <c r="P111" s="105">
        <f>1</f>
        <v>1</v>
      </c>
      <c r="Q111" s="106">
        <v>0</v>
      </c>
      <c r="R111" s="107">
        <v>0</v>
      </c>
      <c r="S111" s="107">
        <v>0.15664633522987487</v>
      </c>
      <c r="T111" s="107">
        <v>0</v>
      </c>
      <c r="U111" s="107">
        <v>0</v>
      </c>
    </row>
    <row r="112" spans="1:21" s="24" customFormat="1" x14ac:dyDescent="0.3">
      <c r="A112" s="103">
        <v>0.35</v>
      </c>
      <c r="B112" s="103">
        <v>0.184</v>
      </c>
      <c r="C112" s="103">
        <v>0.43200000000000005</v>
      </c>
      <c r="D112" s="103">
        <v>0.69667436500000002</v>
      </c>
      <c r="E112" s="103">
        <v>0.39099997563610084</v>
      </c>
      <c r="F112" s="103">
        <v>1</v>
      </c>
      <c r="G112" s="104">
        <v>0.54326682453228248</v>
      </c>
      <c r="H112" s="103">
        <v>0.47599999999999992</v>
      </c>
      <c r="I112" s="103">
        <v>0.29199999999999998</v>
      </c>
      <c r="J112" s="103">
        <v>0.627</v>
      </c>
      <c r="K112" s="103">
        <v>0.36699999999999999</v>
      </c>
      <c r="L112" s="103">
        <v>0.54720597386434355</v>
      </c>
      <c r="M112" s="103">
        <v>0.96232817523341752</v>
      </c>
      <c r="N112" s="24">
        <v>0</v>
      </c>
      <c r="O112" s="105">
        <v>0</v>
      </c>
      <c r="P112" s="105">
        <f>1</f>
        <v>1</v>
      </c>
      <c r="Q112" s="106">
        <v>0</v>
      </c>
      <c r="R112" s="107">
        <v>0</v>
      </c>
      <c r="S112" s="107">
        <v>0.15635033850497476</v>
      </c>
      <c r="T112" s="107">
        <v>0</v>
      </c>
      <c r="U112" s="107">
        <v>0</v>
      </c>
    </row>
    <row r="113" spans="1:21" s="24" customFormat="1" x14ac:dyDescent="0.3">
      <c r="A113" s="103">
        <v>0.32100000000000001</v>
      </c>
      <c r="B113" s="103">
        <v>0.14899999999999902</v>
      </c>
      <c r="C113" s="103">
        <v>0.33500000000000002</v>
      </c>
      <c r="D113" s="103">
        <v>0.68744846599999998</v>
      </c>
      <c r="E113" s="103">
        <v>0.38600009745559682</v>
      </c>
      <c r="F113" s="103">
        <v>1</v>
      </c>
      <c r="G113" s="104">
        <v>0.42522351505304395</v>
      </c>
      <c r="H113" s="103">
        <v>0.38700000000000001</v>
      </c>
      <c r="I113" s="103">
        <v>0.22500000000000001</v>
      </c>
      <c r="J113" s="103">
        <v>0.60099999999999998</v>
      </c>
      <c r="K113" s="103">
        <v>0.36799999999999999</v>
      </c>
      <c r="L113" s="103">
        <v>0.55132482887367773</v>
      </c>
      <c r="M113" s="103">
        <v>0.81669089114527371</v>
      </c>
      <c r="N113" s="24">
        <v>0</v>
      </c>
      <c r="O113" s="105">
        <v>0</v>
      </c>
      <c r="P113" s="105">
        <f>1</f>
        <v>1</v>
      </c>
      <c r="Q113" s="106">
        <v>0</v>
      </c>
      <c r="R113" s="107">
        <v>0</v>
      </c>
      <c r="S113" s="107">
        <v>0.15605434178007468</v>
      </c>
      <c r="T113" s="107">
        <v>0</v>
      </c>
      <c r="U113" s="107">
        <v>0</v>
      </c>
    </row>
    <row r="114" spans="1:21" s="24" customFormat="1" x14ac:dyDescent="0.3">
      <c r="A114" s="103">
        <v>0.22800000000000001</v>
      </c>
      <c r="B114" s="103">
        <v>8.4000000000000005E-2</v>
      </c>
      <c r="C114" s="103">
        <v>0.2</v>
      </c>
      <c r="D114" s="103">
        <v>0.67320856200000001</v>
      </c>
      <c r="E114" s="103">
        <v>0.39899986193790454</v>
      </c>
      <c r="F114" s="103">
        <v>1</v>
      </c>
      <c r="G114" s="104">
        <v>0.21334228711355374</v>
      </c>
      <c r="H114" s="103">
        <v>0.25700000000000001</v>
      </c>
      <c r="I114" s="103">
        <v>0.13400000000000001</v>
      </c>
      <c r="J114" s="103">
        <v>0.55999999999999994</v>
      </c>
      <c r="K114" s="103">
        <v>0.36799999999999999</v>
      </c>
      <c r="L114" s="103">
        <v>0.54871935283136286</v>
      </c>
      <c r="M114" s="103">
        <v>0.61136237513191871</v>
      </c>
      <c r="N114" s="24">
        <v>0</v>
      </c>
      <c r="O114" s="105">
        <v>0</v>
      </c>
      <c r="P114" s="105">
        <f>1</f>
        <v>1</v>
      </c>
      <c r="Q114" s="106">
        <v>0</v>
      </c>
      <c r="R114" s="107">
        <v>0</v>
      </c>
      <c r="S114" s="107">
        <v>0.15605434178007468</v>
      </c>
      <c r="T114" s="107">
        <v>0</v>
      </c>
      <c r="U114" s="107">
        <v>0</v>
      </c>
    </row>
    <row r="115" spans="1:21" s="24" customFormat="1" x14ac:dyDescent="0.3">
      <c r="A115" s="103">
        <v>5.8000000000000003E-2</v>
      </c>
      <c r="B115" s="103">
        <v>1.09999999999999E-2</v>
      </c>
      <c r="C115" s="103">
        <v>5.5999999999999994E-2</v>
      </c>
      <c r="D115" s="103">
        <v>0.61049664199999998</v>
      </c>
      <c r="E115" s="103">
        <v>0.44999999999999996</v>
      </c>
      <c r="F115" s="103">
        <v>0.8452555805706442</v>
      </c>
      <c r="G115" s="104">
        <v>0</v>
      </c>
      <c r="H115" s="103">
        <v>0.11</v>
      </c>
      <c r="I115" s="103">
        <v>4.7000000000000007E-2</v>
      </c>
      <c r="J115" s="103">
        <v>0.33200000000000002</v>
      </c>
      <c r="K115" s="103">
        <v>0.36899999999999999</v>
      </c>
      <c r="L115" s="103">
        <v>0.55333229620410707</v>
      </c>
      <c r="M115" s="103">
        <v>0.39376936384745509</v>
      </c>
      <c r="N115" s="24">
        <v>0</v>
      </c>
      <c r="O115" s="105">
        <v>0</v>
      </c>
      <c r="P115" s="105">
        <f>1</f>
        <v>1</v>
      </c>
      <c r="Q115" s="106">
        <v>0</v>
      </c>
      <c r="R115" s="107">
        <v>0</v>
      </c>
      <c r="S115" s="107">
        <v>0.3684543451135962</v>
      </c>
      <c r="T115" s="107">
        <v>0</v>
      </c>
      <c r="U115" s="107">
        <v>0</v>
      </c>
    </row>
    <row r="116" spans="1:21" s="24" customFormat="1" x14ac:dyDescent="0.3">
      <c r="A116" s="103">
        <v>0</v>
      </c>
      <c r="B116" s="103">
        <v>0</v>
      </c>
      <c r="C116" s="103">
        <v>0</v>
      </c>
      <c r="D116" s="103">
        <v>0.53394372199999995</v>
      </c>
      <c r="E116" s="103">
        <v>0.45900002436389925</v>
      </c>
      <c r="F116" s="103">
        <v>0.62253000088141097</v>
      </c>
      <c r="G116" s="104">
        <v>0</v>
      </c>
      <c r="H116" s="103">
        <v>0</v>
      </c>
      <c r="I116" s="103">
        <v>0</v>
      </c>
      <c r="J116" s="103">
        <v>0.16999999999999998</v>
      </c>
      <c r="K116" s="103">
        <v>0.36099999999999999</v>
      </c>
      <c r="L116" s="103">
        <v>0.56475980087118849</v>
      </c>
      <c r="M116" s="103">
        <v>0.24944872624187564</v>
      </c>
      <c r="N116" s="24">
        <v>0</v>
      </c>
      <c r="O116" s="105">
        <v>0</v>
      </c>
      <c r="P116" s="105">
        <f>1</f>
        <v>1</v>
      </c>
      <c r="Q116" s="106">
        <v>0</v>
      </c>
      <c r="R116" s="107">
        <v>0</v>
      </c>
      <c r="S116" s="107">
        <v>0.36875034183849625</v>
      </c>
      <c r="T116" s="107">
        <v>0</v>
      </c>
      <c r="U116" s="107">
        <v>0</v>
      </c>
    </row>
    <row r="117" spans="1:21" s="24" customFormat="1" x14ac:dyDescent="0.3">
      <c r="A117" s="103">
        <v>0</v>
      </c>
      <c r="B117" s="103">
        <v>0</v>
      </c>
      <c r="C117" s="103">
        <v>0</v>
      </c>
      <c r="D117" s="103">
        <v>0.48341007800000002</v>
      </c>
      <c r="E117" s="103">
        <v>0.46000016242599473</v>
      </c>
      <c r="F117" s="103">
        <v>0.56346931147000001</v>
      </c>
      <c r="G117" s="104">
        <v>0</v>
      </c>
      <c r="H117" s="103">
        <v>0</v>
      </c>
      <c r="I117" s="103">
        <v>0</v>
      </c>
      <c r="J117" s="103">
        <v>0.13899999999999998</v>
      </c>
      <c r="K117" s="103">
        <v>0.33900000000000002</v>
      </c>
      <c r="L117" s="103">
        <v>0.57456378344741754</v>
      </c>
      <c r="M117" s="103">
        <v>0.22885969266953554</v>
      </c>
      <c r="N117" s="24">
        <v>0</v>
      </c>
      <c r="O117" s="105">
        <v>0</v>
      </c>
      <c r="P117" s="105">
        <f>1</f>
        <v>1</v>
      </c>
      <c r="Q117" s="106">
        <v>0</v>
      </c>
      <c r="R117" s="107">
        <v>0</v>
      </c>
      <c r="S117" s="107">
        <v>0.58144634189691791</v>
      </c>
      <c r="T117" s="107">
        <v>0</v>
      </c>
      <c r="U117" s="107">
        <v>330</v>
      </c>
    </row>
    <row r="118" spans="1:21" s="24" customFormat="1" x14ac:dyDescent="0.3">
      <c r="A118" s="103">
        <v>0</v>
      </c>
      <c r="B118" s="103">
        <v>0</v>
      </c>
      <c r="C118" s="103">
        <v>0</v>
      </c>
      <c r="D118" s="103">
        <v>0.46995061100000002</v>
      </c>
      <c r="E118" s="103">
        <v>0.46000016242599473</v>
      </c>
      <c r="F118" s="103">
        <v>0.54778077507328216</v>
      </c>
      <c r="G118" s="104">
        <v>0</v>
      </c>
      <c r="H118" s="103">
        <v>0</v>
      </c>
      <c r="I118" s="103">
        <v>0</v>
      </c>
      <c r="J118" s="103">
        <v>0.151</v>
      </c>
      <c r="K118" s="103">
        <v>0.315</v>
      </c>
      <c r="L118" s="103">
        <v>0.56778158058494088</v>
      </c>
      <c r="M118" s="103">
        <v>0.21291006098916754</v>
      </c>
      <c r="N118" s="24">
        <v>0</v>
      </c>
      <c r="O118" s="105">
        <v>0</v>
      </c>
      <c r="P118" s="105">
        <f>1</f>
        <v>1</v>
      </c>
      <c r="Q118" s="106">
        <v>0</v>
      </c>
      <c r="R118" s="107">
        <v>0</v>
      </c>
      <c r="S118" s="107">
        <v>0.58174233862181801</v>
      </c>
      <c r="T118" s="107">
        <v>0</v>
      </c>
      <c r="U118" s="107">
        <v>330</v>
      </c>
    </row>
    <row r="119" spans="1:21" s="24" customFormat="1" x14ac:dyDescent="0.3">
      <c r="A119" s="103">
        <v>0</v>
      </c>
      <c r="B119" s="103">
        <v>0</v>
      </c>
      <c r="C119" s="103">
        <v>0</v>
      </c>
      <c r="D119" s="103">
        <v>0.47026385700000001</v>
      </c>
      <c r="E119" s="103">
        <v>0.45799988630180372</v>
      </c>
      <c r="F119" s="103">
        <v>0.54814589883874232</v>
      </c>
      <c r="G119" s="104">
        <v>0</v>
      </c>
      <c r="H119" s="103">
        <v>0</v>
      </c>
      <c r="I119" s="103">
        <v>0</v>
      </c>
      <c r="J119" s="103">
        <v>0.191</v>
      </c>
      <c r="K119" s="103">
        <v>0.28500000000000003</v>
      </c>
      <c r="L119" s="103">
        <v>0.56755880522713131</v>
      </c>
      <c r="M119" s="103">
        <v>0.19269104318801009</v>
      </c>
      <c r="N119" s="24">
        <v>0</v>
      </c>
      <c r="O119" s="105">
        <v>0</v>
      </c>
      <c r="P119" s="105">
        <f>1</f>
        <v>1</v>
      </c>
      <c r="Q119" s="106">
        <v>0</v>
      </c>
      <c r="R119" s="107">
        <v>0</v>
      </c>
      <c r="S119" s="107">
        <v>0.36963833201963286</v>
      </c>
      <c r="T119" s="107">
        <v>0</v>
      </c>
      <c r="U119" s="107">
        <v>0</v>
      </c>
    </row>
    <row r="120" spans="1:21" s="24" customFormat="1" x14ac:dyDescent="0.3">
      <c r="A120" s="103">
        <v>0</v>
      </c>
      <c r="B120" s="103">
        <v>0</v>
      </c>
      <c r="C120" s="103">
        <v>0</v>
      </c>
      <c r="D120" s="103">
        <v>0.469347454</v>
      </c>
      <c r="E120" s="103">
        <v>0.45199987005920433</v>
      </c>
      <c r="F120" s="103">
        <v>0.54707772713331282</v>
      </c>
      <c r="G120" s="104">
        <v>0</v>
      </c>
      <c r="H120" s="103">
        <v>0</v>
      </c>
      <c r="I120" s="103">
        <v>0</v>
      </c>
      <c r="J120" s="103">
        <v>0.23899999999999999</v>
      </c>
      <c r="K120" s="103">
        <v>0.246</v>
      </c>
      <c r="L120" s="103">
        <v>0.55865525824517737</v>
      </c>
      <c r="M120" s="103">
        <v>0.16659630499599345</v>
      </c>
      <c r="N120" s="24">
        <v>0</v>
      </c>
      <c r="O120" s="105">
        <v>0</v>
      </c>
      <c r="P120" s="105">
        <f>1</f>
        <v>1</v>
      </c>
      <c r="Q120" s="106">
        <v>0</v>
      </c>
      <c r="R120" s="107">
        <v>0</v>
      </c>
      <c r="S120" s="107">
        <v>0.58233433207805452</v>
      </c>
      <c r="T120" s="107">
        <v>0</v>
      </c>
      <c r="U120" s="107">
        <v>330</v>
      </c>
    </row>
    <row r="121" spans="1:21" s="24" customFormat="1" x14ac:dyDescent="0.3">
      <c r="A121" s="103">
        <v>0</v>
      </c>
      <c r="B121" s="103">
        <v>0</v>
      </c>
      <c r="C121" s="103">
        <v>0</v>
      </c>
      <c r="D121" s="103">
        <v>0.47874165400000002</v>
      </c>
      <c r="E121" s="103">
        <v>0.43499995939350139</v>
      </c>
      <c r="F121" s="103">
        <v>0.55802773344619627</v>
      </c>
      <c r="G121" s="104">
        <v>0</v>
      </c>
      <c r="H121" s="103">
        <v>0</v>
      </c>
      <c r="I121" s="103">
        <v>0</v>
      </c>
      <c r="J121" s="103">
        <v>0.27200000000000002</v>
      </c>
      <c r="K121" s="103">
        <v>0.21199999999999999</v>
      </c>
      <c r="L121" s="103">
        <v>0.55756129433727442</v>
      </c>
      <c r="M121" s="103">
        <v>0.14411261575129841</v>
      </c>
      <c r="N121" s="24">
        <v>0</v>
      </c>
      <c r="O121" s="105">
        <v>0</v>
      </c>
      <c r="P121" s="105">
        <f>1</f>
        <v>1</v>
      </c>
      <c r="Q121" s="106">
        <v>0</v>
      </c>
      <c r="R121" s="107">
        <v>0</v>
      </c>
      <c r="S121" s="107">
        <v>0.36993432874453297</v>
      </c>
      <c r="T121" s="107">
        <v>0</v>
      </c>
      <c r="U121" s="107">
        <v>0</v>
      </c>
    </row>
    <row r="122" spans="1:21" s="24" customFormat="1" x14ac:dyDescent="0.3">
      <c r="A122" s="103">
        <v>0</v>
      </c>
      <c r="B122" s="103">
        <v>0</v>
      </c>
      <c r="C122" s="103">
        <v>0</v>
      </c>
      <c r="D122" s="103">
        <v>0.49302268599999999</v>
      </c>
      <c r="E122" s="103">
        <v>0.3600001624259947</v>
      </c>
      <c r="F122" s="103">
        <v>0.57467389709552152</v>
      </c>
      <c r="G122" s="104">
        <v>0</v>
      </c>
      <c r="H122" s="103">
        <v>0</v>
      </c>
      <c r="I122" s="103">
        <v>0</v>
      </c>
      <c r="J122" s="103">
        <v>0.28099999999999997</v>
      </c>
      <c r="K122" s="103">
        <v>0.17899999999999999</v>
      </c>
      <c r="L122" s="103">
        <v>0.5449396390790292</v>
      </c>
      <c r="M122" s="103">
        <v>0.12256720288084286</v>
      </c>
      <c r="N122" s="24">
        <v>0</v>
      </c>
      <c r="O122" s="105">
        <v>0</v>
      </c>
      <c r="P122" s="105">
        <f>1</f>
        <v>1</v>
      </c>
      <c r="Q122" s="106">
        <v>0</v>
      </c>
      <c r="R122" s="107">
        <v>0</v>
      </c>
      <c r="S122" s="107">
        <v>0.15758813974523786</v>
      </c>
      <c r="T122" s="107">
        <v>0</v>
      </c>
      <c r="U122" s="107">
        <v>0</v>
      </c>
    </row>
    <row r="123" spans="1:21" s="24" customFormat="1" x14ac:dyDescent="0.3">
      <c r="A123" s="103">
        <v>0</v>
      </c>
      <c r="B123" s="103">
        <v>0</v>
      </c>
      <c r="C123" s="103">
        <v>0</v>
      </c>
      <c r="D123" s="103">
        <v>0.493862256</v>
      </c>
      <c r="E123" s="103">
        <v>0.3540001461833952</v>
      </c>
      <c r="F123" s="103">
        <v>0.57565251121914107</v>
      </c>
      <c r="G123" s="104">
        <v>0</v>
      </c>
      <c r="H123" s="103">
        <v>0</v>
      </c>
      <c r="I123" s="103">
        <v>0</v>
      </c>
      <c r="J123" s="103">
        <v>0.25599999999999995</v>
      </c>
      <c r="K123" s="103">
        <v>0.14799999999999999</v>
      </c>
      <c r="L123" s="103">
        <v>0.54010516490354699</v>
      </c>
      <c r="M123" s="103">
        <v>0.10278822083662265</v>
      </c>
      <c r="N123" s="24">
        <v>0</v>
      </c>
      <c r="O123" s="105">
        <v>0</v>
      </c>
      <c r="P123" s="105">
        <f>1</f>
        <v>1</v>
      </c>
      <c r="Q123" s="106">
        <v>0</v>
      </c>
      <c r="R123" s="107">
        <v>0</v>
      </c>
      <c r="S123" s="107">
        <v>0.18151701415551796</v>
      </c>
      <c r="T123" s="107">
        <v>0</v>
      </c>
      <c r="U123" s="107">
        <v>0</v>
      </c>
    </row>
    <row r="124" spans="1:21" s="24" customFormat="1" x14ac:dyDescent="0.3">
      <c r="A124" s="103">
        <v>0</v>
      </c>
      <c r="B124" s="103">
        <v>0</v>
      </c>
      <c r="C124" s="103">
        <v>0</v>
      </c>
      <c r="D124" s="103">
        <v>0.48728855799999998</v>
      </c>
      <c r="E124" s="103">
        <v>0.35100013806209546</v>
      </c>
      <c r="F124" s="103">
        <v>0.56799012010558281</v>
      </c>
      <c r="G124" s="104">
        <v>0</v>
      </c>
      <c r="H124" s="103">
        <v>0</v>
      </c>
      <c r="I124" s="103">
        <v>0</v>
      </c>
      <c r="J124" s="103">
        <v>0.221</v>
      </c>
      <c r="K124" s="103">
        <v>0.127</v>
      </c>
      <c r="L124" s="103">
        <v>0.53860485376477907</v>
      </c>
      <c r="M124" s="103">
        <v>8.9796371582430631E-2</v>
      </c>
      <c r="N124" s="24">
        <v>0</v>
      </c>
      <c r="O124" s="105">
        <v>0</v>
      </c>
      <c r="P124" s="105">
        <f>1</f>
        <v>1</v>
      </c>
      <c r="Q124" s="106">
        <v>0</v>
      </c>
      <c r="R124" s="107">
        <v>0</v>
      </c>
      <c r="S124" s="107">
        <v>0.36998814307875938</v>
      </c>
      <c r="T124" s="107">
        <v>0</v>
      </c>
      <c r="U124" s="107">
        <v>0</v>
      </c>
    </row>
    <row r="125" spans="1:21" s="24" customFormat="1" x14ac:dyDescent="0.3">
      <c r="A125" s="103">
        <v>0</v>
      </c>
      <c r="B125" s="103">
        <v>0</v>
      </c>
      <c r="C125" s="103">
        <v>0</v>
      </c>
      <c r="D125" s="103">
        <v>0.486031353</v>
      </c>
      <c r="E125" s="103">
        <v>0.35000000000000003</v>
      </c>
      <c r="F125" s="103">
        <v>0.56652470498917173</v>
      </c>
      <c r="G125" s="104">
        <v>0</v>
      </c>
      <c r="H125" s="103">
        <v>0</v>
      </c>
      <c r="I125" s="103">
        <v>0</v>
      </c>
      <c r="J125" s="103">
        <v>0.19899999999999998</v>
      </c>
      <c r="K125" s="103">
        <v>0.113</v>
      </c>
      <c r="L125" s="103">
        <v>0.54358431860609835</v>
      </c>
      <c r="M125" s="103">
        <v>8.1837162946728007E-2</v>
      </c>
      <c r="N125" s="24">
        <v>0</v>
      </c>
      <c r="O125" s="105">
        <v>0</v>
      </c>
      <c r="P125" s="105">
        <f>1</f>
        <v>1</v>
      </c>
      <c r="Q125" s="106">
        <v>0</v>
      </c>
      <c r="R125" s="107">
        <v>0</v>
      </c>
      <c r="S125" s="107">
        <v>0.15758813974523786</v>
      </c>
      <c r="T125" s="107">
        <v>0</v>
      </c>
      <c r="U125" s="107">
        <v>0</v>
      </c>
    </row>
    <row r="126" spans="1:21" s="24" customFormat="1" x14ac:dyDescent="0.3">
      <c r="A126" s="103">
        <v>0</v>
      </c>
      <c r="B126" s="103">
        <v>0</v>
      </c>
      <c r="C126" s="103">
        <v>0</v>
      </c>
      <c r="D126" s="103">
        <v>0.48435212300000002</v>
      </c>
      <c r="E126" s="103">
        <v>0.34899986193790455</v>
      </c>
      <c r="F126" s="103">
        <v>0.56456737183671779</v>
      </c>
      <c r="G126" s="104">
        <v>0</v>
      </c>
      <c r="H126" s="103">
        <v>0</v>
      </c>
      <c r="I126" s="103">
        <v>0</v>
      </c>
      <c r="J126" s="103">
        <v>0.19899999999999998</v>
      </c>
      <c r="K126" s="103">
        <v>0.107</v>
      </c>
      <c r="L126" s="103">
        <v>0.54068699439950219</v>
      </c>
      <c r="M126" s="103">
        <v>7.9417057298412225E-2</v>
      </c>
      <c r="N126" s="24">
        <v>0</v>
      </c>
      <c r="O126" s="105">
        <v>0</v>
      </c>
      <c r="P126" s="105">
        <f>1</f>
        <v>1</v>
      </c>
      <c r="Q126" s="106">
        <v>0</v>
      </c>
      <c r="R126" s="107">
        <v>0</v>
      </c>
      <c r="S126" s="107">
        <v>0.15699101644917537</v>
      </c>
      <c r="T126" s="107">
        <v>0</v>
      </c>
      <c r="U126" s="107">
        <v>0</v>
      </c>
    </row>
    <row r="127" spans="1:21" s="24" customFormat="1" x14ac:dyDescent="0.3">
      <c r="A127" s="103">
        <v>0</v>
      </c>
      <c r="B127" s="103">
        <v>0</v>
      </c>
      <c r="C127" s="103">
        <v>0</v>
      </c>
      <c r="D127" s="103">
        <v>0.478839827</v>
      </c>
      <c r="E127" s="103">
        <v>0.35000000000000003</v>
      </c>
      <c r="F127" s="103">
        <v>0.55814216522003068</v>
      </c>
      <c r="G127" s="104">
        <v>0</v>
      </c>
      <c r="H127" s="103">
        <v>0</v>
      </c>
      <c r="I127" s="103">
        <v>0</v>
      </c>
      <c r="J127" s="103">
        <v>0.219</v>
      </c>
      <c r="K127" s="103">
        <v>0.111</v>
      </c>
      <c r="L127" s="103">
        <v>0.54120846297448666</v>
      </c>
      <c r="M127" s="103">
        <v>8.3844245733491612E-2</v>
      </c>
      <c r="N127" s="24">
        <v>0</v>
      </c>
      <c r="O127" s="105">
        <v>0</v>
      </c>
      <c r="P127" s="105">
        <f>1</f>
        <v>1</v>
      </c>
      <c r="Q127" s="106">
        <v>0</v>
      </c>
      <c r="R127" s="107">
        <v>0</v>
      </c>
      <c r="S127" s="107">
        <v>0.15639389315954927</v>
      </c>
      <c r="T127" s="107">
        <v>0</v>
      </c>
      <c r="U127" s="107">
        <v>0</v>
      </c>
    </row>
    <row r="128" spans="1:21" s="24" customFormat="1" x14ac:dyDescent="0.3">
      <c r="A128" s="103">
        <v>0</v>
      </c>
      <c r="B128" s="103">
        <v>0</v>
      </c>
      <c r="C128" s="103">
        <v>0</v>
      </c>
      <c r="D128" s="103">
        <v>0.47275232099999998</v>
      </c>
      <c r="E128" s="103">
        <v>0.34800012994079571</v>
      </c>
      <c r="F128" s="103">
        <v>0.55104648606377293</v>
      </c>
      <c r="G128" s="104">
        <v>0</v>
      </c>
      <c r="H128" s="103">
        <v>0</v>
      </c>
      <c r="I128" s="103">
        <v>0</v>
      </c>
      <c r="J128" s="103">
        <v>0.24799999999999997</v>
      </c>
      <c r="K128" s="103">
        <v>0.111</v>
      </c>
      <c r="L128" s="103">
        <v>0.5533683883011824</v>
      </c>
      <c r="M128" s="103">
        <v>8.4606672030271557E-2</v>
      </c>
      <c r="N128" s="24">
        <v>0</v>
      </c>
      <c r="O128" s="105">
        <v>0</v>
      </c>
      <c r="P128" s="105">
        <f>1</f>
        <v>1</v>
      </c>
      <c r="Q128" s="106">
        <v>0</v>
      </c>
      <c r="R128" s="107">
        <v>0</v>
      </c>
      <c r="S128" s="107">
        <v>0.156095331511518</v>
      </c>
      <c r="T128" s="107">
        <v>0</v>
      </c>
      <c r="U128" s="107">
        <v>0</v>
      </c>
    </row>
    <row r="129" spans="1:21" s="24" customFormat="1" x14ac:dyDescent="0.3">
      <c r="A129" s="103">
        <v>0</v>
      </c>
      <c r="B129" s="103">
        <v>0</v>
      </c>
      <c r="C129" s="103">
        <v>0</v>
      </c>
      <c r="D129" s="103">
        <v>0.45748428800000002</v>
      </c>
      <c r="E129" s="103">
        <v>0.34699999187870029</v>
      </c>
      <c r="F129" s="103">
        <v>0.53324986072736202</v>
      </c>
      <c r="G129" s="104">
        <v>0</v>
      </c>
      <c r="H129" s="103">
        <v>0</v>
      </c>
      <c r="I129" s="103">
        <v>0</v>
      </c>
      <c r="J129" s="103">
        <v>0.26999999999999996</v>
      </c>
      <c r="K129" s="103">
        <v>0.11</v>
      </c>
      <c r="L129" s="103">
        <v>0.58012134411947724</v>
      </c>
      <c r="M129" s="103">
        <v>8.2918136260275999E-2</v>
      </c>
      <c r="N129" s="24">
        <v>0</v>
      </c>
      <c r="O129" s="105">
        <v>0</v>
      </c>
      <c r="P129" s="105">
        <f>1</f>
        <v>1</v>
      </c>
      <c r="Q129" s="106">
        <v>0</v>
      </c>
      <c r="R129" s="107">
        <v>0</v>
      </c>
      <c r="S129" s="107">
        <v>0.36879389649307076</v>
      </c>
      <c r="T129" s="107">
        <v>0</v>
      </c>
      <c r="U129" s="107">
        <v>0</v>
      </c>
    </row>
    <row r="130" spans="1:21" s="24" customFormat="1" x14ac:dyDescent="0.3">
      <c r="A130" s="103">
        <v>0</v>
      </c>
      <c r="B130" s="103">
        <v>0</v>
      </c>
      <c r="C130" s="103">
        <v>0</v>
      </c>
      <c r="D130" s="103">
        <v>0.43651181900000002</v>
      </c>
      <c r="E130" s="103">
        <v>0.35100013806209546</v>
      </c>
      <c r="F130" s="103">
        <v>0.51957921110426386</v>
      </c>
      <c r="G130" s="104">
        <v>0</v>
      </c>
      <c r="H130" s="103">
        <v>0</v>
      </c>
      <c r="I130" s="103">
        <v>0</v>
      </c>
      <c r="J130" s="103">
        <v>0.26999999999999996</v>
      </c>
      <c r="K130" s="103">
        <v>0.11</v>
      </c>
      <c r="L130" s="103">
        <v>0.58815370255133792</v>
      </c>
      <c r="M130" s="103">
        <v>8.1072287473512375E-2</v>
      </c>
      <c r="N130" s="24">
        <v>0</v>
      </c>
      <c r="O130" s="105">
        <v>0</v>
      </c>
      <c r="P130" s="105">
        <f>1</f>
        <v>1</v>
      </c>
      <c r="Q130" s="106">
        <v>0</v>
      </c>
      <c r="R130" s="107">
        <v>0</v>
      </c>
      <c r="S130" s="107">
        <v>0.36879389649307076</v>
      </c>
      <c r="T130" s="107">
        <v>0</v>
      </c>
      <c r="U130" s="107">
        <v>0</v>
      </c>
    </row>
    <row r="131" spans="1:21" s="24" customFormat="1" x14ac:dyDescent="0.3">
      <c r="A131" s="103">
        <v>0.12</v>
      </c>
      <c r="B131" s="103">
        <v>8.1000000000000003E-2</v>
      </c>
      <c r="C131" s="103">
        <v>0.127</v>
      </c>
      <c r="D131" s="103">
        <v>0.43123141399999998</v>
      </c>
      <c r="E131" s="103">
        <v>0.35300000812129972</v>
      </c>
      <c r="F131" s="103">
        <v>0.79080307418254592</v>
      </c>
      <c r="G131" s="104">
        <v>0</v>
      </c>
      <c r="H131" s="103">
        <v>5.5E-2</v>
      </c>
      <c r="I131" s="103">
        <v>3.1000000000000003E-2</v>
      </c>
      <c r="J131" s="103">
        <v>0.21299999999999999</v>
      </c>
      <c r="K131" s="103">
        <v>0.11799999999999999</v>
      </c>
      <c r="L131" s="103">
        <v>0.58981580584940885</v>
      </c>
      <c r="M131" s="103">
        <v>0.16246384433150318</v>
      </c>
      <c r="N131" s="24">
        <v>0</v>
      </c>
      <c r="O131" s="105">
        <v>0</v>
      </c>
      <c r="P131" s="105">
        <f>1</f>
        <v>1</v>
      </c>
      <c r="Q131" s="106">
        <v>0</v>
      </c>
      <c r="R131" s="107">
        <v>0</v>
      </c>
      <c r="S131" s="107">
        <v>0.15639389315954927</v>
      </c>
      <c r="T131" s="107">
        <v>0</v>
      </c>
      <c r="U131" s="107">
        <v>0</v>
      </c>
    </row>
    <row r="132" spans="1:21" s="24" customFormat="1" x14ac:dyDescent="0.3">
      <c r="A132" s="103">
        <v>0.30599999999999999</v>
      </c>
      <c r="B132" s="103">
        <v>0.21600000000000003</v>
      </c>
      <c r="C132" s="103">
        <v>0.29699999999999999</v>
      </c>
      <c r="D132" s="103">
        <v>0.43856399200000001</v>
      </c>
      <c r="E132" s="103">
        <v>0.35000000000000003</v>
      </c>
      <c r="F132" s="103">
        <v>1</v>
      </c>
      <c r="G132" s="104">
        <v>0.16082502044368407</v>
      </c>
      <c r="H132" s="103">
        <v>0.20399999999999999</v>
      </c>
      <c r="I132" s="103">
        <v>0.11700000000000001</v>
      </c>
      <c r="J132" s="103">
        <v>0.126</v>
      </c>
      <c r="K132" s="103">
        <v>0.124</v>
      </c>
      <c r="L132" s="103">
        <v>0.58814685749844431</v>
      </c>
      <c r="M132" s="103">
        <v>0.38375393635198096</v>
      </c>
      <c r="N132" s="24">
        <v>0</v>
      </c>
      <c r="O132" s="105">
        <v>0</v>
      </c>
      <c r="P132" s="105">
        <f>1</f>
        <v>1</v>
      </c>
      <c r="Q132" s="106">
        <v>0</v>
      </c>
      <c r="R132" s="107">
        <v>0</v>
      </c>
      <c r="S132" s="107">
        <v>0.15639389315954927</v>
      </c>
      <c r="T132" s="107">
        <v>0</v>
      </c>
      <c r="U132" s="107">
        <v>0</v>
      </c>
    </row>
    <row r="133" spans="1:21" s="24" customFormat="1" x14ac:dyDescent="0.3">
      <c r="A133" s="103">
        <v>0.373</v>
      </c>
      <c r="B133" s="103">
        <v>0.36</v>
      </c>
      <c r="C133" s="103">
        <v>0.43200000000000005</v>
      </c>
      <c r="D133" s="103">
        <v>0.450905371</v>
      </c>
      <c r="E133" s="103">
        <v>0.34899986193790455</v>
      </c>
      <c r="F133" s="103">
        <v>1</v>
      </c>
      <c r="G133" s="104">
        <v>0.348192967222614</v>
      </c>
      <c r="H133" s="103">
        <v>0.34899999999999998</v>
      </c>
      <c r="I133" s="103">
        <v>0.20500000000000002</v>
      </c>
      <c r="J133" s="103">
        <v>0.105</v>
      </c>
      <c r="K133" s="103">
        <v>0.13200000000000001</v>
      </c>
      <c r="L133" s="103">
        <v>0.58725015556938398</v>
      </c>
      <c r="M133" s="103">
        <v>0.60546267873393689</v>
      </c>
      <c r="N133" s="24">
        <v>0</v>
      </c>
      <c r="O133" s="105">
        <v>0</v>
      </c>
      <c r="P133" s="105">
        <f>1</f>
        <v>1</v>
      </c>
      <c r="Q133" s="106">
        <v>0</v>
      </c>
      <c r="R133" s="107">
        <v>0</v>
      </c>
      <c r="S133" s="107">
        <v>0.156095331511518</v>
      </c>
      <c r="T133" s="107">
        <v>0</v>
      </c>
      <c r="U133" s="107">
        <v>0</v>
      </c>
    </row>
    <row r="134" spans="1:21" s="24" customFormat="1" x14ac:dyDescent="0.3">
      <c r="A134" s="103">
        <v>0.38400000000000001</v>
      </c>
      <c r="B134" s="103">
        <v>0.45799999999999996</v>
      </c>
      <c r="C134" s="103">
        <v>0.496</v>
      </c>
      <c r="D134" s="103">
        <v>0.47123206899999998</v>
      </c>
      <c r="E134" s="103">
        <v>0.34800012994079571</v>
      </c>
      <c r="F134" s="103">
        <v>1</v>
      </c>
      <c r="G134" s="104">
        <v>0.43234135345204838</v>
      </c>
      <c r="H134" s="103">
        <v>0.41099999999999998</v>
      </c>
      <c r="I134" s="103">
        <v>0.251</v>
      </c>
      <c r="J134" s="103">
        <v>0.17099999999999999</v>
      </c>
      <c r="K134" s="103">
        <v>0.15000000000000002</v>
      </c>
      <c r="L134" s="103">
        <v>0.59229807093963904</v>
      </c>
      <c r="M134" s="103">
        <v>0.71757748810446631</v>
      </c>
      <c r="N134" s="24">
        <v>0</v>
      </c>
      <c r="O134" s="105">
        <v>0</v>
      </c>
      <c r="P134" s="105">
        <f>1</f>
        <v>1</v>
      </c>
      <c r="Q134" s="106">
        <v>0</v>
      </c>
      <c r="R134" s="107">
        <v>0</v>
      </c>
      <c r="S134" s="107">
        <v>0.15639389315954927</v>
      </c>
      <c r="T134" s="107">
        <v>0</v>
      </c>
      <c r="U134" s="107">
        <v>0</v>
      </c>
    </row>
    <row r="135" spans="1:21" s="24" customFormat="1" x14ac:dyDescent="0.3">
      <c r="A135" s="103">
        <v>0.38100000000000001</v>
      </c>
      <c r="B135" s="103">
        <v>0.48</v>
      </c>
      <c r="C135" s="103">
        <v>0.496</v>
      </c>
      <c r="D135" s="103">
        <v>0.47521060700000001</v>
      </c>
      <c r="E135" s="103">
        <v>0.34899986193790455</v>
      </c>
      <c r="F135" s="103">
        <v>1</v>
      </c>
      <c r="G135" s="104">
        <v>0.43233067996916924</v>
      </c>
      <c r="H135" s="103">
        <v>0.40799999999999997</v>
      </c>
      <c r="I135" s="103">
        <v>0.255</v>
      </c>
      <c r="J135" s="103">
        <v>0.27300000000000002</v>
      </c>
      <c r="K135" s="103">
        <v>0.17499999999999999</v>
      </c>
      <c r="L135" s="103">
        <v>0.60151711263223395</v>
      </c>
      <c r="M135" s="103">
        <v>0.73652962943997624</v>
      </c>
      <c r="N135" s="24">
        <v>0</v>
      </c>
      <c r="O135" s="105">
        <v>0</v>
      </c>
      <c r="P135" s="105">
        <f>1</f>
        <v>1</v>
      </c>
      <c r="Q135" s="106">
        <v>0</v>
      </c>
      <c r="R135" s="107">
        <v>0</v>
      </c>
      <c r="S135" s="107">
        <v>0.15639389315954927</v>
      </c>
      <c r="T135" s="107">
        <v>0</v>
      </c>
      <c r="U135" s="107">
        <v>0</v>
      </c>
    </row>
    <row r="136" spans="1:21" s="24" customFormat="1" x14ac:dyDescent="0.3">
      <c r="A136" s="103">
        <v>0.36899999999999999</v>
      </c>
      <c r="B136" s="103">
        <v>0.41699999999999904</v>
      </c>
      <c r="C136" s="103">
        <v>0.43799999999999994</v>
      </c>
      <c r="D136" s="103">
        <v>0.46109752100000001</v>
      </c>
      <c r="E136" s="103">
        <v>0.34899986193790455</v>
      </c>
      <c r="F136" s="103">
        <v>1</v>
      </c>
      <c r="G136" s="104">
        <v>0.35896806621210664</v>
      </c>
      <c r="H136" s="103">
        <v>0.35099999999999998</v>
      </c>
      <c r="I136" s="103">
        <v>0.22200000000000003</v>
      </c>
      <c r="J136" s="103">
        <v>0.35600000000000004</v>
      </c>
      <c r="K136" s="103">
        <v>0.22099999999999997</v>
      </c>
      <c r="L136" s="103">
        <v>0.60996328562538893</v>
      </c>
      <c r="M136" s="103">
        <v>0.68188764435821336</v>
      </c>
      <c r="N136" s="24">
        <v>0</v>
      </c>
      <c r="O136" s="105">
        <v>0</v>
      </c>
      <c r="P136" s="105">
        <f>1</f>
        <v>1</v>
      </c>
      <c r="Q136" s="106">
        <v>0</v>
      </c>
      <c r="R136" s="107">
        <v>0</v>
      </c>
      <c r="S136" s="107">
        <v>0.156095331511518</v>
      </c>
      <c r="T136" s="107">
        <v>0</v>
      </c>
      <c r="U136" s="107">
        <v>0</v>
      </c>
    </row>
    <row r="137" spans="1:21" s="24" customFormat="1" x14ac:dyDescent="0.3">
      <c r="A137" s="103">
        <v>0.33900000000000002</v>
      </c>
      <c r="B137" s="103">
        <v>0.28899999999999998</v>
      </c>
      <c r="C137" s="103">
        <v>0.33500000000000002</v>
      </c>
      <c r="D137" s="103">
        <v>0.43415106799999997</v>
      </c>
      <c r="E137" s="103">
        <v>0.34699999187870029</v>
      </c>
      <c r="F137" s="103">
        <v>1</v>
      </c>
      <c r="G137" s="104">
        <v>0.21836997124574875</v>
      </c>
      <c r="H137" s="103">
        <v>0.27299999999999996</v>
      </c>
      <c r="I137" s="103">
        <v>0.17400000000000002</v>
      </c>
      <c r="J137" s="103">
        <v>0.40699999999999997</v>
      </c>
      <c r="K137" s="103">
        <v>0.29099999999999998</v>
      </c>
      <c r="L137" s="103">
        <v>0.61163347853142502</v>
      </c>
      <c r="M137" s="103">
        <v>0.61120301438670421</v>
      </c>
      <c r="N137" s="24">
        <v>0</v>
      </c>
      <c r="O137" s="105">
        <v>0</v>
      </c>
      <c r="P137" s="105">
        <f>1</f>
        <v>1</v>
      </c>
      <c r="Q137" s="106">
        <v>0</v>
      </c>
      <c r="R137" s="107">
        <v>0</v>
      </c>
      <c r="S137" s="107">
        <v>0.15639389315954927</v>
      </c>
      <c r="T137" s="107">
        <v>0</v>
      </c>
      <c r="U137" s="107">
        <v>0</v>
      </c>
    </row>
    <row r="138" spans="1:21" s="24" customFormat="1" x14ac:dyDescent="0.3">
      <c r="A138" s="103">
        <v>0.23899999999999999</v>
      </c>
      <c r="B138" s="103">
        <v>0.13699999999999998</v>
      </c>
      <c r="C138" s="103">
        <v>0.19800000000000001</v>
      </c>
      <c r="D138" s="103">
        <v>0.412526432</v>
      </c>
      <c r="E138" s="103">
        <v>0.34899986193790455</v>
      </c>
      <c r="F138" s="103">
        <v>0.98949077088147241</v>
      </c>
      <c r="G138" s="104">
        <v>0</v>
      </c>
      <c r="H138" s="103">
        <v>0.16999999999999998</v>
      </c>
      <c r="I138" s="103">
        <v>0.10700000000000001</v>
      </c>
      <c r="J138" s="103">
        <v>0.42799999999999999</v>
      </c>
      <c r="K138" s="103">
        <v>0.35399999999999998</v>
      </c>
      <c r="L138" s="103">
        <v>0.6126042314872433</v>
      </c>
      <c r="M138" s="103">
        <v>0.493595365310877</v>
      </c>
      <c r="N138" s="24">
        <v>0</v>
      </c>
      <c r="O138" s="105">
        <v>0</v>
      </c>
      <c r="P138" s="105">
        <f>1</f>
        <v>1</v>
      </c>
      <c r="Q138" s="106">
        <v>0</v>
      </c>
      <c r="R138" s="107">
        <v>0</v>
      </c>
      <c r="S138" s="107">
        <v>0.15639389315954927</v>
      </c>
      <c r="T138" s="107">
        <v>0</v>
      </c>
      <c r="U138" s="107">
        <v>0</v>
      </c>
    </row>
    <row r="139" spans="1:21" s="24" customFormat="1" x14ac:dyDescent="0.3">
      <c r="A139" s="103">
        <v>5.6000000000000001E-2</v>
      </c>
      <c r="B139" s="103">
        <v>1.7000000000000001E-2</v>
      </c>
      <c r="C139" s="103">
        <v>5.5E-2</v>
      </c>
      <c r="D139" s="103">
        <v>0.34461741800000001</v>
      </c>
      <c r="E139" s="103">
        <v>0.35900002436389922</v>
      </c>
      <c r="F139" s="103">
        <v>0.53168625899242328</v>
      </c>
      <c r="G139" s="104">
        <v>0</v>
      </c>
      <c r="H139" s="103">
        <v>6.9999999999999993E-2</v>
      </c>
      <c r="I139" s="103">
        <v>3.7999999999999999E-2</v>
      </c>
      <c r="J139" s="103">
        <v>0.28099999999999997</v>
      </c>
      <c r="K139" s="103">
        <v>0.40200000000000002</v>
      </c>
      <c r="L139" s="103">
        <v>0.62155133789670192</v>
      </c>
      <c r="M139" s="103">
        <v>0.36842110586259086</v>
      </c>
      <c r="N139" s="24">
        <v>0</v>
      </c>
      <c r="O139" s="105">
        <v>0</v>
      </c>
      <c r="P139" s="105">
        <f>1</f>
        <v>1</v>
      </c>
      <c r="Q139" s="106">
        <v>0</v>
      </c>
      <c r="R139" s="107">
        <v>0</v>
      </c>
      <c r="S139" s="107">
        <v>0.30183786306462623</v>
      </c>
      <c r="T139" s="107">
        <v>0</v>
      </c>
      <c r="U139" s="107">
        <v>0</v>
      </c>
    </row>
    <row r="140" spans="1:21" s="24" customFormat="1" x14ac:dyDescent="0.3">
      <c r="A140" s="103">
        <v>0</v>
      </c>
      <c r="B140" s="103">
        <v>0</v>
      </c>
      <c r="C140" s="103">
        <v>0</v>
      </c>
      <c r="D140" s="103">
        <v>0.34607711600000002</v>
      </c>
      <c r="E140" s="103">
        <v>0.37200019491119363</v>
      </c>
      <c r="F140" s="103">
        <v>0.40366212513110433</v>
      </c>
      <c r="G140" s="104">
        <v>0</v>
      </c>
      <c r="H140" s="103">
        <v>0</v>
      </c>
      <c r="I140" s="103">
        <v>0</v>
      </c>
      <c r="J140" s="103">
        <v>0.23800000000000002</v>
      </c>
      <c r="K140" s="103">
        <v>0.45800000000000002</v>
      </c>
      <c r="L140" s="103">
        <v>0.62640572495332925</v>
      </c>
      <c r="M140" s="103">
        <v>0.31159934092684372</v>
      </c>
      <c r="N140" s="24">
        <v>0</v>
      </c>
      <c r="O140" s="105">
        <v>0</v>
      </c>
      <c r="P140" s="105">
        <f>1</f>
        <v>1</v>
      </c>
      <c r="Q140" s="106">
        <v>0</v>
      </c>
      <c r="R140" s="107">
        <v>0</v>
      </c>
      <c r="S140" s="107">
        <v>0.156095331511518</v>
      </c>
      <c r="T140" s="107">
        <v>0</v>
      </c>
      <c r="U140" s="107">
        <v>0</v>
      </c>
    </row>
    <row r="141" spans="1:21" s="24" customFormat="1" x14ac:dyDescent="0.3">
      <c r="A141" s="103">
        <v>0</v>
      </c>
      <c r="B141" s="103">
        <v>0</v>
      </c>
      <c r="C141" s="103">
        <v>0</v>
      </c>
      <c r="D141" s="103">
        <v>0.38436776900000003</v>
      </c>
      <c r="E141" s="103">
        <v>0.37100005684909815</v>
      </c>
      <c r="F141" s="103">
        <v>0.44802425933223927</v>
      </c>
      <c r="G141" s="104">
        <v>0</v>
      </c>
      <c r="H141" s="103">
        <v>0</v>
      </c>
      <c r="I141" s="103">
        <v>0</v>
      </c>
      <c r="J141" s="103">
        <v>0.253</v>
      </c>
      <c r="K141" s="103">
        <v>0.50600000000000001</v>
      </c>
      <c r="L141" s="103">
        <v>0.62530118232731802</v>
      </c>
      <c r="M141" s="103">
        <v>0.33690654937438791</v>
      </c>
      <c r="N141" s="24">
        <v>0</v>
      </c>
      <c r="O141" s="105">
        <v>0</v>
      </c>
      <c r="P141" s="105">
        <f>1</f>
        <v>1</v>
      </c>
      <c r="Q141" s="106">
        <v>0</v>
      </c>
      <c r="R141" s="107">
        <v>0</v>
      </c>
      <c r="S141" s="107">
        <v>0.36879389649307076</v>
      </c>
      <c r="T141" s="107">
        <v>0</v>
      </c>
      <c r="U141" s="107">
        <v>0</v>
      </c>
    </row>
    <row r="142" spans="1:21" s="24" customFormat="1" x14ac:dyDescent="0.3">
      <c r="A142" s="103">
        <v>0</v>
      </c>
      <c r="B142" s="103">
        <v>0</v>
      </c>
      <c r="C142" s="103">
        <v>0</v>
      </c>
      <c r="D142" s="103">
        <v>0.41364261899999999</v>
      </c>
      <c r="E142" s="103">
        <v>0.36900018678989388</v>
      </c>
      <c r="F142" s="103">
        <v>0.48214741961291413</v>
      </c>
      <c r="G142" s="104">
        <v>0</v>
      </c>
      <c r="H142" s="103">
        <v>0</v>
      </c>
      <c r="I142" s="103">
        <v>0</v>
      </c>
      <c r="J142" s="103">
        <v>0.29599999999999999</v>
      </c>
      <c r="K142" s="103">
        <v>0.54799999999999993</v>
      </c>
      <c r="L142" s="103">
        <v>0.62520597386434351</v>
      </c>
      <c r="M142" s="103">
        <v>0.36460607819320379</v>
      </c>
      <c r="N142" s="24">
        <v>0</v>
      </c>
      <c r="O142" s="105">
        <v>0</v>
      </c>
      <c r="P142" s="105">
        <f>1</f>
        <v>1</v>
      </c>
      <c r="Q142" s="106">
        <v>0</v>
      </c>
      <c r="R142" s="107">
        <v>0</v>
      </c>
      <c r="S142" s="107">
        <v>0.15669245480758048</v>
      </c>
      <c r="T142" s="107">
        <v>0</v>
      </c>
      <c r="U142" s="107">
        <v>0</v>
      </c>
    </row>
    <row r="143" spans="1:21" s="24" customFormat="1" x14ac:dyDescent="0.3">
      <c r="A143" s="103">
        <v>0</v>
      </c>
      <c r="B143" s="103">
        <v>0</v>
      </c>
      <c r="C143" s="103">
        <v>0</v>
      </c>
      <c r="D143" s="103">
        <v>0.43220439799999999</v>
      </c>
      <c r="E143" s="103">
        <v>0.36999991878700267</v>
      </c>
      <c r="F143" s="103">
        <v>0.50378327974239256</v>
      </c>
      <c r="G143" s="104">
        <v>0</v>
      </c>
      <c r="H143" s="103">
        <v>0</v>
      </c>
      <c r="I143" s="103">
        <v>0</v>
      </c>
      <c r="J143" s="103">
        <v>0.374</v>
      </c>
      <c r="K143" s="103">
        <v>0.58399999999999996</v>
      </c>
      <c r="L143" s="103">
        <v>0.62175046670815182</v>
      </c>
      <c r="M143" s="103">
        <v>0.38848806175218881</v>
      </c>
      <c r="N143" s="24">
        <v>0</v>
      </c>
      <c r="O143" s="105">
        <v>0</v>
      </c>
      <c r="P143" s="105">
        <f>1</f>
        <v>1</v>
      </c>
      <c r="Q143" s="106">
        <v>0</v>
      </c>
      <c r="R143" s="107">
        <v>0</v>
      </c>
      <c r="S143" s="107">
        <v>0.36939101978269684</v>
      </c>
      <c r="T143" s="107">
        <v>0</v>
      </c>
      <c r="U143" s="107">
        <v>0</v>
      </c>
    </row>
    <row r="144" spans="1:21" s="24" customFormat="1" x14ac:dyDescent="0.3">
      <c r="A144" s="103">
        <v>0</v>
      </c>
      <c r="B144" s="103">
        <v>0</v>
      </c>
      <c r="C144" s="103">
        <v>0</v>
      </c>
      <c r="D144" s="103">
        <v>0.45847632599999999</v>
      </c>
      <c r="E144" s="103">
        <v>0.36200003248519891</v>
      </c>
      <c r="F144" s="103">
        <v>0.53440619360963193</v>
      </c>
      <c r="G144" s="104">
        <v>0</v>
      </c>
      <c r="H144" s="103">
        <v>0</v>
      </c>
      <c r="I144" s="103">
        <v>0</v>
      </c>
      <c r="J144" s="103">
        <v>0.45700000000000002</v>
      </c>
      <c r="K144" s="103">
        <v>0.61899999999999999</v>
      </c>
      <c r="L144" s="103">
        <v>0.61293030491599254</v>
      </c>
      <c r="M144" s="103">
        <v>0.4113483301451254</v>
      </c>
      <c r="N144" s="24">
        <v>0</v>
      </c>
      <c r="O144" s="105">
        <v>0</v>
      </c>
      <c r="P144" s="105">
        <f>1</f>
        <v>1</v>
      </c>
      <c r="Q144" s="106">
        <v>0</v>
      </c>
      <c r="R144" s="107">
        <v>0</v>
      </c>
      <c r="S144" s="107">
        <v>0.15758813974523786</v>
      </c>
      <c r="T144" s="107">
        <v>0</v>
      </c>
      <c r="U144" s="107">
        <v>0</v>
      </c>
    </row>
    <row r="145" spans="1:21" s="24" customFormat="1" x14ac:dyDescent="0.3">
      <c r="A145" s="103">
        <v>0</v>
      </c>
      <c r="B145" s="103">
        <v>0</v>
      </c>
      <c r="C145" s="103">
        <v>0</v>
      </c>
      <c r="D145" s="103">
        <v>0.48614243400000001</v>
      </c>
      <c r="E145" s="103">
        <v>0.35799988630180374</v>
      </c>
      <c r="F145" s="103">
        <v>0.56665418250202459</v>
      </c>
      <c r="G145" s="104">
        <v>0</v>
      </c>
      <c r="H145" s="103">
        <v>0</v>
      </c>
      <c r="I145" s="103">
        <v>0</v>
      </c>
      <c r="J145" s="103">
        <v>0.53</v>
      </c>
      <c r="K145" s="103">
        <v>0.65300000000000002</v>
      </c>
      <c r="L145" s="103">
        <v>0.60488363410080892</v>
      </c>
      <c r="M145" s="103">
        <v>0.4342770062893605</v>
      </c>
      <c r="N145" s="24">
        <v>0</v>
      </c>
      <c r="O145" s="105">
        <v>0</v>
      </c>
      <c r="P145" s="105">
        <f>1</f>
        <v>1</v>
      </c>
      <c r="Q145" s="106">
        <v>0</v>
      </c>
      <c r="R145" s="107">
        <v>0</v>
      </c>
      <c r="S145" s="107">
        <v>0.36998814307875938</v>
      </c>
      <c r="T145" s="107">
        <v>0</v>
      </c>
      <c r="U145" s="107">
        <v>0</v>
      </c>
    </row>
    <row r="146" spans="1:21" s="24" customFormat="1" x14ac:dyDescent="0.3">
      <c r="A146" s="103">
        <v>0</v>
      </c>
      <c r="B146" s="103">
        <v>0</v>
      </c>
      <c r="C146" s="103">
        <v>0</v>
      </c>
      <c r="D146" s="103">
        <v>0.52357058199999995</v>
      </c>
      <c r="E146" s="103">
        <v>0.35900002436389922</v>
      </c>
      <c r="F146" s="103">
        <v>0.61028093697601227</v>
      </c>
      <c r="G146" s="104">
        <v>0</v>
      </c>
      <c r="H146" s="103">
        <v>0</v>
      </c>
      <c r="I146" s="103">
        <v>0</v>
      </c>
      <c r="J146" s="103">
        <v>0.62</v>
      </c>
      <c r="K146" s="103">
        <v>0.68300000000000005</v>
      </c>
      <c r="L146" s="103">
        <v>0.57243248288736781</v>
      </c>
      <c r="M146" s="103">
        <v>0.45401902715180298</v>
      </c>
      <c r="N146" s="24">
        <v>0</v>
      </c>
      <c r="O146" s="105">
        <v>0</v>
      </c>
      <c r="P146" s="105">
        <f>1</f>
        <v>1</v>
      </c>
      <c r="Q146" s="106">
        <v>0</v>
      </c>
      <c r="R146" s="107">
        <v>0</v>
      </c>
      <c r="S146" s="107">
        <v>0.15758877440288419</v>
      </c>
      <c r="T146" s="107">
        <v>0</v>
      </c>
      <c r="U146" s="107">
        <v>0</v>
      </c>
    </row>
    <row r="147" spans="1:21" s="24" customFormat="1" x14ac:dyDescent="0.3">
      <c r="A147" s="103">
        <v>0</v>
      </c>
      <c r="B147" s="103">
        <v>0</v>
      </c>
      <c r="C147" s="103">
        <v>0</v>
      </c>
      <c r="D147" s="103">
        <v>0.564047148</v>
      </c>
      <c r="E147" s="103">
        <v>0.35900002436389922</v>
      </c>
      <c r="F147" s="103">
        <v>0.65746096861509207</v>
      </c>
      <c r="G147" s="104">
        <v>0</v>
      </c>
      <c r="H147" s="103">
        <v>0</v>
      </c>
      <c r="I147" s="103">
        <v>0</v>
      </c>
      <c r="J147" s="103">
        <v>0.70799999999999996</v>
      </c>
      <c r="K147" s="103">
        <v>0.70399999999999996</v>
      </c>
      <c r="L147" s="103">
        <v>0.57423708774113258</v>
      </c>
      <c r="M147" s="103">
        <v>0.46781759319157146</v>
      </c>
      <c r="N147" s="24">
        <v>0</v>
      </c>
      <c r="O147" s="105">
        <v>0</v>
      </c>
      <c r="P147" s="105">
        <f>1</f>
        <v>1</v>
      </c>
      <c r="Q147" s="106">
        <v>0</v>
      </c>
      <c r="R147" s="107">
        <v>0</v>
      </c>
      <c r="S147" s="107">
        <v>0.15758877440288419</v>
      </c>
      <c r="T147" s="107">
        <v>0</v>
      </c>
      <c r="U147" s="107">
        <v>0</v>
      </c>
    </row>
    <row r="148" spans="1:21" s="24" customFormat="1" x14ac:dyDescent="0.3">
      <c r="A148" s="103">
        <v>0</v>
      </c>
      <c r="B148" s="103">
        <v>0</v>
      </c>
      <c r="C148" s="103">
        <v>0</v>
      </c>
      <c r="D148" s="103">
        <v>0.60432528500000005</v>
      </c>
      <c r="E148" s="103">
        <v>0.3600001624259947</v>
      </c>
      <c r="F148" s="103">
        <v>0.70440970873358899</v>
      </c>
      <c r="G148" s="104">
        <v>0</v>
      </c>
      <c r="H148" s="103">
        <v>0</v>
      </c>
      <c r="I148" s="103">
        <v>0</v>
      </c>
      <c r="J148" s="103">
        <v>0.75199999999999989</v>
      </c>
      <c r="K148" s="103">
        <v>0.72599999999999998</v>
      </c>
      <c r="L148" s="103">
        <v>0.57625202240199136</v>
      </c>
      <c r="M148" s="103">
        <v>0.48282628743136968</v>
      </c>
      <c r="N148" s="24">
        <v>0</v>
      </c>
      <c r="O148" s="105">
        <v>0</v>
      </c>
      <c r="P148" s="105">
        <f>1</f>
        <v>1</v>
      </c>
      <c r="Q148" s="106">
        <v>0</v>
      </c>
      <c r="R148" s="107">
        <v>0</v>
      </c>
      <c r="S148" s="107">
        <v>0.15758877440288419</v>
      </c>
      <c r="T148" s="107">
        <v>0</v>
      </c>
      <c r="U148" s="107">
        <v>0</v>
      </c>
    </row>
    <row r="149" spans="1:21" s="24" customFormat="1" x14ac:dyDescent="0.3">
      <c r="A149" s="103">
        <v>0</v>
      </c>
      <c r="B149" s="103">
        <v>0</v>
      </c>
      <c r="C149" s="103">
        <v>0</v>
      </c>
      <c r="D149" s="103">
        <v>0.64680523499999998</v>
      </c>
      <c r="E149" s="103">
        <v>0.3600001624259947</v>
      </c>
      <c r="F149" s="103">
        <v>0.75392491180260734</v>
      </c>
      <c r="G149" s="104">
        <v>0</v>
      </c>
      <c r="H149" s="103">
        <v>0</v>
      </c>
      <c r="I149" s="103">
        <v>0</v>
      </c>
      <c r="J149" s="103">
        <v>0.78800000000000003</v>
      </c>
      <c r="K149" s="103">
        <v>0.73299999999999998</v>
      </c>
      <c r="L149" s="103">
        <v>0.58007093963907896</v>
      </c>
      <c r="M149" s="103">
        <v>0.4872661157429885</v>
      </c>
      <c r="N149" s="24">
        <v>0</v>
      </c>
      <c r="O149" s="105">
        <v>0</v>
      </c>
      <c r="P149" s="105">
        <f>1</f>
        <v>1</v>
      </c>
      <c r="Q149" s="106">
        <v>0</v>
      </c>
      <c r="R149" s="107">
        <v>0</v>
      </c>
      <c r="S149" s="107">
        <v>0.15758877440288419</v>
      </c>
      <c r="T149" s="107">
        <v>0</v>
      </c>
      <c r="U149" s="107">
        <v>0</v>
      </c>
    </row>
    <row r="150" spans="1:21" s="24" customFormat="1" x14ac:dyDescent="0.3">
      <c r="A150" s="103">
        <v>0</v>
      </c>
      <c r="B150" s="103">
        <v>0</v>
      </c>
      <c r="C150" s="103">
        <v>0</v>
      </c>
      <c r="D150" s="103">
        <v>0.68888568299999997</v>
      </c>
      <c r="E150" s="103">
        <v>0.35700015430469495</v>
      </c>
      <c r="F150" s="103">
        <v>0.8029744499483743</v>
      </c>
      <c r="G150" s="104">
        <v>0</v>
      </c>
      <c r="H150" s="103">
        <v>0</v>
      </c>
      <c r="I150" s="103">
        <v>0</v>
      </c>
      <c r="J150" s="103">
        <v>0.80799999999999994</v>
      </c>
      <c r="K150" s="103">
        <v>0.72</v>
      </c>
      <c r="L150" s="103">
        <v>0.58005413814561302</v>
      </c>
      <c r="M150" s="103">
        <v>0.47855559392165009</v>
      </c>
      <c r="N150" s="24">
        <v>0</v>
      </c>
      <c r="O150" s="105">
        <v>0</v>
      </c>
      <c r="P150" s="105">
        <f>1</f>
        <v>1</v>
      </c>
      <c r="Q150" s="106">
        <v>0</v>
      </c>
      <c r="R150" s="107">
        <v>0</v>
      </c>
      <c r="S150" s="107">
        <v>0.1569916511068217</v>
      </c>
      <c r="T150" s="107">
        <v>0</v>
      </c>
      <c r="U150" s="107">
        <v>0</v>
      </c>
    </row>
    <row r="151" spans="1:21" s="24" customFormat="1" x14ac:dyDescent="0.3">
      <c r="A151" s="103">
        <v>0</v>
      </c>
      <c r="B151" s="103">
        <v>0</v>
      </c>
      <c r="C151" s="103">
        <v>0</v>
      </c>
      <c r="D151" s="103">
        <v>0.70893419700000004</v>
      </c>
      <c r="E151" s="103">
        <v>0.35900002436389922</v>
      </c>
      <c r="F151" s="103">
        <v>0.82634326846021477</v>
      </c>
      <c r="G151" s="104">
        <v>0</v>
      </c>
      <c r="H151" s="103">
        <v>0</v>
      </c>
      <c r="I151" s="103">
        <v>0</v>
      </c>
      <c r="J151" s="103">
        <v>0.79500000000000004</v>
      </c>
      <c r="K151" s="103">
        <v>0.68899999999999995</v>
      </c>
      <c r="L151" s="103">
        <v>0.58121717485998758</v>
      </c>
      <c r="M151" s="103">
        <v>0.45816941682000295</v>
      </c>
      <c r="N151" s="24">
        <v>0</v>
      </c>
      <c r="O151" s="105">
        <v>0</v>
      </c>
      <c r="P151" s="105">
        <f>1</f>
        <v>1</v>
      </c>
      <c r="Q151" s="106">
        <v>0</v>
      </c>
      <c r="R151" s="107">
        <v>0</v>
      </c>
      <c r="S151" s="107">
        <v>0.15639452781719557</v>
      </c>
      <c r="T151" s="107">
        <v>0</v>
      </c>
      <c r="U151" s="107">
        <v>0</v>
      </c>
    </row>
    <row r="152" spans="1:21" s="24" customFormat="1" x14ac:dyDescent="0.3">
      <c r="A152" s="103">
        <v>0</v>
      </c>
      <c r="B152" s="103">
        <v>0</v>
      </c>
      <c r="C152" s="103">
        <v>0</v>
      </c>
      <c r="D152" s="103">
        <v>0.69710707999999999</v>
      </c>
      <c r="E152" s="103">
        <v>0.36099989442310348</v>
      </c>
      <c r="F152" s="103">
        <v>0.81255742125521468</v>
      </c>
      <c r="G152" s="104">
        <v>0</v>
      </c>
      <c r="H152" s="103">
        <v>0</v>
      </c>
      <c r="I152" s="103">
        <v>0</v>
      </c>
      <c r="J152" s="103">
        <v>0.78999999999999992</v>
      </c>
      <c r="K152" s="103">
        <v>0.69400000000000006</v>
      </c>
      <c r="L152" s="103">
        <v>0.58722650902302431</v>
      </c>
      <c r="M152" s="103">
        <v>0.46185738923252706</v>
      </c>
      <c r="N152" s="24">
        <v>0</v>
      </c>
      <c r="O152" s="105">
        <v>0</v>
      </c>
      <c r="P152" s="105">
        <f>1</f>
        <v>1</v>
      </c>
      <c r="Q152" s="106">
        <v>0</v>
      </c>
      <c r="R152" s="107">
        <v>0</v>
      </c>
      <c r="S152" s="107">
        <v>0.15609596616916432</v>
      </c>
      <c r="T152" s="107">
        <v>0</v>
      </c>
      <c r="U152" s="107">
        <v>0</v>
      </c>
    </row>
    <row r="153" spans="1:21" s="24" customFormat="1" x14ac:dyDescent="0.3">
      <c r="A153" s="103">
        <v>0</v>
      </c>
      <c r="B153" s="103">
        <v>0</v>
      </c>
      <c r="C153" s="103">
        <v>0</v>
      </c>
      <c r="D153" s="103">
        <v>0.67072794400000002</v>
      </c>
      <c r="E153" s="103">
        <v>0.36200003248519891</v>
      </c>
      <c r="F153" s="103">
        <v>0.78180954429619631</v>
      </c>
      <c r="G153" s="104">
        <v>0</v>
      </c>
      <c r="H153" s="103">
        <v>0</v>
      </c>
      <c r="I153" s="103">
        <v>0</v>
      </c>
      <c r="J153" s="103">
        <v>0.77799999999999991</v>
      </c>
      <c r="K153" s="103">
        <v>0.67500000000000004</v>
      </c>
      <c r="L153" s="103">
        <v>0.63246421904169259</v>
      </c>
      <c r="M153" s="103">
        <v>0.44929821953138449</v>
      </c>
      <c r="N153" s="24">
        <v>0</v>
      </c>
      <c r="O153" s="105">
        <v>0</v>
      </c>
      <c r="P153" s="105">
        <f>1</f>
        <v>1</v>
      </c>
      <c r="Q153" s="106">
        <v>0</v>
      </c>
      <c r="R153" s="107">
        <v>0</v>
      </c>
      <c r="S153" s="107">
        <v>0.15639452781719557</v>
      </c>
      <c r="T153" s="107">
        <v>0</v>
      </c>
      <c r="U153" s="107">
        <v>0</v>
      </c>
    </row>
    <row r="154" spans="1:21" s="24" customFormat="1" x14ac:dyDescent="0.3">
      <c r="A154" s="103">
        <v>0</v>
      </c>
      <c r="B154" s="103">
        <v>0</v>
      </c>
      <c r="C154" s="103">
        <v>0</v>
      </c>
      <c r="D154" s="103">
        <v>0.63980309599999996</v>
      </c>
      <c r="E154" s="103">
        <v>0.36200003248519891</v>
      </c>
      <c r="F154" s="103">
        <v>0.74863616902052144</v>
      </c>
      <c r="G154" s="104">
        <v>0</v>
      </c>
      <c r="H154" s="103">
        <v>0</v>
      </c>
      <c r="I154" s="103">
        <v>0</v>
      </c>
      <c r="J154" s="103">
        <v>0.72</v>
      </c>
      <c r="K154" s="103">
        <v>0.60499999999999998</v>
      </c>
      <c r="L154" s="103">
        <v>0.64205662725575607</v>
      </c>
      <c r="M154" s="103">
        <v>0.40280014776999551</v>
      </c>
      <c r="N154" s="24">
        <v>0</v>
      </c>
      <c r="O154" s="105">
        <v>0</v>
      </c>
      <c r="P154" s="105">
        <f>1</f>
        <v>1</v>
      </c>
      <c r="Q154" s="106">
        <v>0</v>
      </c>
      <c r="R154" s="107">
        <v>0</v>
      </c>
      <c r="S154" s="107">
        <v>0.15639452781719557</v>
      </c>
      <c r="T154" s="107">
        <v>0</v>
      </c>
      <c r="U154" s="107">
        <v>0</v>
      </c>
    </row>
    <row r="155" spans="1:21" s="24" customFormat="1" x14ac:dyDescent="0.3">
      <c r="A155" s="103">
        <v>0.03</v>
      </c>
      <c r="B155" s="103">
        <v>0</v>
      </c>
      <c r="C155" s="103">
        <v>3.6999999999999901E-2</v>
      </c>
      <c r="D155" s="103">
        <v>0.60584827900000005</v>
      </c>
      <c r="E155" s="103">
        <v>0.3680000487277984</v>
      </c>
      <c r="F155" s="103">
        <v>0.7843030235232209</v>
      </c>
      <c r="G155" s="104">
        <v>0</v>
      </c>
      <c r="H155" s="103">
        <v>1.1999999999999999E-2</v>
      </c>
      <c r="I155" s="103">
        <v>1.2E-2</v>
      </c>
      <c r="J155" s="103">
        <v>0.66499999999999992</v>
      </c>
      <c r="K155" s="103">
        <v>0.52800000000000002</v>
      </c>
      <c r="L155" s="103">
        <v>0</v>
      </c>
      <c r="M155" s="103">
        <v>0.37409166075678885</v>
      </c>
      <c r="N155" s="24">
        <v>0</v>
      </c>
      <c r="O155" s="105">
        <v>0</v>
      </c>
      <c r="P155" s="105">
        <f>1</f>
        <v>1</v>
      </c>
      <c r="Q155" s="106">
        <v>0</v>
      </c>
      <c r="R155" s="107">
        <v>0</v>
      </c>
      <c r="S155" s="107">
        <v>0.15639452781719557</v>
      </c>
      <c r="T155" s="107">
        <v>0</v>
      </c>
      <c r="U155" s="107">
        <v>0</v>
      </c>
    </row>
    <row r="156" spans="1:21" s="24" customFormat="1" x14ac:dyDescent="0.3">
      <c r="A156" s="103">
        <v>8.2000000000000003E-2</v>
      </c>
      <c r="B156" s="103">
        <v>1.7000000000000001E-2</v>
      </c>
      <c r="C156" s="103">
        <v>0.107</v>
      </c>
      <c r="D156" s="103">
        <v>0.60256063999999998</v>
      </c>
      <c r="E156" s="103">
        <v>0.36600017866859413</v>
      </c>
      <c r="F156" s="103">
        <v>0.92267591344659516</v>
      </c>
      <c r="G156" s="104">
        <v>0</v>
      </c>
      <c r="H156" s="103">
        <v>4.8999999999999995E-2</v>
      </c>
      <c r="I156" s="103">
        <v>5.6000000000000001E-2</v>
      </c>
      <c r="J156" s="103">
        <v>0.621</v>
      </c>
      <c r="K156" s="103">
        <v>0.44599999999999995</v>
      </c>
      <c r="L156" s="103">
        <v>0.64305476042314869</v>
      </c>
      <c r="M156" s="103">
        <v>0.39545631109125984</v>
      </c>
      <c r="N156" s="24">
        <v>0</v>
      </c>
      <c r="O156" s="105">
        <v>0</v>
      </c>
      <c r="P156" s="105">
        <f>1</f>
        <v>1</v>
      </c>
      <c r="Q156" s="106">
        <v>0</v>
      </c>
      <c r="R156" s="107">
        <v>0</v>
      </c>
      <c r="S156" s="107">
        <v>0.15639452781719557</v>
      </c>
      <c r="T156" s="107">
        <v>0</v>
      </c>
      <c r="U156" s="107">
        <v>0</v>
      </c>
    </row>
    <row r="157" spans="1:21" s="24" customFormat="1" x14ac:dyDescent="0.3">
      <c r="A157" s="103">
        <v>0.13600000000000001</v>
      </c>
      <c r="B157" s="103">
        <v>2.7999999999999997E-2</v>
      </c>
      <c r="C157" s="103">
        <v>0.17899999999999999</v>
      </c>
      <c r="D157" s="103">
        <v>0.61838280300000004</v>
      </c>
      <c r="E157" s="103">
        <v>0.36999991878700267</v>
      </c>
      <c r="F157" s="103">
        <v>1</v>
      </c>
      <c r="G157" s="104">
        <v>6.6089800927899872E-2</v>
      </c>
      <c r="H157" s="103">
        <v>0.09</v>
      </c>
      <c r="I157" s="103">
        <v>0.108</v>
      </c>
      <c r="J157" s="103">
        <v>0.57499999999999996</v>
      </c>
      <c r="K157" s="103">
        <v>0.371</v>
      </c>
      <c r="L157" s="103">
        <v>0.63741319228375859</v>
      </c>
      <c r="M157" s="103">
        <v>0.43222901928387003</v>
      </c>
      <c r="N157" s="24">
        <v>0</v>
      </c>
      <c r="O157" s="105">
        <v>0</v>
      </c>
      <c r="P157" s="105">
        <f>1</f>
        <v>1</v>
      </c>
      <c r="Q157" s="106">
        <v>0</v>
      </c>
      <c r="R157" s="107">
        <v>0</v>
      </c>
      <c r="S157" s="107">
        <v>0.15609596616916432</v>
      </c>
      <c r="T157" s="107">
        <v>0</v>
      </c>
      <c r="U157" s="107">
        <v>0</v>
      </c>
    </row>
    <row r="158" spans="1:21" s="24" customFormat="1" x14ac:dyDescent="0.3">
      <c r="A158" s="103">
        <v>0.184</v>
      </c>
      <c r="B158" s="103">
        <v>3.59999999999999E-2</v>
      </c>
      <c r="C158" s="103">
        <v>0.24</v>
      </c>
      <c r="D158" s="103">
        <v>0.65846688499999995</v>
      </c>
      <c r="E158" s="103">
        <v>0.36900018678989388</v>
      </c>
      <c r="F158" s="103">
        <v>1</v>
      </c>
      <c r="G158" s="104">
        <v>0.19684529768837272</v>
      </c>
      <c r="H158" s="103">
        <v>0.15199999999999997</v>
      </c>
      <c r="I158" s="103">
        <v>0.16400000000000001</v>
      </c>
      <c r="J158" s="103">
        <v>0.58399999999999996</v>
      </c>
      <c r="K158" s="103">
        <v>0.33100000000000002</v>
      </c>
      <c r="L158" s="103">
        <v>0.63307840696950834</v>
      </c>
      <c r="M158" s="103">
        <v>0.51657799270485227</v>
      </c>
      <c r="N158" s="24">
        <v>0</v>
      </c>
      <c r="O158" s="105">
        <v>0</v>
      </c>
      <c r="P158" s="105">
        <f>1</f>
        <v>1</v>
      </c>
      <c r="Q158" s="106">
        <v>0</v>
      </c>
      <c r="R158" s="107">
        <v>0</v>
      </c>
      <c r="S158" s="107">
        <v>0.15639452781719557</v>
      </c>
      <c r="T158" s="107">
        <v>0</v>
      </c>
      <c r="U158" s="107">
        <v>0</v>
      </c>
    </row>
    <row r="159" spans="1:21" s="24" customFormat="1" x14ac:dyDescent="0.3">
      <c r="A159" s="103">
        <v>0.20899999999999999</v>
      </c>
      <c r="B159" s="103">
        <v>3.9E-2</v>
      </c>
      <c r="C159" s="103">
        <v>0.27200000000000002</v>
      </c>
      <c r="D159" s="103">
        <v>0.69550253799999995</v>
      </c>
      <c r="E159" s="103">
        <v>0.36999991878700267</v>
      </c>
      <c r="F159" s="103">
        <v>1</v>
      </c>
      <c r="G159" s="104">
        <v>0.27876875131854001</v>
      </c>
      <c r="H159" s="103">
        <v>0.20699999999999999</v>
      </c>
      <c r="I159" s="103">
        <v>0.20400000000000001</v>
      </c>
      <c r="J159" s="103">
        <v>0.61899999999999999</v>
      </c>
      <c r="K159" s="103">
        <v>0.32400000000000001</v>
      </c>
      <c r="L159" s="103">
        <v>0.63141692594897325</v>
      </c>
      <c r="M159" s="103">
        <v>0.60069289200979381</v>
      </c>
      <c r="N159" s="24">
        <v>0</v>
      </c>
      <c r="O159" s="105">
        <v>0</v>
      </c>
      <c r="P159" s="105">
        <f>1</f>
        <v>1</v>
      </c>
      <c r="Q159" s="106">
        <v>0</v>
      </c>
      <c r="R159" s="107">
        <v>0</v>
      </c>
      <c r="S159" s="107">
        <v>0.15639452781719557</v>
      </c>
      <c r="T159" s="107">
        <v>0</v>
      </c>
      <c r="U159" s="107">
        <v>0</v>
      </c>
    </row>
    <row r="160" spans="1:21" s="24" customFormat="1" x14ac:dyDescent="0.3">
      <c r="A160" s="103">
        <v>0.20899999999999999</v>
      </c>
      <c r="B160" s="103">
        <v>3.4000000000000002E-2</v>
      </c>
      <c r="C160" s="103">
        <v>0.26400000000000001</v>
      </c>
      <c r="D160" s="103">
        <v>0.72059707900000003</v>
      </c>
      <c r="E160" s="103">
        <v>0.37100005684909815</v>
      </c>
      <c r="F160" s="103">
        <v>1</v>
      </c>
      <c r="G160" s="104">
        <v>0.29436189112555872</v>
      </c>
      <c r="H160" s="103">
        <v>0.23899999999999999</v>
      </c>
      <c r="I160" s="103">
        <v>0.21300000000000002</v>
      </c>
      <c r="J160" s="103">
        <v>0.63</v>
      </c>
      <c r="K160" s="103">
        <v>0.33200000000000002</v>
      </c>
      <c r="L160" s="103">
        <v>0.62502613565650278</v>
      </c>
      <c r="M160" s="103">
        <v>0.64461079759786322</v>
      </c>
      <c r="N160" s="24">
        <v>0</v>
      </c>
      <c r="O160" s="105">
        <v>0</v>
      </c>
      <c r="P160" s="105">
        <f>1</f>
        <v>1</v>
      </c>
      <c r="Q160" s="106">
        <v>0</v>
      </c>
      <c r="R160" s="107">
        <v>0</v>
      </c>
      <c r="S160" s="107">
        <v>0.15609596616916432</v>
      </c>
      <c r="T160" s="107">
        <v>0</v>
      </c>
      <c r="U160" s="107">
        <v>0</v>
      </c>
    </row>
    <row r="161" spans="1:21" s="24" customFormat="1" x14ac:dyDescent="0.3">
      <c r="A161" s="103">
        <v>0.17399999999999999</v>
      </c>
      <c r="B161" s="103">
        <v>2.1999999999999898E-2</v>
      </c>
      <c r="C161" s="103">
        <v>0.20399999999999999</v>
      </c>
      <c r="D161" s="103">
        <v>0.739312894</v>
      </c>
      <c r="E161" s="103">
        <v>0.36600017866859413</v>
      </c>
      <c r="F161" s="103">
        <v>1</v>
      </c>
      <c r="G161" s="104">
        <v>0.22696561682992308</v>
      </c>
      <c r="H161" s="103">
        <v>0.21199999999999997</v>
      </c>
      <c r="I161" s="103">
        <v>0.17400000000000002</v>
      </c>
      <c r="J161" s="103">
        <v>0.61699999999999999</v>
      </c>
      <c r="K161" s="103">
        <v>0.34199999999999997</v>
      </c>
      <c r="L161" s="103">
        <v>0.62156253889234603</v>
      </c>
      <c r="M161" s="103">
        <v>0.59000497674847896</v>
      </c>
      <c r="N161" s="24">
        <v>0</v>
      </c>
      <c r="O161" s="105">
        <v>0</v>
      </c>
      <c r="P161" s="105">
        <f>1</f>
        <v>1</v>
      </c>
      <c r="Q161" s="106">
        <v>0</v>
      </c>
      <c r="R161" s="107">
        <v>0</v>
      </c>
      <c r="S161" s="107">
        <v>0.15639452781719557</v>
      </c>
      <c r="T161" s="107">
        <v>0</v>
      </c>
      <c r="U161" s="107">
        <v>0</v>
      </c>
    </row>
    <row r="162" spans="1:21" s="24" customFormat="1" x14ac:dyDescent="0.3">
      <c r="A162" s="103">
        <v>0.112</v>
      </c>
      <c r="B162" s="103">
        <v>0</v>
      </c>
      <c r="C162" s="103">
        <v>0.11899999999999901</v>
      </c>
      <c r="D162" s="103">
        <v>0.77701201099999995</v>
      </c>
      <c r="E162" s="103">
        <v>0.37200019491119363</v>
      </c>
      <c r="F162" s="103">
        <v>1</v>
      </c>
      <c r="G162" s="104">
        <v>0.13091532353016261</v>
      </c>
      <c r="H162" s="103">
        <v>0.16</v>
      </c>
      <c r="I162" s="103">
        <v>0.112</v>
      </c>
      <c r="J162" s="103">
        <v>0.61199999999999999</v>
      </c>
      <c r="K162" s="103">
        <v>0.34100000000000003</v>
      </c>
      <c r="L162" s="103">
        <v>0.62416116988176729</v>
      </c>
      <c r="M162" s="103">
        <v>0.48271115095622497</v>
      </c>
      <c r="N162" s="24">
        <v>0</v>
      </c>
      <c r="O162" s="105">
        <v>0</v>
      </c>
      <c r="P162" s="105">
        <f>1</f>
        <v>1</v>
      </c>
      <c r="Q162" s="106">
        <v>0</v>
      </c>
      <c r="R162" s="107">
        <v>0</v>
      </c>
      <c r="S162" s="107">
        <v>0.15639452781719557</v>
      </c>
      <c r="T162" s="107">
        <v>0</v>
      </c>
      <c r="U162" s="107">
        <v>0</v>
      </c>
    </row>
    <row r="163" spans="1:21" s="24" customFormat="1" x14ac:dyDescent="0.3">
      <c r="A163" s="103">
        <v>2.8000000000000001E-2</v>
      </c>
      <c r="B163" s="103">
        <v>0</v>
      </c>
      <c r="C163" s="103">
        <v>3.2000000000000001E-2</v>
      </c>
      <c r="D163" s="103">
        <v>0.76608125500000002</v>
      </c>
      <c r="E163" s="103">
        <v>0.37499979696750668</v>
      </c>
      <c r="F163" s="103">
        <v>0.9624251089213498</v>
      </c>
      <c r="G163" s="104">
        <v>0</v>
      </c>
      <c r="H163" s="103">
        <v>9.0999999999999984E-2</v>
      </c>
      <c r="I163" s="103">
        <v>4.4999999999999998E-2</v>
      </c>
      <c r="J163" s="103">
        <v>0.51700000000000002</v>
      </c>
      <c r="K163" s="103">
        <v>0.34300000000000003</v>
      </c>
      <c r="L163" s="103">
        <v>0.62626384567517113</v>
      </c>
      <c r="M163" s="103">
        <v>0.12914362781718353</v>
      </c>
      <c r="N163" s="24">
        <v>0</v>
      </c>
      <c r="O163" s="105">
        <v>0</v>
      </c>
      <c r="P163" s="105">
        <f>1</f>
        <v>1</v>
      </c>
      <c r="Q163" s="106">
        <v>0</v>
      </c>
      <c r="R163" s="107">
        <v>0</v>
      </c>
      <c r="S163" s="107">
        <v>0.15639452781719557</v>
      </c>
      <c r="T163" s="107">
        <v>0</v>
      </c>
      <c r="U163" s="107">
        <v>0</v>
      </c>
    </row>
    <row r="164" spans="1:21" s="24" customFormat="1" x14ac:dyDescent="0.3">
      <c r="A164" s="103">
        <v>0</v>
      </c>
      <c r="B164" s="103">
        <v>0</v>
      </c>
      <c r="C164" s="103">
        <v>0</v>
      </c>
      <c r="D164" s="103">
        <v>0.71677553000000005</v>
      </c>
      <c r="E164" s="103">
        <v>0.37599993502960216</v>
      </c>
      <c r="F164" s="103">
        <v>0.83568117885423321</v>
      </c>
      <c r="G164" s="104">
        <v>0</v>
      </c>
      <c r="H164" s="103">
        <v>0</v>
      </c>
      <c r="I164" s="103">
        <v>0</v>
      </c>
      <c r="J164" s="103">
        <v>0.32400000000000001</v>
      </c>
      <c r="K164" s="103">
        <v>0.33999999999999997</v>
      </c>
      <c r="L164" s="103">
        <v>0.62713130056004973</v>
      </c>
      <c r="M164" s="103">
        <v>1.0749753499332245E-2</v>
      </c>
      <c r="N164" s="24">
        <v>0</v>
      </c>
      <c r="O164" s="105">
        <v>0</v>
      </c>
      <c r="P164" s="105">
        <f>1</f>
        <v>1</v>
      </c>
      <c r="Q164" s="106">
        <v>0</v>
      </c>
      <c r="R164" s="107">
        <v>0</v>
      </c>
      <c r="S164" s="107">
        <v>0.15609596616916432</v>
      </c>
      <c r="T164" s="107">
        <v>0</v>
      </c>
      <c r="U164" s="107">
        <v>0</v>
      </c>
    </row>
    <row r="165" spans="1:21" s="24" customFormat="1" x14ac:dyDescent="0.3">
      <c r="A165" s="103">
        <v>0</v>
      </c>
      <c r="B165" s="103">
        <v>0</v>
      </c>
      <c r="C165" s="103">
        <v>0</v>
      </c>
      <c r="D165" s="103">
        <v>0.69716506300000003</v>
      </c>
      <c r="E165" s="103">
        <v>0.37599993502960216</v>
      </c>
      <c r="F165" s="103">
        <v>0.81262500702260732</v>
      </c>
      <c r="G165" s="104">
        <v>0</v>
      </c>
      <c r="H165" s="103">
        <v>0</v>
      </c>
      <c r="I165" s="103">
        <v>0</v>
      </c>
      <c r="J165" s="103">
        <v>0.251</v>
      </c>
      <c r="K165" s="103">
        <v>0.33800000000000002</v>
      </c>
      <c r="L165" s="103">
        <v>0.63002613565650278</v>
      </c>
      <c r="M165" s="103">
        <v>2.8759975224810805E-3</v>
      </c>
      <c r="N165" s="24">
        <v>0</v>
      </c>
      <c r="O165" s="105">
        <v>0</v>
      </c>
      <c r="P165" s="105">
        <f>1</f>
        <v>1</v>
      </c>
      <c r="Q165" s="106">
        <v>0</v>
      </c>
      <c r="R165" s="107">
        <v>0</v>
      </c>
      <c r="S165" s="107">
        <v>0.15639452781719557</v>
      </c>
      <c r="T165" s="107">
        <v>0</v>
      </c>
      <c r="U165" s="107">
        <v>0</v>
      </c>
    </row>
    <row r="166" spans="1:21" s="24" customFormat="1" x14ac:dyDescent="0.3">
      <c r="A166" s="103">
        <v>0</v>
      </c>
      <c r="B166" s="103">
        <v>0</v>
      </c>
      <c r="C166" s="103">
        <v>0</v>
      </c>
      <c r="D166" s="103">
        <v>0.702644457</v>
      </c>
      <c r="E166" s="103">
        <v>0.37599993502960216</v>
      </c>
      <c r="F166" s="103">
        <v>0.81901186262401848</v>
      </c>
      <c r="G166" s="104">
        <v>0</v>
      </c>
      <c r="H166" s="103">
        <v>0</v>
      </c>
      <c r="I166" s="103">
        <v>0</v>
      </c>
      <c r="J166" s="103">
        <v>0.22</v>
      </c>
      <c r="K166" s="103">
        <v>0.35599999999999998</v>
      </c>
      <c r="L166" s="103">
        <v>0.63565525824517732</v>
      </c>
      <c r="M166" s="103">
        <v>3.1153989042884698E-3</v>
      </c>
      <c r="N166" s="24">
        <v>0</v>
      </c>
      <c r="O166" s="105">
        <v>0</v>
      </c>
      <c r="P166" s="105">
        <f>1</f>
        <v>1</v>
      </c>
      <c r="Q166" s="106">
        <v>0</v>
      </c>
      <c r="R166" s="107">
        <v>0</v>
      </c>
      <c r="S166" s="107">
        <v>0.15669308946522681</v>
      </c>
      <c r="T166" s="107">
        <v>0</v>
      </c>
      <c r="U166" s="107">
        <v>0</v>
      </c>
    </row>
    <row r="167" spans="1:21" s="24" customFormat="1" x14ac:dyDescent="0.3">
      <c r="A167" s="103">
        <v>0</v>
      </c>
      <c r="B167" s="103">
        <v>0</v>
      </c>
      <c r="C167" s="103">
        <v>0</v>
      </c>
      <c r="D167" s="103">
        <v>0.71687946599999997</v>
      </c>
      <c r="E167" s="103">
        <v>0.37700007309169764</v>
      </c>
      <c r="F167" s="103">
        <v>0.83560438124337422</v>
      </c>
      <c r="G167" s="104">
        <v>0</v>
      </c>
      <c r="H167" s="103">
        <v>0</v>
      </c>
      <c r="I167" s="103">
        <v>0</v>
      </c>
      <c r="J167" s="103">
        <v>0.23299999999999998</v>
      </c>
      <c r="K167" s="103">
        <v>0.39499999999999996</v>
      </c>
      <c r="L167" s="103">
        <v>0.63668637212196633</v>
      </c>
      <c r="M167" s="103">
        <v>2.6278477275560172E-3</v>
      </c>
      <c r="N167" s="24">
        <v>0</v>
      </c>
      <c r="O167" s="105">
        <v>0</v>
      </c>
      <c r="P167" s="105">
        <f>1</f>
        <v>1</v>
      </c>
      <c r="Q167" s="106">
        <v>0</v>
      </c>
      <c r="R167" s="107">
        <v>0</v>
      </c>
      <c r="S167" s="107">
        <v>0.1569916511068217</v>
      </c>
      <c r="T167" s="107">
        <v>0</v>
      </c>
      <c r="U167" s="107">
        <v>0</v>
      </c>
    </row>
    <row r="168" spans="1:21" s="24" customFormat="1" x14ac:dyDescent="0.3">
      <c r="A168" s="103">
        <v>0</v>
      </c>
      <c r="B168" s="103">
        <v>0</v>
      </c>
      <c r="C168" s="103">
        <v>0</v>
      </c>
      <c r="D168" s="103">
        <v>0.73354011799999996</v>
      </c>
      <c r="E168" s="103">
        <v>0.37299992690830241</v>
      </c>
      <c r="F168" s="103">
        <v>0.85502426208226989</v>
      </c>
      <c r="G168" s="104">
        <v>0</v>
      </c>
      <c r="H168" s="103">
        <v>0</v>
      </c>
      <c r="I168" s="103">
        <v>0</v>
      </c>
      <c r="J168" s="103">
        <v>0.27699999999999997</v>
      </c>
      <c r="K168" s="103">
        <v>0.44800000000000001</v>
      </c>
      <c r="L168" s="103">
        <v>0.63864405724953321</v>
      </c>
      <c r="M168" s="103">
        <v>2.7025496334767769E-3</v>
      </c>
      <c r="N168" s="24">
        <v>0</v>
      </c>
      <c r="O168" s="105">
        <v>0</v>
      </c>
      <c r="P168" s="105">
        <f>1</f>
        <v>1</v>
      </c>
      <c r="Q168" s="106">
        <v>0</v>
      </c>
      <c r="R168" s="107">
        <v>0</v>
      </c>
      <c r="S168" s="107">
        <v>0.15758877440288419</v>
      </c>
      <c r="T168" s="107">
        <v>0</v>
      </c>
      <c r="U168" s="107">
        <v>0</v>
      </c>
    </row>
    <row r="169" spans="1:21" s="24" customFormat="1" x14ac:dyDescent="0.3">
      <c r="A169" s="103">
        <v>0</v>
      </c>
      <c r="B169" s="103">
        <v>0</v>
      </c>
      <c r="C169" s="103">
        <v>0</v>
      </c>
      <c r="D169" s="103">
        <v>0.75291925000000004</v>
      </c>
      <c r="E169" s="103">
        <v>0.36900018678989388</v>
      </c>
      <c r="F169" s="103">
        <v>0.85502426208226989</v>
      </c>
      <c r="G169" s="103">
        <v>0</v>
      </c>
      <c r="H169" s="103">
        <v>0</v>
      </c>
      <c r="I169" s="103">
        <v>0.34899999999999998</v>
      </c>
      <c r="J169" s="103">
        <v>0.34899999999999998</v>
      </c>
      <c r="K169" s="103">
        <v>0.50900000000000001</v>
      </c>
      <c r="L169" s="103">
        <v>0.63848288736776593</v>
      </c>
      <c r="M169" s="24">
        <v>0</v>
      </c>
      <c r="N169" s="105">
        <v>0</v>
      </c>
      <c r="O169" s="105">
        <v>0</v>
      </c>
      <c r="P169" s="106">
        <v>1</v>
      </c>
      <c r="Q169" s="107">
        <v>0</v>
      </c>
      <c r="R169" s="107">
        <v>0.15758877440288419</v>
      </c>
      <c r="S169" s="107">
        <v>0.15758877440288419</v>
      </c>
      <c r="T169" s="107">
        <v>0</v>
      </c>
      <c r="U169" s="24">
        <v>0</v>
      </c>
    </row>
    <row r="170" spans="1:21" s="24" customFormat="1" x14ac:dyDescent="0.3">
      <c r="A170" s="103"/>
      <c r="B170" s="103"/>
      <c r="C170" s="103"/>
      <c r="D170" s="103"/>
      <c r="E170" s="103"/>
      <c r="F170" s="104"/>
      <c r="G170" s="103"/>
      <c r="H170" s="103"/>
      <c r="I170" s="103"/>
      <c r="J170" s="103"/>
      <c r="K170" s="103"/>
      <c r="L170" s="103"/>
      <c r="N170" s="108"/>
      <c r="O170" s="105"/>
      <c r="P170" s="106"/>
      <c r="Q170" s="107"/>
      <c r="R170" s="107"/>
      <c r="S170" s="107"/>
      <c r="T170" s="107"/>
    </row>
    <row r="171" spans="1:21" x14ac:dyDescent="0.3">
      <c r="P171" s="110"/>
      <c r="S171" s="111"/>
      <c r="T171" s="111"/>
    </row>
    <row r="172" spans="1:21" x14ac:dyDescent="0.3">
      <c r="P172" s="110"/>
      <c r="S172" s="111"/>
      <c r="T172" s="111"/>
    </row>
    <row r="173" spans="1:21" x14ac:dyDescent="0.3">
      <c r="P173" s="110"/>
    </row>
    <row r="174" spans="1:21" x14ac:dyDescent="0.3">
      <c r="P174" s="110"/>
    </row>
    <row r="175" spans="1:21" x14ac:dyDescent="0.3">
      <c r="P175" s="110"/>
    </row>
    <row r="176" spans="1:21" x14ac:dyDescent="0.3">
      <c r="P176" s="110"/>
    </row>
    <row r="177" spans="16:16" x14ac:dyDescent="0.3">
      <c r="P177" s="110"/>
    </row>
    <row r="178" spans="16:16" x14ac:dyDescent="0.3">
      <c r="P178" s="110"/>
    </row>
    <row r="179" spans="16:16" x14ac:dyDescent="0.3">
      <c r="P179" s="110"/>
    </row>
    <row r="180" spans="16:16" x14ac:dyDescent="0.3">
      <c r="P180" s="110"/>
    </row>
    <row r="181" spans="16:16" x14ac:dyDescent="0.3">
      <c r="P181" s="110"/>
    </row>
    <row r="182" spans="16:16" x14ac:dyDescent="0.3">
      <c r="P182" s="110"/>
    </row>
    <row r="183" spans="16:16" x14ac:dyDescent="0.3">
      <c r="P183" s="110"/>
    </row>
    <row r="184" spans="16:16" x14ac:dyDescent="0.3">
      <c r="P184" s="110"/>
    </row>
    <row r="185" spans="16:16" x14ac:dyDescent="0.3">
      <c r="P185" s="110"/>
    </row>
    <row r="186" spans="16:16" x14ac:dyDescent="0.3">
      <c r="P186" s="110"/>
    </row>
    <row r="187" spans="16:16" x14ac:dyDescent="0.3">
      <c r="P187" s="110"/>
    </row>
    <row r="188" spans="16:16" x14ac:dyDescent="0.3">
      <c r="P188" s="110"/>
    </row>
    <row r="189" spans="16:16" x14ac:dyDescent="0.3">
      <c r="P189" s="110"/>
    </row>
    <row r="190" spans="16:16" x14ac:dyDescent="0.3">
      <c r="P190" s="110"/>
    </row>
    <row r="191" spans="16:16" x14ac:dyDescent="0.3">
      <c r="P191" s="110"/>
    </row>
    <row r="192" spans="16:16" x14ac:dyDescent="0.3">
      <c r="P192" s="110"/>
    </row>
    <row r="193" spans="16:16" x14ac:dyDescent="0.3">
      <c r="P193" s="110"/>
    </row>
    <row r="194" spans="16:16" x14ac:dyDescent="0.3">
      <c r="P194" s="110"/>
    </row>
    <row r="195" spans="16:16" x14ac:dyDescent="0.3">
      <c r="P195" s="110"/>
    </row>
    <row r="196" spans="16:16" x14ac:dyDescent="0.3">
      <c r="P196" s="110"/>
    </row>
    <row r="197" spans="16:16" x14ac:dyDescent="0.3">
      <c r="P197" s="110"/>
    </row>
    <row r="198" spans="16:16" x14ac:dyDescent="0.3">
      <c r="P198" s="110"/>
    </row>
    <row r="199" spans="16:16" x14ac:dyDescent="0.3">
      <c r="P199" s="110"/>
    </row>
    <row r="200" spans="16:16" x14ac:dyDescent="0.3">
      <c r="P200" s="110"/>
    </row>
    <row r="201" spans="16:16" x14ac:dyDescent="0.3">
      <c r="P201" s="110"/>
    </row>
    <row r="202" spans="16:16" x14ac:dyDescent="0.3">
      <c r="P202" s="110"/>
    </row>
    <row r="203" spans="16:16" x14ac:dyDescent="0.3">
      <c r="P203" s="110"/>
    </row>
    <row r="204" spans="16:16" x14ac:dyDescent="0.3">
      <c r="P204" s="110"/>
    </row>
    <row r="205" spans="16:16" x14ac:dyDescent="0.3">
      <c r="P205" s="110"/>
    </row>
    <row r="206" spans="16:16" x14ac:dyDescent="0.3">
      <c r="P206" s="110"/>
    </row>
    <row r="207" spans="16:16" x14ac:dyDescent="0.3">
      <c r="P207" s="110"/>
    </row>
    <row r="208" spans="16:16" x14ac:dyDescent="0.3">
      <c r="P208" s="110"/>
    </row>
    <row r="209" spans="16:16" x14ac:dyDescent="0.3">
      <c r="P209" s="110"/>
    </row>
    <row r="210" spans="16:16" x14ac:dyDescent="0.3">
      <c r="P210" s="110"/>
    </row>
    <row r="211" spans="16:16" x14ac:dyDescent="0.3">
      <c r="P211" s="110"/>
    </row>
    <row r="212" spans="16:16" x14ac:dyDescent="0.3">
      <c r="P212" s="110"/>
    </row>
    <row r="213" spans="16:16" x14ac:dyDescent="0.3">
      <c r="P213" s="110"/>
    </row>
    <row r="214" spans="16:16" x14ac:dyDescent="0.3">
      <c r="P214" s="110"/>
    </row>
    <row r="215" spans="16:16" x14ac:dyDescent="0.3">
      <c r="P215" s="110"/>
    </row>
    <row r="216" spans="16:16" x14ac:dyDescent="0.3">
      <c r="P216" s="110"/>
    </row>
    <row r="217" spans="16:16" x14ac:dyDescent="0.3">
      <c r="P217" s="110"/>
    </row>
    <row r="218" spans="16:16" x14ac:dyDescent="0.3">
      <c r="P218" s="110"/>
    </row>
    <row r="219" spans="16:16" x14ac:dyDescent="0.3">
      <c r="P219" s="110"/>
    </row>
    <row r="220" spans="16:16" x14ac:dyDescent="0.3">
      <c r="P220" s="110"/>
    </row>
    <row r="221" spans="16:16" x14ac:dyDescent="0.3">
      <c r="P221" s="110"/>
    </row>
    <row r="222" spans="16:16" x14ac:dyDescent="0.3">
      <c r="P222" s="110"/>
    </row>
    <row r="223" spans="16:16" x14ac:dyDescent="0.3">
      <c r="P223" s="110"/>
    </row>
    <row r="224" spans="16:16" x14ac:dyDescent="0.3">
      <c r="P224" s="110"/>
    </row>
    <row r="225" spans="16:16" x14ac:dyDescent="0.3">
      <c r="P225" s="110"/>
    </row>
    <row r="226" spans="16:16" x14ac:dyDescent="0.3">
      <c r="P226" s="110"/>
    </row>
    <row r="227" spans="16:16" x14ac:dyDescent="0.3">
      <c r="P227" s="110"/>
    </row>
    <row r="228" spans="16:16" x14ac:dyDescent="0.3">
      <c r="P228" s="110"/>
    </row>
    <row r="229" spans="16:16" x14ac:dyDescent="0.3">
      <c r="P229" s="110"/>
    </row>
    <row r="230" spans="16:16" x14ac:dyDescent="0.3">
      <c r="P230" s="110"/>
    </row>
    <row r="231" spans="16:16" x14ac:dyDescent="0.3">
      <c r="P231" s="110"/>
    </row>
    <row r="232" spans="16:16" x14ac:dyDescent="0.3">
      <c r="P232" s="110"/>
    </row>
    <row r="233" spans="16:16" x14ac:dyDescent="0.3">
      <c r="P233" s="110"/>
    </row>
    <row r="234" spans="16:16" x14ac:dyDescent="0.3">
      <c r="P234" s="110"/>
    </row>
    <row r="235" spans="16:16" x14ac:dyDescent="0.3">
      <c r="P235" s="110"/>
    </row>
    <row r="236" spans="16:16" x14ac:dyDescent="0.3">
      <c r="P236" s="110"/>
    </row>
    <row r="237" spans="16:16" x14ac:dyDescent="0.3">
      <c r="P237" s="110"/>
    </row>
    <row r="238" spans="16:16" x14ac:dyDescent="0.3">
      <c r="P238" s="110"/>
    </row>
    <row r="239" spans="16:16" x14ac:dyDescent="0.3">
      <c r="P239" s="110"/>
    </row>
    <row r="240" spans="16:16" x14ac:dyDescent="0.3">
      <c r="P240" s="110"/>
    </row>
    <row r="241" spans="16:16" x14ac:dyDescent="0.3">
      <c r="P241" s="110"/>
    </row>
    <row r="242" spans="16:16" x14ac:dyDescent="0.3">
      <c r="P242" s="110"/>
    </row>
    <row r="243" spans="16:16" x14ac:dyDescent="0.3">
      <c r="P243" s="110"/>
    </row>
    <row r="244" spans="16:16" x14ac:dyDescent="0.3">
      <c r="P244" s="110"/>
    </row>
    <row r="245" spans="16:16" x14ac:dyDescent="0.3">
      <c r="P245" s="110"/>
    </row>
    <row r="246" spans="16:16" x14ac:dyDescent="0.3">
      <c r="P246" s="110"/>
    </row>
    <row r="247" spans="16:16" x14ac:dyDescent="0.3">
      <c r="P247" s="110"/>
    </row>
    <row r="248" spans="16:16" x14ac:dyDescent="0.3">
      <c r="P248" s="110"/>
    </row>
    <row r="249" spans="16:16" x14ac:dyDescent="0.3">
      <c r="P249" s="110"/>
    </row>
    <row r="250" spans="16:16" x14ac:dyDescent="0.3">
      <c r="P250" s="110"/>
    </row>
    <row r="251" spans="16:16" x14ac:dyDescent="0.3">
      <c r="P251" s="110"/>
    </row>
    <row r="252" spans="16:16" x14ac:dyDescent="0.3">
      <c r="P252" s="110"/>
    </row>
    <row r="253" spans="16:16" x14ac:dyDescent="0.3">
      <c r="P253" s="110"/>
    </row>
    <row r="254" spans="16:16" x14ac:dyDescent="0.3">
      <c r="P254" s="110"/>
    </row>
    <row r="255" spans="16:16" x14ac:dyDescent="0.3">
      <c r="P255" s="110"/>
    </row>
    <row r="256" spans="16:16" x14ac:dyDescent="0.3">
      <c r="P256" s="110"/>
    </row>
    <row r="257" spans="16:16" x14ac:dyDescent="0.3">
      <c r="P257" s="110"/>
    </row>
    <row r="258" spans="16:16" x14ac:dyDescent="0.3">
      <c r="P258" s="110"/>
    </row>
    <row r="259" spans="16:16" x14ac:dyDescent="0.3">
      <c r="P259" s="110"/>
    </row>
    <row r="260" spans="16:16" x14ac:dyDescent="0.3">
      <c r="P260" s="110"/>
    </row>
    <row r="261" spans="16:16" x14ac:dyDescent="0.3">
      <c r="P261" s="110"/>
    </row>
    <row r="262" spans="16:16" x14ac:dyDescent="0.3">
      <c r="P262" s="110"/>
    </row>
    <row r="263" spans="16:16" x14ac:dyDescent="0.3">
      <c r="P263" s="110"/>
    </row>
    <row r="264" spans="16:16" x14ac:dyDescent="0.3">
      <c r="P264" s="110"/>
    </row>
    <row r="265" spans="16:16" x14ac:dyDescent="0.3">
      <c r="P265" s="110"/>
    </row>
    <row r="266" spans="16:16" x14ac:dyDescent="0.3">
      <c r="P266" s="110"/>
    </row>
    <row r="267" spans="16:16" x14ac:dyDescent="0.3">
      <c r="P267" s="110"/>
    </row>
    <row r="268" spans="16:16" x14ac:dyDescent="0.3">
      <c r="P268" s="110"/>
    </row>
    <row r="269" spans="16:16" x14ac:dyDescent="0.3">
      <c r="P269" s="110"/>
    </row>
    <row r="270" spans="16:16" x14ac:dyDescent="0.3">
      <c r="P270" s="110"/>
    </row>
    <row r="271" spans="16:16" x14ac:dyDescent="0.3">
      <c r="P271" s="110"/>
    </row>
    <row r="272" spans="16:16" x14ac:dyDescent="0.3">
      <c r="P272" s="110"/>
    </row>
    <row r="273" spans="16:16" x14ac:dyDescent="0.3">
      <c r="P273" s="110"/>
    </row>
    <row r="274" spans="16:16" x14ac:dyDescent="0.3">
      <c r="P274" s="110"/>
    </row>
    <row r="275" spans="16:16" x14ac:dyDescent="0.3">
      <c r="P275" s="110"/>
    </row>
    <row r="276" spans="16:16" x14ac:dyDescent="0.3">
      <c r="P276" s="110"/>
    </row>
    <row r="277" spans="16:16" x14ac:dyDescent="0.3">
      <c r="P277" s="110"/>
    </row>
    <row r="278" spans="16:16" x14ac:dyDescent="0.3">
      <c r="P278" s="110"/>
    </row>
    <row r="279" spans="16:16" x14ac:dyDescent="0.3">
      <c r="P279" s="110"/>
    </row>
    <row r="280" spans="16:16" x14ac:dyDescent="0.3">
      <c r="P280" s="110"/>
    </row>
    <row r="281" spans="16:16" x14ac:dyDescent="0.3">
      <c r="P281" s="110"/>
    </row>
    <row r="282" spans="16:16" x14ac:dyDescent="0.3">
      <c r="P282" s="110"/>
    </row>
    <row r="283" spans="16:16" x14ac:dyDescent="0.3">
      <c r="P283" s="110"/>
    </row>
    <row r="284" spans="16:16" x14ac:dyDescent="0.3">
      <c r="P284" s="110"/>
    </row>
    <row r="285" spans="16:16" x14ac:dyDescent="0.3">
      <c r="P285" s="110"/>
    </row>
    <row r="286" spans="16:16" x14ac:dyDescent="0.3">
      <c r="P286" s="110"/>
    </row>
    <row r="287" spans="16:16" x14ac:dyDescent="0.3">
      <c r="P287" s="110"/>
    </row>
    <row r="288" spans="16:16" x14ac:dyDescent="0.3">
      <c r="P288" s="110"/>
    </row>
    <row r="289" spans="16:16" x14ac:dyDescent="0.3">
      <c r="P289" s="110"/>
    </row>
    <row r="290" spans="16:16" x14ac:dyDescent="0.3">
      <c r="P290" s="110"/>
    </row>
    <row r="291" spans="16:16" x14ac:dyDescent="0.3">
      <c r="P291" s="110"/>
    </row>
    <row r="292" spans="16:16" x14ac:dyDescent="0.3">
      <c r="P292" s="110"/>
    </row>
    <row r="293" spans="16:16" x14ac:dyDescent="0.3">
      <c r="P293" s="110"/>
    </row>
    <row r="294" spans="16:16" x14ac:dyDescent="0.3">
      <c r="P294" s="110"/>
    </row>
    <row r="295" spans="16:16" x14ac:dyDescent="0.3">
      <c r="P295" s="110"/>
    </row>
    <row r="296" spans="16:16" x14ac:dyDescent="0.3">
      <c r="P296" s="110"/>
    </row>
    <row r="297" spans="16:16" x14ac:dyDescent="0.3">
      <c r="P297" s="110"/>
    </row>
    <row r="298" spans="16:16" x14ac:dyDescent="0.3">
      <c r="P298" s="110"/>
    </row>
    <row r="299" spans="16:16" x14ac:dyDescent="0.3">
      <c r="P299" s="110"/>
    </row>
    <row r="300" spans="16:16" x14ac:dyDescent="0.3">
      <c r="P300" s="110"/>
    </row>
    <row r="301" spans="16:16" x14ac:dyDescent="0.3">
      <c r="P301" s="110"/>
    </row>
    <row r="302" spans="16:16" x14ac:dyDescent="0.3">
      <c r="P302" s="110"/>
    </row>
    <row r="303" spans="16:16" x14ac:dyDescent="0.3">
      <c r="P303" s="110"/>
    </row>
    <row r="304" spans="16:16" x14ac:dyDescent="0.3">
      <c r="P304" s="110"/>
    </row>
    <row r="305" spans="16:16" x14ac:dyDescent="0.3">
      <c r="P305" s="110"/>
    </row>
    <row r="306" spans="16:16" x14ac:dyDescent="0.3">
      <c r="P306" s="110"/>
    </row>
    <row r="307" spans="16:16" x14ac:dyDescent="0.3">
      <c r="P307" s="110"/>
    </row>
    <row r="308" spans="16:16" x14ac:dyDescent="0.3">
      <c r="P308" s="110"/>
    </row>
    <row r="309" spans="16:16" x14ac:dyDescent="0.3">
      <c r="P309" s="110"/>
    </row>
    <row r="310" spans="16:16" x14ac:dyDescent="0.3">
      <c r="P310" s="110"/>
    </row>
    <row r="311" spans="16:16" x14ac:dyDescent="0.3">
      <c r="P311" s="110"/>
    </row>
    <row r="312" spans="16:16" x14ac:dyDescent="0.3">
      <c r="P312" s="110"/>
    </row>
    <row r="313" spans="16:16" x14ac:dyDescent="0.3">
      <c r="P313" s="110"/>
    </row>
    <row r="314" spans="16:16" x14ac:dyDescent="0.3">
      <c r="P314" s="110"/>
    </row>
    <row r="315" spans="16:16" x14ac:dyDescent="0.3">
      <c r="P315" s="110"/>
    </row>
    <row r="316" spans="16:16" x14ac:dyDescent="0.3">
      <c r="P316" s="110"/>
    </row>
    <row r="317" spans="16:16" x14ac:dyDescent="0.3">
      <c r="P317" s="110"/>
    </row>
    <row r="318" spans="16:16" x14ac:dyDescent="0.3">
      <c r="P318" s="110"/>
    </row>
    <row r="319" spans="16:16" x14ac:dyDescent="0.3">
      <c r="P319" s="110"/>
    </row>
    <row r="320" spans="16:16" x14ac:dyDescent="0.3">
      <c r="P320" s="110"/>
    </row>
    <row r="321" spans="16:16" x14ac:dyDescent="0.3">
      <c r="P321" s="110"/>
    </row>
    <row r="322" spans="16:16" x14ac:dyDescent="0.3">
      <c r="P322" s="110"/>
    </row>
    <row r="323" spans="16:16" x14ac:dyDescent="0.3">
      <c r="P323" s="110"/>
    </row>
    <row r="324" spans="16:16" x14ac:dyDescent="0.3">
      <c r="P324" s="110"/>
    </row>
    <row r="325" spans="16:16" x14ac:dyDescent="0.3">
      <c r="P325" s="110"/>
    </row>
    <row r="326" spans="16:16" x14ac:dyDescent="0.3">
      <c r="P326" s="110"/>
    </row>
    <row r="327" spans="16:16" x14ac:dyDescent="0.3">
      <c r="P327" s="110"/>
    </row>
    <row r="328" spans="16:16" x14ac:dyDescent="0.3">
      <c r="P328" s="110"/>
    </row>
    <row r="329" spans="16:16" x14ac:dyDescent="0.3">
      <c r="P329" s="110"/>
    </row>
    <row r="330" spans="16:16" x14ac:dyDescent="0.3">
      <c r="P330" s="110"/>
    </row>
    <row r="331" spans="16:16" x14ac:dyDescent="0.3">
      <c r="P331" s="110"/>
    </row>
    <row r="332" spans="16:16" x14ac:dyDescent="0.3">
      <c r="P332" s="110"/>
    </row>
    <row r="333" spans="16:16" x14ac:dyDescent="0.3">
      <c r="P333" s="110"/>
    </row>
    <row r="334" spans="16:16" x14ac:dyDescent="0.3">
      <c r="P334" s="110"/>
    </row>
    <row r="335" spans="16:16" x14ac:dyDescent="0.3">
      <c r="P335" s="110"/>
    </row>
    <row r="336" spans="16:16" x14ac:dyDescent="0.3">
      <c r="P336" s="110"/>
    </row>
    <row r="337" spans="16:16" x14ac:dyDescent="0.3">
      <c r="P337" s="110"/>
    </row>
    <row r="338" spans="16:16" x14ac:dyDescent="0.3">
      <c r="P338" s="110"/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13639-1819-4052-B2D7-B9E472FED938}">
  <dimension ref="A1:AN8762"/>
  <sheetViews>
    <sheetView topLeftCell="U133" workbookViewId="0">
      <selection activeCell="AI3" sqref="AI3:AI170"/>
    </sheetView>
  </sheetViews>
  <sheetFormatPr baseColWidth="10" defaultRowHeight="14.5" x14ac:dyDescent="0.35"/>
  <cols>
    <col min="1" max="1" width="18.7265625" style="36" customWidth="1"/>
    <col min="2" max="3" width="10.90625" style="36"/>
    <col min="4" max="4" width="7.1796875" style="36" bestFit="1" customWidth="1"/>
    <col min="5" max="7" width="19.1796875" style="38" bestFit="1" customWidth="1"/>
    <col min="8" max="10" width="22.1796875" style="38" bestFit="1" customWidth="1"/>
    <col min="11" max="11" width="22.1796875" style="38" customWidth="1"/>
    <col min="12" max="12" width="19.08984375" style="38" bestFit="1" customWidth="1"/>
    <col min="13" max="13" width="25.7265625" style="50" bestFit="1" customWidth="1"/>
    <col min="14" max="14" width="19.26953125" style="50" bestFit="1" customWidth="1"/>
    <col min="15" max="15" width="19.26953125" style="50" customWidth="1"/>
    <col min="16" max="16" width="19.08984375" style="38" customWidth="1"/>
    <col min="17" max="17" width="19.08984375" style="38" bestFit="1" customWidth="1"/>
    <col min="18" max="19" width="19.08984375" style="38" customWidth="1"/>
    <col min="20" max="23" width="10.90625" style="50"/>
    <col min="24" max="24" width="20.26953125" style="50" bestFit="1" customWidth="1"/>
    <col min="25" max="28" width="10.90625" style="50"/>
    <col min="29" max="29" width="15.08984375" style="50" customWidth="1"/>
    <col min="30" max="30" width="10.90625" style="50"/>
    <col min="31" max="31" width="10.90625" style="64"/>
    <col min="32" max="32" width="18.08984375" style="64" bestFit="1" customWidth="1"/>
    <col min="33" max="34" width="10.90625" style="64"/>
    <col min="35" max="35" width="16.6328125" style="64" bestFit="1" customWidth="1"/>
    <col min="36" max="36" width="10.90625" style="36"/>
    <col min="37" max="37" width="10.90625" style="64"/>
    <col min="38" max="38" width="16.6328125" style="64" bestFit="1" customWidth="1"/>
    <col min="39" max="16384" width="10.90625" style="36"/>
  </cols>
  <sheetData>
    <row r="1" spans="1:40" ht="24.5" x14ac:dyDescent="0.45">
      <c r="A1" s="37" t="s">
        <v>144</v>
      </c>
    </row>
    <row r="2" spans="1:40" x14ac:dyDescent="0.35">
      <c r="D2" s="49" t="s">
        <v>145</v>
      </c>
      <c r="E2" s="46" t="s">
        <v>153</v>
      </c>
      <c r="F2" s="46" t="s">
        <v>139</v>
      </c>
      <c r="G2" s="46" t="s">
        <v>140</v>
      </c>
      <c r="H2" s="45" t="s">
        <v>156</v>
      </c>
      <c r="I2" s="45" t="s">
        <v>152</v>
      </c>
      <c r="J2" s="59" t="s">
        <v>58</v>
      </c>
      <c r="K2" s="48" t="s">
        <v>154</v>
      </c>
      <c r="L2" s="48" t="s">
        <v>142</v>
      </c>
      <c r="M2" s="48" t="s">
        <v>166</v>
      </c>
      <c r="N2" s="48" t="s">
        <v>167</v>
      </c>
      <c r="O2" s="48" t="s">
        <v>170</v>
      </c>
      <c r="P2" s="47" t="s">
        <v>157</v>
      </c>
      <c r="Q2" s="47" t="s">
        <v>155</v>
      </c>
      <c r="R2" s="48" t="s">
        <v>60</v>
      </c>
      <c r="S2" s="84"/>
      <c r="T2" s="50" t="s">
        <v>153</v>
      </c>
      <c r="U2" s="50" t="s">
        <v>163</v>
      </c>
      <c r="V2" s="50" t="s">
        <v>162</v>
      </c>
      <c r="W2" s="50" t="s">
        <v>163</v>
      </c>
      <c r="X2" s="50" t="s">
        <v>154</v>
      </c>
      <c r="Y2" s="50" t="s">
        <v>163</v>
      </c>
      <c r="Z2" s="50" t="s">
        <v>164</v>
      </c>
      <c r="AC2" s="83" t="s">
        <v>166</v>
      </c>
      <c r="AD2" s="83" t="s">
        <v>167</v>
      </c>
      <c r="AE2" s="85" t="s">
        <v>168</v>
      </c>
      <c r="AF2" s="85" t="s">
        <v>169</v>
      </c>
      <c r="AH2" s="85" t="s">
        <v>177</v>
      </c>
      <c r="AI2" s="85" t="s">
        <v>180</v>
      </c>
      <c r="AK2" s="85" t="s">
        <v>182</v>
      </c>
      <c r="AL2" s="85" t="s">
        <v>181</v>
      </c>
      <c r="AN2" s="36">
        <v>662.45600000000002</v>
      </c>
    </row>
    <row r="3" spans="1:40" x14ac:dyDescent="0.35">
      <c r="A3" s="50"/>
      <c r="B3" s="50"/>
      <c r="D3" s="39">
        <f>1</f>
        <v>1</v>
      </c>
      <c r="E3" s="57">
        <v>0</v>
      </c>
      <c r="F3" s="41">
        <v>0</v>
      </c>
      <c r="G3" s="41">
        <v>0</v>
      </c>
      <c r="H3" s="41">
        <v>31741.699000000001</v>
      </c>
      <c r="I3" s="41">
        <v>1169.32010313</v>
      </c>
      <c r="J3" s="41">
        <f>H3+I3</f>
        <v>32911.019103129998</v>
      </c>
      <c r="K3" s="57">
        <v>0</v>
      </c>
      <c r="L3" s="62">
        <v>0</v>
      </c>
      <c r="M3" s="62">
        <v>0.13200000000000001</v>
      </c>
      <c r="N3" s="41">
        <v>0.11900000000000001</v>
      </c>
      <c r="O3" s="41">
        <f>M3+N3</f>
        <v>0.251</v>
      </c>
      <c r="P3" s="41">
        <v>5108.7860000000001</v>
      </c>
      <c r="Q3" s="41">
        <v>0</v>
      </c>
      <c r="R3" s="42">
        <f>P3+Q3</f>
        <v>5108.7860000000001</v>
      </c>
      <c r="S3" s="62"/>
      <c r="T3" s="50">
        <v>0</v>
      </c>
      <c r="U3" s="50">
        <f>T3/$B$5</f>
        <v>0</v>
      </c>
      <c r="V3" s="50">
        <v>0</v>
      </c>
      <c r="W3" s="50">
        <f>V3/$B$6</f>
        <v>0</v>
      </c>
      <c r="X3" s="50">
        <v>0</v>
      </c>
      <c r="Y3" s="50">
        <f>X3/$B$8</f>
        <v>0</v>
      </c>
      <c r="Z3" s="50">
        <v>0</v>
      </c>
      <c r="AA3" s="50">
        <f>Z3/$B$9</f>
        <v>0</v>
      </c>
      <c r="AC3" s="53">
        <v>85.272000000000006</v>
      </c>
      <c r="AD3" s="81">
        <v>1385.5884000000001</v>
      </c>
      <c r="AE3" s="77">
        <f>AC3/$B$11</f>
        <v>0.13200000000000001</v>
      </c>
      <c r="AF3" s="86">
        <f>AD3/$B$10</f>
        <v>0.11900000000000001</v>
      </c>
      <c r="AH3" s="88">
        <v>662.45600000000002</v>
      </c>
      <c r="AI3" s="86">
        <f>AH3/$B$12</f>
        <v>0.2690001867898939</v>
      </c>
      <c r="AK3" s="88">
        <v>863.94200000000001</v>
      </c>
      <c r="AL3" s="86">
        <f>AK3/$B$13</f>
        <v>0.53761169881767268</v>
      </c>
      <c r="AN3" s="36">
        <v>657.53</v>
      </c>
    </row>
    <row r="4" spans="1:40" x14ac:dyDescent="0.35">
      <c r="A4" s="60" t="s">
        <v>146</v>
      </c>
      <c r="B4" s="61"/>
      <c r="D4" s="39">
        <f>1+D3</f>
        <v>2</v>
      </c>
      <c r="E4" s="57">
        <v>0</v>
      </c>
      <c r="F4" s="41">
        <v>0</v>
      </c>
      <c r="G4" s="41">
        <v>0</v>
      </c>
      <c r="H4" s="41">
        <v>30099.562999999998</v>
      </c>
      <c r="I4" s="41">
        <v>888.66789827000002</v>
      </c>
      <c r="J4" s="41">
        <f t="shared" ref="J4:J67" si="0">H4+I4</f>
        <v>30988.230898269998</v>
      </c>
      <c r="K4" s="57">
        <v>0</v>
      </c>
      <c r="L4" s="62">
        <v>0</v>
      </c>
      <c r="M4" s="62">
        <v>0.11799999999999999</v>
      </c>
      <c r="N4" s="41">
        <v>0.125</v>
      </c>
      <c r="O4" s="41">
        <f t="shared" ref="O4:O67" si="1">M4+N4</f>
        <v>0.24299999999999999</v>
      </c>
      <c r="P4" s="41">
        <v>4819.1030000000001</v>
      </c>
      <c r="Q4" s="41">
        <v>0</v>
      </c>
      <c r="R4" s="42">
        <f t="shared" ref="R4:R67" si="2">P4+Q4</f>
        <v>4819.1030000000001</v>
      </c>
      <c r="S4" s="62"/>
      <c r="T4" s="50">
        <v>0</v>
      </c>
      <c r="U4" s="50">
        <f t="shared" ref="U4:U67" si="3">T4/$B$5</f>
        <v>0</v>
      </c>
      <c r="V4" s="50">
        <v>0</v>
      </c>
      <c r="W4" s="50">
        <f t="shared" ref="W4:W67" si="4">V4/$B$6</f>
        <v>0</v>
      </c>
      <c r="X4" s="50">
        <v>0</v>
      </c>
      <c r="Y4" s="50">
        <f t="shared" ref="Y4:Y67" si="5">X4/$B$8</f>
        <v>0</v>
      </c>
      <c r="Z4" s="50">
        <v>0</v>
      </c>
      <c r="AA4" s="50">
        <f t="shared" ref="AA4:AA67" si="6">Z4/$B$9</f>
        <v>0</v>
      </c>
      <c r="AC4" s="53">
        <v>76.227999999999994</v>
      </c>
      <c r="AD4" s="81">
        <v>1455.45</v>
      </c>
      <c r="AE4" s="77">
        <f t="shared" ref="AE4:AE67" si="7">AC4/$B$11</f>
        <v>0.11799999999999999</v>
      </c>
      <c r="AF4" s="86">
        <f t="shared" ref="AF4:AF67" si="8">AD4/$B$10</f>
        <v>0.125</v>
      </c>
      <c r="AH4" s="88">
        <v>657.53</v>
      </c>
      <c r="AI4" s="86">
        <f t="shared" ref="AI4:AI67" si="9">AH4/$B$12</f>
        <v>0.26699991066570294</v>
      </c>
      <c r="AK4" s="88">
        <v>857.85199999999998</v>
      </c>
      <c r="AL4" s="86">
        <f t="shared" ref="AL4:AL67" si="10">AK4/$B$13</f>
        <v>0.53382202862476658</v>
      </c>
      <c r="AN4" s="36">
        <v>652.60500000000002</v>
      </c>
    </row>
    <row r="5" spans="1:40" x14ac:dyDescent="0.35">
      <c r="A5" s="51" t="s">
        <v>149</v>
      </c>
      <c r="B5" s="52">
        <v>83000</v>
      </c>
      <c r="D5" s="39">
        <f t="shared" ref="D5:D68" si="11">1+D4</f>
        <v>3</v>
      </c>
      <c r="E5" s="57">
        <v>0</v>
      </c>
      <c r="F5" s="41">
        <v>0</v>
      </c>
      <c r="G5" s="41">
        <v>0</v>
      </c>
      <c r="H5" s="41">
        <v>28885.16</v>
      </c>
      <c r="I5" s="41">
        <v>1460.14500662</v>
      </c>
      <c r="J5" s="41">
        <f t="shared" si="0"/>
        <v>30345.305006620001</v>
      </c>
      <c r="K5" s="57">
        <v>0</v>
      </c>
      <c r="L5" s="62">
        <v>0</v>
      </c>
      <c r="M5" s="62">
        <v>0.11</v>
      </c>
      <c r="N5" s="41">
        <v>0.13699999999999998</v>
      </c>
      <c r="O5" s="41">
        <f t="shared" si="1"/>
        <v>0.247</v>
      </c>
      <c r="P5" s="41">
        <v>4387.7039999999997</v>
      </c>
      <c r="Q5" s="41">
        <v>0</v>
      </c>
      <c r="R5" s="42">
        <f t="shared" si="2"/>
        <v>4387.7039999999997</v>
      </c>
      <c r="S5" s="62"/>
      <c r="T5" s="50">
        <v>0</v>
      </c>
      <c r="U5" s="50">
        <f t="shared" si="3"/>
        <v>0</v>
      </c>
      <c r="V5" s="50">
        <v>0</v>
      </c>
      <c r="W5" s="50">
        <f t="shared" si="4"/>
        <v>0</v>
      </c>
      <c r="X5" s="50">
        <v>0</v>
      </c>
      <c r="Y5" s="50">
        <f t="shared" si="5"/>
        <v>0</v>
      </c>
      <c r="Z5" s="50">
        <v>0</v>
      </c>
      <c r="AA5" s="50">
        <f t="shared" si="6"/>
        <v>0</v>
      </c>
      <c r="AC5" s="53">
        <v>71.06</v>
      </c>
      <c r="AD5" s="81">
        <v>1595.1732</v>
      </c>
      <c r="AE5" s="77">
        <f t="shared" si="7"/>
        <v>0.11</v>
      </c>
      <c r="AF5" s="86">
        <f t="shared" si="8"/>
        <v>0.13699999999999998</v>
      </c>
      <c r="AH5" s="88">
        <v>652.60500000000002</v>
      </c>
      <c r="AI5" s="86">
        <f t="shared" si="9"/>
        <v>0.26500004060649868</v>
      </c>
      <c r="AK5" s="88">
        <v>856.53800000000001</v>
      </c>
      <c r="AL5" s="86">
        <f t="shared" si="10"/>
        <v>0.53300435594275042</v>
      </c>
      <c r="AN5" s="36">
        <v>677.23099999999999</v>
      </c>
    </row>
    <row r="6" spans="1:40" x14ac:dyDescent="0.35">
      <c r="A6" s="53" t="s">
        <v>148</v>
      </c>
      <c r="B6" s="54">
        <v>4805</v>
      </c>
      <c r="D6" s="39">
        <f t="shared" si="11"/>
        <v>4</v>
      </c>
      <c r="E6" s="57">
        <v>0</v>
      </c>
      <c r="F6" s="41">
        <v>0</v>
      </c>
      <c r="G6" s="41">
        <v>0</v>
      </c>
      <c r="H6" s="41">
        <v>28278.065999999999</v>
      </c>
      <c r="I6" s="41">
        <v>2313.93280177</v>
      </c>
      <c r="J6" s="41">
        <f t="shared" si="0"/>
        <v>30591.998801769998</v>
      </c>
      <c r="K6" s="57">
        <v>0</v>
      </c>
      <c r="L6" s="62">
        <v>0</v>
      </c>
      <c r="M6" s="62">
        <v>0.105</v>
      </c>
      <c r="N6" s="41">
        <v>0.153</v>
      </c>
      <c r="O6" s="41">
        <f t="shared" si="1"/>
        <v>0.25800000000000001</v>
      </c>
      <c r="P6" s="41">
        <v>4234.8289999999997</v>
      </c>
      <c r="Q6" s="41">
        <v>0</v>
      </c>
      <c r="R6" s="42">
        <f t="shared" si="2"/>
        <v>4234.8289999999997</v>
      </c>
      <c r="S6" s="62"/>
      <c r="T6" s="50">
        <v>0</v>
      </c>
      <c r="U6" s="50">
        <f t="shared" si="3"/>
        <v>0</v>
      </c>
      <c r="V6" s="50">
        <v>0</v>
      </c>
      <c r="W6" s="50">
        <f t="shared" si="4"/>
        <v>0</v>
      </c>
      <c r="X6" s="50">
        <v>0</v>
      </c>
      <c r="Y6" s="50">
        <f t="shared" si="5"/>
        <v>0</v>
      </c>
      <c r="Z6" s="50">
        <v>0</v>
      </c>
      <c r="AA6" s="50">
        <f t="shared" si="6"/>
        <v>0</v>
      </c>
      <c r="AC6" s="53">
        <v>67.83</v>
      </c>
      <c r="AD6" s="81">
        <v>1781.4708000000001</v>
      </c>
      <c r="AE6" s="77">
        <f t="shared" si="7"/>
        <v>0.105</v>
      </c>
      <c r="AF6" s="86">
        <f t="shared" si="8"/>
        <v>0.153</v>
      </c>
      <c r="AH6" s="88">
        <v>677.23099999999999</v>
      </c>
      <c r="AI6" s="86">
        <f t="shared" si="9"/>
        <v>0.2749997969675067</v>
      </c>
      <c r="AK6" s="88">
        <v>866.279</v>
      </c>
      <c r="AL6" s="86">
        <f t="shared" si="10"/>
        <v>0.53906596141879282</v>
      </c>
      <c r="AN6" s="36">
        <v>687.08199999999999</v>
      </c>
    </row>
    <row r="7" spans="1:40" x14ac:dyDescent="0.35">
      <c r="A7" s="55" t="s">
        <v>147</v>
      </c>
      <c r="B7" s="56">
        <v>30000</v>
      </c>
      <c r="D7" s="39">
        <f t="shared" si="11"/>
        <v>5</v>
      </c>
      <c r="E7" s="57">
        <v>0</v>
      </c>
      <c r="F7" s="41">
        <v>0</v>
      </c>
      <c r="G7" s="41">
        <v>0</v>
      </c>
      <c r="H7" s="41">
        <v>28514.219000000001</v>
      </c>
      <c r="I7" s="41">
        <v>2602.54615109</v>
      </c>
      <c r="J7" s="41">
        <f t="shared" si="0"/>
        <v>31116.76515109</v>
      </c>
      <c r="K7" s="57">
        <v>0</v>
      </c>
      <c r="L7" s="62">
        <v>0</v>
      </c>
      <c r="M7" s="62">
        <v>0.10099999999999999</v>
      </c>
      <c r="N7" s="41">
        <v>0.16699999999999998</v>
      </c>
      <c r="O7" s="41">
        <f t="shared" si="1"/>
        <v>0.26799999999999996</v>
      </c>
      <c r="P7" s="41">
        <v>4222.5379999999996</v>
      </c>
      <c r="Q7" s="41">
        <v>0</v>
      </c>
      <c r="R7" s="42">
        <f t="shared" si="2"/>
        <v>4222.5379999999996</v>
      </c>
      <c r="S7" s="62"/>
      <c r="T7" s="50">
        <v>0</v>
      </c>
      <c r="U7" s="50">
        <f t="shared" si="3"/>
        <v>0</v>
      </c>
      <c r="V7" s="50">
        <v>0</v>
      </c>
      <c r="W7" s="50">
        <f t="shared" si="4"/>
        <v>0</v>
      </c>
      <c r="X7" s="50">
        <v>0</v>
      </c>
      <c r="Y7" s="50">
        <f t="shared" si="5"/>
        <v>0</v>
      </c>
      <c r="Z7" s="50">
        <v>0</v>
      </c>
      <c r="AA7" s="50">
        <f t="shared" si="6"/>
        <v>0</v>
      </c>
      <c r="AC7" s="53">
        <v>65.245999999999995</v>
      </c>
      <c r="AD7" s="81">
        <v>1944.4811999999999</v>
      </c>
      <c r="AE7" s="77">
        <f t="shared" si="7"/>
        <v>0.10099999999999999</v>
      </c>
      <c r="AF7" s="86">
        <f t="shared" si="8"/>
        <v>0.16699999999999998</v>
      </c>
      <c r="AH7" s="88">
        <v>687.08199999999999</v>
      </c>
      <c r="AI7" s="86">
        <f t="shared" si="9"/>
        <v>0.27899994315090187</v>
      </c>
      <c r="AK7" s="88">
        <v>871.28399999999999</v>
      </c>
      <c r="AL7" s="86">
        <f t="shared" si="10"/>
        <v>0.54218046048537649</v>
      </c>
      <c r="AN7" s="36">
        <v>716.63400000000001</v>
      </c>
    </row>
    <row r="8" spans="1:40" x14ac:dyDescent="0.35">
      <c r="A8" s="51" t="s">
        <v>150</v>
      </c>
      <c r="B8" s="52">
        <v>14378.2</v>
      </c>
      <c r="D8" s="39">
        <f t="shared" si="11"/>
        <v>6</v>
      </c>
      <c r="E8" s="57">
        <v>0</v>
      </c>
      <c r="F8" s="41">
        <v>0</v>
      </c>
      <c r="G8" s="41">
        <v>0</v>
      </c>
      <c r="H8" s="41">
        <v>29517.69</v>
      </c>
      <c r="I8" s="41">
        <v>2801.3606452399999</v>
      </c>
      <c r="J8" s="41">
        <f t="shared" si="0"/>
        <v>32319.05064524</v>
      </c>
      <c r="K8" s="57">
        <v>0</v>
      </c>
      <c r="L8" s="62">
        <v>0</v>
      </c>
      <c r="M8" s="62">
        <v>9.7000000000000003E-2</v>
      </c>
      <c r="N8" s="41">
        <v>0.17800000000000002</v>
      </c>
      <c r="O8" s="41">
        <f t="shared" si="1"/>
        <v>0.27500000000000002</v>
      </c>
      <c r="P8" s="41">
        <v>4353.5569999999998</v>
      </c>
      <c r="Q8" s="41">
        <v>0</v>
      </c>
      <c r="R8" s="42">
        <f t="shared" si="2"/>
        <v>4353.5569999999998</v>
      </c>
      <c r="S8" s="62"/>
      <c r="T8" s="50">
        <v>0</v>
      </c>
      <c r="U8" s="50">
        <f t="shared" si="3"/>
        <v>0</v>
      </c>
      <c r="V8" s="50">
        <v>0</v>
      </c>
      <c r="W8" s="50">
        <f t="shared" si="4"/>
        <v>0</v>
      </c>
      <c r="X8" s="50">
        <v>0</v>
      </c>
      <c r="Y8" s="50">
        <f t="shared" si="5"/>
        <v>0</v>
      </c>
      <c r="Z8" s="50">
        <v>0</v>
      </c>
      <c r="AA8" s="50">
        <f t="shared" si="6"/>
        <v>0</v>
      </c>
      <c r="AC8" s="53">
        <v>62.661999999999999</v>
      </c>
      <c r="AD8" s="81">
        <v>2072.5608000000002</v>
      </c>
      <c r="AE8" s="77">
        <f t="shared" si="7"/>
        <v>9.7000000000000003E-2</v>
      </c>
      <c r="AF8" s="86">
        <f t="shared" si="8"/>
        <v>0.17800000000000002</v>
      </c>
      <c r="AH8" s="88">
        <v>716.63400000000001</v>
      </c>
      <c r="AI8" s="86">
        <f t="shared" si="9"/>
        <v>0.2909999756361008</v>
      </c>
      <c r="AK8" s="88">
        <v>890.92200000000003</v>
      </c>
      <c r="AL8" s="86">
        <f t="shared" si="10"/>
        <v>0.55440074673304296</v>
      </c>
      <c r="AN8" s="36">
        <v>807.75199999999995</v>
      </c>
    </row>
    <row r="9" spans="1:40" x14ac:dyDescent="0.35">
      <c r="A9" s="55" t="s">
        <v>151</v>
      </c>
      <c r="B9" s="56">
        <v>9659.9</v>
      </c>
      <c r="D9" s="39">
        <f t="shared" si="11"/>
        <v>7</v>
      </c>
      <c r="E9" s="57">
        <v>0</v>
      </c>
      <c r="F9" s="41">
        <v>0</v>
      </c>
      <c r="G9" s="41">
        <v>0</v>
      </c>
      <c r="H9" s="41">
        <v>31303.323</v>
      </c>
      <c r="I9" s="41">
        <v>3547.0086195099998</v>
      </c>
      <c r="J9" s="41">
        <f t="shared" si="0"/>
        <v>34850.331619509998</v>
      </c>
      <c r="K9" s="57">
        <v>0</v>
      </c>
      <c r="L9" s="62">
        <v>0</v>
      </c>
      <c r="M9" s="62">
        <v>9.1999999999999998E-2</v>
      </c>
      <c r="N9" s="41">
        <v>0.183</v>
      </c>
      <c r="O9" s="41">
        <f t="shared" si="1"/>
        <v>0.27500000000000002</v>
      </c>
      <c r="P9" s="41">
        <v>4546.4669999999996</v>
      </c>
      <c r="Q9" s="41">
        <v>0</v>
      </c>
      <c r="R9" s="42">
        <f t="shared" si="2"/>
        <v>4546.4669999999996</v>
      </c>
      <c r="S9" s="62"/>
      <c r="T9" s="50">
        <v>0</v>
      </c>
      <c r="U9" s="50">
        <f t="shared" si="3"/>
        <v>0</v>
      </c>
      <c r="V9" s="50">
        <v>0</v>
      </c>
      <c r="W9" s="50">
        <f t="shared" si="4"/>
        <v>0</v>
      </c>
      <c r="X9" s="50">
        <v>0</v>
      </c>
      <c r="Y9" s="50">
        <f t="shared" si="5"/>
        <v>0</v>
      </c>
      <c r="Z9" s="50">
        <v>0</v>
      </c>
      <c r="AA9" s="50">
        <f t="shared" si="6"/>
        <v>0</v>
      </c>
      <c r="AC9" s="53">
        <v>59.432000000000002</v>
      </c>
      <c r="AD9" s="81">
        <v>2130.7788</v>
      </c>
      <c r="AE9" s="77">
        <f t="shared" si="7"/>
        <v>9.1999999999999998E-2</v>
      </c>
      <c r="AF9" s="86">
        <f t="shared" si="8"/>
        <v>0.183</v>
      </c>
      <c r="AH9" s="88">
        <v>807.75199999999995</v>
      </c>
      <c r="AI9" s="86">
        <f t="shared" si="9"/>
        <v>0.32799980508880644</v>
      </c>
      <c r="AK9" s="88">
        <v>907.654</v>
      </c>
      <c r="AL9" s="86">
        <f t="shared" si="10"/>
        <v>0.56481269446172988</v>
      </c>
      <c r="AN9" s="36">
        <v>881.63199999999995</v>
      </c>
    </row>
    <row r="10" spans="1:40" x14ac:dyDescent="0.35">
      <c r="A10" s="51" t="s">
        <v>167</v>
      </c>
      <c r="B10" s="52">
        <v>11643.6</v>
      </c>
      <c r="D10" s="39">
        <f t="shared" si="11"/>
        <v>8</v>
      </c>
      <c r="E10" s="57">
        <v>0</v>
      </c>
      <c r="F10" s="41">
        <v>0</v>
      </c>
      <c r="G10" s="41">
        <v>0</v>
      </c>
      <c r="H10" s="41">
        <v>33072.214</v>
      </c>
      <c r="I10" s="41">
        <v>3967.9018050700001</v>
      </c>
      <c r="J10" s="41">
        <f t="shared" si="0"/>
        <v>37040.115805070003</v>
      </c>
      <c r="K10" s="57">
        <v>0</v>
      </c>
      <c r="L10" s="62">
        <v>0</v>
      </c>
      <c r="M10" s="62">
        <v>9.0999999999999998E-2</v>
      </c>
      <c r="N10" s="41">
        <v>0.183</v>
      </c>
      <c r="O10" s="41">
        <f t="shared" si="1"/>
        <v>0.27400000000000002</v>
      </c>
      <c r="P10" s="41">
        <v>4670.4759999999997</v>
      </c>
      <c r="Q10" s="41">
        <v>0</v>
      </c>
      <c r="R10" s="42">
        <f t="shared" si="2"/>
        <v>4670.4759999999997</v>
      </c>
      <c r="S10" s="62"/>
      <c r="T10" s="50">
        <v>0</v>
      </c>
      <c r="U10" s="50">
        <f t="shared" si="3"/>
        <v>0</v>
      </c>
      <c r="V10" s="50">
        <v>0</v>
      </c>
      <c r="W10" s="50">
        <f t="shared" si="4"/>
        <v>0</v>
      </c>
      <c r="X10" s="50">
        <v>0</v>
      </c>
      <c r="Y10" s="50">
        <f t="shared" si="5"/>
        <v>0</v>
      </c>
      <c r="Z10" s="50">
        <v>0</v>
      </c>
      <c r="AA10" s="50">
        <f t="shared" si="6"/>
        <v>0</v>
      </c>
      <c r="AC10" s="53">
        <v>58.786000000000001</v>
      </c>
      <c r="AD10" s="81">
        <v>2130.7788</v>
      </c>
      <c r="AE10" s="77">
        <f t="shared" si="7"/>
        <v>9.0999999999999998E-2</v>
      </c>
      <c r="AF10" s="86">
        <f t="shared" si="8"/>
        <v>0.183</v>
      </c>
      <c r="AH10" s="88">
        <v>881.63199999999995</v>
      </c>
      <c r="AI10" s="86">
        <f t="shared" si="9"/>
        <v>0.35799988630180374</v>
      </c>
      <c r="AK10" s="88">
        <v>914.14400000000001</v>
      </c>
      <c r="AL10" s="86">
        <f t="shared" si="10"/>
        <v>0.56885127566894833</v>
      </c>
      <c r="AN10" s="36">
        <v>913.64700000000005</v>
      </c>
    </row>
    <row r="11" spans="1:40" x14ac:dyDescent="0.35">
      <c r="A11" s="55" t="s">
        <v>166</v>
      </c>
      <c r="B11" s="56">
        <v>646</v>
      </c>
      <c r="D11" s="39">
        <f t="shared" si="11"/>
        <v>9</v>
      </c>
      <c r="E11" s="57">
        <v>0</v>
      </c>
      <c r="F11" s="41">
        <v>0</v>
      </c>
      <c r="G11" s="41">
        <v>0</v>
      </c>
      <c r="H11" s="41">
        <v>34068.637999999999</v>
      </c>
      <c r="I11" s="41">
        <v>3830.0583072999998</v>
      </c>
      <c r="J11" s="41">
        <f t="shared" si="0"/>
        <v>37898.696307300001</v>
      </c>
      <c r="K11" s="57">
        <v>0</v>
      </c>
      <c r="L11" s="62">
        <v>0</v>
      </c>
      <c r="M11" s="62">
        <v>8.8999999999999996E-2</v>
      </c>
      <c r="N11" s="41">
        <v>0.17199999999999999</v>
      </c>
      <c r="O11" s="41">
        <f t="shared" si="1"/>
        <v>0.26100000000000001</v>
      </c>
      <c r="P11" s="41">
        <v>4713.0320000000002</v>
      </c>
      <c r="Q11" s="41">
        <v>0</v>
      </c>
      <c r="R11" s="42">
        <f t="shared" si="2"/>
        <v>4713.0320000000002</v>
      </c>
      <c r="S11" s="62"/>
      <c r="T11" s="50">
        <v>0</v>
      </c>
      <c r="U11" s="50">
        <f t="shared" si="3"/>
        <v>0</v>
      </c>
      <c r="V11" s="50">
        <v>0</v>
      </c>
      <c r="W11" s="50">
        <f t="shared" si="4"/>
        <v>0</v>
      </c>
      <c r="X11" s="50">
        <v>0</v>
      </c>
      <c r="Y11" s="50">
        <f t="shared" si="5"/>
        <v>0</v>
      </c>
      <c r="Z11" s="50">
        <v>0</v>
      </c>
      <c r="AA11" s="50">
        <f t="shared" si="6"/>
        <v>0</v>
      </c>
      <c r="AC11" s="53">
        <v>57.494</v>
      </c>
      <c r="AD11" s="81">
        <v>2002.6992</v>
      </c>
      <c r="AE11" s="77">
        <f t="shared" si="7"/>
        <v>8.8999999999999996E-2</v>
      </c>
      <c r="AF11" s="86">
        <f t="shared" si="8"/>
        <v>0.17199999999999999</v>
      </c>
      <c r="AH11" s="88">
        <v>913.64700000000005</v>
      </c>
      <c r="AI11" s="86">
        <f t="shared" si="9"/>
        <v>0.37100005684909815</v>
      </c>
      <c r="AK11" s="88">
        <v>911.74300000000005</v>
      </c>
      <c r="AL11" s="86">
        <f t="shared" si="10"/>
        <v>0.5673571873055383</v>
      </c>
      <c r="AN11" s="36">
        <v>962.9</v>
      </c>
    </row>
    <row r="12" spans="1:40" x14ac:dyDescent="0.35">
      <c r="A12" s="79" t="s">
        <v>178</v>
      </c>
      <c r="B12" s="80">
        <v>2462.66</v>
      </c>
      <c r="D12" s="39">
        <f t="shared" si="11"/>
        <v>10</v>
      </c>
      <c r="E12" s="57">
        <v>4.2000000000000003E-2</v>
      </c>
      <c r="F12" s="41">
        <v>7.0999999999999994E-2</v>
      </c>
      <c r="G12" s="41">
        <v>0.13100000000000001</v>
      </c>
      <c r="H12" s="41">
        <v>35359.432999999997</v>
      </c>
      <c r="I12" s="41">
        <v>2387.89148776</v>
      </c>
      <c r="J12" s="41">
        <f t="shared" si="0"/>
        <v>37747.324487759994</v>
      </c>
      <c r="K12" s="57">
        <v>1.4999999999999999E-2</v>
      </c>
      <c r="L12" s="62">
        <v>1.4999999999999999E-2</v>
      </c>
      <c r="M12" s="62">
        <v>8.8999999999999996E-2</v>
      </c>
      <c r="N12" s="41">
        <v>0.13400000000000001</v>
      </c>
      <c r="O12" s="41">
        <f t="shared" si="1"/>
        <v>0.223</v>
      </c>
      <c r="P12" s="41">
        <v>4911.3090000000002</v>
      </c>
      <c r="Q12" s="41">
        <v>0</v>
      </c>
      <c r="R12" s="42">
        <f t="shared" si="2"/>
        <v>4911.3090000000002</v>
      </c>
      <c r="S12" s="62"/>
      <c r="T12" s="50">
        <v>10126</v>
      </c>
      <c r="U12" s="50">
        <f t="shared" si="3"/>
        <v>0.122</v>
      </c>
      <c r="V12" s="50">
        <v>341.15499999999997</v>
      </c>
      <c r="W12" s="50">
        <f t="shared" si="4"/>
        <v>7.0999999999999994E-2</v>
      </c>
      <c r="X12" s="50">
        <v>1063.9867999999999</v>
      </c>
      <c r="Y12" s="50">
        <f t="shared" si="5"/>
        <v>7.3999999999999996E-2</v>
      </c>
      <c r="Z12" s="50">
        <v>367.07619999999997</v>
      </c>
      <c r="AA12" s="50">
        <f t="shared" si="6"/>
        <v>3.7999999999999999E-2</v>
      </c>
      <c r="AC12" s="53">
        <v>57.494</v>
      </c>
      <c r="AD12" s="81">
        <v>1560.2424000000001</v>
      </c>
      <c r="AE12" s="77">
        <f t="shared" si="7"/>
        <v>8.8999999999999996E-2</v>
      </c>
      <c r="AF12" s="86">
        <f t="shared" si="8"/>
        <v>0.13400000000000001</v>
      </c>
      <c r="AH12" s="88">
        <v>962.9</v>
      </c>
      <c r="AI12" s="86">
        <f t="shared" si="9"/>
        <v>0.39099997563610084</v>
      </c>
      <c r="AK12" s="88">
        <v>911.59100000000001</v>
      </c>
      <c r="AL12" s="86">
        <f t="shared" si="10"/>
        <v>0.56726260112009952</v>
      </c>
      <c r="AN12" s="36">
        <v>982.601</v>
      </c>
    </row>
    <row r="13" spans="1:40" x14ac:dyDescent="0.35">
      <c r="A13" s="55" t="s">
        <v>179</v>
      </c>
      <c r="B13" s="56">
        <v>1607</v>
      </c>
      <c r="D13" s="39">
        <f t="shared" si="11"/>
        <v>11</v>
      </c>
      <c r="E13" s="57">
        <v>0.157</v>
      </c>
      <c r="F13" s="41">
        <v>0.188</v>
      </c>
      <c r="G13" s="41">
        <v>0.30499999999999999</v>
      </c>
      <c r="H13" s="41">
        <v>35771.872000000003</v>
      </c>
      <c r="I13" s="41">
        <v>1889.8543081600001</v>
      </c>
      <c r="J13" s="41">
        <f t="shared" si="0"/>
        <v>37661.726308160003</v>
      </c>
      <c r="K13" s="57">
        <v>5.7999999999999996E-2</v>
      </c>
      <c r="L13" s="62">
        <v>6.5000000000000002E-2</v>
      </c>
      <c r="M13" s="62">
        <v>8.4999999999999992E-2</v>
      </c>
      <c r="N13" s="41">
        <v>7.1999999999999995E-2</v>
      </c>
      <c r="O13" s="41">
        <f t="shared" si="1"/>
        <v>0.15699999999999997</v>
      </c>
      <c r="P13" s="41">
        <v>5033.2820000000002</v>
      </c>
      <c r="Q13" s="41">
        <v>0</v>
      </c>
      <c r="R13" s="42">
        <f t="shared" si="2"/>
        <v>5033.2820000000002</v>
      </c>
      <c r="S13" s="62"/>
      <c r="T13" s="50">
        <v>25979</v>
      </c>
      <c r="U13" s="50">
        <f t="shared" si="3"/>
        <v>0.313</v>
      </c>
      <c r="V13" s="50">
        <v>903.34</v>
      </c>
      <c r="W13" s="50">
        <f t="shared" si="4"/>
        <v>0.188</v>
      </c>
      <c r="X13" s="50">
        <v>3810.223</v>
      </c>
      <c r="Y13" s="50">
        <f t="shared" si="5"/>
        <v>0.26499999999999996</v>
      </c>
      <c r="Z13" s="50">
        <v>1371.7058</v>
      </c>
      <c r="AA13" s="50">
        <f t="shared" si="6"/>
        <v>0.14199999999999999</v>
      </c>
      <c r="AC13" s="53">
        <v>54.91</v>
      </c>
      <c r="AD13" s="81">
        <v>838.33920000000001</v>
      </c>
      <c r="AE13" s="77">
        <f t="shared" si="7"/>
        <v>8.4999999999999992E-2</v>
      </c>
      <c r="AF13" s="86">
        <f t="shared" si="8"/>
        <v>7.1999999999999995E-2</v>
      </c>
      <c r="AH13" s="88">
        <v>982.601</v>
      </c>
      <c r="AI13" s="86">
        <f t="shared" si="9"/>
        <v>0.39899986193790454</v>
      </c>
      <c r="AK13" s="88">
        <v>918.27</v>
      </c>
      <c r="AL13" s="86">
        <f t="shared" si="10"/>
        <v>0.57141879278158059</v>
      </c>
      <c r="AN13" s="36">
        <v>997.37699999999995</v>
      </c>
    </row>
    <row r="14" spans="1:40" x14ac:dyDescent="0.35">
      <c r="D14" s="39">
        <f t="shared" si="11"/>
        <v>12</v>
      </c>
      <c r="E14" s="57">
        <v>0.22800000000000001</v>
      </c>
      <c r="F14" s="41">
        <v>0.31</v>
      </c>
      <c r="G14" s="41">
        <v>0.442</v>
      </c>
      <c r="H14" s="41">
        <v>36558.857000000004</v>
      </c>
      <c r="I14" s="41">
        <v>2380.3125980899999</v>
      </c>
      <c r="J14" s="41">
        <f t="shared" si="0"/>
        <v>38939.169598090004</v>
      </c>
      <c r="K14" s="57">
        <v>9.0999999999999998E-2</v>
      </c>
      <c r="L14" s="62">
        <v>0.115</v>
      </c>
      <c r="M14" s="62">
        <v>8.2000000000000003E-2</v>
      </c>
      <c r="N14" s="41">
        <v>3.7999999999999999E-2</v>
      </c>
      <c r="O14" s="41">
        <f t="shared" si="1"/>
        <v>0.12</v>
      </c>
      <c r="P14" s="41">
        <v>5241.0720000000001</v>
      </c>
      <c r="Q14" s="41">
        <v>0</v>
      </c>
      <c r="R14" s="42">
        <f t="shared" si="2"/>
        <v>5241.0720000000001</v>
      </c>
      <c r="S14" s="62"/>
      <c r="T14" s="50">
        <v>31457</v>
      </c>
      <c r="U14" s="50">
        <f t="shared" si="3"/>
        <v>0.379</v>
      </c>
      <c r="V14" s="50">
        <v>1489.55</v>
      </c>
      <c r="W14" s="50">
        <f t="shared" si="4"/>
        <v>0.31</v>
      </c>
      <c r="X14" s="50">
        <v>6355.1643999999997</v>
      </c>
      <c r="Y14" s="50">
        <f t="shared" si="5"/>
        <v>0.44199999999999995</v>
      </c>
      <c r="Z14" s="50">
        <v>2424.6349</v>
      </c>
      <c r="AA14" s="50">
        <f t="shared" si="6"/>
        <v>0.251</v>
      </c>
      <c r="AC14" s="53">
        <v>52.972000000000001</v>
      </c>
      <c r="AD14" s="81">
        <v>442.45679999999999</v>
      </c>
      <c r="AE14" s="77">
        <f t="shared" si="7"/>
        <v>8.2000000000000003E-2</v>
      </c>
      <c r="AF14" s="86">
        <f t="shared" si="8"/>
        <v>3.7999999999999999E-2</v>
      </c>
      <c r="AH14" s="88">
        <v>997.37699999999995</v>
      </c>
      <c r="AI14" s="86">
        <f t="shared" si="9"/>
        <v>0.40499987818050404</v>
      </c>
      <c r="AK14" s="88">
        <v>914.43200000000002</v>
      </c>
      <c r="AL14" s="86">
        <f t="shared" si="10"/>
        <v>0.56903049159925323</v>
      </c>
      <c r="AN14" s="36">
        <v>994.91499999999996</v>
      </c>
    </row>
    <row r="15" spans="1:40" x14ac:dyDescent="0.35">
      <c r="D15" s="39">
        <f t="shared" si="11"/>
        <v>13</v>
      </c>
      <c r="E15" s="57">
        <v>0.245</v>
      </c>
      <c r="F15" s="41">
        <v>0.38900000000000001</v>
      </c>
      <c r="G15" s="41">
        <v>0.51</v>
      </c>
      <c r="H15" s="41">
        <v>37443.358999999997</v>
      </c>
      <c r="I15" s="41">
        <v>2602.6944411600002</v>
      </c>
      <c r="J15" s="41">
        <f t="shared" si="0"/>
        <v>40046.053441159995</v>
      </c>
      <c r="K15" s="57">
        <v>0.10199999999999999</v>
      </c>
      <c r="L15" s="62">
        <v>0.13699999999999998</v>
      </c>
      <c r="M15" s="62">
        <v>7.8E-2</v>
      </c>
      <c r="N15" s="41">
        <v>3.6999999999999998E-2</v>
      </c>
      <c r="O15" s="41">
        <f t="shared" si="1"/>
        <v>0.11499999999999999</v>
      </c>
      <c r="P15" s="41">
        <v>5572.7849999999999</v>
      </c>
      <c r="Q15" s="41">
        <v>0</v>
      </c>
      <c r="R15" s="42">
        <f t="shared" si="2"/>
        <v>5572.7849999999999</v>
      </c>
      <c r="S15" s="62"/>
      <c r="T15" s="50">
        <v>32453</v>
      </c>
      <c r="U15" s="50">
        <f t="shared" si="3"/>
        <v>0.39100000000000001</v>
      </c>
      <c r="V15" s="50">
        <v>1869.145</v>
      </c>
      <c r="W15" s="50">
        <f t="shared" si="4"/>
        <v>0.38900000000000001</v>
      </c>
      <c r="X15" s="50">
        <v>7879.2536</v>
      </c>
      <c r="Y15" s="50">
        <f t="shared" si="5"/>
        <v>0.54799999999999993</v>
      </c>
      <c r="Z15" s="50">
        <v>3120.1477</v>
      </c>
      <c r="AA15" s="50">
        <f t="shared" si="6"/>
        <v>0.32300000000000001</v>
      </c>
      <c r="AC15" s="53">
        <v>50.387999999999998</v>
      </c>
      <c r="AD15" s="81">
        <v>430.81319999999999</v>
      </c>
      <c r="AE15" s="77">
        <f t="shared" si="7"/>
        <v>7.8E-2</v>
      </c>
      <c r="AF15" s="86">
        <f t="shared" si="8"/>
        <v>3.6999999999999998E-2</v>
      </c>
      <c r="AH15" s="88">
        <v>994.91499999999996</v>
      </c>
      <c r="AI15" s="86">
        <f t="shared" si="9"/>
        <v>0.40400014618339519</v>
      </c>
      <c r="AK15" s="88">
        <v>916.05899999999997</v>
      </c>
      <c r="AL15" s="86">
        <f t="shared" si="10"/>
        <v>0.5700429371499689</v>
      </c>
      <c r="AN15" s="36">
        <v>999.84</v>
      </c>
    </row>
    <row r="16" spans="1:40" x14ac:dyDescent="0.35">
      <c r="D16" s="39">
        <f t="shared" si="11"/>
        <v>14</v>
      </c>
      <c r="E16" s="57">
        <v>0.23500000000000001</v>
      </c>
      <c r="F16" s="41">
        <v>0.39899999999999997</v>
      </c>
      <c r="G16" s="41">
        <v>0.51100000000000001</v>
      </c>
      <c r="H16" s="41">
        <v>37784.137000000002</v>
      </c>
      <c r="I16" s="41">
        <v>2314.1030445299998</v>
      </c>
      <c r="J16" s="41">
        <f t="shared" si="0"/>
        <v>40098.240044530001</v>
      </c>
      <c r="K16" s="57">
        <v>9.8000000000000004E-2</v>
      </c>
      <c r="L16" s="62">
        <v>0.13</v>
      </c>
      <c r="M16" s="62">
        <v>0.08</v>
      </c>
      <c r="N16" s="41">
        <v>4.2999999999999997E-2</v>
      </c>
      <c r="O16" s="41">
        <f t="shared" si="1"/>
        <v>0.123</v>
      </c>
      <c r="P16" s="41">
        <v>5282.482</v>
      </c>
      <c r="Q16" s="41">
        <v>0</v>
      </c>
      <c r="R16" s="42">
        <f t="shared" si="2"/>
        <v>5282.482</v>
      </c>
      <c r="S16" s="62"/>
      <c r="T16" s="50">
        <v>32287</v>
      </c>
      <c r="U16" s="50">
        <f t="shared" si="3"/>
        <v>0.38900000000000001</v>
      </c>
      <c r="V16" s="50">
        <v>1917.1949999999999</v>
      </c>
      <c r="W16" s="50">
        <f t="shared" si="4"/>
        <v>0.39899999999999997</v>
      </c>
      <c r="X16" s="50">
        <v>8353.7342000000008</v>
      </c>
      <c r="Y16" s="50">
        <f t="shared" si="5"/>
        <v>0.58100000000000007</v>
      </c>
      <c r="Z16" s="50">
        <v>3361.6451999999999</v>
      </c>
      <c r="AA16" s="50">
        <f t="shared" si="6"/>
        <v>0.34800000000000003</v>
      </c>
      <c r="AC16" s="53">
        <v>51.68</v>
      </c>
      <c r="AD16" s="81">
        <v>500.6748</v>
      </c>
      <c r="AE16" s="77">
        <f t="shared" si="7"/>
        <v>0.08</v>
      </c>
      <c r="AF16" s="86">
        <f t="shared" si="8"/>
        <v>4.2999999999999997E-2</v>
      </c>
      <c r="AH16" s="88">
        <v>999.84</v>
      </c>
      <c r="AI16" s="86">
        <f t="shared" si="9"/>
        <v>0.40600001624259952</v>
      </c>
      <c r="AK16" s="88">
        <v>911.99199999999996</v>
      </c>
      <c r="AL16" s="86">
        <f t="shared" si="10"/>
        <v>0.5675121344119477</v>
      </c>
      <c r="AN16" s="36">
        <v>1004.765</v>
      </c>
    </row>
    <row r="17" spans="4:40" x14ac:dyDescent="0.35">
      <c r="D17" s="39">
        <f t="shared" si="11"/>
        <v>15</v>
      </c>
      <c r="E17" s="57">
        <v>0.15</v>
      </c>
      <c r="F17" s="41">
        <v>0.34799999999999998</v>
      </c>
      <c r="G17" s="41">
        <v>0.45100000000000001</v>
      </c>
      <c r="H17" s="41">
        <v>37011.836000000003</v>
      </c>
      <c r="I17" s="41">
        <v>1735.9122407699999</v>
      </c>
      <c r="J17" s="41">
        <f t="shared" si="0"/>
        <v>38747.748240770001</v>
      </c>
      <c r="K17" s="57">
        <v>0.09</v>
      </c>
      <c r="L17" s="62">
        <v>9.9000000000000005E-2</v>
      </c>
      <c r="M17" s="62">
        <v>8.7999999999999995E-2</v>
      </c>
      <c r="N17" s="41">
        <v>4.9999999999999996E-2</v>
      </c>
      <c r="O17" s="41">
        <f t="shared" si="1"/>
        <v>0.13799999999999998</v>
      </c>
      <c r="P17" s="41">
        <v>5002.3549999999996</v>
      </c>
      <c r="Q17" s="41">
        <v>0</v>
      </c>
      <c r="R17" s="42">
        <f t="shared" si="2"/>
        <v>5002.3549999999996</v>
      </c>
      <c r="S17" s="62"/>
      <c r="T17" s="50">
        <v>31374</v>
      </c>
      <c r="U17" s="50">
        <f t="shared" si="3"/>
        <v>0.378</v>
      </c>
      <c r="V17" s="50">
        <v>1672.14</v>
      </c>
      <c r="W17" s="50">
        <f t="shared" si="4"/>
        <v>0.34800000000000003</v>
      </c>
      <c r="X17" s="50">
        <v>7792.9844000000003</v>
      </c>
      <c r="Y17" s="50">
        <f t="shared" si="5"/>
        <v>0.54200000000000004</v>
      </c>
      <c r="Z17" s="50">
        <v>3120.1477</v>
      </c>
      <c r="AA17" s="50">
        <f t="shared" si="6"/>
        <v>0.32300000000000001</v>
      </c>
      <c r="AC17" s="53">
        <v>56.847999999999999</v>
      </c>
      <c r="AD17" s="81">
        <v>582.17999999999995</v>
      </c>
      <c r="AE17" s="77">
        <f t="shared" si="7"/>
        <v>8.7999999999999995E-2</v>
      </c>
      <c r="AF17" s="86">
        <f t="shared" si="8"/>
        <v>4.9999999999999996E-2</v>
      </c>
      <c r="AH17" s="88">
        <v>1004.765</v>
      </c>
      <c r="AI17" s="86">
        <f t="shared" si="9"/>
        <v>0.40799988630180378</v>
      </c>
      <c r="AK17" s="88">
        <v>906.76800000000003</v>
      </c>
      <c r="AL17" s="86">
        <f t="shared" si="10"/>
        <v>0.56426135656502807</v>
      </c>
      <c r="AN17" s="36">
        <v>1002.303</v>
      </c>
    </row>
    <row r="18" spans="4:40" x14ac:dyDescent="0.35">
      <c r="D18" s="39">
        <f t="shared" si="11"/>
        <v>16</v>
      </c>
      <c r="E18" s="57">
        <v>0.03</v>
      </c>
      <c r="F18" s="41">
        <v>0.253</v>
      </c>
      <c r="G18" s="41">
        <v>0.34899999999999998</v>
      </c>
      <c r="H18" s="41">
        <v>36719.425000000003</v>
      </c>
      <c r="I18" s="41">
        <v>1480.27747864</v>
      </c>
      <c r="J18" s="41">
        <f t="shared" si="0"/>
        <v>38199.70247864</v>
      </c>
      <c r="K18" s="57">
        <v>3.59999999999999E-2</v>
      </c>
      <c r="L18" s="62">
        <v>4.4999999999999998E-2</v>
      </c>
      <c r="M18" s="62">
        <v>0.10099999999999999</v>
      </c>
      <c r="N18" s="41">
        <v>5.7000000000000002E-2</v>
      </c>
      <c r="O18" s="41">
        <f t="shared" si="1"/>
        <v>0.158</v>
      </c>
      <c r="P18" s="41">
        <v>5027.03</v>
      </c>
      <c r="Q18" s="41">
        <v>0</v>
      </c>
      <c r="R18" s="42">
        <f t="shared" si="2"/>
        <v>5027.03</v>
      </c>
      <c r="S18" s="62"/>
      <c r="T18" s="50">
        <v>29465</v>
      </c>
      <c r="U18" s="50">
        <f t="shared" si="3"/>
        <v>0.35499999999999998</v>
      </c>
      <c r="V18" s="50">
        <v>1215.665</v>
      </c>
      <c r="W18" s="50">
        <f t="shared" si="4"/>
        <v>0.253</v>
      </c>
      <c r="X18" s="50">
        <v>6340.7861999999996</v>
      </c>
      <c r="Y18" s="50">
        <f t="shared" si="5"/>
        <v>0.44099999999999995</v>
      </c>
      <c r="Z18" s="50">
        <v>2424.6349</v>
      </c>
      <c r="AA18" s="50">
        <f t="shared" si="6"/>
        <v>0.251</v>
      </c>
      <c r="AC18" s="53">
        <v>65.245999999999995</v>
      </c>
      <c r="AD18" s="81">
        <v>663.68520000000001</v>
      </c>
      <c r="AE18" s="77">
        <f t="shared" si="7"/>
        <v>0.10099999999999999</v>
      </c>
      <c r="AF18" s="86">
        <f t="shared" si="8"/>
        <v>5.7000000000000002E-2</v>
      </c>
      <c r="AH18" s="88">
        <v>1002.303</v>
      </c>
      <c r="AI18" s="86">
        <f t="shared" si="9"/>
        <v>0.40700015430469494</v>
      </c>
      <c r="AK18" s="88">
        <v>900.34500000000003</v>
      </c>
      <c r="AL18" s="86">
        <f t="shared" si="10"/>
        <v>0.5602644679527069</v>
      </c>
      <c r="AN18" s="36">
        <v>1009.691</v>
      </c>
    </row>
    <row r="19" spans="4:40" x14ac:dyDescent="0.35">
      <c r="D19" s="39">
        <f t="shared" si="11"/>
        <v>17</v>
      </c>
      <c r="E19" s="57">
        <v>0</v>
      </c>
      <c r="F19" s="41">
        <v>0.128</v>
      </c>
      <c r="G19" s="41">
        <v>0.20699999999999999</v>
      </c>
      <c r="H19" s="41">
        <v>37509.415000000001</v>
      </c>
      <c r="I19" s="41">
        <v>1494.42451018</v>
      </c>
      <c r="J19" s="41">
        <f t="shared" si="0"/>
        <v>39003.839510179998</v>
      </c>
      <c r="K19" s="57">
        <v>0</v>
      </c>
      <c r="L19" s="62">
        <v>0</v>
      </c>
      <c r="M19" s="62">
        <v>0.111</v>
      </c>
      <c r="N19" s="41">
        <v>5.7999999999999996E-2</v>
      </c>
      <c r="O19" s="41">
        <f t="shared" si="1"/>
        <v>0.16899999999999998</v>
      </c>
      <c r="P19" s="41">
        <v>5250.4759999999997</v>
      </c>
      <c r="Q19" s="41">
        <v>0</v>
      </c>
      <c r="R19" s="42">
        <f t="shared" si="2"/>
        <v>5250.4759999999997</v>
      </c>
      <c r="S19" s="62"/>
      <c r="T19" s="50">
        <v>20916</v>
      </c>
      <c r="U19" s="50">
        <f t="shared" si="3"/>
        <v>0.252</v>
      </c>
      <c r="V19" s="50">
        <v>615.04</v>
      </c>
      <c r="W19" s="50">
        <f t="shared" si="4"/>
        <v>0.128</v>
      </c>
      <c r="X19" s="50">
        <v>4227.1908000000003</v>
      </c>
      <c r="Y19" s="50">
        <f t="shared" si="5"/>
        <v>0.29399999999999998</v>
      </c>
      <c r="Z19" s="50">
        <v>1468.3047999999999</v>
      </c>
      <c r="AA19" s="50">
        <f t="shared" si="6"/>
        <v>0.152</v>
      </c>
      <c r="AC19" s="53">
        <v>71.706000000000003</v>
      </c>
      <c r="AD19" s="81">
        <v>675.3288</v>
      </c>
      <c r="AE19" s="77">
        <f t="shared" si="7"/>
        <v>0.111</v>
      </c>
      <c r="AF19" s="86">
        <f t="shared" si="8"/>
        <v>5.7999999999999996E-2</v>
      </c>
      <c r="AH19" s="88">
        <v>1009.691</v>
      </c>
      <c r="AI19" s="86">
        <f t="shared" si="9"/>
        <v>0.41000016242599469</v>
      </c>
      <c r="AK19" s="88">
        <v>889.62300000000005</v>
      </c>
      <c r="AL19" s="86">
        <f t="shared" si="10"/>
        <v>0.55359240821406352</v>
      </c>
      <c r="AN19" s="36">
        <v>1049.0930000000001</v>
      </c>
    </row>
    <row r="20" spans="4:40" x14ac:dyDescent="0.35">
      <c r="D20" s="39">
        <f t="shared" si="11"/>
        <v>18</v>
      </c>
      <c r="E20" s="57">
        <v>0</v>
      </c>
      <c r="F20" s="41">
        <v>1.3000000000000001E-2</v>
      </c>
      <c r="G20" s="41">
        <v>5.2000000000000005E-2</v>
      </c>
      <c r="H20" s="41">
        <v>40069.400999999998</v>
      </c>
      <c r="I20" s="41">
        <v>1594.91699021</v>
      </c>
      <c r="J20" s="41">
        <f t="shared" si="0"/>
        <v>41664.317990209995</v>
      </c>
      <c r="K20" s="57">
        <v>0</v>
      </c>
      <c r="L20" s="62">
        <v>0</v>
      </c>
      <c r="M20" s="62">
        <v>0.125</v>
      </c>
      <c r="N20" s="41">
        <v>6.9000000000000006E-2</v>
      </c>
      <c r="O20" s="41">
        <f t="shared" si="1"/>
        <v>0.19400000000000001</v>
      </c>
      <c r="P20" s="41">
        <v>5897.9110000000001</v>
      </c>
      <c r="Q20" s="41">
        <v>0</v>
      </c>
      <c r="R20" s="42">
        <f t="shared" si="2"/>
        <v>5897.9110000000001</v>
      </c>
      <c r="S20" s="62"/>
      <c r="T20" s="50">
        <v>4565</v>
      </c>
      <c r="U20" s="50">
        <f t="shared" si="3"/>
        <v>5.5E-2</v>
      </c>
      <c r="V20" s="50">
        <v>62.465000000000003</v>
      </c>
      <c r="W20" s="50">
        <f t="shared" si="4"/>
        <v>1.3000000000000001E-2</v>
      </c>
      <c r="X20" s="50">
        <v>1739.7621999999999</v>
      </c>
      <c r="Y20" s="50">
        <f t="shared" si="5"/>
        <v>0.12099999999999998</v>
      </c>
      <c r="Z20" s="50">
        <v>511.97469999999998</v>
      </c>
      <c r="AA20" s="50">
        <f t="shared" si="6"/>
        <v>5.2999999999999999E-2</v>
      </c>
      <c r="AC20" s="53">
        <v>80.75</v>
      </c>
      <c r="AD20" s="81">
        <v>803.40840000000003</v>
      </c>
      <c r="AE20" s="77">
        <f t="shared" si="7"/>
        <v>0.125</v>
      </c>
      <c r="AF20" s="86">
        <f t="shared" si="8"/>
        <v>6.9000000000000006E-2</v>
      </c>
      <c r="AH20" s="88">
        <v>1049.0930000000001</v>
      </c>
      <c r="AI20" s="86">
        <f t="shared" si="9"/>
        <v>0.42599993502960221</v>
      </c>
      <c r="AK20" s="88">
        <v>875.74099999999999</v>
      </c>
      <c r="AL20" s="86">
        <f t="shared" si="10"/>
        <v>0.54495395146235215</v>
      </c>
      <c r="AN20" s="36">
        <v>1044.1679999999999</v>
      </c>
    </row>
    <row r="21" spans="4:40" x14ac:dyDescent="0.35">
      <c r="D21" s="39">
        <f t="shared" si="11"/>
        <v>19</v>
      </c>
      <c r="E21" s="57">
        <v>0</v>
      </c>
      <c r="F21" s="41">
        <v>0</v>
      </c>
      <c r="G21" s="41">
        <v>0</v>
      </c>
      <c r="H21" s="41">
        <v>41869.760999999999</v>
      </c>
      <c r="I21" s="41">
        <v>1721.6878512000001</v>
      </c>
      <c r="J21" s="41">
        <f t="shared" si="0"/>
        <v>43591.448851199995</v>
      </c>
      <c r="K21" s="57">
        <v>0</v>
      </c>
      <c r="L21" s="62">
        <v>0</v>
      </c>
      <c r="M21" s="62">
        <v>0.13999999999999999</v>
      </c>
      <c r="N21" s="41">
        <v>9.5999999999999988E-2</v>
      </c>
      <c r="O21" s="41">
        <f t="shared" si="1"/>
        <v>0.23599999999999999</v>
      </c>
      <c r="P21" s="41">
        <v>6460.5529999999999</v>
      </c>
      <c r="Q21" s="41">
        <v>202.78072</v>
      </c>
      <c r="R21" s="42">
        <f t="shared" si="2"/>
        <v>6663.3337199999996</v>
      </c>
      <c r="S21" s="62"/>
      <c r="T21" s="50">
        <v>0</v>
      </c>
      <c r="U21" s="50">
        <f t="shared" si="3"/>
        <v>0</v>
      </c>
      <c r="V21" s="50">
        <v>0</v>
      </c>
      <c r="W21" s="50">
        <f t="shared" si="4"/>
        <v>0</v>
      </c>
      <c r="X21" s="50">
        <v>0</v>
      </c>
      <c r="Y21" s="50">
        <f t="shared" si="5"/>
        <v>0</v>
      </c>
      <c r="Z21" s="50">
        <v>0</v>
      </c>
      <c r="AA21" s="50">
        <f t="shared" si="6"/>
        <v>0</v>
      </c>
      <c r="AC21" s="53">
        <v>90.44</v>
      </c>
      <c r="AD21" s="81">
        <v>1117.7855999999999</v>
      </c>
      <c r="AE21" s="77">
        <f t="shared" si="7"/>
        <v>0.13999999999999999</v>
      </c>
      <c r="AF21" s="86">
        <f t="shared" si="8"/>
        <v>9.5999999999999988E-2</v>
      </c>
      <c r="AH21" s="88">
        <v>1044.1679999999999</v>
      </c>
      <c r="AI21" s="86">
        <f t="shared" si="9"/>
        <v>0.42400006497039783</v>
      </c>
      <c r="AK21" s="88">
        <v>870.74099999999999</v>
      </c>
      <c r="AL21" s="86">
        <f t="shared" si="10"/>
        <v>0.54184256378344742</v>
      </c>
      <c r="AN21" s="36">
        <v>1044.1679999999999</v>
      </c>
    </row>
    <row r="22" spans="4:40" x14ac:dyDescent="0.35">
      <c r="D22" s="39">
        <f t="shared" si="11"/>
        <v>20</v>
      </c>
      <c r="E22" s="57">
        <v>0</v>
      </c>
      <c r="F22" s="41">
        <v>0</v>
      </c>
      <c r="G22" s="41">
        <v>0</v>
      </c>
      <c r="H22" s="41">
        <v>42326.976000000002</v>
      </c>
      <c r="I22" s="41">
        <v>1856.2611563999999</v>
      </c>
      <c r="J22" s="41">
        <f t="shared" si="0"/>
        <v>44183.237156400006</v>
      </c>
      <c r="K22" s="57">
        <v>0</v>
      </c>
      <c r="L22" s="62">
        <v>0</v>
      </c>
      <c r="M22" s="62">
        <v>0.14900000000000002</v>
      </c>
      <c r="N22" s="41">
        <v>0.11299999999999999</v>
      </c>
      <c r="O22" s="41">
        <f t="shared" si="1"/>
        <v>0.26200000000000001</v>
      </c>
      <c r="P22" s="41">
        <v>6579.66</v>
      </c>
      <c r="Q22" s="41">
        <v>199.60531915000001</v>
      </c>
      <c r="R22" s="42">
        <f t="shared" si="2"/>
        <v>6779.2653191499994</v>
      </c>
      <c r="S22" s="62"/>
      <c r="T22" s="50">
        <v>0</v>
      </c>
      <c r="U22" s="50">
        <f t="shared" si="3"/>
        <v>0</v>
      </c>
      <c r="V22" s="50">
        <v>0</v>
      </c>
      <c r="W22" s="50">
        <f t="shared" si="4"/>
        <v>0</v>
      </c>
      <c r="X22" s="50">
        <v>0</v>
      </c>
      <c r="Y22" s="50">
        <f t="shared" si="5"/>
        <v>0</v>
      </c>
      <c r="Z22" s="50">
        <v>0</v>
      </c>
      <c r="AA22" s="50">
        <f t="shared" si="6"/>
        <v>0</v>
      </c>
      <c r="AC22" s="53">
        <v>96.254000000000005</v>
      </c>
      <c r="AD22" s="81">
        <v>1315.7267999999999</v>
      </c>
      <c r="AE22" s="77">
        <f t="shared" si="7"/>
        <v>0.14900000000000002</v>
      </c>
      <c r="AF22" s="86">
        <f t="shared" si="8"/>
        <v>0.11299999999999999</v>
      </c>
      <c r="AH22" s="88">
        <v>1044.1679999999999</v>
      </c>
      <c r="AI22" s="86">
        <f t="shared" si="9"/>
        <v>0.42400006497039783</v>
      </c>
      <c r="AK22" s="88">
        <v>871.05899999999997</v>
      </c>
      <c r="AL22" s="86">
        <f t="shared" si="10"/>
        <v>0.54204044803982576</v>
      </c>
      <c r="AN22" s="36">
        <v>1049.0930000000001</v>
      </c>
    </row>
    <row r="23" spans="4:40" x14ac:dyDescent="0.35">
      <c r="D23" s="39">
        <f t="shared" si="11"/>
        <v>21</v>
      </c>
      <c r="E23" s="57">
        <v>0</v>
      </c>
      <c r="F23" s="41">
        <v>0</v>
      </c>
      <c r="G23" s="41">
        <v>0</v>
      </c>
      <c r="H23" s="41">
        <v>41738.434000000001</v>
      </c>
      <c r="I23" s="41">
        <v>1829.2845996900001</v>
      </c>
      <c r="J23" s="41">
        <f t="shared" si="0"/>
        <v>43567.718599690001</v>
      </c>
      <c r="K23" s="57">
        <v>0</v>
      </c>
      <c r="L23" s="62">
        <v>0</v>
      </c>
      <c r="M23" s="62">
        <v>0.153</v>
      </c>
      <c r="N23" s="41">
        <v>0.114</v>
      </c>
      <c r="O23" s="41">
        <f t="shared" si="1"/>
        <v>0.26700000000000002</v>
      </c>
      <c r="P23" s="41">
        <v>6401.134</v>
      </c>
      <c r="Q23" s="41">
        <v>122.0287234</v>
      </c>
      <c r="R23" s="42">
        <f t="shared" si="2"/>
        <v>6523.1627233999998</v>
      </c>
      <c r="S23" s="62"/>
      <c r="T23" s="50">
        <v>0</v>
      </c>
      <c r="U23" s="50">
        <f t="shared" si="3"/>
        <v>0</v>
      </c>
      <c r="V23" s="50">
        <v>0</v>
      </c>
      <c r="W23" s="50">
        <f t="shared" si="4"/>
        <v>0</v>
      </c>
      <c r="X23" s="50">
        <v>0</v>
      </c>
      <c r="Y23" s="50">
        <f t="shared" si="5"/>
        <v>0</v>
      </c>
      <c r="Z23" s="50">
        <v>0</v>
      </c>
      <c r="AA23" s="50">
        <f t="shared" si="6"/>
        <v>0</v>
      </c>
      <c r="AC23" s="53">
        <v>98.837999999999994</v>
      </c>
      <c r="AD23" s="81">
        <v>1327.3704</v>
      </c>
      <c r="AE23" s="77">
        <f t="shared" si="7"/>
        <v>0.153</v>
      </c>
      <c r="AF23" s="86">
        <f t="shared" si="8"/>
        <v>0.114</v>
      </c>
      <c r="AH23" s="88">
        <v>1049.0930000000001</v>
      </c>
      <c r="AI23" s="86">
        <f t="shared" si="9"/>
        <v>0.42599993502960221</v>
      </c>
      <c r="AK23" s="88">
        <v>872.11800000000005</v>
      </c>
      <c r="AL23" s="86">
        <f t="shared" si="10"/>
        <v>0.54269943995021785</v>
      </c>
      <c r="AN23" s="36">
        <v>1004.765</v>
      </c>
    </row>
    <row r="24" spans="4:40" x14ac:dyDescent="0.35">
      <c r="D24" s="39">
        <f t="shared" si="11"/>
        <v>22</v>
      </c>
      <c r="E24" s="57">
        <v>0</v>
      </c>
      <c r="F24" s="41">
        <v>0</v>
      </c>
      <c r="G24" s="41">
        <v>0</v>
      </c>
      <c r="H24" s="41">
        <v>40187.006000000001</v>
      </c>
      <c r="I24" s="41">
        <v>1756.4523769</v>
      </c>
      <c r="J24" s="41">
        <f t="shared" si="0"/>
        <v>41943.458376900002</v>
      </c>
      <c r="K24" s="57">
        <v>0</v>
      </c>
      <c r="L24" s="62">
        <v>0</v>
      </c>
      <c r="M24" s="62">
        <v>0.154</v>
      </c>
      <c r="N24" s="41">
        <v>0.114</v>
      </c>
      <c r="O24" s="41">
        <f t="shared" si="1"/>
        <v>0.26800000000000002</v>
      </c>
      <c r="P24" s="41">
        <v>6011.4380000000001</v>
      </c>
      <c r="Q24" s="41">
        <v>65.879787230000005</v>
      </c>
      <c r="R24" s="42">
        <f t="shared" si="2"/>
        <v>6077.3177872300002</v>
      </c>
      <c r="S24" s="62"/>
      <c r="T24" s="50">
        <v>0</v>
      </c>
      <c r="U24" s="50">
        <f t="shared" si="3"/>
        <v>0</v>
      </c>
      <c r="V24" s="50">
        <v>0</v>
      </c>
      <c r="W24" s="50">
        <f t="shared" si="4"/>
        <v>0</v>
      </c>
      <c r="X24" s="50">
        <v>0</v>
      </c>
      <c r="Y24" s="50">
        <f t="shared" si="5"/>
        <v>0</v>
      </c>
      <c r="Z24" s="50">
        <v>0</v>
      </c>
      <c r="AA24" s="50">
        <f t="shared" si="6"/>
        <v>0</v>
      </c>
      <c r="AC24" s="53">
        <v>99.483999999999995</v>
      </c>
      <c r="AD24" s="81">
        <v>1327.3704</v>
      </c>
      <c r="AE24" s="77">
        <f t="shared" si="7"/>
        <v>0.154</v>
      </c>
      <c r="AF24" s="86">
        <f t="shared" si="8"/>
        <v>0.114</v>
      </c>
      <c r="AH24" s="88">
        <v>1004.765</v>
      </c>
      <c r="AI24" s="86">
        <f t="shared" si="9"/>
        <v>0.40799988630180378</v>
      </c>
      <c r="AK24" s="88">
        <v>872.95899999999995</v>
      </c>
      <c r="AL24" s="86">
        <f t="shared" si="10"/>
        <v>0.5432227753578095</v>
      </c>
      <c r="AN24" s="36">
        <v>1012.153</v>
      </c>
    </row>
    <row r="25" spans="4:40" x14ac:dyDescent="0.35">
      <c r="D25" s="39">
        <f t="shared" si="11"/>
        <v>23</v>
      </c>
      <c r="E25" s="57">
        <v>0</v>
      </c>
      <c r="F25" s="41">
        <v>0</v>
      </c>
      <c r="G25" s="41">
        <v>0</v>
      </c>
      <c r="H25" s="41">
        <v>37830.438000000002</v>
      </c>
      <c r="I25" s="41">
        <v>1767.06476492</v>
      </c>
      <c r="J25" s="41">
        <f t="shared" si="0"/>
        <v>39597.502764920006</v>
      </c>
      <c r="K25" s="57">
        <v>0</v>
      </c>
      <c r="L25" s="62">
        <v>0</v>
      </c>
      <c r="M25" s="62">
        <v>0.14699999999999999</v>
      </c>
      <c r="N25" s="41">
        <v>0.12799999999999997</v>
      </c>
      <c r="O25" s="41">
        <f t="shared" si="1"/>
        <v>0.27499999999999997</v>
      </c>
      <c r="P25" s="41">
        <v>6214.9660000000003</v>
      </c>
      <c r="Q25" s="41">
        <v>233.64574468000001</v>
      </c>
      <c r="R25" s="42">
        <f t="shared" si="2"/>
        <v>6448.6117446799999</v>
      </c>
      <c r="S25" s="62"/>
      <c r="T25" s="50">
        <v>0</v>
      </c>
      <c r="U25" s="50">
        <f t="shared" si="3"/>
        <v>0</v>
      </c>
      <c r="V25" s="50">
        <v>0</v>
      </c>
      <c r="W25" s="50">
        <f t="shared" si="4"/>
        <v>0</v>
      </c>
      <c r="X25" s="50">
        <v>0</v>
      </c>
      <c r="Y25" s="50">
        <f t="shared" si="5"/>
        <v>0</v>
      </c>
      <c r="Z25" s="50">
        <v>0</v>
      </c>
      <c r="AA25" s="50">
        <f t="shared" si="6"/>
        <v>0</v>
      </c>
      <c r="AC25" s="53">
        <v>94.962000000000003</v>
      </c>
      <c r="AD25" s="81">
        <v>1490.3807999999999</v>
      </c>
      <c r="AE25" s="77">
        <f t="shared" si="7"/>
        <v>0.14699999999999999</v>
      </c>
      <c r="AF25" s="86">
        <f t="shared" si="8"/>
        <v>0.12799999999999997</v>
      </c>
      <c r="AH25" s="88">
        <v>1012.153</v>
      </c>
      <c r="AI25" s="86">
        <f t="shared" si="9"/>
        <v>0.41099989442310353</v>
      </c>
      <c r="AK25" s="88">
        <v>880.58399999999995</v>
      </c>
      <c r="AL25" s="86">
        <f t="shared" si="10"/>
        <v>0.54796764156813937</v>
      </c>
      <c r="AN25" s="36">
        <v>1004.765</v>
      </c>
    </row>
    <row r="26" spans="4:40" x14ac:dyDescent="0.35">
      <c r="D26" s="39">
        <f t="shared" si="11"/>
        <v>24</v>
      </c>
      <c r="E26" s="57">
        <v>0</v>
      </c>
      <c r="F26" s="41">
        <v>0</v>
      </c>
      <c r="G26" s="41">
        <v>0</v>
      </c>
      <c r="H26" s="41">
        <v>35243.232000000004</v>
      </c>
      <c r="I26" s="41">
        <v>1471.6367999399999</v>
      </c>
      <c r="J26" s="41">
        <f t="shared" si="0"/>
        <v>36714.868799940006</v>
      </c>
      <c r="K26" s="57">
        <v>0</v>
      </c>
      <c r="L26" s="62">
        <v>0</v>
      </c>
      <c r="M26" s="62">
        <v>0.13699999999999998</v>
      </c>
      <c r="N26" s="41">
        <v>0.156</v>
      </c>
      <c r="O26" s="41">
        <f t="shared" si="1"/>
        <v>0.29299999999999998</v>
      </c>
      <c r="P26" s="41">
        <v>5844.1</v>
      </c>
      <c r="Q26" s="41">
        <v>273.91840000000002</v>
      </c>
      <c r="R26" s="42">
        <f t="shared" si="2"/>
        <v>6118.0184000000008</v>
      </c>
      <c r="S26" s="62"/>
      <c r="T26" s="50">
        <v>0</v>
      </c>
      <c r="U26" s="50">
        <f t="shared" si="3"/>
        <v>0</v>
      </c>
      <c r="V26" s="50">
        <v>0</v>
      </c>
      <c r="W26" s="50">
        <f t="shared" si="4"/>
        <v>0</v>
      </c>
      <c r="X26" s="50">
        <v>0</v>
      </c>
      <c r="Y26" s="50">
        <f t="shared" si="5"/>
        <v>0</v>
      </c>
      <c r="Z26" s="50">
        <v>0</v>
      </c>
      <c r="AA26" s="50">
        <f t="shared" si="6"/>
        <v>0</v>
      </c>
      <c r="AC26" s="53">
        <v>88.501999999999995</v>
      </c>
      <c r="AD26" s="81">
        <v>1816.4015999999999</v>
      </c>
      <c r="AE26" s="77">
        <f t="shared" si="7"/>
        <v>0.13699999999999998</v>
      </c>
      <c r="AF26" s="86">
        <f t="shared" si="8"/>
        <v>0.156</v>
      </c>
      <c r="AH26" s="88">
        <v>1004.765</v>
      </c>
      <c r="AI26" s="86">
        <f t="shared" si="9"/>
        <v>0.40799988630180378</v>
      </c>
      <c r="AK26" s="88">
        <v>890.72900000000004</v>
      </c>
      <c r="AL26" s="86">
        <f t="shared" si="10"/>
        <v>0.55428064716863723</v>
      </c>
      <c r="AN26" s="36">
        <v>962.9</v>
      </c>
    </row>
    <row r="27" spans="4:40" x14ac:dyDescent="0.35">
      <c r="D27" s="39">
        <f t="shared" si="11"/>
        <v>25</v>
      </c>
      <c r="E27" s="57">
        <v>0</v>
      </c>
      <c r="F27" s="41">
        <v>0</v>
      </c>
      <c r="G27" s="41">
        <v>0</v>
      </c>
      <c r="H27" s="41">
        <v>33915.038</v>
      </c>
      <c r="I27" s="41">
        <v>1181.2321245000001</v>
      </c>
      <c r="J27" s="41">
        <f t="shared" si="0"/>
        <v>35096.270124499999</v>
      </c>
      <c r="K27" s="57">
        <v>0</v>
      </c>
      <c r="L27" s="62">
        <v>0</v>
      </c>
      <c r="M27" s="62">
        <v>0.125</v>
      </c>
      <c r="N27" s="41">
        <v>0.17699999999999999</v>
      </c>
      <c r="O27" s="41">
        <f t="shared" si="1"/>
        <v>0.30199999999999999</v>
      </c>
      <c r="P27" s="41">
        <v>5660.5590000000002</v>
      </c>
      <c r="Q27" s="41">
        <v>0</v>
      </c>
      <c r="R27" s="42">
        <f t="shared" si="2"/>
        <v>5660.5590000000002</v>
      </c>
      <c r="S27" s="62"/>
      <c r="T27" s="50">
        <v>0</v>
      </c>
      <c r="U27" s="50">
        <f t="shared" si="3"/>
        <v>0</v>
      </c>
      <c r="V27" s="50">
        <v>0</v>
      </c>
      <c r="W27" s="50">
        <f t="shared" si="4"/>
        <v>0</v>
      </c>
      <c r="X27" s="50">
        <v>0</v>
      </c>
      <c r="Y27" s="50">
        <f t="shared" si="5"/>
        <v>0</v>
      </c>
      <c r="Z27" s="50">
        <v>0</v>
      </c>
      <c r="AA27" s="50">
        <f t="shared" si="6"/>
        <v>0</v>
      </c>
      <c r="AC27" s="53">
        <v>80.75</v>
      </c>
      <c r="AD27" s="81">
        <v>2060.9171999999999</v>
      </c>
      <c r="AE27" s="77">
        <f t="shared" si="7"/>
        <v>0.125</v>
      </c>
      <c r="AF27" s="86">
        <f t="shared" si="8"/>
        <v>0.17699999999999999</v>
      </c>
      <c r="AH27" s="88">
        <v>962.9</v>
      </c>
      <c r="AI27" s="86">
        <f t="shared" si="9"/>
        <v>0.39099997563610084</v>
      </c>
      <c r="AK27" s="88">
        <v>891.79700000000003</v>
      </c>
      <c r="AL27" s="86">
        <f t="shared" si="10"/>
        <v>0.55494523957685127</v>
      </c>
      <c r="AN27" s="36">
        <v>953.04899999999998</v>
      </c>
    </row>
    <row r="28" spans="4:40" x14ac:dyDescent="0.35">
      <c r="D28" s="39">
        <f t="shared" si="11"/>
        <v>26</v>
      </c>
      <c r="E28" s="57">
        <v>0</v>
      </c>
      <c r="F28" s="41">
        <v>0</v>
      </c>
      <c r="G28" s="41">
        <v>0</v>
      </c>
      <c r="H28" s="41">
        <v>32036.166489359999</v>
      </c>
      <c r="I28" s="41">
        <v>902.25761518000002</v>
      </c>
      <c r="J28" s="41">
        <f t="shared" si="0"/>
        <v>32938.424104539998</v>
      </c>
      <c r="K28" s="57">
        <v>0</v>
      </c>
      <c r="L28" s="62">
        <v>0</v>
      </c>
      <c r="M28" s="62">
        <v>0.113</v>
      </c>
      <c r="N28" s="41">
        <v>0.183</v>
      </c>
      <c r="O28" s="41">
        <f t="shared" si="1"/>
        <v>0.29599999999999999</v>
      </c>
      <c r="P28" s="41">
        <v>5292.4740000000002</v>
      </c>
      <c r="Q28" s="41">
        <v>0</v>
      </c>
      <c r="R28" s="42">
        <f t="shared" si="2"/>
        <v>5292.4740000000002</v>
      </c>
      <c r="S28" s="62"/>
      <c r="T28" s="50">
        <v>0</v>
      </c>
      <c r="U28" s="50">
        <f t="shared" si="3"/>
        <v>0</v>
      </c>
      <c r="V28" s="50">
        <v>0</v>
      </c>
      <c r="W28" s="50">
        <f t="shared" si="4"/>
        <v>0</v>
      </c>
      <c r="X28" s="50">
        <v>0</v>
      </c>
      <c r="Y28" s="50">
        <f t="shared" si="5"/>
        <v>0</v>
      </c>
      <c r="Z28" s="50">
        <v>0</v>
      </c>
      <c r="AA28" s="50">
        <f t="shared" si="6"/>
        <v>0</v>
      </c>
      <c r="AC28" s="53">
        <v>72.998000000000005</v>
      </c>
      <c r="AD28" s="81">
        <v>2130.7788</v>
      </c>
      <c r="AE28" s="77">
        <f t="shared" si="7"/>
        <v>0.113</v>
      </c>
      <c r="AF28" s="86">
        <f t="shared" si="8"/>
        <v>0.183</v>
      </c>
      <c r="AH28" s="88">
        <v>953.04899999999998</v>
      </c>
      <c r="AI28" s="86">
        <f t="shared" si="9"/>
        <v>0.38699982945270561</v>
      </c>
      <c r="AK28" s="88">
        <v>890.97</v>
      </c>
      <c r="AL28" s="86">
        <f t="shared" si="10"/>
        <v>0.55443061605476041</v>
      </c>
      <c r="AN28" s="36">
        <v>953.04899999999998</v>
      </c>
    </row>
    <row r="29" spans="4:40" x14ac:dyDescent="0.35">
      <c r="D29" s="39">
        <f t="shared" si="11"/>
        <v>27</v>
      </c>
      <c r="E29" s="57">
        <v>0</v>
      </c>
      <c r="F29" s="41">
        <v>0</v>
      </c>
      <c r="G29" s="41">
        <v>0</v>
      </c>
      <c r="H29" s="41">
        <v>30970.332893620001</v>
      </c>
      <c r="I29" s="41">
        <v>1468.14928678</v>
      </c>
      <c r="J29" s="41">
        <f t="shared" si="0"/>
        <v>32438.482180400002</v>
      </c>
      <c r="K29" s="57">
        <v>0</v>
      </c>
      <c r="L29" s="62">
        <v>0</v>
      </c>
      <c r="M29" s="62">
        <v>0.10099999999999999</v>
      </c>
      <c r="N29" s="41">
        <v>0.183</v>
      </c>
      <c r="O29" s="41">
        <f t="shared" si="1"/>
        <v>0.28399999999999997</v>
      </c>
      <c r="P29" s="41">
        <v>4865.9650000000001</v>
      </c>
      <c r="Q29" s="41">
        <v>0</v>
      </c>
      <c r="R29" s="42">
        <f t="shared" si="2"/>
        <v>4865.9650000000001</v>
      </c>
      <c r="S29" s="62"/>
      <c r="T29" s="50">
        <v>0</v>
      </c>
      <c r="U29" s="50">
        <f t="shared" si="3"/>
        <v>0</v>
      </c>
      <c r="V29" s="50">
        <v>0</v>
      </c>
      <c r="W29" s="50">
        <f t="shared" si="4"/>
        <v>0</v>
      </c>
      <c r="X29" s="50">
        <v>0</v>
      </c>
      <c r="Y29" s="50">
        <f t="shared" si="5"/>
        <v>0</v>
      </c>
      <c r="Z29" s="50">
        <v>0</v>
      </c>
      <c r="AA29" s="50">
        <f t="shared" si="6"/>
        <v>0</v>
      </c>
      <c r="AC29" s="53">
        <v>65.245999999999995</v>
      </c>
      <c r="AD29" s="81">
        <v>2130.7788</v>
      </c>
      <c r="AE29" s="77">
        <f t="shared" si="7"/>
        <v>0.10099999999999999</v>
      </c>
      <c r="AF29" s="86">
        <f t="shared" si="8"/>
        <v>0.183</v>
      </c>
      <c r="AH29" s="88">
        <v>953.04899999999998</v>
      </c>
      <c r="AI29" s="86">
        <f t="shared" si="9"/>
        <v>0.38699982945270561</v>
      </c>
      <c r="AK29" s="88">
        <v>889.76499999999999</v>
      </c>
      <c r="AL29" s="86">
        <f t="shared" si="10"/>
        <v>0.55368077162414431</v>
      </c>
      <c r="AN29" s="36">
        <v>953.04899999999998</v>
      </c>
    </row>
    <row r="30" spans="4:40" x14ac:dyDescent="0.35">
      <c r="D30" s="39">
        <f t="shared" si="11"/>
        <v>28</v>
      </c>
      <c r="E30" s="57">
        <v>0</v>
      </c>
      <c r="F30" s="41">
        <v>0</v>
      </c>
      <c r="G30" s="41">
        <v>0</v>
      </c>
      <c r="H30" s="41">
        <v>30609.32887234</v>
      </c>
      <c r="I30" s="41">
        <v>2313.1030811800001</v>
      </c>
      <c r="J30" s="41">
        <f t="shared" si="0"/>
        <v>32922.431953519997</v>
      </c>
      <c r="K30" s="57">
        <v>0</v>
      </c>
      <c r="L30" s="62">
        <v>0</v>
      </c>
      <c r="M30" s="62">
        <v>9.1999999999999998E-2</v>
      </c>
      <c r="N30" s="41">
        <v>0.18</v>
      </c>
      <c r="O30" s="41">
        <f t="shared" si="1"/>
        <v>0.27200000000000002</v>
      </c>
      <c r="P30" s="41">
        <v>4748.2039999999997</v>
      </c>
      <c r="Q30" s="41">
        <v>0</v>
      </c>
      <c r="R30" s="42">
        <f t="shared" si="2"/>
        <v>4748.2039999999997</v>
      </c>
      <c r="S30" s="62"/>
      <c r="T30" s="50">
        <v>0</v>
      </c>
      <c r="U30" s="50">
        <f t="shared" si="3"/>
        <v>0</v>
      </c>
      <c r="V30" s="50">
        <v>0</v>
      </c>
      <c r="W30" s="50">
        <f t="shared" si="4"/>
        <v>0</v>
      </c>
      <c r="X30" s="50">
        <v>0</v>
      </c>
      <c r="Y30" s="50">
        <f t="shared" si="5"/>
        <v>0</v>
      </c>
      <c r="Z30" s="50">
        <v>0</v>
      </c>
      <c r="AA30" s="50">
        <f t="shared" si="6"/>
        <v>0</v>
      </c>
      <c r="AC30" s="53">
        <v>59.432000000000002</v>
      </c>
      <c r="AD30" s="81">
        <v>2095.848</v>
      </c>
      <c r="AE30" s="77">
        <f t="shared" si="7"/>
        <v>9.1999999999999998E-2</v>
      </c>
      <c r="AF30" s="86">
        <f t="shared" si="8"/>
        <v>0.18</v>
      </c>
      <c r="AH30" s="88">
        <v>953.04899999999998</v>
      </c>
      <c r="AI30" s="86">
        <f t="shared" si="9"/>
        <v>0.38699982945270561</v>
      </c>
      <c r="AK30" s="88">
        <v>883.24699999999996</v>
      </c>
      <c r="AL30" s="86">
        <f t="shared" si="10"/>
        <v>0.54962476664592408</v>
      </c>
      <c r="AN30" s="36">
        <v>953.04899999999998</v>
      </c>
    </row>
    <row r="31" spans="4:40" x14ac:dyDescent="0.35">
      <c r="D31" s="39">
        <f t="shared" si="11"/>
        <v>29</v>
      </c>
      <c r="E31" s="57">
        <v>0</v>
      </c>
      <c r="F31" s="41">
        <v>0</v>
      </c>
      <c r="G31" s="41">
        <v>0</v>
      </c>
      <c r="H31" s="41">
        <v>31420.484063830001</v>
      </c>
      <c r="I31" s="41">
        <v>2597.9589715799998</v>
      </c>
      <c r="J31" s="41">
        <f t="shared" si="0"/>
        <v>34018.443035410004</v>
      </c>
      <c r="K31" s="57">
        <v>0</v>
      </c>
      <c r="L31" s="62">
        <v>0</v>
      </c>
      <c r="M31" s="62">
        <v>8.4000000000000005E-2</v>
      </c>
      <c r="N31" s="41">
        <v>0.183</v>
      </c>
      <c r="O31" s="41">
        <f t="shared" si="1"/>
        <v>0.26700000000000002</v>
      </c>
      <c r="P31" s="41">
        <v>4751.924</v>
      </c>
      <c r="Q31" s="41">
        <v>164.99893617000001</v>
      </c>
      <c r="R31" s="42">
        <f t="shared" si="2"/>
        <v>4916.92293617</v>
      </c>
      <c r="S31" s="62"/>
      <c r="T31" s="50">
        <v>0</v>
      </c>
      <c r="U31" s="50">
        <f t="shared" si="3"/>
        <v>0</v>
      </c>
      <c r="V31" s="50">
        <v>0</v>
      </c>
      <c r="W31" s="50">
        <f t="shared" si="4"/>
        <v>0</v>
      </c>
      <c r="X31" s="50">
        <v>0</v>
      </c>
      <c r="Y31" s="50">
        <f t="shared" si="5"/>
        <v>0</v>
      </c>
      <c r="Z31" s="50">
        <v>0</v>
      </c>
      <c r="AA31" s="50">
        <f t="shared" si="6"/>
        <v>0</v>
      </c>
      <c r="AC31" s="53">
        <v>54.264000000000003</v>
      </c>
      <c r="AD31" s="81">
        <v>2130.7788</v>
      </c>
      <c r="AE31" s="77">
        <f t="shared" si="7"/>
        <v>8.4000000000000005E-2</v>
      </c>
      <c r="AF31" s="86">
        <f t="shared" si="8"/>
        <v>0.183</v>
      </c>
      <c r="AH31" s="88">
        <v>953.04899999999998</v>
      </c>
      <c r="AI31" s="86">
        <f t="shared" si="9"/>
        <v>0.38699982945270561</v>
      </c>
      <c r="AK31" s="88">
        <v>873.60900000000004</v>
      </c>
      <c r="AL31" s="86">
        <f t="shared" si="10"/>
        <v>0.54362725575606718</v>
      </c>
      <c r="AN31" s="36">
        <v>953.04899999999998</v>
      </c>
    </row>
    <row r="32" spans="4:40" x14ac:dyDescent="0.35">
      <c r="D32" s="39">
        <f t="shared" si="11"/>
        <v>30</v>
      </c>
      <c r="E32" s="57">
        <v>0</v>
      </c>
      <c r="F32" s="41">
        <v>0</v>
      </c>
      <c r="G32" s="41">
        <v>0</v>
      </c>
      <c r="H32" s="41">
        <v>33647.227234040001</v>
      </c>
      <c r="I32" s="41">
        <v>2814.0393533400002</v>
      </c>
      <c r="J32" s="41">
        <f t="shared" si="0"/>
        <v>36461.26658738</v>
      </c>
      <c r="K32" s="57">
        <v>0</v>
      </c>
      <c r="L32" s="62">
        <v>0</v>
      </c>
      <c r="M32" s="62">
        <v>7.8E-2</v>
      </c>
      <c r="N32" s="41">
        <v>0.18499999999999997</v>
      </c>
      <c r="O32" s="41">
        <f t="shared" si="1"/>
        <v>0.26299999999999996</v>
      </c>
      <c r="P32" s="41">
        <v>4887.5929999999998</v>
      </c>
      <c r="Q32" s="41">
        <v>99.419740000000004</v>
      </c>
      <c r="R32" s="42">
        <f t="shared" si="2"/>
        <v>4987.0127400000001</v>
      </c>
      <c r="S32" s="62"/>
      <c r="T32" s="50">
        <v>0</v>
      </c>
      <c r="U32" s="50">
        <f t="shared" si="3"/>
        <v>0</v>
      </c>
      <c r="V32" s="50">
        <v>0</v>
      </c>
      <c r="W32" s="50">
        <f t="shared" si="4"/>
        <v>0</v>
      </c>
      <c r="X32" s="50">
        <v>0</v>
      </c>
      <c r="Y32" s="50">
        <f t="shared" si="5"/>
        <v>0</v>
      </c>
      <c r="Z32" s="50">
        <v>0</v>
      </c>
      <c r="AA32" s="50">
        <f t="shared" si="6"/>
        <v>0</v>
      </c>
      <c r="AC32" s="53">
        <v>50.387999999999998</v>
      </c>
      <c r="AD32" s="81">
        <v>2154.0659999999998</v>
      </c>
      <c r="AE32" s="77">
        <f t="shared" si="7"/>
        <v>7.8E-2</v>
      </c>
      <c r="AF32" s="86">
        <f t="shared" si="8"/>
        <v>0.18499999999999997</v>
      </c>
      <c r="AH32" s="88">
        <v>953.04899999999998</v>
      </c>
      <c r="AI32" s="86">
        <f t="shared" si="9"/>
        <v>0.38699982945270561</v>
      </c>
      <c r="AK32" s="88">
        <v>868.92899999999997</v>
      </c>
      <c r="AL32" s="86">
        <f t="shared" si="10"/>
        <v>0.54071499688861235</v>
      </c>
      <c r="AN32" s="36">
        <v>962.9</v>
      </c>
    </row>
    <row r="33" spans="4:40" x14ac:dyDescent="0.35">
      <c r="D33" s="39">
        <f t="shared" si="11"/>
        <v>31</v>
      </c>
      <c r="E33" s="57">
        <v>0</v>
      </c>
      <c r="F33" s="41">
        <v>0</v>
      </c>
      <c r="G33" s="41">
        <v>0</v>
      </c>
      <c r="H33" s="41">
        <v>36828.191680000004</v>
      </c>
      <c r="I33" s="41">
        <v>3569.18761709</v>
      </c>
      <c r="J33" s="41">
        <f t="shared" si="0"/>
        <v>40397.379297090003</v>
      </c>
      <c r="K33" s="57">
        <v>0</v>
      </c>
      <c r="L33" s="62">
        <v>0</v>
      </c>
      <c r="M33" s="62">
        <v>7.5999999999999998E-2</v>
      </c>
      <c r="N33" s="41">
        <v>0.182</v>
      </c>
      <c r="O33" s="41">
        <f t="shared" si="1"/>
        <v>0.25800000000000001</v>
      </c>
      <c r="P33" s="41">
        <v>5244.3310000000001</v>
      </c>
      <c r="Q33" s="41">
        <v>78.138080000000002</v>
      </c>
      <c r="R33" s="42">
        <f t="shared" si="2"/>
        <v>5322.4690799999998</v>
      </c>
      <c r="S33" s="62"/>
      <c r="T33" s="50">
        <v>0</v>
      </c>
      <c r="U33" s="50">
        <f t="shared" si="3"/>
        <v>0</v>
      </c>
      <c r="V33" s="50">
        <v>0</v>
      </c>
      <c r="W33" s="50">
        <f t="shared" si="4"/>
        <v>0</v>
      </c>
      <c r="X33" s="50">
        <v>0</v>
      </c>
      <c r="Y33" s="50">
        <f t="shared" si="5"/>
        <v>0</v>
      </c>
      <c r="Z33" s="50">
        <v>0</v>
      </c>
      <c r="AA33" s="50">
        <f t="shared" si="6"/>
        <v>0</v>
      </c>
      <c r="AC33" s="53">
        <v>49.095999999999997</v>
      </c>
      <c r="AD33" s="81">
        <v>2119.1352000000002</v>
      </c>
      <c r="AE33" s="77">
        <f t="shared" si="7"/>
        <v>7.5999999999999998E-2</v>
      </c>
      <c r="AF33" s="86">
        <f t="shared" si="8"/>
        <v>0.182</v>
      </c>
      <c r="AH33" s="88">
        <v>962.9</v>
      </c>
      <c r="AI33" s="86">
        <f t="shared" si="9"/>
        <v>0.39099997563610084</v>
      </c>
      <c r="AK33" s="88">
        <v>886.81299999999999</v>
      </c>
      <c r="AL33" s="86">
        <f t="shared" si="10"/>
        <v>0.55184380833851898</v>
      </c>
      <c r="AN33" s="36">
        <v>1036.78</v>
      </c>
    </row>
    <row r="34" spans="4:40" x14ac:dyDescent="0.35">
      <c r="D34" s="39">
        <f t="shared" si="11"/>
        <v>32</v>
      </c>
      <c r="E34" s="57">
        <v>0</v>
      </c>
      <c r="F34" s="41">
        <v>0</v>
      </c>
      <c r="G34" s="41">
        <v>0</v>
      </c>
      <c r="H34" s="41">
        <v>39652.996679999997</v>
      </c>
      <c r="I34" s="41">
        <v>3984.4754517000001</v>
      </c>
      <c r="J34" s="41">
        <f t="shared" si="0"/>
        <v>43637.472131699993</v>
      </c>
      <c r="K34" s="57">
        <v>0</v>
      </c>
      <c r="L34" s="62">
        <v>0</v>
      </c>
      <c r="M34" s="62">
        <v>7.9000000000000001E-2</v>
      </c>
      <c r="N34" s="41">
        <v>0.16499999999999998</v>
      </c>
      <c r="O34" s="41">
        <f t="shared" si="1"/>
        <v>0.24399999999999999</v>
      </c>
      <c r="P34" s="41">
        <v>5780.6540000000005</v>
      </c>
      <c r="Q34" s="41">
        <v>78.138080000000002</v>
      </c>
      <c r="R34" s="42">
        <f t="shared" si="2"/>
        <v>5858.7920800000002</v>
      </c>
      <c r="S34" s="62"/>
      <c r="T34" s="50">
        <v>0</v>
      </c>
      <c r="U34" s="50">
        <f t="shared" si="3"/>
        <v>0</v>
      </c>
      <c r="V34" s="50">
        <v>0</v>
      </c>
      <c r="W34" s="50">
        <f t="shared" si="4"/>
        <v>0</v>
      </c>
      <c r="X34" s="50">
        <v>0</v>
      </c>
      <c r="Y34" s="50">
        <f t="shared" si="5"/>
        <v>0</v>
      </c>
      <c r="Z34" s="50">
        <v>0</v>
      </c>
      <c r="AA34" s="50">
        <f t="shared" si="6"/>
        <v>0</v>
      </c>
      <c r="AC34" s="53">
        <v>51.033999999999999</v>
      </c>
      <c r="AD34" s="81">
        <v>1921.194</v>
      </c>
      <c r="AE34" s="77">
        <f t="shared" si="7"/>
        <v>7.9000000000000001E-2</v>
      </c>
      <c r="AF34" s="86">
        <f t="shared" si="8"/>
        <v>0.16499999999999998</v>
      </c>
      <c r="AH34" s="88">
        <v>1036.78</v>
      </c>
      <c r="AI34" s="86">
        <f t="shared" si="9"/>
        <v>0.42100005684909814</v>
      </c>
      <c r="AK34" s="88">
        <v>959.12400000000002</v>
      </c>
      <c r="AL34" s="86">
        <f t="shared" si="10"/>
        <v>0.59684131922837591</v>
      </c>
      <c r="AN34" s="36">
        <v>1086.0329999999999</v>
      </c>
    </row>
    <row r="35" spans="4:40" x14ac:dyDescent="0.35">
      <c r="D35" s="39">
        <f t="shared" si="11"/>
        <v>33</v>
      </c>
      <c r="E35" s="57">
        <v>0</v>
      </c>
      <c r="F35" s="41">
        <v>0</v>
      </c>
      <c r="G35" s="41">
        <v>0</v>
      </c>
      <c r="H35" s="41">
        <v>41504.08268</v>
      </c>
      <c r="I35" s="41">
        <v>3824.4200530399999</v>
      </c>
      <c r="J35" s="41">
        <f t="shared" si="0"/>
        <v>45328.502733039997</v>
      </c>
      <c r="K35" s="57">
        <v>0</v>
      </c>
      <c r="L35" s="62">
        <v>0</v>
      </c>
      <c r="M35" s="62">
        <v>8.1000000000000003E-2</v>
      </c>
      <c r="N35" s="41">
        <v>0.13600000000000001</v>
      </c>
      <c r="O35" s="41">
        <f t="shared" si="1"/>
        <v>0.21700000000000003</v>
      </c>
      <c r="P35" s="41">
        <v>6278.93</v>
      </c>
      <c r="Q35" s="41">
        <v>78.138080000000002</v>
      </c>
      <c r="R35" s="42">
        <f t="shared" si="2"/>
        <v>6357.06808</v>
      </c>
      <c r="S35" s="62"/>
      <c r="T35" s="50">
        <v>0</v>
      </c>
      <c r="U35" s="50">
        <f t="shared" si="3"/>
        <v>0</v>
      </c>
      <c r="V35" s="50">
        <v>0</v>
      </c>
      <c r="W35" s="50">
        <f t="shared" si="4"/>
        <v>0</v>
      </c>
      <c r="X35" s="50">
        <v>0</v>
      </c>
      <c r="Y35" s="50">
        <f t="shared" si="5"/>
        <v>0</v>
      </c>
      <c r="Z35" s="50">
        <v>0</v>
      </c>
      <c r="AA35" s="50">
        <f t="shared" si="6"/>
        <v>0</v>
      </c>
      <c r="AC35" s="53">
        <v>52.326000000000001</v>
      </c>
      <c r="AD35" s="81">
        <v>1583.5296000000001</v>
      </c>
      <c r="AE35" s="77">
        <f t="shared" si="7"/>
        <v>8.1000000000000003E-2</v>
      </c>
      <c r="AF35" s="86">
        <f t="shared" si="8"/>
        <v>0.13600000000000001</v>
      </c>
      <c r="AH35" s="88">
        <v>1086.0329999999999</v>
      </c>
      <c r="AI35" s="86">
        <f t="shared" si="9"/>
        <v>0.44099997563610077</v>
      </c>
      <c r="AK35" s="88">
        <v>975.02</v>
      </c>
      <c r="AL35" s="86">
        <f t="shared" si="10"/>
        <v>0.60673304293714991</v>
      </c>
      <c r="AN35" s="36">
        <v>1081.1079999999999</v>
      </c>
    </row>
    <row r="36" spans="4:40" x14ac:dyDescent="0.35">
      <c r="D36" s="39">
        <f t="shared" si="11"/>
        <v>34</v>
      </c>
      <c r="E36" s="57">
        <v>7.6999999999999999E-2</v>
      </c>
      <c r="F36" s="41">
        <v>6.6000000000000003E-2</v>
      </c>
      <c r="G36" s="41">
        <v>0.113</v>
      </c>
      <c r="H36" s="41">
        <v>42690.08668</v>
      </c>
      <c r="I36" s="41">
        <v>2379.3491193099999</v>
      </c>
      <c r="J36" s="41">
        <f t="shared" si="0"/>
        <v>45069.435799309998</v>
      </c>
      <c r="K36" s="57">
        <v>0</v>
      </c>
      <c r="L36" s="62">
        <v>0</v>
      </c>
      <c r="M36" s="62">
        <v>8.1000000000000003E-2</v>
      </c>
      <c r="N36" s="41">
        <v>0.108</v>
      </c>
      <c r="O36" s="41">
        <f t="shared" si="1"/>
        <v>0.189</v>
      </c>
      <c r="P36" s="41">
        <v>6491.9089999999997</v>
      </c>
      <c r="Q36" s="41">
        <v>0</v>
      </c>
      <c r="R36" s="42">
        <f t="shared" si="2"/>
        <v>6491.9089999999997</v>
      </c>
      <c r="S36" s="62"/>
      <c r="T36" s="50">
        <v>8881</v>
      </c>
      <c r="U36" s="50">
        <f t="shared" si="3"/>
        <v>0.107</v>
      </c>
      <c r="V36" s="50">
        <v>317.13</v>
      </c>
      <c r="W36" s="50">
        <f t="shared" si="4"/>
        <v>6.6000000000000003E-2</v>
      </c>
      <c r="X36" s="50">
        <v>963.33939999999996</v>
      </c>
      <c r="Y36" s="50">
        <f t="shared" si="5"/>
        <v>6.699999999999999E-2</v>
      </c>
      <c r="Z36" s="50">
        <v>357.41629999999998</v>
      </c>
      <c r="AA36" s="50">
        <f t="shared" si="6"/>
        <v>3.6999999999999998E-2</v>
      </c>
      <c r="AC36" s="53">
        <v>52.326000000000001</v>
      </c>
      <c r="AD36" s="81">
        <v>1257.5088000000001</v>
      </c>
      <c r="AE36" s="77">
        <f t="shared" si="7"/>
        <v>8.1000000000000003E-2</v>
      </c>
      <c r="AF36" s="86">
        <f t="shared" si="8"/>
        <v>0.108</v>
      </c>
      <c r="AH36" s="88">
        <v>1081.1079999999999</v>
      </c>
      <c r="AI36" s="86">
        <f t="shared" si="9"/>
        <v>0.4390001055768965</v>
      </c>
      <c r="AK36" s="88">
        <v>987.63599999999997</v>
      </c>
      <c r="AL36" s="86">
        <f t="shared" si="10"/>
        <v>0.61458369632856247</v>
      </c>
      <c r="AN36" s="36">
        <v>1051.556</v>
      </c>
    </row>
    <row r="37" spans="4:40" x14ac:dyDescent="0.35">
      <c r="D37" s="39">
        <f t="shared" si="11"/>
        <v>35</v>
      </c>
      <c r="E37" s="57">
        <v>0.22</v>
      </c>
      <c r="F37" s="41">
        <v>0.17</v>
      </c>
      <c r="G37" s="41">
        <v>0.27399999999999997</v>
      </c>
      <c r="H37" s="41">
        <v>42575.571000000004</v>
      </c>
      <c r="I37" s="41">
        <v>1880.30818144</v>
      </c>
      <c r="J37" s="41">
        <f t="shared" si="0"/>
        <v>44455.879181440003</v>
      </c>
      <c r="K37" s="57">
        <v>0</v>
      </c>
      <c r="L37" s="62">
        <v>0</v>
      </c>
      <c r="M37" s="62">
        <v>7.8E-2</v>
      </c>
      <c r="N37" s="41">
        <v>6.7000000000000004E-2</v>
      </c>
      <c r="O37" s="41">
        <f t="shared" si="1"/>
        <v>0.14500000000000002</v>
      </c>
      <c r="P37" s="41">
        <v>6381.1840000000002</v>
      </c>
      <c r="Q37" s="41">
        <v>0</v>
      </c>
      <c r="R37" s="42">
        <f t="shared" si="2"/>
        <v>6381.1840000000002</v>
      </c>
      <c r="S37" s="62"/>
      <c r="T37" s="50">
        <v>23323</v>
      </c>
      <c r="U37" s="50">
        <f t="shared" si="3"/>
        <v>0.28100000000000003</v>
      </c>
      <c r="V37" s="50">
        <v>816.85</v>
      </c>
      <c r="W37" s="50">
        <f t="shared" si="4"/>
        <v>0.17</v>
      </c>
      <c r="X37" s="50">
        <v>3508.2808</v>
      </c>
      <c r="Y37" s="50">
        <f t="shared" si="5"/>
        <v>0.24399999999999999</v>
      </c>
      <c r="Z37" s="50">
        <v>1362.0459000000001</v>
      </c>
      <c r="AA37" s="50">
        <f t="shared" si="6"/>
        <v>0.14100000000000001</v>
      </c>
      <c r="AC37" s="53">
        <v>50.387999999999998</v>
      </c>
      <c r="AD37" s="81">
        <v>780.12120000000004</v>
      </c>
      <c r="AE37" s="77">
        <f t="shared" si="7"/>
        <v>7.8E-2</v>
      </c>
      <c r="AF37" s="86">
        <f t="shared" si="8"/>
        <v>6.7000000000000004E-2</v>
      </c>
      <c r="AH37" s="88">
        <v>1051.556</v>
      </c>
      <c r="AI37" s="86">
        <f t="shared" si="9"/>
        <v>0.42700007309169763</v>
      </c>
      <c r="AK37" s="88">
        <v>988.90899999999999</v>
      </c>
      <c r="AL37" s="86">
        <f t="shared" si="10"/>
        <v>0.61537585563161168</v>
      </c>
      <c r="AN37" s="36">
        <v>1046.6300000000001</v>
      </c>
    </row>
    <row r="38" spans="4:40" x14ac:dyDescent="0.35">
      <c r="D38" s="39">
        <f t="shared" si="11"/>
        <v>36</v>
      </c>
      <c r="E38" s="57">
        <v>0.28399999999999997</v>
      </c>
      <c r="F38" s="41">
        <v>0.28299999999999903</v>
      </c>
      <c r="G38" s="41">
        <v>0.40600000000000003</v>
      </c>
      <c r="H38" s="41">
        <v>42837.446000000004</v>
      </c>
      <c r="I38" s="41">
        <v>2343.1471163800002</v>
      </c>
      <c r="J38" s="41">
        <f t="shared" si="0"/>
        <v>45180.593116380005</v>
      </c>
      <c r="K38" s="57">
        <v>1.09999999999999E-2</v>
      </c>
      <c r="L38" s="62">
        <v>1.2E-2</v>
      </c>
      <c r="M38" s="62">
        <v>7.1999999999999995E-2</v>
      </c>
      <c r="N38" s="41">
        <v>4.1000000000000002E-2</v>
      </c>
      <c r="O38" s="41">
        <f t="shared" si="1"/>
        <v>0.11299999999999999</v>
      </c>
      <c r="P38" s="41">
        <v>6459.91</v>
      </c>
      <c r="Q38" s="41">
        <v>0</v>
      </c>
      <c r="R38" s="42">
        <f t="shared" si="2"/>
        <v>6459.91</v>
      </c>
      <c r="S38" s="62"/>
      <c r="T38" s="50">
        <v>29216</v>
      </c>
      <c r="U38" s="50">
        <f t="shared" si="3"/>
        <v>0.35199999999999998</v>
      </c>
      <c r="V38" s="50">
        <v>1359.8150000000001</v>
      </c>
      <c r="W38" s="50">
        <f t="shared" si="4"/>
        <v>0.28300000000000003</v>
      </c>
      <c r="X38" s="50">
        <v>5938.1966000000002</v>
      </c>
      <c r="Y38" s="50">
        <f t="shared" si="5"/>
        <v>0.41299999999999998</v>
      </c>
      <c r="Z38" s="50">
        <v>2414.9749999999999</v>
      </c>
      <c r="AA38" s="50">
        <f t="shared" si="6"/>
        <v>0.25</v>
      </c>
      <c r="AC38" s="53">
        <v>46.512</v>
      </c>
      <c r="AD38" s="81">
        <v>477.38760000000002</v>
      </c>
      <c r="AE38" s="77">
        <f t="shared" si="7"/>
        <v>7.1999999999999995E-2</v>
      </c>
      <c r="AF38" s="86">
        <f t="shared" si="8"/>
        <v>4.1000000000000002E-2</v>
      </c>
      <c r="AH38" s="88">
        <v>1046.6300000000001</v>
      </c>
      <c r="AI38" s="86">
        <f t="shared" si="9"/>
        <v>0.42499979696750673</v>
      </c>
      <c r="AK38" s="88">
        <v>984.81100000000004</v>
      </c>
      <c r="AL38" s="86">
        <f t="shared" si="10"/>
        <v>0.61282576228998131</v>
      </c>
      <c r="AN38" s="36">
        <v>1022.004</v>
      </c>
    </row>
    <row r="39" spans="4:40" x14ac:dyDescent="0.35">
      <c r="D39" s="39">
        <f t="shared" si="11"/>
        <v>37</v>
      </c>
      <c r="E39" s="57">
        <v>0.26</v>
      </c>
      <c r="F39" s="41">
        <v>0.36899999999999999</v>
      </c>
      <c r="G39" s="41">
        <v>0.49</v>
      </c>
      <c r="H39" s="41">
        <v>43054.642</v>
      </c>
      <c r="I39" s="41">
        <v>2542.0386568700001</v>
      </c>
      <c r="J39" s="41">
        <f t="shared" si="0"/>
        <v>45596.680656869998</v>
      </c>
      <c r="K39" s="57">
        <v>1.4999999999999999E-2</v>
      </c>
      <c r="L39" s="62">
        <v>1.3999999999999999E-2</v>
      </c>
      <c r="M39" s="62">
        <v>6.2E-2</v>
      </c>
      <c r="N39" s="41">
        <v>3.3000000000000002E-2</v>
      </c>
      <c r="O39" s="41">
        <f t="shared" si="1"/>
        <v>9.5000000000000001E-2</v>
      </c>
      <c r="P39" s="41">
        <v>6512.3739999999998</v>
      </c>
      <c r="Q39" s="41">
        <v>0</v>
      </c>
      <c r="R39" s="42">
        <f t="shared" si="2"/>
        <v>6512.3739999999998</v>
      </c>
      <c r="S39" s="62"/>
      <c r="T39" s="50">
        <v>31789</v>
      </c>
      <c r="U39" s="50">
        <f t="shared" si="3"/>
        <v>0.38300000000000001</v>
      </c>
      <c r="V39" s="50">
        <v>1773.0450000000001</v>
      </c>
      <c r="W39" s="50">
        <f t="shared" si="4"/>
        <v>0.36899999999999999</v>
      </c>
      <c r="X39" s="50">
        <v>7577.3113999999996</v>
      </c>
      <c r="Y39" s="50">
        <f t="shared" si="5"/>
        <v>0.52699999999999991</v>
      </c>
      <c r="Z39" s="50">
        <v>3197.4268999999999</v>
      </c>
      <c r="AA39" s="50">
        <f t="shared" si="6"/>
        <v>0.33100000000000002</v>
      </c>
      <c r="AC39" s="53">
        <v>40.052</v>
      </c>
      <c r="AD39" s="81">
        <v>384.23880000000003</v>
      </c>
      <c r="AE39" s="77">
        <f t="shared" si="7"/>
        <v>6.2E-2</v>
      </c>
      <c r="AF39" s="86">
        <f t="shared" si="8"/>
        <v>3.3000000000000002E-2</v>
      </c>
      <c r="AH39" s="88">
        <v>1022.004</v>
      </c>
      <c r="AI39" s="86">
        <f t="shared" si="9"/>
        <v>0.4150000406064987</v>
      </c>
      <c r="AK39" s="88">
        <v>987.846</v>
      </c>
      <c r="AL39" s="86">
        <f t="shared" si="10"/>
        <v>0.61471437461107659</v>
      </c>
      <c r="AN39" s="36">
        <v>1029.3920000000001</v>
      </c>
    </row>
    <row r="40" spans="4:40" x14ac:dyDescent="0.35">
      <c r="D40" s="39">
        <f t="shared" si="11"/>
        <v>38</v>
      </c>
      <c r="E40" s="57">
        <v>0.18</v>
      </c>
      <c r="F40" s="41">
        <v>0.4</v>
      </c>
      <c r="G40" s="41">
        <v>0.51100000000000001</v>
      </c>
      <c r="H40" s="41">
        <v>42919.839</v>
      </c>
      <c r="I40" s="41">
        <v>2244.6574105499999</v>
      </c>
      <c r="J40" s="41">
        <f t="shared" si="0"/>
        <v>45164.496410549997</v>
      </c>
      <c r="K40" s="57">
        <v>1.09999999999999E-2</v>
      </c>
      <c r="L40" s="62">
        <v>1.2E-2</v>
      </c>
      <c r="M40" s="62">
        <v>5.3999999999999999E-2</v>
      </c>
      <c r="N40" s="41">
        <v>2.4999999999999998E-2</v>
      </c>
      <c r="O40" s="41">
        <f t="shared" si="1"/>
        <v>7.9000000000000001E-2</v>
      </c>
      <c r="P40" s="41">
        <v>6237.08</v>
      </c>
      <c r="Q40" s="41">
        <v>0</v>
      </c>
      <c r="R40" s="42">
        <f t="shared" si="2"/>
        <v>6237.08</v>
      </c>
      <c r="S40" s="62"/>
      <c r="T40" s="50">
        <v>32702</v>
      </c>
      <c r="U40" s="50">
        <f t="shared" si="3"/>
        <v>0.39400000000000002</v>
      </c>
      <c r="V40" s="50">
        <v>1922</v>
      </c>
      <c r="W40" s="50">
        <f t="shared" si="4"/>
        <v>0.4</v>
      </c>
      <c r="X40" s="50">
        <v>8224.3304000000007</v>
      </c>
      <c r="Y40" s="50">
        <f t="shared" si="5"/>
        <v>0.57200000000000006</v>
      </c>
      <c r="Z40" s="50">
        <v>3516.2035999999998</v>
      </c>
      <c r="AA40" s="50">
        <f t="shared" si="6"/>
        <v>0.36399999999999999</v>
      </c>
      <c r="AC40" s="53">
        <v>34.884</v>
      </c>
      <c r="AD40" s="81">
        <v>291.08999999999997</v>
      </c>
      <c r="AE40" s="77">
        <f t="shared" si="7"/>
        <v>5.3999999999999999E-2</v>
      </c>
      <c r="AF40" s="86">
        <f t="shared" si="8"/>
        <v>2.4999999999999998E-2</v>
      </c>
      <c r="AH40" s="88">
        <v>1029.3920000000001</v>
      </c>
      <c r="AI40" s="86">
        <f t="shared" si="9"/>
        <v>0.41800004872779845</v>
      </c>
      <c r="AK40" s="88">
        <v>987.125</v>
      </c>
      <c r="AL40" s="86">
        <f t="shared" si="10"/>
        <v>0.61426571250777851</v>
      </c>
      <c r="AN40" s="36">
        <v>1058.944</v>
      </c>
    </row>
    <row r="41" spans="4:40" x14ac:dyDescent="0.35">
      <c r="D41" s="39">
        <f t="shared" si="11"/>
        <v>39</v>
      </c>
      <c r="E41" s="57">
        <v>6.7000000000000004E-2</v>
      </c>
      <c r="F41" s="41">
        <v>0.36299999999999999</v>
      </c>
      <c r="G41" s="41">
        <v>0.47</v>
      </c>
      <c r="H41" s="41">
        <v>42174.105000000003</v>
      </c>
      <c r="I41" s="41">
        <v>1668.47794946</v>
      </c>
      <c r="J41" s="41">
        <f t="shared" si="0"/>
        <v>43842.582949460004</v>
      </c>
      <c r="K41" s="57">
        <v>0</v>
      </c>
      <c r="L41" s="62">
        <v>0</v>
      </c>
      <c r="M41" s="62">
        <v>4.9999999999999996E-2</v>
      </c>
      <c r="N41" s="41">
        <v>2.1000000000000001E-2</v>
      </c>
      <c r="O41" s="41">
        <f t="shared" si="1"/>
        <v>7.0999999999999994E-2</v>
      </c>
      <c r="P41" s="41">
        <v>6179.3860000000004</v>
      </c>
      <c r="Q41" s="41">
        <v>0</v>
      </c>
      <c r="R41" s="42">
        <f t="shared" si="2"/>
        <v>6179.3860000000004</v>
      </c>
      <c r="S41" s="62"/>
      <c r="T41" s="50">
        <v>33034</v>
      </c>
      <c r="U41" s="50">
        <f t="shared" si="3"/>
        <v>0.39800000000000002</v>
      </c>
      <c r="V41" s="50">
        <v>1744.2149999999999</v>
      </c>
      <c r="W41" s="50">
        <f t="shared" si="4"/>
        <v>0.36299999999999999</v>
      </c>
      <c r="X41" s="50">
        <v>7821.7407999999996</v>
      </c>
      <c r="Y41" s="50">
        <f t="shared" si="5"/>
        <v>0.54399999999999993</v>
      </c>
      <c r="Z41" s="50">
        <v>3313.3456999999999</v>
      </c>
      <c r="AA41" s="50">
        <f t="shared" si="6"/>
        <v>0.34299999999999997</v>
      </c>
      <c r="AC41" s="53">
        <v>32.299999999999997</v>
      </c>
      <c r="AD41" s="81">
        <v>244.51560000000001</v>
      </c>
      <c r="AE41" s="77">
        <f t="shared" si="7"/>
        <v>4.9999999999999996E-2</v>
      </c>
      <c r="AF41" s="86">
        <f t="shared" si="8"/>
        <v>2.1000000000000001E-2</v>
      </c>
      <c r="AH41" s="88">
        <v>1058.944</v>
      </c>
      <c r="AI41" s="86">
        <f t="shared" si="9"/>
        <v>0.43000008121299732</v>
      </c>
      <c r="AK41" s="88">
        <v>974.24900000000002</v>
      </c>
      <c r="AL41" s="86">
        <f t="shared" si="10"/>
        <v>0.60625326695706283</v>
      </c>
      <c r="AN41" s="36">
        <v>1049.0930000000001</v>
      </c>
    </row>
    <row r="42" spans="4:40" x14ac:dyDescent="0.35">
      <c r="D42" s="39">
        <f t="shared" si="11"/>
        <v>40</v>
      </c>
      <c r="E42" s="57">
        <v>2.6000000000000002E-2</v>
      </c>
      <c r="F42" s="41">
        <v>0.26500000000000001</v>
      </c>
      <c r="G42" s="41">
        <v>0.36199999999999904</v>
      </c>
      <c r="H42" s="41">
        <v>42199.495000000003</v>
      </c>
      <c r="I42" s="41">
        <v>1405.1539164799999</v>
      </c>
      <c r="J42" s="41">
        <f t="shared" si="0"/>
        <v>43604.64891648</v>
      </c>
      <c r="K42" s="57">
        <v>0</v>
      </c>
      <c r="L42" s="62">
        <v>0</v>
      </c>
      <c r="M42" s="62">
        <v>5.0999999999999997E-2</v>
      </c>
      <c r="N42" s="41">
        <v>2.3E-2</v>
      </c>
      <c r="O42" s="41">
        <f t="shared" si="1"/>
        <v>7.3999999999999996E-2</v>
      </c>
      <c r="P42" s="41">
        <v>6194.5559999999996</v>
      </c>
      <c r="Q42" s="41">
        <v>0</v>
      </c>
      <c r="R42" s="42">
        <f t="shared" si="2"/>
        <v>6194.5559999999996</v>
      </c>
      <c r="S42" s="62"/>
      <c r="T42" s="50">
        <v>31125</v>
      </c>
      <c r="U42" s="50">
        <f t="shared" si="3"/>
        <v>0.375</v>
      </c>
      <c r="V42" s="50">
        <v>1273.325</v>
      </c>
      <c r="W42" s="50">
        <f t="shared" si="4"/>
        <v>0.26500000000000001</v>
      </c>
      <c r="X42" s="50">
        <v>6427.0554000000002</v>
      </c>
      <c r="Y42" s="50">
        <f t="shared" si="5"/>
        <v>0.44700000000000001</v>
      </c>
      <c r="Z42" s="50">
        <v>2608.1729999999998</v>
      </c>
      <c r="AA42" s="50">
        <f t="shared" si="6"/>
        <v>0.26999999999999996</v>
      </c>
      <c r="AC42" s="53">
        <v>32.945999999999998</v>
      </c>
      <c r="AD42" s="81">
        <v>267.80279999999999</v>
      </c>
      <c r="AE42" s="77">
        <f t="shared" si="7"/>
        <v>5.0999999999999997E-2</v>
      </c>
      <c r="AF42" s="86">
        <f t="shared" si="8"/>
        <v>2.3E-2</v>
      </c>
      <c r="AH42" s="88">
        <v>1049.0930000000001</v>
      </c>
      <c r="AI42" s="86">
        <f t="shared" si="9"/>
        <v>0.42599993502960221</v>
      </c>
      <c r="AK42" s="88">
        <v>966.42200000000003</v>
      </c>
      <c r="AL42" s="86">
        <f t="shared" si="10"/>
        <v>0.60138270068450528</v>
      </c>
      <c r="AN42" s="36">
        <v>1046.6300000000001</v>
      </c>
    </row>
    <row r="43" spans="4:40" x14ac:dyDescent="0.35">
      <c r="D43" s="39">
        <f t="shared" si="11"/>
        <v>41</v>
      </c>
      <c r="E43" s="57">
        <v>0</v>
      </c>
      <c r="F43" s="41">
        <v>0.13300000000000001</v>
      </c>
      <c r="G43" s="41">
        <v>0.21299999999999999</v>
      </c>
      <c r="H43" s="41">
        <v>42908.385000000002</v>
      </c>
      <c r="I43" s="41">
        <v>1406.3396975200001</v>
      </c>
      <c r="J43" s="41">
        <f t="shared" si="0"/>
        <v>44314.724697520003</v>
      </c>
      <c r="K43" s="57">
        <v>0</v>
      </c>
      <c r="L43" s="62">
        <v>0</v>
      </c>
      <c r="M43" s="62">
        <v>6.0999999999999999E-2</v>
      </c>
      <c r="N43" s="41">
        <v>3.3000000000000002E-2</v>
      </c>
      <c r="O43" s="41">
        <f t="shared" si="1"/>
        <v>9.4E-2</v>
      </c>
      <c r="P43" s="41">
        <v>6425.3190000000004</v>
      </c>
      <c r="Q43" s="41">
        <v>0</v>
      </c>
      <c r="R43" s="42">
        <f t="shared" si="2"/>
        <v>6425.3190000000004</v>
      </c>
      <c r="S43" s="62"/>
      <c r="T43" s="50">
        <v>21912</v>
      </c>
      <c r="U43" s="50">
        <f t="shared" si="3"/>
        <v>0.26400000000000001</v>
      </c>
      <c r="V43" s="50">
        <v>639.06500000000005</v>
      </c>
      <c r="W43" s="50">
        <f t="shared" si="4"/>
        <v>0.13300000000000001</v>
      </c>
      <c r="X43" s="50">
        <v>4327.8382000000001</v>
      </c>
      <c r="Y43" s="50">
        <f t="shared" si="5"/>
        <v>0.30099999999999999</v>
      </c>
      <c r="Z43" s="50">
        <v>1603.5434</v>
      </c>
      <c r="AA43" s="50">
        <f t="shared" si="6"/>
        <v>0.16600000000000001</v>
      </c>
      <c r="AC43" s="53">
        <v>39.405999999999999</v>
      </c>
      <c r="AD43" s="81">
        <v>384.23880000000003</v>
      </c>
      <c r="AE43" s="77">
        <f t="shared" si="7"/>
        <v>6.0999999999999999E-2</v>
      </c>
      <c r="AF43" s="86">
        <f t="shared" si="8"/>
        <v>3.3000000000000002E-2</v>
      </c>
      <c r="AH43" s="88">
        <v>1046.6300000000001</v>
      </c>
      <c r="AI43" s="86">
        <f t="shared" si="9"/>
        <v>0.42499979696750673</v>
      </c>
      <c r="AK43" s="88">
        <v>965.43600000000004</v>
      </c>
      <c r="AL43" s="86">
        <f t="shared" si="10"/>
        <v>0.60076913503422524</v>
      </c>
      <c r="AN43" s="36">
        <v>1058.944</v>
      </c>
    </row>
    <row r="44" spans="4:40" x14ac:dyDescent="0.35">
      <c r="D44" s="39">
        <f t="shared" si="11"/>
        <v>42</v>
      </c>
      <c r="E44" s="57">
        <v>0</v>
      </c>
      <c r="F44" s="41">
        <v>1.3000000000000001E-2</v>
      </c>
      <c r="G44" s="41">
        <v>5.4000000000000006E-2</v>
      </c>
      <c r="H44" s="41">
        <v>45150.703999999998</v>
      </c>
      <c r="I44" s="41">
        <v>2605.3519441799999</v>
      </c>
      <c r="J44" s="41">
        <f t="shared" si="0"/>
        <v>47756.05594418</v>
      </c>
      <c r="K44" s="57">
        <v>0</v>
      </c>
      <c r="L44" s="62">
        <v>0</v>
      </c>
      <c r="M44" s="62">
        <v>8.1000000000000003E-2</v>
      </c>
      <c r="N44" s="41">
        <v>5.8999999999999997E-2</v>
      </c>
      <c r="O44" s="41">
        <f t="shared" si="1"/>
        <v>0.14000000000000001</v>
      </c>
      <c r="P44" s="41">
        <v>6957.1009999999997</v>
      </c>
      <c r="Q44" s="41">
        <v>0</v>
      </c>
      <c r="R44" s="42">
        <f t="shared" si="2"/>
        <v>6957.1009999999997</v>
      </c>
      <c r="S44" s="62"/>
      <c r="T44" s="50">
        <v>4814</v>
      </c>
      <c r="U44" s="50">
        <f t="shared" si="3"/>
        <v>5.8000000000000003E-2</v>
      </c>
      <c r="V44" s="50">
        <v>62.465000000000003</v>
      </c>
      <c r="W44" s="50">
        <f t="shared" si="4"/>
        <v>1.3000000000000001E-2</v>
      </c>
      <c r="X44" s="50">
        <v>1811.6532</v>
      </c>
      <c r="Y44" s="50">
        <f t="shared" si="5"/>
        <v>0.126</v>
      </c>
      <c r="Z44" s="50">
        <v>579.59400000000005</v>
      </c>
      <c r="AA44" s="50">
        <f t="shared" si="6"/>
        <v>6.0000000000000005E-2</v>
      </c>
      <c r="AC44" s="53">
        <v>52.326000000000001</v>
      </c>
      <c r="AD44" s="81">
        <v>686.97239999999999</v>
      </c>
      <c r="AE44" s="77">
        <f t="shared" si="7"/>
        <v>8.1000000000000003E-2</v>
      </c>
      <c r="AF44" s="86">
        <f t="shared" si="8"/>
        <v>5.8999999999999997E-2</v>
      </c>
      <c r="AH44" s="88">
        <v>1058.944</v>
      </c>
      <c r="AI44" s="86">
        <f t="shared" si="9"/>
        <v>0.43000008121299732</v>
      </c>
      <c r="AK44" s="88">
        <v>969.31399999999996</v>
      </c>
      <c r="AL44" s="86">
        <f t="shared" si="10"/>
        <v>0.60318232731798382</v>
      </c>
      <c r="AN44" s="36">
        <v>1073.72</v>
      </c>
    </row>
    <row r="45" spans="4:40" x14ac:dyDescent="0.35">
      <c r="D45" s="39">
        <f t="shared" si="11"/>
        <v>43</v>
      </c>
      <c r="E45" s="57">
        <v>0</v>
      </c>
      <c r="F45" s="41">
        <v>0</v>
      </c>
      <c r="G45" s="41">
        <v>0</v>
      </c>
      <c r="H45" s="41">
        <v>46500.607000000004</v>
      </c>
      <c r="I45" s="41">
        <v>2788.4537903999999</v>
      </c>
      <c r="J45" s="41">
        <f t="shared" si="0"/>
        <v>49289.060790400006</v>
      </c>
      <c r="K45" s="57">
        <v>0</v>
      </c>
      <c r="L45" s="62">
        <v>0</v>
      </c>
      <c r="M45" s="62">
        <v>0.106</v>
      </c>
      <c r="N45" s="41">
        <v>0.159</v>
      </c>
      <c r="O45" s="41">
        <f t="shared" si="1"/>
        <v>0.26500000000000001</v>
      </c>
      <c r="P45" s="41">
        <v>7451.1549999999997</v>
      </c>
      <c r="Q45" s="41">
        <v>239.70212766</v>
      </c>
      <c r="R45" s="42">
        <f t="shared" si="2"/>
        <v>7690.8571276599996</v>
      </c>
      <c r="S45" s="62"/>
      <c r="T45" s="50">
        <v>0</v>
      </c>
      <c r="U45" s="50">
        <f t="shared" si="3"/>
        <v>0</v>
      </c>
      <c r="V45" s="50">
        <v>0</v>
      </c>
      <c r="W45" s="50">
        <f t="shared" si="4"/>
        <v>0</v>
      </c>
      <c r="X45" s="50">
        <v>0</v>
      </c>
      <c r="Y45" s="50">
        <f t="shared" si="5"/>
        <v>0</v>
      </c>
      <c r="Z45" s="50">
        <v>0</v>
      </c>
      <c r="AA45" s="50">
        <f t="shared" si="6"/>
        <v>0</v>
      </c>
      <c r="AC45" s="53">
        <v>68.475999999999999</v>
      </c>
      <c r="AD45" s="81">
        <v>1851.3324</v>
      </c>
      <c r="AE45" s="77">
        <f t="shared" si="7"/>
        <v>0.106</v>
      </c>
      <c r="AF45" s="86">
        <f t="shared" si="8"/>
        <v>0.159</v>
      </c>
      <c r="AH45" s="88">
        <v>1073.72</v>
      </c>
      <c r="AI45" s="86">
        <f t="shared" si="9"/>
        <v>0.43600009745559681</v>
      </c>
      <c r="AK45" s="88">
        <v>973.96</v>
      </c>
      <c r="AL45" s="86">
        <f t="shared" si="10"/>
        <v>0.60607342874922221</v>
      </c>
      <c r="AN45" s="36">
        <v>1090.9580000000001</v>
      </c>
    </row>
    <row r="46" spans="4:40" x14ac:dyDescent="0.35">
      <c r="D46" s="39">
        <f t="shared" si="11"/>
        <v>44</v>
      </c>
      <c r="E46" s="57">
        <v>0</v>
      </c>
      <c r="F46" s="41">
        <v>0</v>
      </c>
      <c r="G46" s="41">
        <v>0</v>
      </c>
      <c r="H46" s="41">
        <v>46170.290999999997</v>
      </c>
      <c r="I46" s="41">
        <v>2607.1684842300001</v>
      </c>
      <c r="J46" s="41">
        <f t="shared" si="0"/>
        <v>48777.459484229999</v>
      </c>
      <c r="K46" s="57">
        <v>0</v>
      </c>
      <c r="L46" s="62">
        <v>0</v>
      </c>
      <c r="M46" s="62">
        <v>0.124</v>
      </c>
      <c r="N46" s="41">
        <v>0.22199999999999998</v>
      </c>
      <c r="O46" s="41">
        <f t="shared" si="1"/>
        <v>0.34599999999999997</v>
      </c>
      <c r="P46" s="41">
        <v>7554.1670000000004</v>
      </c>
      <c r="Q46" s="41">
        <v>199.60531915000001</v>
      </c>
      <c r="R46" s="42">
        <f t="shared" si="2"/>
        <v>7753.7723191500008</v>
      </c>
      <c r="S46" s="62"/>
      <c r="T46" s="50">
        <v>0</v>
      </c>
      <c r="U46" s="50">
        <f t="shared" si="3"/>
        <v>0</v>
      </c>
      <c r="V46" s="50">
        <v>0</v>
      </c>
      <c r="W46" s="50">
        <f t="shared" si="4"/>
        <v>0</v>
      </c>
      <c r="X46" s="50">
        <v>0</v>
      </c>
      <c r="Y46" s="50">
        <f t="shared" si="5"/>
        <v>0</v>
      </c>
      <c r="Z46" s="50">
        <v>0</v>
      </c>
      <c r="AA46" s="50">
        <f t="shared" si="6"/>
        <v>0</v>
      </c>
      <c r="AC46" s="53">
        <v>80.103999999999999</v>
      </c>
      <c r="AD46" s="81">
        <v>2584.8791999999999</v>
      </c>
      <c r="AE46" s="77">
        <f t="shared" si="7"/>
        <v>0.124</v>
      </c>
      <c r="AF46" s="86">
        <f t="shared" si="8"/>
        <v>0.22199999999999998</v>
      </c>
      <c r="AH46" s="88">
        <v>1090.9580000000001</v>
      </c>
      <c r="AI46" s="86">
        <f t="shared" si="9"/>
        <v>0.44299984569530515</v>
      </c>
      <c r="AK46" s="88">
        <v>982.16099999999994</v>
      </c>
      <c r="AL46" s="86">
        <f t="shared" si="10"/>
        <v>0.61117672682016178</v>
      </c>
      <c r="AN46" s="36">
        <v>1113.1220000000001</v>
      </c>
    </row>
    <row r="47" spans="4:40" x14ac:dyDescent="0.35">
      <c r="D47" s="39">
        <f t="shared" si="11"/>
        <v>45</v>
      </c>
      <c r="E47" s="57">
        <v>0</v>
      </c>
      <c r="F47" s="41">
        <v>0</v>
      </c>
      <c r="G47" s="41">
        <v>0</v>
      </c>
      <c r="H47" s="41">
        <v>44560.091</v>
      </c>
      <c r="I47" s="41">
        <v>2325.4370553099998</v>
      </c>
      <c r="J47" s="41">
        <f t="shared" si="0"/>
        <v>46885.528055310002</v>
      </c>
      <c r="K47" s="57">
        <v>0</v>
      </c>
      <c r="L47" s="62">
        <v>0</v>
      </c>
      <c r="M47" s="62">
        <v>0.13100000000000001</v>
      </c>
      <c r="N47" s="41">
        <v>0.223</v>
      </c>
      <c r="O47" s="41">
        <f t="shared" si="1"/>
        <v>0.35399999999999998</v>
      </c>
      <c r="P47" s="41">
        <v>7289.6319999999996</v>
      </c>
      <c r="Q47" s="41">
        <v>122.0287234</v>
      </c>
      <c r="R47" s="42">
        <f t="shared" si="2"/>
        <v>7411.6607233999994</v>
      </c>
      <c r="S47" s="62"/>
      <c r="T47" s="50">
        <v>0</v>
      </c>
      <c r="U47" s="50">
        <f t="shared" si="3"/>
        <v>0</v>
      </c>
      <c r="V47" s="50">
        <v>0</v>
      </c>
      <c r="W47" s="50">
        <f t="shared" si="4"/>
        <v>0</v>
      </c>
      <c r="X47" s="50">
        <v>0</v>
      </c>
      <c r="Y47" s="50">
        <f t="shared" si="5"/>
        <v>0</v>
      </c>
      <c r="Z47" s="50">
        <v>0</v>
      </c>
      <c r="AA47" s="50">
        <f t="shared" si="6"/>
        <v>0</v>
      </c>
      <c r="AC47" s="53">
        <v>84.626000000000005</v>
      </c>
      <c r="AD47" s="81">
        <v>2596.5228000000002</v>
      </c>
      <c r="AE47" s="77">
        <f t="shared" si="7"/>
        <v>0.13100000000000001</v>
      </c>
      <c r="AF47" s="86">
        <f t="shared" si="8"/>
        <v>0.223</v>
      </c>
      <c r="AH47" s="88">
        <v>1113.1220000000001</v>
      </c>
      <c r="AI47" s="86">
        <f t="shared" si="9"/>
        <v>0.45199987005920433</v>
      </c>
      <c r="AK47" s="88">
        <v>986.38400000000001</v>
      </c>
      <c r="AL47" s="86">
        <f t="shared" si="10"/>
        <v>0.61380460485376476</v>
      </c>
      <c r="AN47" s="36">
        <v>1108.1969999999999</v>
      </c>
    </row>
    <row r="48" spans="4:40" x14ac:dyDescent="0.35">
      <c r="D48" s="39">
        <f t="shared" si="11"/>
        <v>46</v>
      </c>
      <c r="E48" s="57">
        <v>0</v>
      </c>
      <c r="F48" s="41">
        <v>0</v>
      </c>
      <c r="G48" s="41">
        <v>0</v>
      </c>
      <c r="H48" s="41">
        <v>41967.483</v>
      </c>
      <c r="I48" s="41">
        <v>2062.1821264099999</v>
      </c>
      <c r="J48" s="41">
        <f t="shared" si="0"/>
        <v>44029.66512641</v>
      </c>
      <c r="K48" s="57">
        <v>0</v>
      </c>
      <c r="L48" s="62">
        <v>0</v>
      </c>
      <c r="M48" s="62">
        <v>0.13</v>
      </c>
      <c r="N48" s="41">
        <v>0.20699999999999999</v>
      </c>
      <c r="O48" s="41">
        <f t="shared" si="1"/>
        <v>0.33699999999999997</v>
      </c>
      <c r="P48" s="41">
        <v>6840.52</v>
      </c>
      <c r="Q48" s="41">
        <v>65.879787230000005</v>
      </c>
      <c r="R48" s="42">
        <f t="shared" si="2"/>
        <v>6906.3997872300006</v>
      </c>
      <c r="S48" s="62"/>
      <c r="T48" s="50">
        <v>0</v>
      </c>
      <c r="U48" s="50">
        <f t="shared" si="3"/>
        <v>0</v>
      </c>
      <c r="V48" s="50">
        <v>0</v>
      </c>
      <c r="W48" s="50">
        <f t="shared" si="4"/>
        <v>0</v>
      </c>
      <c r="X48" s="50">
        <v>0</v>
      </c>
      <c r="Y48" s="50">
        <f t="shared" si="5"/>
        <v>0</v>
      </c>
      <c r="Z48" s="50">
        <v>0</v>
      </c>
      <c r="AA48" s="50">
        <f t="shared" si="6"/>
        <v>0</v>
      </c>
      <c r="AC48" s="53">
        <v>83.98</v>
      </c>
      <c r="AD48" s="81">
        <v>2410.2251999999999</v>
      </c>
      <c r="AE48" s="77">
        <f t="shared" si="7"/>
        <v>0.13</v>
      </c>
      <c r="AF48" s="86">
        <f t="shared" si="8"/>
        <v>0.20699999999999999</v>
      </c>
      <c r="AH48" s="88">
        <v>1108.1969999999999</v>
      </c>
      <c r="AI48" s="86">
        <f t="shared" si="9"/>
        <v>0.44999999999999996</v>
      </c>
      <c r="AK48" s="88">
        <v>981.60900000000004</v>
      </c>
      <c r="AL48" s="86">
        <f t="shared" si="10"/>
        <v>0.61083322962041076</v>
      </c>
      <c r="AN48" s="36">
        <v>1098.346</v>
      </c>
    </row>
    <row r="49" spans="4:40" x14ac:dyDescent="0.35">
      <c r="D49" s="39">
        <f t="shared" si="11"/>
        <v>47</v>
      </c>
      <c r="E49" s="57">
        <v>0</v>
      </c>
      <c r="F49" s="41">
        <v>0</v>
      </c>
      <c r="G49" s="41">
        <v>0</v>
      </c>
      <c r="H49" s="41">
        <v>39356.019</v>
      </c>
      <c r="I49" s="41">
        <v>2047.4172926900001</v>
      </c>
      <c r="J49" s="41">
        <f t="shared" si="0"/>
        <v>41403.436292689999</v>
      </c>
      <c r="K49" s="57">
        <v>0</v>
      </c>
      <c r="L49" s="62">
        <v>0</v>
      </c>
      <c r="M49" s="62">
        <v>0.127</v>
      </c>
      <c r="N49" s="41">
        <v>0.20299999999999999</v>
      </c>
      <c r="O49" s="41">
        <f t="shared" si="1"/>
        <v>0.32999999999999996</v>
      </c>
      <c r="P49" s="41">
        <v>6945.6790000000001</v>
      </c>
      <c r="Q49" s="41">
        <v>233.64574468000001</v>
      </c>
      <c r="R49" s="42">
        <f t="shared" si="2"/>
        <v>7179.3247446799996</v>
      </c>
      <c r="S49" s="62"/>
      <c r="T49" s="50">
        <v>0</v>
      </c>
      <c r="U49" s="50">
        <f t="shared" si="3"/>
        <v>0</v>
      </c>
      <c r="V49" s="50">
        <v>0</v>
      </c>
      <c r="W49" s="50">
        <f t="shared" si="4"/>
        <v>0</v>
      </c>
      <c r="X49" s="50">
        <v>0</v>
      </c>
      <c r="Y49" s="50">
        <f t="shared" si="5"/>
        <v>0</v>
      </c>
      <c r="Z49" s="50">
        <v>0</v>
      </c>
      <c r="AA49" s="50">
        <f t="shared" si="6"/>
        <v>0</v>
      </c>
      <c r="AC49" s="53">
        <v>82.042000000000002</v>
      </c>
      <c r="AD49" s="81">
        <v>2363.6507999999999</v>
      </c>
      <c r="AE49" s="77">
        <f t="shared" si="7"/>
        <v>0.127</v>
      </c>
      <c r="AF49" s="86">
        <f t="shared" si="8"/>
        <v>0.20299999999999999</v>
      </c>
      <c r="AH49" s="88">
        <v>1098.346</v>
      </c>
      <c r="AI49" s="86">
        <f t="shared" si="9"/>
        <v>0.44599985381660484</v>
      </c>
      <c r="AK49" s="88">
        <v>982.87699999999995</v>
      </c>
      <c r="AL49" s="86">
        <f t="shared" si="10"/>
        <v>0.61162227753578091</v>
      </c>
      <c r="AN49" s="36">
        <v>1098.346</v>
      </c>
    </row>
    <row r="50" spans="4:40" x14ac:dyDescent="0.35">
      <c r="D50" s="39">
        <f t="shared" si="11"/>
        <v>48</v>
      </c>
      <c r="E50" s="57">
        <v>0</v>
      </c>
      <c r="F50" s="41">
        <v>0</v>
      </c>
      <c r="G50" s="41">
        <v>0</v>
      </c>
      <c r="H50" s="41">
        <v>36872.559000000001</v>
      </c>
      <c r="I50" s="41">
        <v>1731.3661337599999</v>
      </c>
      <c r="J50" s="41">
        <f t="shared" si="0"/>
        <v>38603.92513376</v>
      </c>
      <c r="K50" s="57">
        <v>0</v>
      </c>
      <c r="L50" s="62">
        <v>0</v>
      </c>
      <c r="M50" s="62">
        <v>0.11600000000000001</v>
      </c>
      <c r="N50" s="41">
        <v>0.21499999999999997</v>
      </c>
      <c r="O50" s="41">
        <f t="shared" si="1"/>
        <v>0.33099999999999996</v>
      </c>
      <c r="P50" s="41">
        <v>6440.0559999999996</v>
      </c>
      <c r="Q50" s="41">
        <v>304.68297871999999</v>
      </c>
      <c r="R50" s="42">
        <f t="shared" si="2"/>
        <v>6744.73897872</v>
      </c>
      <c r="S50" s="62"/>
      <c r="T50" s="50">
        <v>0</v>
      </c>
      <c r="U50" s="50">
        <f t="shared" si="3"/>
        <v>0</v>
      </c>
      <c r="V50" s="50">
        <v>0</v>
      </c>
      <c r="W50" s="50">
        <f t="shared" si="4"/>
        <v>0</v>
      </c>
      <c r="X50" s="50">
        <v>0</v>
      </c>
      <c r="Y50" s="50">
        <f t="shared" si="5"/>
        <v>0</v>
      </c>
      <c r="Z50" s="50">
        <v>0</v>
      </c>
      <c r="AA50" s="50">
        <f t="shared" si="6"/>
        <v>0</v>
      </c>
      <c r="AC50" s="53">
        <v>74.936000000000007</v>
      </c>
      <c r="AD50" s="81">
        <v>2503.3739999999998</v>
      </c>
      <c r="AE50" s="77">
        <f t="shared" si="7"/>
        <v>0.11600000000000001</v>
      </c>
      <c r="AF50" s="86">
        <f t="shared" si="8"/>
        <v>0.21499999999999997</v>
      </c>
      <c r="AH50" s="88">
        <v>1098.346</v>
      </c>
      <c r="AI50" s="86">
        <f t="shared" si="9"/>
        <v>0.44599985381660484</v>
      </c>
      <c r="AK50" s="88">
        <v>974.91899999999998</v>
      </c>
      <c r="AL50" s="86">
        <f t="shared" si="10"/>
        <v>0.60667019290603608</v>
      </c>
      <c r="AN50" s="36">
        <v>1068.7940000000001</v>
      </c>
    </row>
    <row r="51" spans="4:40" x14ac:dyDescent="0.35">
      <c r="D51" s="39">
        <f t="shared" si="11"/>
        <v>49</v>
      </c>
      <c r="E51" s="57">
        <v>0</v>
      </c>
      <c r="F51" s="41">
        <v>0</v>
      </c>
      <c r="G51" s="41">
        <v>0</v>
      </c>
      <c r="H51" s="41">
        <v>34091.993000000002</v>
      </c>
      <c r="I51" s="41">
        <v>1350.0807294900001</v>
      </c>
      <c r="J51" s="41">
        <f t="shared" si="0"/>
        <v>35442.073729490003</v>
      </c>
      <c r="K51" s="57">
        <v>0</v>
      </c>
      <c r="L51" s="62">
        <v>0</v>
      </c>
      <c r="M51" s="62">
        <v>0.11</v>
      </c>
      <c r="N51" s="41">
        <v>0.23500000000000001</v>
      </c>
      <c r="O51" s="41">
        <f t="shared" si="1"/>
        <v>0.34500000000000003</v>
      </c>
      <c r="P51" s="41">
        <v>5690.9629999999997</v>
      </c>
      <c r="Q51" s="41">
        <v>246.98723404</v>
      </c>
      <c r="R51" s="42">
        <f t="shared" si="2"/>
        <v>5937.9502340399995</v>
      </c>
      <c r="S51" s="62"/>
      <c r="T51" s="50">
        <v>0</v>
      </c>
      <c r="U51" s="50">
        <f t="shared" si="3"/>
        <v>0</v>
      </c>
      <c r="V51" s="50">
        <v>0</v>
      </c>
      <c r="W51" s="50">
        <f t="shared" si="4"/>
        <v>0</v>
      </c>
      <c r="X51" s="50">
        <v>0</v>
      </c>
      <c r="Y51" s="50">
        <f t="shared" si="5"/>
        <v>0</v>
      </c>
      <c r="Z51" s="50">
        <v>0</v>
      </c>
      <c r="AA51" s="50">
        <f t="shared" si="6"/>
        <v>0</v>
      </c>
      <c r="AC51" s="53">
        <v>71.06</v>
      </c>
      <c r="AD51" s="81">
        <v>2736.2460000000001</v>
      </c>
      <c r="AE51" s="77">
        <f t="shared" si="7"/>
        <v>0.11</v>
      </c>
      <c r="AF51" s="86">
        <f t="shared" si="8"/>
        <v>0.23500000000000001</v>
      </c>
      <c r="AH51" s="88">
        <v>1068.7940000000001</v>
      </c>
      <c r="AI51" s="86">
        <f t="shared" si="9"/>
        <v>0.43399982133140597</v>
      </c>
      <c r="AK51" s="88">
        <v>895.11</v>
      </c>
      <c r="AL51" s="86">
        <f t="shared" si="10"/>
        <v>0.55700684505289355</v>
      </c>
      <c r="AN51" s="36">
        <v>1058.944</v>
      </c>
    </row>
    <row r="52" spans="4:40" x14ac:dyDescent="0.35">
      <c r="D52" s="39">
        <f t="shared" si="11"/>
        <v>50</v>
      </c>
      <c r="E52" s="57">
        <v>0</v>
      </c>
      <c r="F52" s="41">
        <v>0</v>
      </c>
      <c r="G52" s="41">
        <v>0</v>
      </c>
      <c r="H52" s="41">
        <v>32214.328489359999</v>
      </c>
      <c r="I52" s="41">
        <v>900.23500904000002</v>
      </c>
      <c r="J52" s="41">
        <f t="shared" si="0"/>
        <v>33114.563498399999</v>
      </c>
      <c r="K52" s="57">
        <v>0</v>
      </c>
      <c r="L52" s="62">
        <v>0</v>
      </c>
      <c r="M52" s="62">
        <v>0.106</v>
      </c>
      <c r="N52" s="41">
        <v>0.247</v>
      </c>
      <c r="O52" s="41">
        <f t="shared" si="1"/>
        <v>0.35299999999999998</v>
      </c>
      <c r="P52" s="41">
        <v>5321.1009999999997</v>
      </c>
      <c r="Q52" s="41">
        <v>103.29766454999999</v>
      </c>
      <c r="R52" s="42">
        <f t="shared" si="2"/>
        <v>5424.3986645499999</v>
      </c>
      <c r="S52" s="62"/>
      <c r="T52" s="50">
        <v>0</v>
      </c>
      <c r="U52" s="50">
        <f t="shared" si="3"/>
        <v>0</v>
      </c>
      <c r="V52" s="50">
        <v>0</v>
      </c>
      <c r="W52" s="50">
        <f t="shared" si="4"/>
        <v>0</v>
      </c>
      <c r="X52" s="50">
        <v>0</v>
      </c>
      <c r="Y52" s="50">
        <f t="shared" si="5"/>
        <v>0</v>
      </c>
      <c r="Z52" s="50">
        <v>0</v>
      </c>
      <c r="AA52" s="50">
        <f t="shared" si="6"/>
        <v>0</v>
      </c>
      <c r="AC52" s="53">
        <v>68.475999999999999</v>
      </c>
      <c r="AD52" s="81">
        <v>2875.9692</v>
      </c>
      <c r="AE52" s="77">
        <f t="shared" si="7"/>
        <v>0.106</v>
      </c>
      <c r="AF52" s="86">
        <f t="shared" si="8"/>
        <v>0.247</v>
      </c>
      <c r="AH52" s="88">
        <v>1058.944</v>
      </c>
      <c r="AI52" s="86">
        <f t="shared" si="9"/>
        <v>0.43000008121299732</v>
      </c>
      <c r="AK52" s="88">
        <v>888.40899999999999</v>
      </c>
      <c r="AL52" s="86">
        <f t="shared" si="10"/>
        <v>0.55283696328562537</v>
      </c>
      <c r="AN52" s="36">
        <v>1039.2429999999999</v>
      </c>
    </row>
    <row r="53" spans="4:40" x14ac:dyDescent="0.35">
      <c r="D53" s="39">
        <f t="shared" si="11"/>
        <v>51</v>
      </c>
      <c r="E53" s="57">
        <v>0</v>
      </c>
      <c r="F53" s="41">
        <v>0</v>
      </c>
      <c r="G53" s="41">
        <v>0</v>
      </c>
      <c r="H53" s="41">
        <v>31152.763893619998</v>
      </c>
      <c r="I53" s="41">
        <v>1494.0810072700001</v>
      </c>
      <c r="J53" s="41">
        <f t="shared" si="0"/>
        <v>32646.844900889999</v>
      </c>
      <c r="K53" s="57">
        <v>0</v>
      </c>
      <c r="L53" s="62">
        <v>0</v>
      </c>
      <c r="M53" s="62">
        <v>0.11</v>
      </c>
      <c r="N53" s="41">
        <v>0.255</v>
      </c>
      <c r="O53" s="41">
        <f t="shared" si="1"/>
        <v>0.36499999999999999</v>
      </c>
      <c r="P53" s="41">
        <v>4892.9080000000004</v>
      </c>
      <c r="Q53" s="41">
        <v>177.81170212999999</v>
      </c>
      <c r="R53" s="42">
        <f t="shared" si="2"/>
        <v>5070.7197021300008</v>
      </c>
      <c r="S53" s="62"/>
      <c r="T53" s="50">
        <v>0</v>
      </c>
      <c r="U53" s="50">
        <f t="shared" si="3"/>
        <v>0</v>
      </c>
      <c r="V53" s="50">
        <v>0</v>
      </c>
      <c r="W53" s="50">
        <f t="shared" si="4"/>
        <v>0</v>
      </c>
      <c r="X53" s="50">
        <v>0</v>
      </c>
      <c r="Y53" s="50">
        <f t="shared" si="5"/>
        <v>0</v>
      </c>
      <c r="Z53" s="50">
        <v>0</v>
      </c>
      <c r="AA53" s="50">
        <f t="shared" si="6"/>
        <v>0</v>
      </c>
      <c r="AC53" s="53">
        <v>71.06</v>
      </c>
      <c r="AD53" s="81">
        <v>2969.1179999999999</v>
      </c>
      <c r="AE53" s="77">
        <f t="shared" si="7"/>
        <v>0.11</v>
      </c>
      <c r="AF53" s="86">
        <f t="shared" si="8"/>
        <v>0.255</v>
      </c>
      <c r="AH53" s="88">
        <v>1039.2429999999999</v>
      </c>
      <c r="AI53" s="86">
        <f t="shared" si="9"/>
        <v>0.42200019491119356</v>
      </c>
      <c r="AK53" s="88">
        <v>887.54899999999998</v>
      </c>
      <c r="AL53" s="86">
        <f t="shared" si="10"/>
        <v>0.55230180460485379</v>
      </c>
      <c r="AN53" s="36">
        <v>1026.9290000000001</v>
      </c>
    </row>
    <row r="54" spans="4:40" x14ac:dyDescent="0.35">
      <c r="D54" s="39">
        <f t="shared" si="11"/>
        <v>52</v>
      </c>
      <c r="E54" s="57">
        <v>0</v>
      </c>
      <c r="F54" s="41">
        <v>0</v>
      </c>
      <c r="G54" s="41">
        <v>0</v>
      </c>
      <c r="H54" s="41">
        <v>30795.38287234</v>
      </c>
      <c r="I54" s="41">
        <v>2326.8062958999999</v>
      </c>
      <c r="J54" s="41">
        <f t="shared" si="0"/>
        <v>33122.189168240002</v>
      </c>
      <c r="K54" s="57">
        <v>0</v>
      </c>
      <c r="L54" s="62">
        <v>0</v>
      </c>
      <c r="M54" s="62">
        <v>0.111</v>
      </c>
      <c r="N54" s="41">
        <v>0.254</v>
      </c>
      <c r="O54" s="41">
        <f t="shared" si="1"/>
        <v>0.36499999999999999</v>
      </c>
      <c r="P54" s="41">
        <v>4771.9589999999998</v>
      </c>
      <c r="Q54" s="41">
        <v>161.65531915</v>
      </c>
      <c r="R54" s="42">
        <f t="shared" si="2"/>
        <v>4933.6143191499996</v>
      </c>
      <c r="S54" s="62"/>
      <c r="T54" s="50">
        <v>0</v>
      </c>
      <c r="U54" s="50">
        <f t="shared" si="3"/>
        <v>0</v>
      </c>
      <c r="V54" s="50">
        <v>0</v>
      </c>
      <c r="W54" s="50">
        <f t="shared" si="4"/>
        <v>0</v>
      </c>
      <c r="X54" s="50">
        <v>0</v>
      </c>
      <c r="Y54" s="50">
        <f t="shared" si="5"/>
        <v>0</v>
      </c>
      <c r="Z54" s="50">
        <v>0</v>
      </c>
      <c r="AA54" s="50">
        <f t="shared" si="6"/>
        <v>0</v>
      </c>
      <c r="AC54" s="53">
        <v>71.706000000000003</v>
      </c>
      <c r="AD54" s="81">
        <v>2957.4744000000001</v>
      </c>
      <c r="AE54" s="77">
        <f t="shared" si="7"/>
        <v>0.111</v>
      </c>
      <c r="AF54" s="86">
        <f t="shared" si="8"/>
        <v>0.254</v>
      </c>
      <c r="AH54" s="88">
        <v>1026.9290000000001</v>
      </c>
      <c r="AI54" s="86">
        <f t="shared" si="9"/>
        <v>0.41699991066570302</v>
      </c>
      <c r="AK54" s="88">
        <v>878.93799999999999</v>
      </c>
      <c r="AL54" s="86">
        <f t="shared" si="10"/>
        <v>0.54694337274424387</v>
      </c>
      <c r="AN54" s="36">
        <v>1022.004</v>
      </c>
    </row>
    <row r="55" spans="4:40" x14ac:dyDescent="0.35">
      <c r="D55" s="39">
        <f t="shared" si="11"/>
        <v>53</v>
      </c>
      <c r="E55" s="57">
        <v>0</v>
      </c>
      <c r="F55" s="41">
        <v>0</v>
      </c>
      <c r="G55" s="41">
        <v>0</v>
      </c>
      <c r="H55" s="41">
        <v>31572.450063830001</v>
      </c>
      <c r="I55" s="41">
        <v>2612.1293219499998</v>
      </c>
      <c r="J55" s="41">
        <f t="shared" si="0"/>
        <v>34184.579385780002</v>
      </c>
      <c r="K55" s="57">
        <v>0</v>
      </c>
      <c r="L55" s="62">
        <v>0</v>
      </c>
      <c r="M55" s="62">
        <v>0.112</v>
      </c>
      <c r="N55" s="41">
        <v>0.25</v>
      </c>
      <c r="O55" s="41">
        <f t="shared" si="1"/>
        <v>0.36199999999999999</v>
      </c>
      <c r="P55" s="41">
        <v>4773.7979999999998</v>
      </c>
      <c r="Q55" s="41">
        <v>164.99893617000001</v>
      </c>
      <c r="R55" s="42">
        <f t="shared" si="2"/>
        <v>4938.7969361699998</v>
      </c>
      <c r="S55" s="62"/>
      <c r="T55" s="50">
        <v>0</v>
      </c>
      <c r="U55" s="50">
        <f t="shared" si="3"/>
        <v>0</v>
      </c>
      <c r="V55" s="50">
        <v>0</v>
      </c>
      <c r="W55" s="50">
        <f t="shared" si="4"/>
        <v>0</v>
      </c>
      <c r="X55" s="50">
        <v>0</v>
      </c>
      <c r="Y55" s="50">
        <f t="shared" si="5"/>
        <v>0</v>
      </c>
      <c r="Z55" s="50">
        <v>0</v>
      </c>
      <c r="AA55" s="50">
        <f t="shared" si="6"/>
        <v>0</v>
      </c>
      <c r="AC55" s="53">
        <v>72.352000000000004</v>
      </c>
      <c r="AD55" s="81">
        <v>2910.9</v>
      </c>
      <c r="AE55" s="77">
        <f t="shared" si="7"/>
        <v>0.112</v>
      </c>
      <c r="AF55" s="86">
        <f t="shared" si="8"/>
        <v>0.25</v>
      </c>
      <c r="AH55" s="88">
        <v>1022.004</v>
      </c>
      <c r="AI55" s="86">
        <f t="shared" si="9"/>
        <v>0.4150000406064987</v>
      </c>
      <c r="AK55" s="88">
        <v>864.82</v>
      </c>
      <c r="AL55" s="86">
        <f t="shared" si="10"/>
        <v>0.53815805849408838</v>
      </c>
      <c r="AN55" s="36">
        <v>1024.4670000000001</v>
      </c>
    </row>
    <row r="56" spans="4:40" x14ac:dyDescent="0.35">
      <c r="D56" s="39">
        <f t="shared" si="11"/>
        <v>54</v>
      </c>
      <c r="E56" s="57">
        <v>0</v>
      </c>
      <c r="F56" s="41">
        <v>0</v>
      </c>
      <c r="G56" s="41">
        <v>0</v>
      </c>
      <c r="H56" s="41">
        <v>33783.608234040003</v>
      </c>
      <c r="I56" s="41">
        <v>2862.9311442500002</v>
      </c>
      <c r="J56" s="41">
        <f t="shared" si="0"/>
        <v>36646.539378290006</v>
      </c>
      <c r="K56" s="57">
        <v>0</v>
      </c>
      <c r="L56" s="62">
        <v>0</v>
      </c>
      <c r="M56" s="62">
        <v>0.11</v>
      </c>
      <c r="N56" s="41">
        <v>0.26100000000000001</v>
      </c>
      <c r="O56" s="41">
        <f t="shared" si="1"/>
        <v>0.371</v>
      </c>
      <c r="P56" s="41">
        <v>4910.6890000000003</v>
      </c>
      <c r="Q56" s="41">
        <v>99.419740000000004</v>
      </c>
      <c r="R56" s="42">
        <f t="shared" si="2"/>
        <v>5010.1087400000006</v>
      </c>
      <c r="S56" s="62"/>
      <c r="T56" s="50">
        <v>0</v>
      </c>
      <c r="U56" s="50">
        <f t="shared" si="3"/>
        <v>0</v>
      </c>
      <c r="V56" s="50">
        <v>0</v>
      </c>
      <c r="W56" s="50">
        <f t="shared" si="4"/>
        <v>0</v>
      </c>
      <c r="X56" s="50">
        <v>0</v>
      </c>
      <c r="Y56" s="50">
        <f t="shared" si="5"/>
        <v>0</v>
      </c>
      <c r="Z56" s="50">
        <v>0</v>
      </c>
      <c r="AA56" s="50">
        <f t="shared" si="6"/>
        <v>0</v>
      </c>
      <c r="AC56" s="53">
        <v>71.06</v>
      </c>
      <c r="AD56" s="81">
        <v>3038.9796000000001</v>
      </c>
      <c r="AE56" s="77">
        <f t="shared" si="7"/>
        <v>0.11</v>
      </c>
      <c r="AF56" s="86">
        <f t="shared" si="8"/>
        <v>0.26100000000000001</v>
      </c>
      <c r="AH56" s="88">
        <v>1024.4670000000001</v>
      </c>
      <c r="AI56" s="86">
        <f t="shared" si="9"/>
        <v>0.41600017866859418</v>
      </c>
      <c r="AK56" s="88">
        <v>859.74699999999996</v>
      </c>
      <c r="AL56" s="86">
        <f t="shared" si="10"/>
        <v>0.53500124455507159</v>
      </c>
      <c r="AN56" s="36">
        <v>1031.855</v>
      </c>
    </row>
    <row r="57" spans="4:40" x14ac:dyDescent="0.35">
      <c r="D57" s="39">
        <f t="shared" si="11"/>
        <v>55</v>
      </c>
      <c r="E57" s="57">
        <v>0</v>
      </c>
      <c r="F57" s="41">
        <v>0</v>
      </c>
      <c r="G57" s="41">
        <v>0</v>
      </c>
      <c r="H57" s="41">
        <v>36932.321680000001</v>
      </c>
      <c r="I57" s="41">
        <v>3745.2898985900001</v>
      </c>
      <c r="J57" s="41">
        <f t="shared" si="0"/>
        <v>40677.611578590004</v>
      </c>
      <c r="K57" s="57">
        <v>0</v>
      </c>
      <c r="L57" s="62">
        <v>0</v>
      </c>
      <c r="M57" s="62">
        <v>0.104</v>
      </c>
      <c r="N57" s="41">
        <v>0.26100000000000001</v>
      </c>
      <c r="O57" s="41">
        <f t="shared" si="1"/>
        <v>0.36499999999999999</v>
      </c>
      <c r="P57" s="41">
        <v>5273.5649999999996</v>
      </c>
      <c r="Q57" s="41">
        <v>78.138080000000002</v>
      </c>
      <c r="R57" s="42">
        <f t="shared" si="2"/>
        <v>5351.7030799999993</v>
      </c>
      <c r="S57" s="62"/>
      <c r="T57" s="50">
        <v>0</v>
      </c>
      <c r="U57" s="50">
        <f t="shared" si="3"/>
        <v>0</v>
      </c>
      <c r="V57" s="50">
        <v>0</v>
      </c>
      <c r="W57" s="50">
        <f t="shared" si="4"/>
        <v>0</v>
      </c>
      <c r="X57" s="50">
        <v>0</v>
      </c>
      <c r="Y57" s="50">
        <f t="shared" si="5"/>
        <v>0</v>
      </c>
      <c r="Z57" s="50">
        <v>0</v>
      </c>
      <c r="AA57" s="50">
        <f t="shared" si="6"/>
        <v>0</v>
      </c>
      <c r="AC57" s="53">
        <v>67.183999999999997</v>
      </c>
      <c r="AD57" s="81">
        <v>3038.9796000000001</v>
      </c>
      <c r="AE57" s="77">
        <f t="shared" si="7"/>
        <v>0.104</v>
      </c>
      <c r="AF57" s="86">
        <f t="shared" si="8"/>
        <v>0.26100000000000001</v>
      </c>
      <c r="AH57" s="88">
        <v>1031.855</v>
      </c>
      <c r="AI57" s="86">
        <f t="shared" si="9"/>
        <v>0.41900018678989387</v>
      </c>
      <c r="AK57" s="88">
        <v>855.15300000000002</v>
      </c>
      <c r="AL57" s="86">
        <f t="shared" si="10"/>
        <v>0.53214250155569387</v>
      </c>
      <c r="AN57" s="36">
        <v>1039.2429999999999</v>
      </c>
    </row>
    <row r="58" spans="4:40" x14ac:dyDescent="0.35">
      <c r="D58" s="39">
        <f t="shared" si="11"/>
        <v>56</v>
      </c>
      <c r="E58" s="57">
        <v>0</v>
      </c>
      <c r="F58" s="41">
        <v>0</v>
      </c>
      <c r="G58" s="41">
        <v>0</v>
      </c>
      <c r="H58" s="41">
        <v>39744.099679999999</v>
      </c>
      <c r="I58" s="41">
        <v>4243.4760168900002</v>
      </c>
      <c r="J58" s="41">
        <f t="shared" si="0"/>
        <v>43987.575696890002</v>
      </c>
      <c r="K58" s="57">
        <v>0</v>
      </c>
      <c r="L58" s="62">
        <v>0</v>
      </c>
      <c r="M58" s="62">
        <v>9.5000000000000001E-2</v>
      </c>
      <c r="N58" s="41">
        <v>0.24299999999999999</v>
      </c>
      <c r="O58" s="41">
        <f t="shared" si="1"/>
        <v>0.33799999999999997</v>
      </c>
      <c r="P58" s="41">
        <v>5811.9470000000001</v>
      </c>
      <c r="Q58" s="41">
        <v>78.138080000000002</v>
      </c>
      <c r="R58" s="42">
        <f t="shared" si="2"/>
        <v>5890.0850799999998</v>
      </c>
      <c r="S58" s="62"/>
      <c r="T58" s="50">
        <v>0</v>
      </c>
      <c r="U58" s="50">
        <f t="shared" si="3"/>
        <v>0</v>
      </c>
      <c r="V58" s="50">
        <v>0</v>
      </c>
      <c r="W58" s="50">
        <f t="shared" si="4"/>
        <v>0</v>
      </c>
      <c r="X58" s="50">
        <v>0</v>
      </c>
      <c r="Y58" s="50">
        <f t="shared" si="5"/>
        <v>0</v>
      </c>
      <c r="Z58" s="50">
        <v>0</v>
      </c>
      <c r="AA58" s="50">
        <f t="shared" si="6"/>
        <v>0</v>
      </c>
      <c r="AC58" s="53">
        <v>61.37</v>
      </c>
      <c r="AD58" s="81">
        <v>2829.3948</v>
      </c>
      <c r="AE58" s="77">
        <f t="shared" si="7"/>
        <v>9.5000000000000001E-2</v>
      </c>
      <c r="AF58" s="86">
        <f t="shared" si="8"/>
        <v>0.24299999999999999</v>
      </c>
      <c r="AH58" s="88">
        <v>1039.2429999999999</v>
      </c>
      <c r="AI58" s="86">
        <f t="shared" si="9"/>
        <v>0.42200019491119356</v>
      </c>
      <c r="AK58" s="88">
        <v>922.66399999999999</v>
      </c>
      <c r="AL58" s="86">
        <f t="shared" si="10"/>
        <v>0.57415308027380207</v>
      </c>
      <c r="AN58" s="36">
        <v>1063.8689999999999</v>
      </c>
    </row>
    <row r="59" spans="4:40" x14ac:dyDescent="0.35">
      <c r="D59" s="39">
        <f t="shared" si="11"/>
        <v>57</v>
      </c>
      <c r="E59" s="57">
        <v>0</v>
      </c>
      <c r="F59" s="41">
        <v>0</v>
      </c>
      <c r="G59" s="41">
        <v>0</v>
      </c>
      <c r="H59" s="41">
        <v>41669.138679999996</v>
      </c>
      <c r="I59" s="41">
        <v>4096.7091115900002</v>
      </c>
      <c r="J59" s="41">
        <f t="shared" si="0"/>
        <v>45765.84779159</v>
      </c>
      <c r="K59" s="57">
        <v>0</v>
      </c>
      <c r="L59" s="62">
        <v>0</v>
      </c>
      <c r="M59" s="62">
        <v>8.5999999999999993E-2</v>
      </c>
      <c r="N59" s="41">
        <v>0.19199999999999998</v>
      </c>
      <c r="O59" s="41">
        <f t="shared" si="1"/>
        <v>0.27799999999999997</v>
      </c>
      <c r="P59" s="41">
        <v>6314.1130000000003</v>
      </c>
      <c r="Q59" s="41">
        <v>78.138080000000002</v>
      </c>
      <c r="R59" s="42">
        <f t="shared" si="2"/>
        <v>6392.25108</v>
      </c>
      <c r="S59" s="62"/>
      <c r="T59" s="50">
        <v>0</v>
      </c>
      <c r="U59" s="50">
        <f t="shared" si="3"/>
        <v>0</v>
      </c>
      <c r="V59" s="50">
        <v>0</v>
      </c>
      <c r="W59" s="50">
        <f t="shared" si="4"/>
        <v>0</v>
      </c>
      <c r="X59" s="50">
        <v>0</v>
      </c>
      <c r="Y59" s="50">
        <f t="shared" si="5"/>
        <v>0</v>
      </c>
      <c r="Z59" s="50">
        <v>0</v>
      </c>
      <c r="AA59" s="50">
        <f t="shared" si="6"/>
        <v>0</v>
      </c>
      <c r="AC59" s="53">
        <v>55.555999999999997</v>
      </c>
      <c r="AD59" s="81">
        <v>2235.5711999999999</v>
      </c>
      <c r="AE59" s="77">
        <f t="shared" si="7"/>
        <v>8.5999999999999993E-2</v>
      </c>
      <c r="AF59" s="86">
        <f t="shared" si="8"/>
        <v>0.19199999999999998</v>
      </c>
      <c r="AH59" s="88">
        <v>1063.8689999999999</v>
      </c>
      <c r="AI59" s="86">
        <f t="shared" si="9"/>
        <v>0.43199995127220159</v>
      </c>
      <c r="AK59" s="88">
        <v>934.76599999999996</v>
      </c>
      <c r="AL59" s="86">
        <f t="shared" si="10"/>
        <v>0.58168388301182328</v>
      </c>
      <c r="AN59" s="36">
        <v>1090.9580000000001</v>
      </c>
    </row>
    <row r="60" spans="4:40" x14ac:dyDescent="0.35">
      <c r="D60" s="39">
        <f t="shared" si="11"/>
        <v>58</v>
      </c>
      <c r="E60" s="57">
        <v>4.8000000000000001E-2</v>
      </c>
      <c r="F60" s="41">
        <v>6.5000000000000002E-2</v>
      </c>
      <c r="G60" s="41">
        <v>0.128</v>
      </c>
      <c r="H60" s="41">
        <v>43050.735679999998</v>
      </c>
      <c r="I60" s="41">
        <v>2406.5811843299998</v>
      </c>
      <c r="J60" s="41">
        <f t="shared" si="0"/>
        <v>45457.316864330001</v>
      </c>
      <c r="K60" s="57">
        <v>2.1999999999999898E-2</v>
      </c>
      <c r="L60" s="62">
        <v>2.6000000000000002E-2</v>
      </c>
      <c r="M60" s="62">
        <v>7.5999999999999998E-2</v>
      </c>
      <c r="N60" s="41">
        <v>0.12999999999999998</v>
      </c>
      <c r="O60" s="41">
        <f t="shared" si="1"/>
        <v>0.20599999999999996</v>
      </c>
      <c r="P60" s="41">
        <v>6535.6229999999996</v>
      </c>
      <c r="Q60" s="41">
        <v>0</v>
      </c>
      <c r="R60" s="42">
        <f t="shared" si="2"/>
        <v>6535.6229999999996</v>
      </c>
      <c r="S60" s="62"/>
      <c r="T60" s="50">
        <v>9379</v>
      </c>
      <c r="U60" s="50">
        <f t="shared" si="3"/>
        <v>0.113</v>
      </c>
      <c r="V60" s="50">
        <v>312.32499999999999</v>
      </c>
      <c r="W60" s="50">
        <f t="shared" si="4"/>
        <v>6.5000000000000002E-2</v>
      </c>
      <c r="X60" s="50">
        <v>776.42280000000005</v>
      </c>
      <c r="Y60" s="50">
        <f t="shared" si="5"/>
        <v>5.3999999999999999E-2</v>
      </c>
      <c r="Z60" s="50">
        <v>338.09649999999999</v>
      </c>
      <c r="AA60" s="50">
        <f t="shared" si="6"/>
        <v>3.5000000000000003E-2</v>
      </c>
      <c r="AC60" s="53">
        <v>49.095999999999997</v>
      </c>
      <c r="AD60" s="81">
        <v>1513.6679999999999</v>
      </c>
      <c r="AE60" s="77">
        <f t="shared" si="7"/>
        <v>7.5999999999999998E-2</v>
      </c>
      <c r="AF60" s="86">
        <f t="shared" si="8"/>
        <v>0.12999999999999998</v>
      </c>
      <c r="AH60" s="88">
        <v>1090.9580000000001</v>
      </c>
      <c r="AI60" s="86">
        <f t="shared" si="9"/>
        <v>0.44299984569530515</v>
      </c>
      <c r="AK60" s="88">
        <v>945.37199999999996</v>
      </c>
      <c r="AL60" s="86">
        <f t="shared" si="10"/>
        <v>0.58828375855631609</v>
      </c>
      <c r="AN60" s="36">
        <v>1095.884</v>
      </c>
    </row>
    <row r="61" spans="4:40" x14ac:dyDescent="0.35">
      <c r="D61" s="39">
        <f t="shared" si="11"/>
        <v>59</v>
      </c>
      <c r="E61" s="57">
        <v>0.16300000000000001</v>
      </c>
      <c r="F61" s="41">
        <v>0.16800000000000001</v>
      </c>
      <c r="G61" s="41">
        <v>0.29099999999999898</v>
      </c>
      <c r="H61" s="41">
        <v>42980.409</v>
      </c>
      <c r="I61" s="41">
        <v>1892.06315967</v>
      </c>
      <c r="J61" s="41">
        <f t="shared" si="0"/>
        <v>44872.472159669996</v>
      </c>
      <c r="K61" s="57">
        <v>9.8000000000000004E-2</v>
      </c>
      <c r="L61" s="62">
        <v>0.10400000000000001</v>
      </c>
      <c r="M61" s="62">
        <v>6.3E-2</v>
      </c>
      <c r="N61" s="41">
        <v>6.4999999999999988E-2</v>
      </c>
      <c r="O61" s="41">
        <f t="shared" si="1"/>
        <v>0.128</v>
      </c>
      <c r="P61" s="41">
        <v>6439.6170000000002</v>
      </c>
      <c r="Q61" s="41">
        <v>0</v>
      </c>
      <c r="R61" s="42">
        <f t="shared" si="2"/>
        <v>6439.6170000000002</v>
      </c>
      <c r="S61" s="62"/>
      <c r="T61" s="50">
        <v>23240</v>
      </c>
      <c r="U61" s="50">
        <f t="shared" si="3"/>
        <v>0.28000000000000003</v>
      </c>
      <c r="V61" s="50">
        <v>807.24</v>
      </c>
      <c r="W61" s="50">
        <f t="shared" si="4"/>
        <v>0.16800000000000001</v>
      </c>
      <c r="X61" s="50">
        <v>3033.8002000000001</v>
      </c>
      <c r="Y61" s="50">
        <f t="shared" si="5"/>
        <v>0.21099999999999999</v>
      </c>
      <c r="Z61" s="50">
        <v>1342.7261000000001</v>
      </c>
      <c r="AA61" s="50">
        <f t="shared" si="6"/>
        <v>0.13900000000000001</v>
      </c>
      <c r="AC61" s="53">
        <v>40.698</v>
      </c>
      <c r="AD61" s="81">
        <v>756.83399999999995</v>
      </c>
      <c r="AE61" s="77">
        <f t="shared" si="7"/>
        <v>6.3E-2</v>
      </c>
      <c r="AF61" s="86">
        <f t="shared" si="8"/>
        <v>6.4999999999999988E-2</v>
      </c>
      <c r="AH61" s="88">
        <v>1095.884</v>
      </c>
      <c r="AI61" s="86">
        <f t="shared" si="9"/>
        <v>0.445000121819496</v>
      </c>
      <c r="AK61" s="88">
        <v>949.03599999999994</v>
      </c>
      <c r="AL61" s="86">
        <f t="shared" si="10"/>
        <v>0.59056378344741756</v>
      </c>
      <c r="AN61" s="36">
        <v>1054.018</v>
      </c>
    </row>
    <row r="62" spans="4:40" x14ac:dyDescent="0.35">
      <c r="D62" s="39">
        <f t="shared" si="11"/>
        <v>60</v>
      </c>
      <c r="E62" s="57">
        <v>0.23</v>
      </c>
      <c r="F62" s="41">
        <v>0.27399999999999997</v>
      </c>
      <c r="G62" s="41">
        <v>0.41799999999999998</v>
      </c>
      <c r="H62" s="41">
        <v>42961.798999999999</v>
      </c>
      <c r="I62" s="41">
        <v>2331.6311476800001</v>
      </c>
      <c r="J62" s="41">
        <f t="shared" si="0"/>
        <v>45293.430147680003</v>
      </c>
      <c r="K62" s="57">
        <v>0.129</v>
      </c>
      <c r="L62" s="62">
        <v>0.17599999999999899</v>
      </c>
      <c r="M62" s="62">
        <v>5.3999999999999999E-2</v>
      </c>
      <c r="N62" s="41">
        <v>0.03</v>
      </c>
      <c r="O62" s="41">
        <f t="shared" si="1"/>
        <v>8.3999999999999991E-2</v>
      </c>
      <c r="P62" s="41">
        <v>6528.7719999999999</v>
      </c>
      <c r="Q62" s="41">
        <v>0</v>
      </c>
      <c r="R62" s="42">
        <f t="shared" si="2"/>
        <v>6528.7719999999999</v>
      </c>
      <c r="S62" s="62"/>
      <c r="T62" s="50">
        <v>28718</v>
      </c>
      <c r="U62" s="50">
        <f t="shared" si="3"/>
        <v>0.34599999999999997</v>
      </c>
      <c r="V62" s="50">
        <v>1316.57</v>
      </c>
      <c r="W62" s="50">
        <f t="shared" si="4"/>
        <v>0.27399999999999997</v>
      </c>
      <c r="X62" s="50">
        <v>5276.7993999999999</v>
      </c>
      <c r="Y62" s="50">
        <f t="shared" si="5"/>
        <v>0.36699999999999999</v>
      </c>
      <c r="Z62" s="50">
        <v>2414.9749999999999</v>
      </c>
      <c r="AA62" s="50">
        <f t="shared" si="6"/>
        <v>0.25</v>
      </c>
      <c r="AC62" s="53">
        <v>34.884</v>
      </c>
      <c r="AD62" s="81">
        <v>349.30799999999999</v>
      </c>
      <c r="AE62" s="77">
        <f t="shared" si="7"/>
        <v>5.3999999999999999E-2</v>
      </c>
      <c r="AF62" s="86">
        <f t="shared" si="8"/>
        <v>0.03</v>
      </c>
      <c r="AH62" s="88">
        <v>1054.018</v>
      </c>
      <c r="AI62" s="86">
        <f t="shared" si="9"/>
        <v>0.42799980508880647</v>
      </c>
      <c r="AK62" s="88">
        <v>946.38800000000003</v>
      </c>
      <c r="AL62" s="86">
        <f t="shared" si="10"/>
        <v>0.58891599253266957</v>
      </c>
      <c r="AN62" s="36">
        <v>1046.6300000000001</v>
      </c>
    </row>
    <row r="63" spans="4:40" x14ac:dyDescent="0.35">
      <c r="D63" s="39">
        <f t="shared" si="11"/>
        <v>61</v>
      </c>
      <c r="E63" s="57">
        <v>0.22600000000000001</v>
      </c>
      <c r="F63" s="41">
        <v>0.34299999999999997</v>
      </c>
      <c r="G63" s="41">
        <v>0.48899999999999999</v>
      </c>
      <c r="H63" s="41">
        <v>43064.267999999996</v>
      </c>
      <c r="I63" s="41">
        <v>2513.3795602300002</v>
      </c>
      <c r="J63" s="41">
        <f t="shared" si="0"/>
        <v>45577.647560229998</v>
      </c>
      <c r="K63" s="57">
        <v>0.13100000000000001</v>
      </c>
      <c r="L63" s="62">
        <v>0.223</v>
      </c>
      <c r="M63" s="62">
        <v>4.5999999999999999E-2</v>
      </c>
      <c r="N63" s="41">
        <v>1.9E-2</v>
      </c>
      <c r="O63" s="41">
        <f t="shared" si="1"/>
        <v>6.5000000000000002E-2</v>
      </c>
      <c r="P63" s="41">
        <v>6583.1930000000002</v>
      </c>
      <c r="Q63" s="41">
        <v>0</v>
      </c>
      <c r="R63" s="42">
        <f t="shared" si="2"/>
        <v>6583.1930000000002</v>
      </c>
      <c r="S63" s="62"/>
      <c r="T63" s="50">
        <v>30793</v>
      </c>
      <c r="U63" s="50">
        <f t="shared" si="3"/>
        <v>0.371</v>
      </c>
      <c r="V63" s="50">
        <v>1648.115</v>
      </c>
      <c r="W63" s="50">
        <f t="shared" si="4"/>
        <v>0.34300000000000003</v>
      </c>
      <c r="X63" s="50">
        <v>6815.2668000000003</v>
      </c>
      <c r="Y63" s="50">
        <f t="shared" si="5"/>
        <v>0.47399999999999998</v>
      </c>
      <c r="Z63" s="50">
        <v>3178.1071000000002</v>
      </c>
      <c r="AA63" s="50">
        <f t="shared" si="6"/>
        <v>0.32900000000000001</v>
      </c>
      <c r="AC63" s="53">
        <v>29.716000000000001</v>
      </c>
      <c r="AD63" s="81">
        <v>221.22839999999999</v>
      </c>
      <c r="AE63" s="77">
        <f t="shared" si="7"/>
        <v>4.5999999999999999E-2</v>
      </c>
      <c r="AF63" s="86">
        <f t="shared" si="8"/>
        <v>1.9E-2</v>
      </c>
      <c r="AH63" s="88">
        <v>1046.6300000000001</v>
      </c>
      <c r="AI63" s="86">
        <f t="shared" si="9"/>
        <v>0.42499979696750673</v>
      </c>
      <c r="AK63" s="88">
        <v>944.37</v>
      </c>
      <c r="AL63" s="86">
        <f t="shared" si="10"/>
        <v>0.58766023646546361</v>
      </c>
      <c r="AN63" s="36">
        <v>1051.556</v>
      </c>
    </row>
    <row r="64" spans="4:40" x14ac:dyDescent="0.35">
      <c r="D64" s="39">
        <f t="shared" si="11"/>
        <v>62</v>
      </c>
      <c r="E64" s="57">
        <v>0.19600000000000001</v>
      </c>
      <c r="F64" s="41">
        <v>0.35299999999999998</v>
      </c>
      <c r="G64" s="41">
        <v>0.498</v>
      </c>
      <c r="H64" s="41">
        <v>42777.860999999997</v>
      </c>
      <c r="I64" s="41">
        <v>2222.8491306199999</v>
      </c>
      <c r="J64" s="41">
        <f t="shared" si="0"/>
        <v>45000.710130619998</v>
      </c>
      <c r="K64" s="57">
        <v>0.151</v>
      </c>
      <c r="L64" s="62">
        <v>0.22899999999999998</v>
      </c>
      <c r="M64" s="62">
        <v>4.4999999999999998E-2</v>
      </c>
      <c r="N64" s="41">
        <v>1.3000000000000001E-2</v>
      </c>
      <c r="O64" s="41">
        <f t="shared" si="1"/>
        <v>5.7999999999999996E-2</v>
      </c>
      <c r="P64" s="41">
        <v>6305.54</v>
      </c>
      <c r="Q64" s="41">
        <v>0</v>
      </c>
      <c r="R64" s="42">
        <f t="shared" si="2"/>
        <v>6305.54</v>
      </c>
      <c r="S64" s="62"/>
      <c r="T64" s="50">
        <v>31374</v>
      </c>
      <c r="U64" s="50">
        <f t="shared" si="3"/>
        <v>0.378</v>
      </c>
      <c r="V64" s="50">
        <v>1696.165</v>
      </c>
      <c r="W64" s="50">
        <f t="shared" si="4"/>
        <v>0.35299999999999998</v>
      </c>
      <c r="X64" s="50">
        <v>7447.9075999999995</v>
      </c>
      <c r="Y64" s="50">
        <f t="shared" si="5"/>
        <v>0.5179999999999999</v>
      </c>
      <c r="Z64" s="50">
        <v>3487.2239</v>
      </c>
      <c r="AA64" s="50">
        <f t="shared" si="6"/>
        <v>0.36099999999999999</v>
      </c>
      <c r="AC64" s="53">
        <v>29.07</v>
      </c>
      <c r="AD64" s="81">
        <v>151.36680000000001</v>
      </c>
      <c r="AE64" s="77">
        <f t="shared" si="7"/>
        <v>4.4999999999999998E-2</v>
      </c>
      <c r="AF64" s="86">
        <f t="shared" si="8"/>
        <v>1.3000000000000001E-2</v>
      </c>
      <c r="AH64" s="88">
        <v>1051.556</v>
      </c>
      <c r="AI64" s="86">
        <f t="shared" si="9"/>
        <v>0.42700007309169763</v>
      </c>
      <c r="AK64" s="88">
        <v>945.005</v>
      </c>
      <c r="AL64" s="86">
        <f t="shared" si="10"/>
        <v>0.58805538270068447</v>
      </c>
      <c r="AN64" s="36">
        <v>1046.6300000000001</v>
      </c>
    </row>
    <row r="65" spans="4:40" x14ac:dyDescent="0.35">
      <c r="D65" s="39">
        <f t="shared" si="11"/>
        <v>63</v>
      </c>
      <c r="E65" s="57">
        <v>0.125</v>
      </c>
      <c r="F65" s="41">
        <v>0.30399999999999999</v>
      </c>
      <c r="G65" s="41">
        <v>0.44700000000000001</v>
      </c>
      <c r="H65" s="41">
        <v>42145.586000000003</v>
      </c>
      <c r="I65" s="41">
        <v>1662.0000772000001</v>
      </c>
      <c r="J65" s="41">
        <f t="shared" si="0"/>
        <v>43807.586077200001</v>
      </c>
      <c r="K65" s="57">
        <v>0.188</v>
      </c>
      <c r="L65" s="62">
        <v>0.193</v>
      </c>
      <c r="M65" s="62">
        <v>5.1999999999999998E-2</v>
      </c>
      <c r="N65" s="41">
        <v>1.1999999999999999E-2</v>
      </c>
      <c r="O65" s="41">
        <f t="shared" si="1"/>
        <v>6.4000000000000001E-2</v>
      </c>
      <c r="P65" s="41">
        <v>6245.7089999999998</v>
      </c>
      <c r="Q65" s="41">
        <v>0</v>
      </c>
      <c r="R65" s="42">
        <f t="shared" si="2"/>
        <v>6245.7089999999998</v>
      </c>
      <c r="S65" s="62"/>
      <c r="T65" s="50">
        <v>30876</v>
      </c>
      <c r="U65" s="50">
        <f t="shared" si="3"/>
        <v>0.372</v>
      </c>
      <c r="V65" s="50">
        <v>1460.72</v>
      </c>
      <c r="W65" s="50">
        <f t="shared" si="4"/>
        <v>0.30399999999999999</v>
      </c>
      <c r="X65" s="50">
        <v>7074.0744000000004</v>
      </c>
      <c r="Y65" s="50">
        <f t="shared" si="5"/>
        <v>0.49199999999999999</v>
      </c>
      <c r="Z65" s="50">
        <v>3265.0462000000002</v>
      </c>
      <c r="AA65" s="50">
        <f t="shared" si="6"/>
        <v>0.33800000000000002</v>
      </c>
      <c r="AC65" s="53">
        <v>33.591999999999999</v>
      </c>
      <c r="AD65" s="81">
        <v>139.72319999999999</v>
      </c>
      <c r="AE65" s="77">
        <f t="shared" si="7"/>
        <v>5.1999999999999998E-2</v>
      </c>
      <c r="AF65" s="86">
        <f t="shared" si="8"/>
        <v>1.1999999999999999E-2</v>
      </c>
      <c r="AH65" s="88">
        <v>1046.6300000000001</v>
      </c>
      <c r="AI65" s="86">
        <f t="shared" si="9"/>
        <v>0.42499979696750673</v>
      </c>
      <c r="AK65" s="88">
        <v>937.21799999999996</v>
      </c>
      <c r="AL65" s="86">
        <f t="shared" si="10"/>
        <v>0.58320970752955814</v>
      </c>
      <c r="AN65" s="36">
        <v>1058.944</v>
      </c>
    </row>
    <row r="66" spans="4:40" x14ac:dyDescent="0.35">
      <c r="D66" s="39">
        <f t="shared" si="11"/>
        <v>64</v>
      </c>
      <c r="E66" s="57">
        <v>3.1000000000000003E-2</v>
      </c>
      <c r="F66" s="41">
        <v>0.21099999999999899</v>
      </c>
      <c r="G66" s="41">
        <v>0.34299999999999997</v>
      </c>
      <c r="H66" s="41">
        <v>42152.853999999999</v>
      </c>
      <c r="I66" s="41">
        <v>1403.5900764800001</v>
      </c>
      <c r="J66" s="41">
        <f t="shared" si="0"/>
        <v>43556.444076480002</v>
      </c>
      <c r="K66" s="57">
        <v>8.3000000000000004E-2</v>
      </c>
      <c r="L66" s="62">
        <v>0.10400000000000001</v>
      </c>
      <c r="M66" s="62">
        <v>7.0999999999999994E-2</v>
      </c>
      <c r="N66" s="41">
        <v>1.7000000000000001E-2</v>
      </c>
      <c r="O66" s="41">
        <f t="shared" si="1"/>
        <v>8.7999999999999995E-2</v>
      </c>
      <c r="P66" s="41">
        <v>6248.9279999999999</v>
      </c>
      <c r="Q66" s="41">
        <v>0</v>
      </c>
      <c r="R66" s="42">
        <f t="shared" si="2"/>
        <v>6248.9279999999999</v>
      </c>
      <c r="S66" s="62"/>
      <c r="T66" s="50">
        <v>28635</v>
      </c>
      <c r="U66" s="50">
        <f t="shared" si="3"/>
        <v>0.34499999999999997</v>
      </c>
      <c r="V66" s="50">
        <v>1013.855</v>
      </c>
      <c r="W66" s="50">
        <f t="shared" si="4"/>
        <v>0.21099999999999999</v>
      </c>
      <c r="X66" s="50">
        <v>5837.5492000000004</v>
      </c>
      <c r="Y66" s="50">
        <f t="shared" si="5"/>
        <v>0.40600000000000003</v>
      </c>
      <c r="Z66" s="50">
        <v>2588.8532</v>
      </c>
      <c r="AA66" s="50">
        <f t="shared" si="6"/>
        <v>0.26800000000000002</v>
      </c>
      <c r="AC66" s="53">
        <v>45.866</v>
      </c>
      <c r="AD66" s="81">
        <v>197.94120000000001</v>
      </c>
      <c r="AE66" s="77">
        <f t="shared" si="7"/>
        <v>7.0999999999999994E-2</v>
      </c>
      <c r="AF66" s="86">
        <f t="shared" si="8"/>
        <v>1.7000000000000001E-2</v>
      </c>
      <c r="AH66" s="88">
        <v>1058.944</v>
      </c>
      <c r="AI66" s="86">
        <f t="shared" si="9"/>
        <v>0.43000008121299732</v>
      </c>
      <c r="AK66" s="88">
        <v>940.53800000000001</v>
      </c>
      <c r="AL66" s="86">
        <f t="shared" si="10"/>
        <v>0.58527566894835092</v>
      </c>
      <c r="AN66" s="36">
        <v>1071.2570000000001</v>
      </c>
    </row>
    <row r="67" spans="4:40" x14ac:dyDescent="0.35">
      <c r="D67" s="39">
        <f t="shared" si="11"/>
        <v>65</v>
      </c>
      <c r="E67" s="57">
        <v>0</v>
      </c>
      <c r="F67" s="41">
        <v>0.1</v>
      </c>
      <c r="G67" s="41">
        <v>0.2</v>
      </c>
      <c r="H67" s="41">
        <v>42840.686000000002</v>
      </c>
      <c r="I67" s="41">
        <v>1402.2078902400001</v>
      </c>
      <c r="J67" s="41">
        <f t="shared" si="0"/>
        <v>44242.893890240004</v>
      </c>
      <c r="K67" s="57">
        <v>0</v>
      </c>
      <c r="L67" s="62">
        <v>1.3000000000000001E-2</v>
      </c>
      <c r="M67" s="62">
        <v>0.09</v>
      </c>
      <c r="N67" s="41">
        <v>2.3999999999999997E-2</v>
      </c>
      <c r="O67" s="41">
        <f t="shared" si="1"/>
        <v>0.11399999999999999</v>
      </c>
      <c r="P67" s="41">
        <v>6466.9210000000003</v>
      </c>
      <c r="Q67" s="41">
        <v>0</v>
      </c>
      <c r="R67" s="42">
        <f t="shared" si="2"/>
        <v>6466.9210000000003</v>
      </c>
      <c r="S67" s="62"/>
      <c r="T67" s="50">
        <v>20003</v>
      </c>
      <c r="U67" s="50">
        <f t="shared" si="3"/>
        <v>0.24099999999999999</v>
      </c>
      <c r="V67" s="50">
        <v>480.5</v>
      </c>
      <c r="W67" s="50">
        <f t="shared" si="4"/>
        <v>0.1</v>
      </c>
      <c r="X67" s="50">
        <v>4011.5178000000001</v>
      </c>
      <c r="Y67" s="50">
        <f t="shared" si="5"/>
        <v>0.27899999999999997</v>
      </c>
      <c r="Z67" s="50">
        <v>1593.8834999999999</v>
      </c>
      <c r="AA67" s="50">
        <f t="shared" si="6"/>
        <v>0.16500000000000001</v>
      </c>
      <c r="AC67" s="53">
        <v>58.14</v>
      </c>
      <c r="AD67" s="81">
        <v>279.44639999999998</v>
      </c>
      <c r="AE67" s="77">
        <f t="shared" si="7"/>
        <v>0.09</v>
      </c>
      <c r="AF67" s="86">
        <f t="shared" si="8"/>
        <v>2.3999999999999997E-2</v>
      </c>
      <c r="AH67" s="88">
        <v>1071.2570000000001</v>
      </c>
      <c r="AI67" s="86">
        <f t="shared" si="9"/>
        <v>0.43499995939350139</v>
      </c>
      <c r="AK67" s="88">
        <v>955.12699999999995</v>
      </c>
      <c r="AL67" s="86">
        <f t="shared" si="10"/>
        <v>0.59435407591785938</v>
      </c>
      <c r="AN67" s="36">
        <v>1083.57</v>
      </c>
    </row>
    <row r="68" spans="4:40" x14ac:dyDescent="0.35">
      <c r="D68" s="39">
        <f t="shared" si="11"/>
        <v>66</v>
      </c>
      <c r="E68" s="57">
        <v>0</v>
      </c>
      <c r="F68" s="41">
        <v>0</v>
      </c>
      <c r="G68" s="41">
        <v>5.2000000000000005E-2</v>
      </c>
      <c r="H68" s="41">
        <v>45019.576999999997</v>
      </c>
      <c r="I68" s="41">
        <v>2593.1497181200002</v>
      </c>
      <c r="J68" s="41">
        <f t="shared" ref="J68:J131" si="12">H68+I68</f>
        <v>47612.72671812</v>
      </c>
      <c r="K68" s="57">
        <v>0</v>
      </c>
      <c r="L68" s="62">
        <v>0</v>
      </c>
      <c r="M68" s="62">
        <v>0.107</v>
      </c>
      <c r="N68" s="41">
        <v>3.9E-2</v>
      </c>
      <c r="O68" s="41">
        <f t="shared" ref="O68:O131" si="13">M68+N68</f>
        <v>0.14599999999999999</v>
      </c>
      <c r="P68" s="41">
        <v>6989.848</v>
      </c>
      <c r="Q68" s="41">
        <v>0</v>
      </c>
      <c r="R68" s="42">
        <f t="shared" ref="R68:R131" si="14">P68+Q68</f>
        <v>6989.848</v>
      </c>
      <c r="S68" s="62"/>
      <c r="T68" s="50">
        <v>4565</v>
      </c>
      <c r="U68" s="50">
        <f t="shared" ref="U68:U131" si="15">T68/$B$5</f>
        <v>5.5E-2</v>
      </c>
      <c r="V68" s="50">
        <v>0</v>
      </c>
      <c r="W68" s="50">
        <f t="shared" ref="W68:W131" si="16">V68/$B$6</f>
        <v>0</v>
      </c>
      <c r="X68" s="50">
        <v>1768.5186000000001</v>
      </c>
      <c r="Y68" s="50">
        <f t="shared" ref="Y68:Y131" si="17">X68/$B$8</f>
        <v>0.123</v>
      </c>
      <c r="Z68" s="50">
        <v>579.59400000000005</v>
      </c>
      <c r="AA68" s="50">
        <f t="shared" ref="AA68:AA131" si="18">Z68/$B$9</f>
        <v>6.0000000000000005E-2</v>
      </c>
      <c r="AC68" s="53">
        <v>69.122</v>
      </c>
      <c r="AD68" s="81">
        <v>454.10039999999998</v>
      </c>
      <c r="AE68" s="77">
        <f t="shared" ref="AE68:AE131" si="19">AC68/$B$11</f>
        <v>0.107</v>
      </c>
      <c r="AF68" s="86">
        <f t="shared" ref="AF68:AF131" si="20">AD68/$B$10</f>
        <v>3.9E-2</v>
      </c>
      <c r="AH68" s="88">
        <v>1083.57</v>
      </c>
      <c r="AI68" s="86">
        <f t="shared" ref="AI68:AI131" si="21">AH68/$B$12</f>
        <v>0.43999983757400535</v>
      </c>
      <c r="AK68" s="88">
        <v>963.37900000000002</v>
      </c>
      <c r="AL68" s="86">
        <f t="shared" ref="AL68:AL131" si="22">AK68/$B$13</f>
        <v>0.59948911014312389</v>
      </c>
      <c r="AN68" s="36">
        <v>1150.0619999999999</v>
      </c>
    </row>
    <row r="69" spans="4:40" x14ac:dyDescent="0.35">
      <c r="D69" s="39">
        <f t="shared" ref="D69:D132" si="23">1+D68</f>
        <v>67</v>
      </c>
      <c r="E69" s="57">
        <v>0</v>
      </c>
      <c r="F69" s="41">
        <v>0</v>
      </c>
      <c r="G69" s="41">
        <v>0</v>
      </c>
      <c r="H69" s="41">
        <v>46198.184999999998</v>
      </c>
      <c r="I69" s="41">
        <v>2764.1255669000002</v>
      </c>
      <c r="J69" s="41">
        <f t="shared" si="12"/>
        <v>48962.3105669</v>
      </c>
      <c r="K69" s="57">
        <v>0</v>
      </c>
      <c r="L69" s="62">
        <v>0</v>
      </c>
      <c r="M69" s="62">
        <v>0.123</v>
      </c>
      <c r="N69" s="41">
        <v>6.9000000000000006E-2</v>
      </c>
      <c r="O69" s="41">
        <f t="shared" si="13"/>
        <v>0.192</v>
      </c>
      <c r="P69" s="41">
        <v>7462.5829999999996</v>
      </c>
      <c r="Q69" s="41">
        <v>239.70212766</v>
      </c>
      <c r="R69" s="42">
        <f t="shared" si="14"/>
        <v>7702.2851276599995</v>
      </c>
      <c r="S69" s="62"/>
      <c r="T69" s="50">
        <v>0</v>
      </c>
      <c r="U69" s="50">
        <f t="shared" si="15"/>
        <v>0</v>
      </c>
      <c r="V69" s="50">
        <v>0</v>
      </c>
      <c r="W69" s="50">
        <f t="shared" si="16"/>
        <v>0</v>
      </c>
      <c r="X69" s="50">
        <v>0</v>
      </c>
      <c r="Y69" s="50">
        <f t="shared" si="17"/>
        <v>0</v>
      </c>
      <c r="Z69" s="50">
        <v>0</v>
      </c>
      <c r="AA69" s="50">
        <f t="shared" si="18"/>
        <v>0</v>
      </c>
      <c r="AC69" s="53">
        <v>79.457999999999998</v>
      </c>
      <c r="AD69" s="81">
        <v>803.40840000000003</v>
      </c>
      <c r="AE69" s="77">
        <f t="shared" si="19"/>
        <v>0.123</v>
      </c>
      <c r="AF69" s="86">
        <f t="shared" si="20"/>
        <v>6.9000000000000006E-2</v>
      </c>
      <c r="AH69" s="88">
        <v>1150.0619999999999</v>
      </c>
      <c r="AI69" s="86">
        <f t="shared" si="21"/>
        <v>0.4669999106657029</v>
      </c>
      <c r="AK69" s="88">
        <v>971.005</v>
      </c>
      <c r="AL69" s="86">
        <f t="shared" si="22"/>
        <v>0.60423459863098938</v>
      </c>
      <c r="AN69" s="36">
        <v>1164.838</v>
      </c>
    </row>
    <row r="70" spans="4:40" x14ac:dyDescent="0.35">
      <c r="D70" s="39">
        <f t="shared" si="23"/>
        <v>68</v>
      </c>
      <c r="E70" s="57">
        <v>0</v>
      </c>
      <c r="F70" s="41">
        <v>0</v>
      </c>
      <c r="G70" s="41">
        <v>0</v>
      </c>
      <c r="H70" s="41">
        <v>45795.559000000001</v>
      </c>
      <c r="I70" s="41">
        <v>2578.7963349500001</v>
      </c>
      <c r="J70" s="41">
        <f t="shared" si="12"/>
        <v>48374.35533495</v>
      </c>
      <c r="K70" s="57">
        <v>0</v>
      </c>
      <c r="L70" s="62">
        <v>0</v>
      </c>
      <c r="M70" s="62">
        <v>0.13200000000000001</v>
      </c>
      <c r="N70" s="41">
        <v>8.4999999999999992E-2</v>
      </c>
      <c r="O70" s="41">
        <f t="shared" si="13"/>
        <v>0.217</v>
      </c>
      <c r="P70" s="41">
        <v>7552.7650000000003</v>
      </c>
      <c r="Q70" s="41">
        <v>199.60531915000001</v>
      </c>
      <c r="R70" s="42">
        <f t="shared" si="14"/>
        <v>7752.3703191500008</v>
      </c>
      <c r="S70" s="62"/>
      <c r="T70" s="50">
        <v>0</v>
      </c>
      <c r="U70" s="50">
        <f t="shared" si="15"/>
        <v>0</v>
      </c>
      <c r="V70" s="50">
        <v>0</v>
      </c>
      <c r="W70" s="50">
        <f t="shared" si="16"/>
        <v>0</v>
      </c>
      <c r="X70" s="50">
        <v>0</v>
      </c>
      <c r="Y70" s="50">
        <f t="shared" si="17"/>
        <v>0</v>
      </c>
      <c r="Z70" s="50">
        <v>0</v>
      </c>
      <c r="AA70" s="50">
        <f t="shared" si="18"/>
        <v>0</v>
      </c>
      <c r="AC70" s="53">
        <v>85.272000000000006</v>
      </c>
      <c r="AD70" s="81">
        <v>989.70600000000002</v>
      </c>
      <c r="AE70" s="77">
        <f t="shared" si="19"/>
        <v>0.13200000000000001</v>
      </c>
      <c r="AF70" s="86">
        <f t="shared" si="20"/>
        <v>8.4999999999999992E-2</v>
      </c>
      <c r="AH70" s="88">
        <v>1164.838</v>
      </c>
      <c r="AI70" s="86">
        <f t="shared" si="21"/>
        <v>0.47299992690830239</v>
      </c>
      <c r="AK70" s="88">
        <v>969.59500000000003</v>
      </c>
      <c r="AL70" s="86">
        <f t="shared" si="22"/>
        <v>0.60335718730553833</v>
      </c>
      <c r="AN70" s="36">
        <v>1137.749</v>
      </c>
    </row>
    <row r="71" spans="4:40" x14ac:dyDescent="0.35">
      <c r="D71" s="39">
        <f t="shared" si="23"/>
        <v>69</v>
      </c>
      <c r="E71" s="57">
        <v>0</v>
      </c>
      <c r="F71" s="41">
        <v>0</v>
      </c>
      <c r="G71" s="41">
        <v>0</v>
      </c>
      <c r="H71" s="41">
        <v>44206.544000000002</v>
      </c>
      <c r="I71" s="41">
        <v>2297.7748222499999</v>
      </c>
      <c r="J71" s="41">
        <f t="shared" si="12"/>
        <v>46504.318822250003</v>
      </c>
      <c r="K71" s="57">
        <v>0</v>
      </c>
      <c r="L71" s="62">
        <v>0</v>
      </c>
      <c r="M71" s="62">
        <v>0.13300000000000001</v>
      </c>
      <c r="N71" s="41">
        <v>7.3999999999999996E-2</v>
      </c>
      <c r="O71" s="41">
        <f t="shared" si="13"/>
        <v>0.20700000000000002</v>
      </c>
      <c r="P71" s="41">
        <v>7284.4</v>
      </c>
      <c r="Q71" s="41">
        <v>122.0287234</v>
      </c>
      <c r="R71" s="42">
        <f t="shared" si="14"/>
        <v>7406.4287233999994</v>
      </c>
      <c r="S71" s="62"/>
      <c r="T71" s="50">
        <v>0</v>
      </c>
      <c r="U71" s="50">
        <f t="shared" si="15"/>
        <v>0</v>
      </c>
      <c r="V71" s="50">
        <v>0</v>
      </c>
      <c r="W71" s="50">
        <f t="shared" si="16"/>
        <v>0</v>
      </c>
      <c r="X71" s="50">
        <v>0</v>
      </c>
      <c r="Y71" s="50">
        <f t="shared" si="17"/>
        <v>0</v>
      </c>
      <c r="Z71" s="50">
        <v>0</v>
      </c>
      <c r="AA71" s="50">
        <f t="shared" si="18"/>
        <v>0</v>
      </c>
      <c r="AC71" s="53">
        <v>85.918000000000006</v>
      </c>
      <c r="AD71" s="81">
        <v>861.62639999999999</v>
      </c>
      <c r="AE71" s="77">
        <f t="shared" si="19"/>
        <v>0.13300000000000001</v>
      </c>
      <c r="AF71" s="86">
        <f t="shared" si="20"/>
        <v>7.3999999999999996E-2</v>
      </c>
      <c r="AH71" s="88">
        <v>1137.749</v>
      </c>
      <c r="AI71" s="86">
        <f t="shared" si="21"/>
        <v>0.46200003248519894</v>
      </c>
      <c r="AK71" s="88">
        <v>968.63599999999997</v>
      </c>
      <c r="AL71" s="86">
        <f t="shared" si="22"/>
        <v>0.60276042314872436</v>
      </c>
      <c r="AN71" s="36">
        <v>1142.674</v>
      </c>
    </row>
    <row r="72" spans="4:40" x14ac:dyDescent="0.35">
      <c r="D72" s="39">
        <f t="shared" si="23"/>
        <v>70</v>
      </c>
      <c r="E72" s="57">
        <v>0</v>
      </c>
      <c r="F72" s="41">
        <v>0</v>
      </c>
      <c r="G72" s="41">
        <v>0</v>
      </c>
      <c r="H72" s="41">
        <v>41637.482000000004</v>
      </c>
      <c r="I72" s="41">
        <v>2035.76717276</v>
      </c>
      <c r="J72" s="41">
        <f t="shared" si="12"/>
        <v>43673.249172760006</v>
      </c>
      <c r="K72" s="57">
        <v>0</v>
      </c>
      <c r="L72" s="62">
        <v>0</v>
      </c>
      <c r="M72" s="62">
        <v>0.125</v>
      </c>
      <c r="N72" s="41">
        <v>6.3E-2</v>
      </c>
      <c r="O72" s="41">
        <f t="shared" si="13"/>
        <v>0.188</v>
      </c>
      <c r="P72" s="41">
        <v>6835.835</v>
      </c>
      <c r="Q72" s="41">
        <v>65.879787230000005</v>
      </c>
      <c r="R72" s="42">
        <f t="shared" si="14"/>
        <v>6901.7147872300002</v>
      </c>
      <c r="S72" s="62"/>
      <c r="T72" s="50">
        <v>0</v>
      </c>
      <c r="U72" s="50">
        <f t="shared" si="15"/>
        <v>0</v>
      </c>
      <c r="V72" s="50">
        <v>0</v>
      </c>
      <c r="W72" s="50">
        <f t="shared" si="16"/>
        <v>0</v>
      </c>
      <c r="X72" s="50">
        <v>0</v>
      </c>
      <c r="Y72" s="50">
        <f t="shared" si="17"/>
        <v>0</v>
      </c>
      <c r="Z72" s="50">
        <v>0</v>
      </c>
      <c r="AA72" s="50">
        <f t="shared" si="18"/>
        <v>0</v>
      </c>
      <c r="AC72" s="53">
        <v>80.75</v>
      </c>
      <c r="AD72" s="81">
        <v>733.54679999999996</v>
      </c>
      <c r="AE72" s="77">
        <f t="shared" si="19"/>
        <v>0.125</v>
      </c>
      <c r="AF72" s="86">
        <f t="shared" si="20"/>
        <v>6.3E-2</v>
      </c>
      <c r="AH72" s="88">
        <v>1142.674</v>
      </c>
      <c r="AI72" s="86">
        <f t="shared" si="21"/>
        <v>0.46399990254440321</v>
      </c>
      <c r="AK72" s="88">
        <v>956.91300000000001</v>
      </c>
      <c r="AL72" s="86">
        <f t="shared" si="22"/>
        <v>0.59546546359676411</v>
      </c>
      <c r="AN72" s="36">
        <v>1083.57</v>
      </c>
    </row>
    <row r="73" spans="4:40" x14ac:dyDescent="0.35">
      <c r="D73" s="39">
        <f t="shared" si="23"/>
        <v>71</v>
      </c>
      <c r="E73" s="57">
        <v>0</v>
      </c>
      <c r="F73" s="41">
        <v>0</v>
      </c>
      <c r="G73" s="41">
        <v>0</v>
      </c>
      <c r="H73" s="41">
        <v>39045.247000000003</v>
      </c>
      <c r="I73" s="41">
        <v>2023.8073515599999</v>
      </c>
      <c r="J73" s="41">
        <f t="shared" si="12"/>
        <v>41069.05435156</v>
      </c>
      <c r="K73" s="57">
        <v>0</v>
      </c>
      <c r="L73" s="62">
        <v>0</v>
      </c>
      <c r="M73" s="62">
        <v>0.12</v>
      </c>
      <c r="N73" s="41">
        <v>5.6000000000000001E-2</v>
      </c>
      <c r="O73" s="41">
        <f t="shared" si="13"/>
        <v>0.17599999999999999</v>
      </c>
      <c r="P73" s="41">
        <v>6946.1149999999998</v>
      </c>
      <c r="Q73" s="41">
        <v>233.64574468000001</v>
      </c>
      <c r="R73" s="42">
        <f t="shared" si="14"/>
        <v>7179.7607446799993</v>
      </c>
      <c r="S73" s="62"/>
      <c r="T73" s="50">
        <v>0</v>
      </c>
      <c r="U73" s="50">
        <f t="shared" si="15"/>
        <v>0</v>
      </c>
      <c r="V73" s="50">
        <v>0</v>
      </c>
      <c r="W73" s="50">
        <f t="shared" si="16"/>
        <v>0</v>
      </c>
      <c r="X73" s="50">
        <v>0</v>
      </c>
      <c r="Y73" s="50">
        <f t="shared" si="17"/>
        <v>0</v>
      </c>
      <c r="Z73" s="50">
        <v>0</v>
      </c>
      <c r="AA73" s="50">
        <f t="shared" si="18"/>
        <v>0</v>
      </c>
      <c r="AC73" s="53">
        <v>77.52</v>
      </c>
      <c r="AD73" s="81">
        <v>652.04160000000002</v>
      </c>
      <c r="AE73" s="77">
        <f t="shared" si="19"/>
        <v>0.12</v>
      </c>
      <c r="AF73" s="86">
        <f t="shared" si="20"/>
        <v>5.6000000000000001E-2</v>
      </c>
      <c r="AH73" s="88">
        <v>1083.57</v>
      </c>
      <c r="AI73" s="86">
        <f t="shared" si="21"/>
        <v>0.43999983757400535</v>
      </c>
      <c r="AK73" s="88">
        <v>951.15300000000002</v>
      </c>
      <c r="AL73" s="86">
        <f t="shared" si="22"/>
        <v>0.5918811449906658</v>
      </c>
      <c r="AN73" s="36">
        <v>1063.8689999999999</v>
      </c>
    </row>
    <row r="74" spans="4:40" x14ac:dyDescent="0.35">
      <c r="D74" s="39">
        <f t="shared" si="23"/>
        <v>72</v>
      </c>
      <c r="E74" s="57">
        <v>0</v>
      </c>
      <c r="F74" s="41">
        <v>0</v>
      </c>
      <c r="G74" s="41">
        <v>0</v>
      </c>
      <c r="H74" s="41">
        <v>36622.576000000001</v>
      </c>
      <c r="I74" s="41">
        <v>1711.51260791</v>
      </c>
      <c r="J74" s="41">
        <f t="shared" si="12"/>
        <v>38334.088607910002</v>
      </c>
      <c r="K74" s="57">
        <v>0</v>
      </c>
      <c r="L74" s="62">
        <v>0</v>
      </c>
      <c r="M74" s="62">
        <v>0.109</v>
      </c>
      <c r="N74" s="41">
        <v>5.1000000000000004E-2</v>
      </c>
      <c r="O74" s="41">
        <f t="shared" si="13"/>
        <v>0.16</v>
      </c>
      <c r="P74" s="41">
        <v>6435.9790000000003</v>
      </c>
      <c r="Q74" s="41">
        <v>304.68297871999999</v>
      </c>
      <c r="R74" s="42">
        <f t="shared" si="14"/>
        <v>6740.6619787200007</v>
      </c>
      <c r="S74" s="62"/>
      <c r="T74" s="50">
        <v>0</v>
      </c>
      <c r="U74" s="50">
        <f t="shared" si="15"/>
        <v>0</v>
      </c>
      <c r="V74" s="50">
        <v>0</v>
      </c>
      <c r="W74" s="50">
        <f t="shared" si="16"/>
        <v>0</v>
      </c>
      <c r="X74" s="50">
        <v>0</v>
      </c>
      <c r="Y74" s="50">
        <f t="shared" si="17"/>
        <v>0</v>
      </c>
      <c r="Z74" s="50">
        <v>0</v>
      </c>
      <c r="AA74" s="50">
        <f t="shared" si="18"/>
        <v>0</v>
      </c>
      <c r="AC74" s="53">
        <v>70.414000000000001</v>
      </c>
      <c r="AD74" s="81">
        <v>593.82360000000006</v>
      </c>
      <c r="AE74" s="77">
        <f t="shared" si="19"/>
        <v>0.109</v>
      </c>
      <c r="AF74" s="86">
        <f t="shared" si="20"/>
        <v>5.1000000000000004E-2</v>
      </c>
      <c r="AH74" s="88">
        <v>1063.8689999999999</v>
      </c>
      <c r="AI74" s="86">
        <f t="shared" si="21"/>
        <v>0.43199995127220159</v>
      </c>
      <c r="AK74" s="88">
        <v>945.851</v>
      </c>
      <c r="AL74" s="86">
        <f t="shared" si="22"/>
        <v>0.58858182949595517</v>
      </c>
      <c r="AN74" s="36">
        <v>1004.765</v>
      </c>
    </row>
    <row r="75" spans="4:40" x14ac:dyDescent="0.35">
      <c r="D75" s="39">
        <f t="shared" si="23"/>
        <v>73</v>
      </c>
      <c r="E75" s="57">
        <v>0</v>
      </c>
      <c r="F75" s="41">
        <v>0</v>
      </c>
      <c r="G75" s="41">
        <v>0</v>
      </c>
      <c r="H75" s="41">
        <v>34001.474000000002</v>
      </c>
      <c r="I75" s="41">
        <v>1352.5548862999999</v>
      </c>
      <c r="J75" s="41">
        <f t="shared" si="12"/>
        <v>35354.028886300002</v>
      </c>
      <c r="K75" s="57">
        <v>0</v>
      </c>
      <c r="L75" s="62">
        <v>0</v>
      </c>
      <c r="M75" s="62">
        <v>0.10199999999999999</v>
      </c>
      <c r="N75" s="41">
        <v>4.8999999999999995E-2</v>
      </c>
      <c r="O75" s="41">
        <f t="shared" si="13"/>
        <v>0.151</v>
      </c>
      <c r="P75" s="41">
        <v>5688.5959999999995</v>
      </c>
      <c r="Q75" s="41">
        <v>246.98723404</v>
      </c>
      <c r="R75" s="42">
        <f t="shared" si="14"/>
        <v>5935.5832340399993</v>
      </c>
      <c r="S75" s="62"/>
      <c r="T75" s="50">
        <v>0</v>
      </c>
      <c r="U75" s="50">
        <f t="shared" si="15"/>
        <v>0</v>
      </c>
      <c r="V75" s="50">
        <v>0</v>
      </c>
      <c r="W75" s="50">
        <f t="shared" si="16"/>
        <v>0</v>
      </c>
      <c r="X75" s="50">
        <v>0</v>
      </c>
      <c r="Y75" s="50">
        <f t="shared" si="17"/>
        <v>0</v>
      </c>
      <c r="Z75" s="50">
        <v>0</v>
      </c>
      <c r="AA75" s="50">
        <f t="shared" si="18"/>
        <v>0</v>
      </c>
      <c r="AC75" s="53">
        <v>65.891999999999996</v>
      </c>
      <c r="AD75" s="81">
        <v>570.53639999999996</v>
      </c>
      <c r="AE75" s="77">
        <f t="shared" si="19"/>
        <v>0.10199999999999999</v>
      </c>
      <c r="AF75" s="86">
        <f t="shared" si="20"/>
        <v>4.8999999999999995E-2</v>
      </c>
      <c r="AH75" s="88">
        <v>1004.765</v>
      </c>
      <c r="AI75" s="86">
        <f t="shared" si="21"/>
        <v>0.40799988630180378</v>
      </c>
      <c r="AK75" s="88">
        <v>856.40499999999997</v>
      </c>
      <c r="AL75" s="86">
        <f t="shared" si="22"/>
        <v>0.53292159303049158</v>
      </c>
      <c r="AN75" s="36">
        <v>982.601</v>
      </c>
    </row>
    <row r="76" spans="4:40" x14ac:dyDescent="0.35">
      <c r="D76" s="39">
        <f t="shared" si="23"/>
        <v>74</v>
      </c>
      <c r="E76" s="57">
        <v>0</v>
      </c>
      <c r="F76" s="41">
        <v>0</v>
      </c>
      <c r="G76" s="41">
        <v>0</v>
      </c>
      <c r="H76" s="41">
        <v>32176.61948936</v>
      </c>
      <c r="I76" s="41">
        <v>960.92549794000001</v>
      </c>
      <c r="J76" s="41">
        <f t="shared" si="12"/>
        <v>33137.544987300003</v>
      </c>
      <c r="K76" s="57">
        <v>0</v>
      </c>
      <c r="L76" s="62">
        <v>0</v>
      </c>
      <c r="M76" s="62">
        <v>9.5000000000000001E-2</v>
      </c>
      <c r="N76" s="41">
        <v>4.7999999999999994E-2</v>
      </c>
      <c r="O76" s="41">
        <f t="shared" si="13"/>
        <v>0.14299999999999999</v>
      </c>
      <c r="P76" s="41">
        <v>5314.6819999999998</v>
      </c>
      <c r="Q76" s="41">
        <v>235.12978723000001</v>
      </c>
      <c r="R76" s="42">
        <f t="shared" si="14"/>
        <v>5549.8117872299999</v>
      </c>
      <c r="S76" s="62"/>
      <c r="T76" s="50">
        <v>0</v>
      </c>
      <c r="U76" s="50">
        <f t="shared" si="15"/>
        <v>0</v>
      </c>
      <c r="V76" s="50">
        <v>0</v>
      </c>
      <c r="W76" s="50">
        <f t="shared" si="16"/>
        <v>0</v>
      </c>
      <c r="X76" s="50">
        <v>0</v>
      </c>
      <c r="Y76" s="50">
        <f t="shared" si="17"/>
        <v>0</v>
      </c>
      <c r="Z76" s="50">
        <v>0</v>
      </c>
      <c r="AA76" s="50">
        <f t="shared" si="18"/>
        <v>0</v>
      </c>
      <c r="AC76" s="53">
        <v>61.37</v>
      </c>
      <c r="AD76" s="81">
        <v>558.89279999999997</v>
      </c>
      <c r="AE76" s="77">
        <f t="shared" si="19"/>
        <v>9.5000000000000001E-2</v>
      </c>
      <c r="AF76" s="86">
        <f t="shared" si="20"/>
        <v>4.7999999999999994E-2</v>
      </c>
      <c r="AH76" s="88">
        <v>982.601</v>
      </c>
      <c r="AI76" s="86">
        <f t="shared" si="21"/>
        <v>0.39899986193790454</v>
      </c>
      <c r="AK76" s="88">
        <v>849.18200000000002</v>
      </c>
      <c r="AL76" s="86">
        <f t="shared" si="22"/>
        <v>0.52842688238954572</v>
      </c>
      <c r="AN76" s="36">
        <v>980.13900000000001</v>
      </c>
    </row>
    <row r="77" spans="4:40" x14ac:dyDescent="0.35">
      <c r="D77" s="39">
        <f t="shared" si="23"/>
        <v>75</v>
      </c>
      <c r="E77" s="57">
        <v>0</v>
      </c>
      <c r="F77" s="41">
        <v>0</v>
      </c>
      <c r="G77" s="41">
        <v>0</v>
      </c>
      <c r="H77" s="41">
        <v>31151.46689362</v>
      </c>
      <c r="I77" s="41">
        <v>1510.4932251099999</v>
      </c>
      <c r="J77" s="41">
        <f t="shared" si="12"/>
        <v>32661.96011873</v>
      </c>
      <c r="K77" s="57">
        <v>0</v>
      </c>
      <c r="L77" s="62">
        <v>0</v>
      </c>
      <c r="M77" s="62">
        <v>9.2999999999999999E-2</v>
      </c>
      <c r="N77" s="41">
        <v>4.6999999999999993E-2</v>
      </c>
      <c r="O77" s="41">
        <f t="shared" si="13"/>
        <v>0.13999999999999999</v>
      </c>
      <c r="P77" s="41">
        <v>4886.3860000000004</v>
      </c>
      <c r="Q77" s="41">
        <v>177.81170212999999</v>
      </c>
      <c r="R77" s="42">
        <f t="shared" si="14"/>
        <v>5064.1977021300008</v>
      </c>
      <c r="S77" s="62"/>
      <c r="T77" s="50">
        <v>0</v>
      </c>
      <c r="U77" s="50">
        <f t="shared" si="15"/>
        <v>0</v>
      </c>
      <c r="V77" s="50">
        <v>0</v>
      </c>
      <c r="W77" s="50">
        <f t="shared" si="16"/>
        <v>0</v>
      </c>
      <c r="X77" s="50">
        <v>0</v>
      </c>
      <c r="Y77" s="50">
        <f t="shared" si="17"/>
        <v>0</v>
      </c>
      <c r="Z77" s="50">
        <v>0</v>
      </c>
      <c r="AA77" s="50">
        <f t="shared" si="18"/>
        <v>0</v>
      </c>
      <c r="AC77" s="53">
        <v>60.078000000000003</v>
      </c>
      <c r="AD77" s="81">
        <v>547.24919999999997</v>
      </c>
      <c r="AE77" s="77">
        <f t="shared" si="19"/>
        <v>9.2999999999999999E-2</v>
      </c>
      <c r="AF77" s="86">
        <f t="shared" si="20"/>
        <v>4.6999999999999993E-2</v>
      </c>
      <c r="AH77" s="88">
        <v>980.13900000000001</v>
      </c>
      <c r="AI77" s="86">
        <f t="shared" si="21"/>
        <v>0.39800012994079575</v>
      </c>
      <c r="AK77" s="88">
        <v>845.53800000000001</v>
      </c>
      <c r="AL77" s="86">
        <f t="shared" si="22"/>
        <v>0.52615930304915992</v>
      </c>
      <c r="AN77" s="36">
        <v>975.21299999999997</v>
      </c>
    </row>
    <row r="78" spans="4:40" x14ac:dyDescent="0.35">
      <c r="D78" s="39">
        <f t="shared" si="23"/>
        <v>76</v>
      </c>
      <c r="E78" s="57">
        <v>0</v>
      </c>
      <c r="F78" s="41">
        <v>0</v>
      </c>
      <c r="G78" s="41">
        <v>0</v>
      </c>
      <c r="H78" s="41">
        <v>30801.797872340001</v>
      </c>
      <c r="I78" s="41">
        <v>2372.71584089</v>
      </c>
      <c r="J78" s="41">
        <f t="shared" si="12"/>
        <v>33174.513713230001</v>
      </c>
      <c r="K78" s="57">
        <v>0</v>
      </c>
      <c r="L78" s="62">
        <v>0</v>
      </c>
      <c r="M78" s="62">
        <v>9.2999999999999999E-2</v>
      </c>
      <c r="N78" s="41">
        <v>4.2999999999999997E-2</v>
      </c>
      <c r="O78" s="41">
        <f t="shared" si="13"/>
        <v>0.13600000000000001</v>
      </c>
      <c r="P78" s="41">
        <v>4766.4970000000003</v>
      </c>
      <c r="Q78" s="41">
        <v>161.65531915</v>
      </c>
      <c r="R78" s="42">
        <f t="shared" si="14"/>
        <v>4928.15231915</v>
      </c>
      <c r="S78" s="62"/>
      <c r="T78" s="50">
        <v>0</v>
      </c>
      <c r="U78" s="50">
        <f t="shared" si="15"/>
        <v>0</v>
      </c>
      <c r="V78" s="50">
        <v>0</v>
      </c>
      <c r="W78" s="50">
        <f t="shared" si="16"/>
        <v>0</v>
      </c>
      <c r="X78" s="50">
        <v>0</v>
      </c>
      <c r="Y78" s="50">
        <f t="shared" si="17"/>
        <v>0</v>
      </c>
      <c r="Z78" s="50">
        <v>0</v>
      </c>
      <c r="AA78" s="50">
        <f t="shared" si="18"/>
        <v>0</v>
      </c>
      <c r="AC78" s="53">
        <v>60.078000000000003</v>
      </c>
      <c r="AD78" s="81">
        <v>500.6748</v>
      </c>
      <c r="AE78" s="77">
        <f t="shared" si="19"/>
        <v>9.2999999999999999E-2</v>
      </c>
      <c r="AF78" s="86">
        <f t="shared" si="20"/>
        <v>4.2999999999999997E-2</v>
      </c>
      <c r="AH78" s="88">
        <v>975.21299999999997</v>
      </c>
      <c r="AI78" s="86">
        <f t="shared" si="21"/>
        <v>0.3959998538166048</v>
      </c>
      <c r="AK78" s="88">
        <v>846.03599999999994</v>
      </c>
      <c r="AL78" s="86">
        <f t="shared" si="22"/>
        <v>0.52646919726197883</v>
      </c>
      <c r="AN78" s="36">
        <v>989.98900000000003</v>
      </c>
    </row>
    <row r="79" spans="4:40" x14ac:dyDescent="0.35">
      <c r="D79" s="39">
        <f t="shared" si="23"/>
        <v>77</v>
      </c>
      <c r="E79" s="57">
        <v>0</v>
      </c>
      <c r="F79" s="41">
        <v>0</v>
      </c>
      <c r="G79" s="41">
        <v>0</v>
      </c>
      <c r="H79" s="41">
        <v>31550.665063830002</v>
      </c>
      <c r="I79" s="41">
        <v>2669.0558326400001</v>
      </c>
      <c r="J79" s="41">
        <f t="shared" si="12"/>
        <v>34219.720896470004</v>
      </c>
      <c r="K79" s="57">
        <v>0</v>
      </c>
      <c r="L79" s="62">
        <v>0</v>
      </c>
      <c r="M79" s="62">
        <v>9.9000000000000005E-2</v>
      </c>
      <c r="N79" s="41">
        <v>3.9E-2</v>
      </c>
      <c r="O79" s="41">
        <f t="shared" si="13"/>
        <v>0.13800000000000001</v>
      </c>
      <c r="P79" s="41">
        <v>4766.549</v>
      </c>
      <c r="Q79" s="41">
        <v>164.99893617000001</v>
      </c>
      <c r="R79" s="42">
        <f t="shared" si="14"/>
        <v>4931.54793617</v>
      </c>
      <c r="S79" s="62"/>
      <c r="T79" s="50">
        <v>0</v>
      </c>
      <c r="U79" s="50">
        <f t="shared" si="15"/>
        <v>0</v>
      </c>
      <c r="V79" s="50">
        <v>0</v>
      </c>
      <c r="W79" s="50">
        <f t="shared" si="16"/>
        <v>0</v>
      </c>
      <c r="X79" s="50">
        <v>0</v>
      </c>
      <c r="Y79" s="50">
        <f t="shared" si="17"/>
        <v>0</v>
      </c>
      <c r="Z79" s="50">
        <v>0</v>
      </c>
      <c r="AA79" s="50">
        <f t="shared" si="18"/>
        <v>0</v>
      </c>
      <c r="AC79" s="53">
        <v>63.954000000000001</v>
      </c>
      <c r="AD79" s="81">
        <v>454.10039999999998</v>
      </c>
      <c r="AE79" s="77">
        <f t="shared" si="19"/>
        <v>9.9000000000000005E-2</v>
      </c>
      <c r="AF79" s="86">
        <f t="shared" si="20"/>
        <v>3.9E-2</v>
      </c>
      <c r="AH79" s="88">
        <v>989.98900000000003</v>
      </c>
      <c r="AI79" s="86">
        <f t="shared" si="21"/>
        <v>0.40199987005920429</v>
      </c>
      <c r="AK79" s="88">
        <v>848.31799999999998</v>
      </c>
      <c r="AL79" s="86">
        <f t="shared" si="22"/>
        <v>0.52788923459863102</v>
      </c>
      <c r="AN79" s="36">
        <v>1004.765</v>
      </c>
    </row>
    <row r="80" spans="4:40" x14ac:dyDescent="0.35">
      <c r="D80" s="39">
        <f t="shared" si="23"/>
        <v>78</v>
      </c>
      <c r="E80" s="57">
        <v>0</v>
      </c>
      <c r="F80" s="41">
        <v>0</v>
      </c>
      <c r="G80" s="41">
        <v>0</v>
      </c>
      <c r="H80" s="41">
        <v>33703.018234039999</v>
      </c>
      <c r="I80" s="41">
        <v>2910.9993967999999</v>
      </c>
      <c r="J80" s="41">
        <f t="shared" si="12"/>
        <v>36614.017630839997</v>
      </c>
      <c r="K80" s="57">
        <v>0</v>
      </c>
      <c r="L80" s="62">
        <v>0</v>
      </c>
      <c r="M80" s="62">
        <v>0.106</v>
      </c>
      <c r="N80" s="41">
        <v>3.9E-2</v>
      </c>
      <c r="O80" s="41">
        <f t="shared" si="13"/>
        <v>0.14499999999999999</v>
      </c>
      <c r="P80" s="41">
        <v>4897.4570000000003</v>
      </c>
      <c r="Q80" s="41">
        <v>165.55531915</v>
      </c>
      <c r="R80" s="42">
        <f t="shared" si="14"/>
        <v>5063.0123191500006</v>
      </c>
      <c r="S80" s="62"/>
      <c r="T80" s="50">
        <v>0</v>
      </c>
      <c r="U80" s="50">
        <f t="shared" si="15"/>
        <v>0</v>
      </c>
      <c r="V80" s="50">
        <v>0</v>
      </c>
      <c r="W80" s="50">
        <f t="shared" si="16"/>
        <v>0</v>
      </c>
      <c r="X80" s="50">
        <v>0</v>
      </c>
      <c r="Y80" s="50">
        <f t="shared" si="17"/>
        <v>0</v>
      </c>
      <c r="Z80" s="50">
        <v>0</v>
      </c>
      <c r="AA80" s="50">
        <f t="shared" si="18"/>
        <v>0</v>
      </c>
      <c r="AC80" s="53">
        <v>68.475999999999999</v>
      </c>
      <c r="AD80" s="81">
        <v>454.10039999999998</v>
      </c>
      <c r="AE80" s="77">
        <f t="shared" si="19"/>
        <v>0.106</v>
      </c>
      <c r="AF80" s="86">
        <f t="shared" si="20"/>
        <v>3.9E-2</v>
      </c>
      <c r="AH80" s="88">
        <v>1004.765</v>
      </c>
      <c r="AI80" s="86">
        <f t="shared" si="21"/>
        <v>0.40799988630180378</v>
      </c>
      <c r="AK80" s="88">
        <v>868.93600000000004</v>
      </c>
      <c r="AL80" s="86">
        <f t="shared" si="22"/>
        <v>0.54071935283136285</v>
      </c>
      <c r="AN80" s="36">
        <v>1014.616</v>
      </c>
    </row>
    <row r="81" spans="4:40" x14ac:dyDescent="0.35">
      <c r="D81" s="39">
        <f t="shared" si="23"/>
        <v>79</v>
      </c>
      <c r="E81" s="57">
        <v>0</v>
      </c>
      <c r="F81" s="41">
        <v>0</v>
      </c>
      <c r="G81" s="41">
        <v>0</v>
      </c>
      <c r="H81" s="41">
        <v>36791.984680000001</v>
      </c>
      <c r="I81" s="41">
        <v>3802.97379714</v>
      </c>
      <c r="J81" s="41">
        <f t="shared" si="12"/>
        <v>40594.958477140004</v>
      </c>
      <c r="K81" s="57">
        <v>0</v>
      </c>
      <c r="L81" s="62">
        <v>0</v>
      </c>
      <c r="M81" s="62">
        <v>0.115</v>
      </c>
      <c r="N81" s="41">
        <v>4.5999999999999999E-2</v>
      </c>
      <c r="O81" s="41">
        <f t="shared" si="13"/>
        <v>0.161</v>
      </c>
      <c r="P81" s="41">
        <v>5246.8270000000002</v>
      </c>
      <c r="Q81" s="41">
        <v>78.138080000000002</v>
      </c>
      <c r="R81" s="42">
        <f t="shared" si="14"/>
        <v>5324.9650799999999</v>
      </c>
      <c r="S81" s="62"/>
      <c r="T81" s="50">
        <v>0</v>
      </c>
      <c r="U81" s="50">
        <f t="shared" si="15"/>
        <v>0</v>
      </c>
      <c r="V81" s="50">
        <v>0</v>
      </c>
      <c r="W81" s="50">
        <f t="shared" si="16"/>
        <v>0</v>
      </c>
      <c r="X81" s="50">
        <v>0</v>
      </c>
      <c r="Y81" s="50">
        <f t="shared" si="17"/>
        <v>0</v>
      </c>
      <c r="Z81" s="50">
        <v>0</v>
      </c>
      <c r="AA81" s="50">
        <f t="shared" si="18"/>
        <v>0</v>
      </c>
      <c r="AC81" s="53">
        <v>74.290000000000006</v>
      </c>
      <c r="AD81" s="81">
        <v>535.60559999999998</v>
      </c>
      <c r="AE81" s="77">
        <f t="shared" si="19"/>
        <v>0.115</v>
      </c>
      <c r="AF81" s="86">
        <f t="shared" si="20"/>
        <v>4.5999999999999999E-2</v>
      </c>
      <c r="AH81" s="88">
        <v>1014.616</v>
      </c>
      <c r="AI81" s="86">
        <f t="shared" si="21"/>
        <v>0.41200003248519895</v>
      </c>
      <c r="AK81" s="88">
        <v>871.84100000000001</v>
      </c>
      <c r="AL81" s="86">
        <f t="shared" si="22"/>
        <v>0.54252706907280646</v>
      </c>
      <c r="AN81" s="36">
        <v>1022.004</v>
      </c>
    </row>
    <row r="82" spans="4:40" x14ac:dyDescent="0.35">
      <c r="D82" s="39">
        <f t="shared" si="23"/>
        <v>80</v>
      </c>
      <c r="E82" s="57">
        <v>0</v>
      </c>
      <c r="F82" s="41">
        <v>0</v>
      </c>
      <c r="G82" s="41">
        <v>0</v>
      </c>
      <c r="H82" s="41">
        <v>39591.880680000002</v>
      </c>
      <c r="I82" s="41">
        <v>4309.5745655999999</v>
      </c>
      <c r="J82" s="41">
        <f t="shared" si="12"/>
        <v>43901.455245600002</v>
      </c>
      <c r="K82" s="57">
        <v>0</v>
      </c>
      <c r="L82" s="62">
        <v>0</v>
      </c>
      <c r="M82" s="62">
        <v>0.12</v>
      </c>
      <c r="N82" s="41">
        <v>5.7999999999999996E-2</v>
      </c>
      <c r="O82" s="41">
        <f t="shared" si="13"/>
        <v>0.17799999999999999</v>
      </c>
      <c r="P82" s="41">
        <v>5773.9690000000001</v>
      </c>
      <c r="Q82" s="41">
        <v>78.138080000000002</v>
      </c>
      <c r="R82" s="42">
        <f t="shared" si="14"/>
        <v>5852.1070799999998</v>
      </c>
      <c r="S82" s="62"/>
      <c r="T82" s="50">
        <v>0</v>
      </c>
      <c r="U82" s="50">
        <f t="shared" si="15"/>
        <v>0</v>
      </c>
      <c r="V82" s="50">
        <v>0</v>
      </c>
      <c r="W82" s="50">
        <f t="shared" si="16"/>
        <v>0</v>
      </c>
      <c r="X82" s="50">
        <v>0</v>
      </c>
      <c r="Y82" s="50">
        <f t="shared" si="17"/>
        <v>0</v>
      </c>
      <c r="Z82" s="50">
        <v>0</v>
      </c>
      <c r="AA82" s="50">
        <f t="shared" si="18"/>
        <v>0</v>
      </c>
      <c r="AC82" s="53">
        <v>77.52</v>
      </c>
      <c r="AD82" s="81">
        <v>675.3288</v>
      </c>
      <c r="AE82" s="77">
        <f t="shared" si="19"/>
        <v>0.12</v>
      </c>
      <c r="AF82" s="86">
        <f t="shared" si="20"/>
        <v>5.7999999999999996E-2</v>
      </c>
      <c r="AH82" s="88">
        <v>1022.004</v>
      </c>
      <c r="AI82" s="86">
        <f t="shared" si="21"/>
        <v>0.4150000406064987</v>
      </c>
      <c r="AK82" s="88">
        <v>923.83699999999999</v>
      </c>
      <c r="AL82" s="86">
        <f t="shared" si="22"/>
        <v>0.57488301182327317</v>
      </c>
      <c r="AN82" s="36">
        <v>1083.57</v>
      </c>
    </row>
    <row r="83" spans="4:40" x14ac:dyDescent="0.35">
      <c r="D83" s="39">
        <f t="shared" si="23"/>
        <v>81</v>
      </c>
      <c r="E83" s="57">
        <v>0</v>
      </c>
      <c r="F83" s="41">
        <v>0</v>
      </c>
      <c r="G83" s="41">
        <v>0</v>
      </c>
      <c r="H83" s="41">
        <v>41620.536679999997</v>
      </c>
      <c r="I83" s="41">
        <v>4168.54933695</v>
      </c>
      <c r="J83" s="41">
        <f t="shared" si="12"/>
        <v>45789.086016949994</v>
      </c>
      <c r="K83" s="57">
        <v>0</v>
      </c>
      <c r="L83" s="62">
        <v>0</v>
      </c>
      <c r="M83" s="62">
        <v>0.126</v>
      </c>
      <c r="N83" s="41">
        <v>7.4999999999999997E-2</v>
      </c>
      <c r="O83" s="41">
        <f t="shared" si="13"/>
        <v>0.20100000000000001</v>
      </c>
      <c r="P83" s="41">
        <v>6262.2020000000002</v>
      </c>
      <c r="Q83" s="41">
        <v>78.138080000000002</v>
      </c>
      <c r="R83" s="42">
        <f t="shared" si="14"/>
        <v>6340.3400799999999</v>
      </c>
      <c r="S83" s="62"/>
      <c r="T83" s="50">
        <v>0</v>
      </c>
      <c r="U83" s="50">
        <f t="shared" si="15"/>
        <v>0</v>
      </c>
      <c r="V83" s="50">
        <v>0</v>
      </c>
      <c r="W83" s="50">
        <f t="shared" si="16"/>
        <v>0</v>
      </c>
      <c r="X83" s="50">
        <v>0</v>
      </c>
      <c r="Y83" s="50">
        <f t="shared" si="17"/>
        <v>0</v>
      </c>
      <c r="Z83" s="50">
        <v>0</v>
      </c>
      <c r="AA83" s="50">
        <f t="shared" si="18"/>
        <v>0</v>
      </c>
      <c r="AC83" s="53">
        <v>81.396000000000001</v>
      </c>
      <c r="AD83" s="81">
        <v>873.27</v>
      </c>
      <c r="AE83" s="77">
        <f t="shared" si="19"/>
        <v>0.126</v>
      </c>
      <c r="AF83" s="86">
        <f t="shared" si="20"/>
        <v>7.4999999999999997E-2</v>
      </c>
      <c r="AH83" s="88">
        <v>1083.57</v>
      </c>
      <c r="AI83" s="86">
        <f t="shared" si="21"/>
        <v>0.43999983757400535</v>
      </c>
      <c r="AK83" s="88">
        <v>937.77200000000005</v>
      </c>
      <c r="AL83" s="86">
        <f t="shared" si="22"/>
        <v>0.58355444928438083</v>
      </c>
      <c r="AN83" s="36">
        <v>1088.4960000000001</v>
      </c>
    </row>
    <row r="84" spans="4:40" x14ac:dyDescent="0.35">
      <c r="D84" s="39">
        <f t="shared" si="23"/>
        <v>82</v>
      </c>
      <c r="E84" s="57">
        <v>5.89999999999999E-2</v>
      </c>
      <c r="F84" s="41">
        <v>2.3E-2</v>
      </c>
      <c r="G84" s="41">
        <v>8.199999999999999E-2</v>
      </c>
      <c r="H84" s="41">
        <v>43145.327680000002</v>
      </c>
      <c r="I84" s="41">
        <v>2695.29612709</v>
      </c>
      <c r="J84" s="41">
        <f t="shared" si="12"/>
        <v>45840.62380709</v>
      </c>
      <c r="K84" s="57">
        <v>1.3999999999999999E-2</v>
      </c>
      <c r="L84" s="62">
        <v>1.3999999999999999E-2</v>
      </c>
      <c r="M84" s="62">
        <v>0.13100000000000001</v>
      </c>
      <c r="N84" s="41">
        <v>7.4999999999999997E-2</v>
      </c>
      <c r="O84" s="41">
        <f t="shared" si="13"/>
        <v>0.20600000000000002</v>
      </c>
      <c r="P84" s="41">
        <v>6477.848</v>
      </c>
      <c r="Q84" s="41">
        <v>0</v>
      </c>
      <c r="R84" s="42">
        <f t="shared" si="14"/>
        <v>6477.848</v>
      </c>
      <c r="S84" s="62"/>
      <c r="T84" s="50">
        <v>5561</v>
      </c>
      <c r="U84" s="50">
        <f t="shared" si="15"/>
        <v>6.7000000000000004E-2</v>
      </c>
      <c r="V84" s="50">
        <v>110.515</v>
      </c>
      <c r="W84" s="50">
        <f t="shared" si="16"/>
        <v>2.3E-2</v>
      </c>
      <c r="X84" s="50">
        <v>431.346</v>
      </c>
      <c r="Y84" s="50">
        <f t="shared" si="17"/>
        <v>0.03</v>
      </c>
      <c r="Z84" s="50">
        <v>241.4975</v>
      </c>
      <c r="AA84" s="50">
        <f t="shared" si="18"/>
        <v>2.5000000000000001E-2</v>
      </c>
      <c r="AC84" s="53">
        <v>84.626000000000005</v>
      </c>
      <c r="AD84" s="81">
        <v>873.27</v>
      </c>
      <c r="AE84" s="77">
        <f t="shared" si="19"/>
        <v>0.13100000000000001</v>
      </c>
      <c r="AF84" s="86">
        <f t="shared" si="20"/>
        <v>7.4999999999999997E-2</v>
      </c>
      <c r="AH84" s="88">
        <v>1088.4960000000001</v>
      </c>
      <c r="AI84" s="86">
        <f t="shared" si="21"/>
        <v>0.44200011369819631</v>
      </c>
      <c r="AK84" s="88">
        <v>962.72500000000002</v>
      </c>
      <c r="AL84" s="86">
        <f t="shared" si="22"/>
        <v>0.59908214063472309</v>
      </c>
      <c r="AN84" s="36">
        <v>1044.1679999999999</v>
      </c>
    </row>
    <row r="85" spans="4:40" x14ac:dyDescent="0.35">
      <c r="D85" s="39">
        <f t="shared" si="23"/>
        <v>83</v>
      </c>
      <c r="E85" s="57">
        <v>0.20399999999999999</v>
      </c>
      <c r="F85" s="41">
        <v>5.4000000000000006E-2</v>
      </c>
      <c r="G85" s="41">
        <v>0.19399999999999998</v>
      </c>
      <c r="H85" s="41">
        <v>42899.063000000002</v>
      </c>
      <c r="I85" s="41">
        <v>1954.1065423</v>
      </c>
      <c r="J85" s="41">
        <f t="shared" si="12"/>
        <v>44853.169542300006</v>
      </c>
      <c r="K85" s="57">
        <v>5.2999999999999999E-2</v>
      </c>
      <c r="L85" s="62">
        <v>5.89999999999999E-2</v>
      </c>
      <c r="M85" s="62">
        <v>0.13200000000000001</v>
      </c>
      <c r="N85" s="41">
        <v>4.2999999999999997E-2</v>
      </c>
      <c r="O85" s="41">
        <f t="shared" si="13"/>
        <v>0.17499999999999999</v>
      </c>
      <c r="P85" s="41">
        <v>6399.0910000000003</v>
      </c>
      <c r="Q85" s="41">
        <v>0</v>
      </c>
      <c r="R85" s="42">
        <f t="shared" si="14"/>
        <v>6399.0910000000003</v>
      </c>
      <c r="S85" s="62"/>
      <c r="T85" s="50">
        <v>14110</v>
      </c>
      <c r="U85" s="50">
        <f t="shared" si="15"/>
        <v>0.17</v>
      </c>
      <c r="V85" s="50">
        <v>259.47000000000003</v>
      </c>
      <c r="W85" s="50">
        <f t="shared" si="16"/>
        <v>5.4000000000000006E-2</v>
      </c>
      <c r="X85" s="50">
        <v>1782.8968</v>
      </c>
      <c r="Y85" s="50">
        <f t="shared" si="17"/>
        <v>0.124</v>
      </c>
      <c r="Z85" s="50">
        <v>975.6499</v>
      </c>
      <c r="AA85" s="50">
        <f t="shared" si="18"/>
        <v>0.10100000000000001</v>
      </c>
      <c r="AC85" s="53">
        <v>85.272000000000006</v>
      </c>
      <c r="AD85" s="81">
        <v>500.6748</v>
      </c>
      <c r="AE85" s="77">
        <f t="shared" si="19"/>
        <v>0.13200000000000001</v>
      </c>
      <c r="AF85" s="86">
        <f t="shared" si="20"/>
        <v>4.2999999999999997E-2</v>
      </c>
      <c r="AH85" s="88">
        <v>1044.1679999999999</v>
      </c>
      <c r="AI85" s="86">
        <f t="shared" si="21"/>
        <v>0.42400006497039783</v>
      </c>
      <c r="AK85" s="88">
        <v>963.25099999999998</v>
      </c>
      <c r="AL85" s="86">
        <f t="shared" si="22"/>
        <v>0.59940945861854389</v>
      </c>
      <c r="AN85" s="36">
        <v>1068.7940000000001</v>
      </c>
    </row>
    <row r="86" spans="4:40" x14ac:dyDescent="0.35">
      <c r="D86" s="39">
        <f t="shared" si="23"/>
        <v>84</v>
      </c>
      <c r="E86" s="57">
        <v>0.27700000000000002</v>
      </c>
      <c r="F86" s="41">
        <v>8.5999999999999993E-2</v>
      </c>
      <c r="G86" s="41">
        <v>0.28499999999999903</v>
      </c>
      <c r="H86" s="41">
        <v>43329.033000000003</v>
      </c>
      <c r="I86" s="41">
        <v>2464.8719474300001</v>
      </c>
      <c r="J86" s="41">
        <f t="shared" si="12"/>
        <v>45793.904947430005</v>
      </c>
      <c r="K86" s="57">
        <v>8.4000000000000005E-2</v>
      </c>
      <c r="L86" s="62">
        <v>0.102999999999999</v>
      </c>
      <c r="M86" s="62">
        <v>0.13</v>
      </c>
      <c r="N86" s="41">
        <v>2.8000000000000001E-2</v>
      </c>
      <c r="O86" s="41">
        <f t="shared" si="13"/>
        <v>0.158</v>
      </c>
      <c r="P86" s="41">
        <v>6517.8050000000003</v>
      </c>
      <c r="Q86" s="41">
        <v>0</v>
      </c>
      <c r="R86" s="42">
        <f t="shared" si="14"/>
        <v>6517.8050000000003</v>
      </c>
      <c r="S86" s="62"/>
      <c r="T86" s="50">
        <v>19671</v>
      </c>
      <c r="U86" s="50">
        <f t="shared" si="15"/>
        <v>0.23699999999999999</v>
      </c>
      <c r="V86" s="50">
        <v>413.23</v>
      </c>
      <c r="W86" s="50">
        <f t="shared" si="16"/>
        <v>8.6000000000000007E-2</v>
      </c>
      <c r="X86" s="50">
        <v>3206.3386</v>
      </c>
      <c r="Y86" s="50">
        <f t="shared" si="17"/>
        <v>0.223</v>
      </c>
      <c r="Z86" s="50">
        <v>1777.4215999999999</v>
      </c>
      <c r="AA86" s="50">
        <f t="shared" si="18"/>
        <v>0.184</v>
      </c>
      <c r="AC86" s="53">
        <v>83.98</v>
      </c>
      <c r="AD86" s="81">
        <v>326.02080000000001</v>
      </c>
      <c r="AE86" s="77">
        <f t="shared" si="19"/>
        <v>0.13</v>
      </c>
      <c r="AF86" s="86">
        <f t="shared" si="20"/>
        <v>2.8000000000000001E-2</v>
      </c>
      <c r="AH86" s="88">
        <v>1068.7940000000001</v>
      </c>
      <c r="AI86" s="86">
        <f t="shared" si="21"/>
        <v>0.43399982133140597</v>
      </c>
      <c r="AK86" s="88">
        <v>965.08900000000006</v>
      </c>
      <c r="AL86" s="86">
        <f t="shared" si="22"/>
        <v>0.60055320472930929</v>
      </c>
      <c r="AN86" s="36">
        <v>1071.2570000000001</v>
      </c>
    </row>
    <row r="87" spans="4:40" x14ac:dyDescent="0.35">
      <c r="D87" s="39">
        <f t="shared" si="23"/>
        <v>85</v>
      </c>
      <c r="E87" s="57">
        <v>0.28100000000000003</v>
      </c>
      <c r="F87" s="41">
        <v>0.11199999999999999</v>
      </c>
      <c r="G87" s="41">
        <v>0.34</v>
      </c>
      <c r="H87" s="41">
        <v>43728.13</v>
      </c>
      <c r="I87" s="41">
        <v>2692.2592929000002</v>
      </c>
      <c r="J87" s="41">
        <f t="shared" si="12"/>
        <v>46420.389292899999</v>
      </c>
      <c r="K87" s="57">
        <v>9.4E-2</v>
      </c>
      <c r="L87" s="62">
        <v>0.12</v>
      </c>
      <c r="M87" s="62">
        <v>0.13100000000000001</v>
      </c>
      <c r="N87" s="41">
        <v>4.2999999999999997E-2</v>
      </c>
      <c r="O87" s="41">
        <f t="shared" si="13"/>
        <v>0.17399999999999999</v>
      </c>
      <c r="P87" s="41">
        <v>6604.152</v>
      </c>
      <c r="Q87" s="41">
        <v>0</v>
      </c>
      <c r="R87" s="42">
        <f t="shared" si="14"/>
        <v>6604.152</v>
      </c>
      <c r="S87" s="62"/>
      <c r="T87" s="50">
        <v>23323</v>
      </c>
      <c r="U87" s="50">
        <f t="shared" si="15"/>
        <v>0.28100000000000003</v>
      </c>
      <c r="V87" s="50">
        <v>538.16</v>
      </c>
      <c r="W87" s="50">
        <f t="shared" si="16"/>
        <v>0.11199999999999999</v>
      </c>
      <c r="X87" s="50">
        <v>4385.3509999999997</v>
      </c>
      <c r="Y87" s="50">
        <f t="shared" si="17"/>
        <v>0.30499999999999994</v>
      </c>
      <c r="Z87" s="50">
        <v>2366.6754999999998</v>
      </c>
      <c r="AA87" s="50">
        <f t="shared" si="18"/>
        <v>0.245</v>
      </c>
      <c r="AC87" s="53">
        <v>84.626000000000005</v>
      </c>
      <c r="AD87" s="81">
        <v>500.6748</v>
      </c>
      <c r="AE87" s="77">
        <f t="shared" si="19"/>
        <v>0.13100000000000001</v>
      </c>
      <c r="AF87" s="86">
        <f t="shared" si="20"/>
        <v>4.2999999999999997E-2</v>
      </c>
      <c r="AH87" s="88">
        <v>1071.2570000000001</v>
      </c>
      <c r="AI87" s="86">
        <f t="shared" si="21"/>
        <v>0.43499995939350139</v>
      </c>
      <c r="AK87" s="88">
        <v>966.77700000000004</v>
      </c>
      <c r="AL87" s="86">
        <f t="shared" si="22"/>
        <v>0.60160360920970757</v>
      </c>
      <c r="AN87" s="36">
        <v>1058.944</v>
      </c>
    </row>
    <row r="88" spans="4:40" x14ac:dyDescent="0.35">
      <c r="D88" s="39">
        <f t="shared" si="23"/>
        <v>86</v>
      </c>
      <c r="E88" s="57">
        <v>0.253</v>
      </c>
      <c r="F88" s="41">
        <v>0.122</v>
      </c>
      <c r="G88" s="41">
        <v>0.34599999999999903</v>
      </c>
      <c r="H88" s="41">
        <v>43650.438000000002</v>
      </c>
      <c r="I88" s="41">
        <v>2386.7889066500002</v>
      </c>
      <c r="J88" s="41">
        <f t="shared" si="12"/>
        <v>46037.226906650001</v>
      </c>
      <c r="K88" s="57">
        <v>8.6999999999999994E-2</v>
      </c>
      <c r="L88" s="62">
        <v>0.11</v>
      </c>
      <c r="M88" s="62">
        <v>0.154</v>
      </c>
      <c r="N88" s="41">
        <v>0.11499999999999999</v>
      </c>
      <c r="O88" s="41">
        <f t="shared" si="13"/>
        <v>0.26900000000000002</v>
      </c>
      <c r="P88" s="41">
        <v>6357.2460000000001</v>
      </c>
      <c r="Q88" s="41">
        <v>0</v>
      </c>
      <c r="R88" s="42">
        <f t="shared" si="14"/>
        <v>6357.2460000000001</v>
      </c>
      <c r="S88" s="62"/>
      <c r="T88" s="50">
        <v>24402</v>
      </c>
      <c r="U88" s="50">
        <f t="shared" si="15"/>
        <v>0.29399999999999998</v>
      </c>
      <c r="V88" s="50">
        <v>586.21</v>
      </c>
      <c r="W88" s="50">
        <f t="shared" si="16"/>
        <v>0.12200000000000001</v>
      </c>
      <c r="X88" s="50">
        <v>4960.4790000000003</v>
      </c>
      <c r="Y88" s="50">
        <f t="shared" si="17"/>
        <v>0.34500000000000003</v>
      </c>
      <c r="Z88" s="50">
        <v>2608.1729999999998</v>
      </c>
      <c r="AA88" s="50">
        <f t="shared" si="18"/>
        <v>0.26999999999999996</v>
      </c>
      <c r="AC88" s="53">
        <v>99.483999999999995</v>
      </c>
      <c r="AD88" s="81">
        <v>1339.0139999999999</v>
      </c>
      <c r="AE88" s="77">
        <f t="shared" si="19"/>
        <v>0.154</v>
      </c>
      <c r="AF88" s="86">
        <f t="shared" si="20"/>
        <v>0.11499999999999999</v>
      </c>
      <c r="AH88" s="88">
        <v>1058.944</v>
      </c>
      <c r="AI88" s="86">
        <f t="shared" si="21"/>
        <v>0.43000008121299732</v>
      </c>
      <c r="AK88" s="88">
        <v>942.80899999999997</v>
      </c>
      <c r="AL88" s="86">
        <f t="shared" si="22"/>
        <v>0.5866888612321095</v>
      </c>
      <c r="AN88" s="36">
        <v>1063.8689999999999</v>
      </c>
    </row>
    <row r="89" spans="4:40" x14ac:dyDescent="0.35">
      <c r="D89" s="39">
        <f t="shared" si="23"/>
        <v>87</v>
      </c>
      <c r="E89" s="57">
        <v>0.16</v>
      </c>
      <c r="F89" s="41">
        <v>0.114</v>
      </c>
      <c r="G89" s="41">
        <v>0.307</v>
      </c>
      <c r="H89" s="41">
        <v>42943.040000000001</v>
      </c>
      <c r="I89" s="41">
        <v>1780.5198930900001</v>
      </c>
      <c r="J89" s="41">
        <f t="shared" si="12"/>
        <v>44723.559893090001</v>
      </c>
      <c r="K89" s="57">
        <v>7.0999999999999994E-2</v>
      </c>
      <c r="L89" s="62">
        <v>7.9000000000000001E-2</v>
      </c>
      <c r="M89" s="62">
        <v>0.193</v>
      </c>
      <c r="N89" s="41">
        <v>0.23800000000000002</v>
      </c>
      <c r="O89" s="41">
        <f t="shared" si="13"/>
        <v>0.43100000000000005</v>
      </c>
      <c r="P89" s="41">
        <v>6317.0320000000002</v>
      </c>
      <c r="Q89" s="41">
        <v>0</v>
      </c>
      <c r="R89" s="42">
        <f t="shared" si="14"/>
        <v>6317.0320000000002</v>
      </c>
      <c r="S89" s="62"/>
      <c r="T89" s="50">
        <v>23406</v>
      </c>
      <c r="U89" s="50">
        <f t="shared" si="15"/>
        <v>0.28199999999999997</v>
      </c>
      <c r="V89" s="50">
        <v>547.77</v>
      </c>
      <c r="W89" s="50">
        <f t="shared" si="16"/>
        <v>0.11399999999999999</v>
      </c>
      <c r="X89" s="50">
        <v>4816.6970000000001</v>
      </c>
      <c r="Y89" s="50">
        <f t="shared" si="17"/>
        <v>0.33499999999999996</v>
      </c>
      <c r="Z89" s="50">
        <v>2453.6145999999999</v>
      </c>
      <c r="AA89" s="50">
        <f t="shared" si="18"/>
        <v>0.254</v>
      </c>
      <c r="AC89" s="53">
        <v>124.678</v>
      </c>
      <c r="AD89" s="81">
        <v>2771.1768000000002</v>
      </c>
      <c r="AE89" s="77">
        <f t="shared" si="19"/>
        <v>0.193</v>
      </c>
      <c r="AF89" s="86">
        <f t="shared" si="20"/>
        <v>0.23800000000000002</v>
      </c>
      <c r="AH89" s="88">
        <v>1063.8689999999999</v>
      </c>
      <c r="AI89" s="86">
        <f t="shared" si="21"/>
        <v>0.43199995127220159</v>
      </c>
      <c r="AK89" s="88">
        <v>938.899</v>
      </c>
      <c r="AL89" s="86">
        <f t="shared" si="22"/>
        <v>0.58425575606720592</v>
      </c>
      <c r="AN89" s="36">
        <v>1044.1679999999999</v>
      </c>
    </row>
    <row r="90" spans="4:40" x14ac:dyDescent="0.35">
      <c r="D90" s="39">
        <f t="shared" si="23"/>
        <v>88</v>
      </c>
      <c r="E90" s="57">
        <v>3.5000000000000003E-2</v>
      </c>
      <c r="F90" s="41">
        <v>0.09</v>
      </c>
      <c r="G90" s="41">
        <v>0.245</v>
      </c>
      <c r="H90" s="41">
        <v>42826.260999999999</v>
      </c>
      <c r="I90" s="41">
        <v>1510.95043465</v>
      </c>
      <c r="J90" s="41">
        <f t="shared" si="12"/>
        <v>44337.211434650002</v>
      </c>
      <c r="K90" s="57">
        <v>3.6999999999999901E-2</v>
      </c>
      <c r="L90" s="62">
        <v>4.2000000000000003E-2</v>
      </c>
      <c r="M90" s="62">
        <v>0.23399999999999999</v>
      </c>
      <c r="N90" s="41">
        <v>0.33099999999999996</v>
      </c>
      <c r="O90" s="41">
        <f t="shared" si="13"/>
        <v>0.56499999999999995</v>
      </c>
      <c r="P90" s="41">
        <v>6344.6639999999998</v>
      </c>
      <c r="Q90" s="41">
        <v>0</v>
      </c>
      <c r="R90" s="42">
        <f t="shared" si="14"/>
        <v>6344.6639999999998</v>
      </c>
      <c r="S90" s="62"/>
      <c r="T90" s="50">
        <v>21165</v>
      </c>
      <c r="U90" s="50">
        <f t="shared" si="15"/>
        <v>0.255</v>
      </c>
      <c r="V90" s="50">
        <v>432.45</v>
      </c>
      <c r="W90" s="50">
        <f t="shared" si="16"/>
        <v>0.09</v>
      </c>
      <c r="X90" s="50">
        <v>3695.1974</v>
      </c>
      <c r="Y90" s="50">
        <f t="shared" si="17"/>
        <v>0.25700000000000001</v>
      </c>
      <c r="Z90" s="50">
        <v>1854.7008000000001</v>
      </c>
      <c r="AA90" s="50">
        <f t="shared" si="18"/>
        <v>0.192</v>
      </c>
      <c r="AC90" s="53">
        <v>151.16399999999999</v>
      </c>
      <c r="AD90" s="81">
        <v>3854.0315999999998</v>
      </c>
      <c r="AE90" s="77">
        <f t="shared" si="19"/>
        <v>0.23399999999999999</v>
      </c>
      <c r="AF90" s="86">
        <f t="shared" si="20"/>
        <v>0.33099999999999996</v>
      </c>
      <c r="AH90" s="88">
        <v>1044.1679999999999</v>
      </c>
      <c r="AI90" s="86">
        <f t="shared" si="21"/>
        <v>0.42400006497039783</v>
      </c>
      <c r="AK90" s="88">
        <v>948.59900000000005</v>
      </c>
      <c r="AL90" s="86">
        <f t="shared" si="22"/>
        <v>0.59029184816428126</v>
      </c>
      <c r="AN90" s="36">
        <v>1046.6300000000001</v>
      </c>
    </row>
    <row r="91" spans="4:40" x14ac:dyDescent="0.35">
      <c r="D91" s="39">
        <f t="shared" si="23"/>
        <v>89</v>
      </c>
      <c r="E91" s="57">
        <v>0</v>
      </c>
      <c r="F91" s="41">
        <v>5.0999999999999997E-2</v>
      </c>
      <c r="G91" s="41">
        <v>0.157</v>
      </c>
      <c r="H91" s="41">
        <v>43600.135999999999</v>
      </c>
      <c r="I91" s="41">
        <v>1519.23474126</v>
      </c>
      <c r="J91" s="41">
        <f t="shared" si="12"/>
        <v>45119.370741259998</v>
      </c>
      <c r="K91" s="57">
        <v>0</v>
      </c>
      <c r="L91" s="62">
        <v>1.3000000000000001E-2</v>
      </c>
      <c r="M91" s="62">
        <v>0.26700000000000002</v>
      </c>
      <c r="N91" s="41">
        <v>0.35600000000000004</v>
      </c>
      <c r="O91" s="41">
        <f t="shared" si="13"/>
        <v>0.623</v>
      </c>
      <c r="P91" s="41">
        <v>6566.5119999999997</v>
      </c>
      <c r="Q91" s="41">
        <v>0</v>
      </c>
      <c r="R91" s="42">
        <f t="shared" si="14"/>
        <v>6566.5119999999997</v>
      </c>
      <c r="S91" s="62"/>
      <c r="T91" s="50">
        <v>15687</v>
      </c>
      <c r="U91" s="50">
        <f t="shared" si="15"/>
        <v>0.189</v>
      </c>
      <c r="V91" s="50">
        <v>245.05500000000001</v>
      </c>
      <c r="W91" s="50">
        <f t="shared" si="16"/>
        <v>5.1000000000000004E-2</v>
      </c>
      <c r="X91" s="50">
        <v>2257.3773999999999</v>
      </c>
      <c r="Y91" s="50">
        <f t="shared" si="17"/>
        <v>0.15699999999999997</v>
      </c>
      <c r="Z91" s="50">
        <v>1072.2489</v>
      </c>
      <c r="AA91" s="50">
        <f t="shared" si="18"/>
        <v>0.11100000000000002</v>
      </c>
      <c r="AC91" s="53">
        <v>172.482</v>
      </c>
      <c r="AD91" s="81">
        <v>4145.1216000000004</v>
      </c>
      <c r="AE91" s="77">
        <f t="shared" si="19"/>
        <v>0.26700000000000002</v>
      </c>
      <c r="AF91" s="86">
        <f t="shared" si="20"/>
        <v>0.35600000000000004</v>
      </c>
      <c r="AH91" s="88">
        <v>1046.6300000000001</v>
      </c>
      <c r="AI91" s="86">
        <f t="shared" si="21"/>
        <v>0.42499979696750673</v>
      </c>
      <c r="AK91" s="88">
        <v>956.87599999999998</v>
      </c>
      <c r="AL91" s="86">
        <f t="shared" si="22"/>
        <v>0.59544243932794028</v>
      </c>
      <c r="AN91" s="36">
        <v>1105.7339999999999</v>
      </c>
    </row>
    <row r="92" spans="4:40" x14ac:dyDescent="0.35">
      <c r="D92" s="39">
        <f t="shared" si="23"/>
        <v>90</v>
      </c>
      <c r="E92" s="57">
        <v>0</v>
      </c>
      <c r="F92" s="41">
        <v>0</v>
      </c>
      <c r="G92" s="41">
        <v>5.0999999999999997E-2</v>
      </c>
      <c r="H92" s="41">
        <v>45774.112000000001</v>
      </c>
      <c r="I92" s="41">
        <v>1612.3495110399999</v>
      </c>
      <c r="J92" s="41">
        <f t="shared" si="12"/>
        <v>47386.461511040005</v>
      </c>
      <c r="K92" s="57">
        <v>0</v>
      </c>
      <c r="L92" s="62">
        <v>0</v>
      </c>
      <c r="M92" s="62">
        <v>0.316</v>
      </c>
      <c r="N92" s="41">
        <v>0.22</v>
      </c>
      <c r="O92" s="41">
        <f t="shared" si="13"/>
        <v>0.53600000000000003</v>
      </c>
      <c r="P92" s="41">
        <v>7042.9809999999998</v>
      </c>
      <c r="Q92" s="41">
        <v>0</v>
      </c>
      <c r="R92" s="42">
        <f t="shared" si="14"/>
        <v>7042.9809999999998</v>
      </c>
      <c r="S92" s="62"/>
      <c r="T92" s="50">
        <v>4316</v>
      </c>
      <c r="U92" s="50">
        <f t="shared" si="15"/>
        <v>5.1999999999999998E-2</v>
      </c>
      <c r="V92" s="50">
        <v>0</v>
      </c>
      <c r="W92" s="50">
        <f t="shared" si="16"/>
        <v>0</v>
      </c>
      <c r="X92" s="50">
        <v>920.20479999999998</v>
      </c>
      <c r="Y92" s="50">
        <f t="shared" si="17"/>
        <v>6.4000000000000001E-2</v>
      </c>
      <c r="Z92" s="50">
        <v>357.41629999999998</v>
      </c>
      <c r="AA92" s="50">
        <f t="shared" si="18"/>
        <v>3.6999999999999998E-2</v>
      </c>
      <c r="AC92" s="53">
        <v>204.136</v>
      </c>
      <c r="AD92" s="81">
        <v>2561.5920000000001</v>
      </c>
      <c r="AE92" s="77">
        <f t="shared" si="19"/>
        <v>0.316</v>
      </c>
      <c r="AF92" s="86">
        <f t="shared" si="20"/>
        <v>0.22</v>
      </c>
      <c r="AH92" s="88">
        <v>1105.7339999999999</v>
      </c>
      <c r="AI92" s="86">
        <f t="shared" si="21"/>
        <v>0.44899986193790453</v>
      </c>
      <c r="AK92" s="88">
        <v>967.40800000000002</v>
      </c>
      <c r="AL92" s="86">
        <f t="shared" si="22"/>
        <v>0.60199626633478531</v>
      </c>
      <c r="AN92" s="36">
        <v>1120.51</v>
      </c>
    </row>
    <row r="93" spans="4:40" x14ac:dyDescent="0.35">
      <c r="D93" s="39">
        <f t="shared" si="23"/>
        <v>91</v>
      </c>
      <c r="E93" s="57">
        <v>0</v>
      </c>
      <c r="F93" s="41">
        <v>0</v>
      </c>
      <c r="G93" s="41">
        <v>0</v>
      </c>
      <c r="H93" s="41">
        <v>46985.129000000001</v>
      </c>
      <c r="I93" s="41">
        <v>1737.9622810000001</v>
      </c>
      <c r="J93" s="41">
        <f t="shared" si="12"/>
        <v>48723.091281000001</v>
      </c>
      <c r="K93" s="57">
        <v>0</v>
      </c>
      <c r="L93" s="62">
        <v>0</v>
      </c>
      <c r="M93" s="62">
        <v>0.36399999999999999</v>
      </c>
      <c r="N93" s="41">
        <v>0.16499999999999998</v>
      </c>
      <c r="O93" s="41">
        <f t="shared" si="13"/>
        <v>0.52899999999999991</v>
      </c>
      <c r="P93" s="41">
        <v>7434.8710000000001</v>
      </c>
      <c r="Q93" s="41">
        <v>0</v>
      </c>
      <c r="R93" s="42">
        <f t="shared" si="14"/>
        <v>7434.8710000000001</v>
      </c>
      <c r="S93" s="62"/>
      <c r="T93" s="50">
        <v>0</v>
      </c>
      <c r="U93" s="50">
        <f t="shared" si="15"/>
        <v>0</v>
      </c>
      <c r="V93" s="50">
        <v>0</v>
      </c>
      <c r="W93" s="50">
        <f t="shared" si="16"/>
        <v>0</v>
      </c>
      <c r="X93" s="50">
        <v>0</v>
      </c>
      <c r="Y93" s="50">
        <f t="shared" si="17"/>
        <v>0</v>
      </c>
      <c r="Z93" s="50">
        <v>0</v>
      </c>
      <c r="AA93" s="50">
        <f t="shared" si="18"/>
        <v>0</v>
      </c>
      <c r="AC93" s="53">
        <v>235.14400000000001</v>
      </c>
      <c r="AD93" s="81">
        <v>1921.194</v>
      </c>
      <c r="AE93" s="77">
        <f t="shared" si="19"/>
        <v>0.36399999999999999</v>
      </c>
      <c r="AF93" s="86">
        <f t="shared" si="20"/>
        <v>0.16499999999999998</v>
      </c>
      <c r="AH93" s="88">
        <v>1120.51</v>
      </c>
      <c r="AI93" s="86">
        <f t="shared" si="21"/>
        <v>0.45499987818050402</v>
      </c>
      <c r="AK93" s="88">
        <v>981.17399999999998</v>
      </c>
      <c r="AL93" s="86">
        <f t="shared" si="22"/>
        <v>0.61056253889234602</v>
      </c>
      <c r="AN93" s="36">
        <v>1150.0619999999999</v>
      </c>
    </row>
    <row r="94" spans="4:40" x14ac:dyDescent="0.35">
      <c r="D94" s="39">
        <f t="shared" si="23"/>
        <v>92</v>
      </c>
      <c r="E94" s="57">
        <v>0</v>
      </c>
      <c r="F94" s="41">
        <v>0</v>
      </c>
      <c r="G94" s="41">
        <v>0</v>
      </c>
      <c r="H94" s="41">
        <v>46543.966999999997</v>
      </c>
      <c r="I94" s="41">
        <v>1877.1197350899999</v>
      </c>
      <c r="J94" s="41">
        <f t="shared" si="12"/>
        <v>48421.086735089993</v>
      </c>
      <c r="K94" s="57">
        <v>0</v>
      </c>
      <c r="L94" s="62">
        <v>0</v>
      </c>
      <c r="M94" s="62">
        <v>0.38800000000000001</v>
      </c>
      <c r="N94" s="41">
        <v>0.14599999999999999</v>
      </c>
      <c r="O94" s="41">
        <f t="shared" si="13"/>
        <v>0.53400000000000003</v>
      </c>
      <c r="P94" s="41">
        <v>7515.1890000000003</v>
      </c>
      <c r="Q94" s="41">
        <v>0</v>
      </c>
      <c r="R94" s="42">
        <f t="shared" si="14"/>
        <v>7515.1890000000003</v>
      </c>
      <c r="S94" s="62"/>
      <c r="T94" s="50">
        <v>0</v>
      </c>
      <c r="U94" s="50">
        <f t="shared" si="15"/>
        <v>0</v>
      </c>
      <c r="V94" s="50">
        <v>0</v>
      </c>
      <c r="W94" s="50">
        <f t="shared" si="16"/>
        <v>0</v>
      </c>
      <c r="X94" s="50">
        <v>0</v>
      </c>
      <c r="Y94" s="50">
        <f t="shared" si="17"/>
        <v>0</v>
      </c>
      <c r="Z94" s="50">
        <v>0</v>
      </c>
      <c r="AA94" s="50">
        <f t="shared" si="18"/>
        <v>0</v>
      </c>
      <c r="AC94" s="53">
        <v>250.648</v>
      </c>
      <c r="AD94" s="81">
        <v>1699.9656</v>
      </c>
      <c r="AE94" s="77">
        <f t="shared" si="19"/>
        <v>0.38800000000000001</v>
      </c>
      <c r="AF94" s="86">
        <f t="shared" si="20"/>
        <v>0.14599999999999999</v>
      </c>
      <c r="AH94" s="88">
        <v>1150.0619999999999</v>
      </c>
      <c r="AI94" s="86">
        <f t="shared" si="21"/>
        <v>0.4669999106657029</v>
      </c>
      <c r="AK94" s="88">
        <v>996.35</v>
      </c>
      <c r="AL94" s="86">
        <f t="shared" si="22"/>
        <v>0.62000622277535777</v>
      </c>
      <c r="AN94" s="36">
        <v>1164.838</v>
      </c>
    </row>
    <row r="95" spans="4:40" x14ac:dyDescent="0.35">
      <c r="D95" s="39">
        <f t="shared" si="23"/>
        <v>93</v>
      </c>
      <c r="E95" s="57">
        <v>0</v>
      </c>
      <c r="F95" s="41">
        <v>0</v>
      </c>
      <c r="G95" s="41">
        <v>0</v>
      </c>
      <c r="H95" s="41">
        <v>44908.347000000002</v>
      </c>
      <c r="I95" s="41">
        <v>1856.6173315000001</v>
      </c>
      <c r="J95" s="41">
        <f t="shared" si="12"/>
        <v>46764.964331499999</v>
      </c>
      <c r="K95" s="57">
        <v>0</v>
      </c>
      <c r="L95" s="62">
        <v>0</v>
      </c>
      <c r="M95" s="62">
        <v>0.43099999999999999</v>
      </c>
      <c r="N95" s="41">
        <v>0.14799999999999999</v>
      </c>
      <c r="O95" s="41">
        <f t="shared" si="13"/>
        <v>0.57899999999999996</v>
      </c>
      <c r="P95" s="41">
        <v>7256.3289999999997</v>
      </c>
      <c r="Q95" s="41">
        <v>0</v>
      </c>
      <c r="R95" s="42">
        <f t="shared" si="14"/>
        <v>7256.3289999999997</v>
      </c>
      <c r="S95" s="62"/>
      <c r="T95" s="50">
        <v>0</v>
      </c>
      <c r="U95" s="50">
        <f t="shared" si="15"/>
        <v>0</v>
      </c>
      <c r="V95" s="50">
        <v>0</v>
      </c>
      <c r="W95" s="50">
        <f t="shared" si="16"/>
        <v>0</v>
      </c>
      <c r="X95" s="50">
        <v>0</v>
      </c>
      <c r="Y95" s="50">
        <f t="shared" si="17"/>
        <v>0</v>
      </c>
      <c r="Z95" s="50">
        <v>0</v>
      </c>
      <c r="AA95" s="50">
        <f t="shared" si="18"/>
        <v>0</v>
      </c>
      <c r="AC95" s="53">
        <v>278.42599999999999</v>
      </c>
      <c r="AD95" s="81">
        <v>1723.2528</v>
      </c>
      <c r="AE95" s="77">
        <f t="shared" si="19"/>
        <v>0.43099999999999999</v>
      </c>
      <c r="AF95" s="86">
        <f t="shared" si="20"/>
        <v>0.14799999999999999</v>
      </c>
      <c r="AH95" s="88">
        <v>1164.838</v>
      </c>
      <c r="AI95" s="86">
        <f t="shared" si="21"/>
        <v>0.47299992690830239</v>
      </c>
      <c r="AK95" s="88">
        <v>1002.082</v>
      </c>
      <c r="AL95" s="86">
        <f t="shared" si="22"/>
        <v>0.62357311761045431</v>
      </c>
      <c r="AN95" s="36">
        <v>1150.0619999999999</v>
      </c>
    </row>
    <row r="96" spans="4:40" x14ac:dyDescent="0.35">
      <c r="D96" s="39">
        <f t="shared" si="23"/>
        <v>94</v>
      </c>
      <c r="E96" s="57">
        <v>0</v>
      </c>
      <c r="F96" s="41">
        <v>0</v>
      </c>
      <c r="G96" s="41">
        <v>0</v>
      </c>
      <c r="H96" s="41">
        <v>42329.292999999998</v>
      </c>
      <c r="I96" s="41">
        <v>1785.0935541199999</v>
      </c>
      <c r="J96" s="41">
        <f t="shared" si="12"/>
        <v>44114.386554119999</v>
      </c>
      <c r="K96" s="57">
        <v>0</v>
      </c>
      <c r="L96" s="62">
        <v>0</v>
      </c>
      <c r="M96" s="62">
        <v>0.49800000000000005</v>
      </c>
      <c r="N96" s="41">
        <v>0.16800000000000001</v>
      </c>
      <c r="O96" s="41">
        <f t="shared" si="13"/>
        <v>0.66600000000000004</v>
      </c>
      <c r="P96" s="41">
        <v>6822.1850000000004</v>
      </c>
      <c r="Q96" s="41">
        <v>0</v>
      </c>
      <c r="R96" s="42">
        <f t="shared" si="14"/>
        <v>6822.1850000000004</v>
      </c>
      <c r="S96" s="62"/>
      <c r="T96" s="50">
        <v>0</v>
      </c>
      <c r="U96" s="50">
        <f t="shared" si="15"/>
        <v>0</v>
      </c>
      <c r="V96" s="50">
        <v>0</v>
      </c>
      <c r="W96" s="50">
        <f t="shared" si="16"/>
        <v>0</v>
      </c>
      <c r="X96" s="50">
        <v>0</v>
      </c>
      <c r="Y96" s="50">
        <f t="shared" si="17"/>
        <v>0</v>
      </c>
      <c r="Z96" s="50">
        <v>0</v>
      </c>
      <c r="AA96" s="50">
        <f t="shared" si="18"/>
        <v>0</v>
      </c>
      <c r="AC96" s="53">
        <v>321.70800000000003</v>
      </c>
      <c r="AD96" s="81">
        <v>1956.1248000000001</v>
      </c>
      <c r="AE96" s="77">
        <f t="shared" si="19"/>
        <v>0.49800000000000005</v>
      </c>
      <c r="AF96" s="86">
        <f t="shared" si="20"/>
        <v>0.16800000000000001</v>
      </c>
      <c r="AH96" s="88">
        <v>1150.0619999999999</v>
      </c>
      <c r="AI96" s="86">
        <f t="shared" si="21"/>
        <v>0.4669999106657029</v>
      </c>
      <c r="AK96" s="88">
        <v>998.51499999999999</v>
      </c>
      <c r="AL96" s="86">
        <f t="shared" si="22"/>
        <v>0.62135345364032357</v>
      </c>
      <c r="AN96" s="36">
        <v>1145.1369999999999</v>
      </c>
    </row>
    <row r="97" spans="4:40" x14ac:dyDescent="0.35">
      <c r="D97" s="39">
        <f t="shared" si="23"/>
        <v>95</v>
      </c>
      <c r="E97" s="57">
        <v>0</v>
      </c>
      <c r="F97" s="41">
        <v>0</v>
      </c>
      <c r="G97" s="41">
        <v>0</v>
      </c>
      <c r="H97" s="41">
        <v>39693.309000000001</v>
      </c>
      <c r="I97" s="41">
        <v>1796.9525522199999</v>
      </c>
      <c r="J97" s="41">
        <f t="shared" si="12"/>
        <v>41490.261552219999</v>
      </c>
      <c r="K97" s="57">
        <v>0</v>
      </c>
      <c r="L97" s="62">
        <v>0</v>
      </c>
      <c r="M97" s="62">
        <v>0.53500000000000003</v>
      </c>
      <c r="N97" s="41">
        <v>0.20500000000000002</v>
      </c>
      <c r="O97" s="41">
        <f t="shared" si="13"/>
        <v>0.74</v>
      </c>
      <c r="P97" s="41">
        <v>6940.8670000000002</v>
      </c>
      <c r="Q97" s="41">
        <v>0</v>
      </c>
      <c r="R97" s="42">
        <f t="shared" si="14"/>
        <v>6940.8670000000002</v>
      </c>
      <c r="S97" s="62"/>
      <c r="T97" s="50">
        <v>0</v>
      </c>
      <c r="U97" s="50">
        <f t="shared" si="15"/>
        <v>0</v>
      </c>
      <c r="V97" s="50">
        <v>0</v>
      </c>
      <c r="W97" s="50">
        <f t="shared" si="16"/>
        <v>0</v>
      </c>
      <c r="X97" s="50">
        <v>0</v>
      </c>
      <c r="Y97" s="50">
        <f t="shared" si="17"/>
        <v>0</v>
      </c>
      <c r="Z97" s="50">
        <v>0</v>
      </c>
      <c r="AA97" s="50">
        <f t="shared" si="18"/>
        <v>0</v>
      </c>
      <c r="AC97" s="53">
        <v>345.61</v>
      </c>
      <c r="AD97" s="81">
        <v>2386.9380000000001</v>
      </c>
      <c r="AE97" s="77">
        <f t="shared" si="19"/>
        <v>0.53500000000000003</v>
      </c>
      <c r="AF97" s="86">
        <f t="shared" si="20"/>
        <v>0.20500000000000002</v>
      </c>
      <c r="AH97" s="88">
        <v>1145.1369999999999</v>
      </c>
      <c r="AI97" s="86">
        <f t="shared" si="21"/>
        <v>0.46500004060649869</v>
      </c>
      <c r="AK97" s="88">
        <v>973.24599999999998</v>
      </c>
      <c r="AL97" s="86">
        <f t="shared" si="22"/>
        <v>0.60562912258867452</v>
      </c>
      <c r="AN97" s="36">
        <v>1145.1369999999999</v>
      </c>
    </row>
    <row r="98" spans="4:40" x14ac:dyDescent="0.35">
      <c r="D98" s="39">
        <f t="shared" si="23"/>
        <v>96</v>
      </c>
      <c r="E98" s="57">
        <v>0</v>
      </c>
      <c r="F98" s="41">
        <v>0</v>
      </c>
      <c r="G98" s="41">
        <v>0</v>
      </c>
      <c r="H98" s="41">
        <v>37196.328999999998</v>
      </c>
      <c r="I98" s="41">
        <v>1495.4430131500001</v>
      </c>
      <c r="J98" s="41">
        <f t="shared" si="12"/>
        <v>38691.772013149995</v>
      </c>
      <c r="K98" s="57">
        <v>0</v>
      </c>
      <c r="L98" s="62">
        <v>0</v>
      </c>
      <c r="M98" s="62">
        <v>0.55800000000000005</v>
      </c>
      <c r="N98" s="41">
        <v>0.23599999999999999</v>
      </c>
      <c r="O98" s="41">
        <f t="shared" si="13"/>
        <v>0.79400000000000004</v>
      </c>
      <c r="P98" s="41">
        <v>6443.0649999999996</v>
      </c>
      <c r="Q98" s="41">
        <v>0</v>
      </c>
      <c r="R98" s="42">
        <f t="shared" si="14"/>
        <v>6443.0649999999996</v>
      </c>
      <c r="S98" s="62"/>
      <c r="T98" s="50">
        <v>0</v>
      </c>
      <c r="U98" s="50">
        <f t="shared" si="15"/>
        <v>0</v>
      </c>
      <c r="V98" s="50">
        <v>0</v>
      </c>
      <c r="W98" s="50">
        <f t="shared" si="16"/>
        <v>0</v>
      </c>
      <c r="X98" s="50">
        <v>0</v>
      </c>
      <c r="Y98" s="50">
        <f t="shared" si="17"/>
        <v>0</v>
      </c>
      <c r="Z98" s="50">
        <v>0</v>
      </c>
      <c r="AA98" s="50">
        <f t="shared" si="18"/>
        <v>0</v>
      </c>
      <c r="AC98" s="53">
        <v>360.46800000000002</v>
      </c>
      <c r="AD98" s="81">
        <v>2747.8896</v>
      </c>
      <c r="AE98" s="77">
        <f t="shared" si="19"/>
        <v>0.55800000000000005</v>
      </c>
      <c r="AF98" s="86">
        <f t="shared" si="20"/>
        <v>0.23599999999999999</v>
      </c>
      <c r="AH98" s="88">
        <v>1145.1369999999999</v>
      </c>
      <c r="AI98" s="86">
        <f t="shared" si="21"/>
        <v>0.46500004060649869</v>
      </c>
      <c r="AK98" s="88">
        <v>973.54899999999998</v>
      </c>
      <c r="AL98" s="86">
        <f t="shared" si="22"/>
        <v>0.60581767268201614</v>
      </c>
      <c r="AN98" s="36">
        <v>1095.884</v>
      </c>
    </row>
    <row r="99" spans="4:40" x14ac:dyDescent="0.35">
      <c r="D99" s="39">
        <f t="shared" si="23"/>
        <v>97</v>
      </c>
      <c r="E99" s="57">
        <v>0</v>
      </c>
      <c r="F99" s="41">
        <v>0</v>
      </c>
      <c r="G99" s="41">
        <v>0</v>
      </c>
      <c r="H99" s="41">
        <v>34480.928999999996</v>
      </c>
      <c r="I99" s="41">
        <v>1216.4069836199999</v>
      </c>
      <c r="J99" s="41">
        <f t="shared" si="12"/>
        <v>35697.335983619996</v>
      </c>
      <c r="K99" s="57">
        <v>0</v>
      </c>
      <c r="L99" s="62">
        <v>0</v>
      </c>
      <c r="M99" s="62">
        <v>0.57599999999999996</v>
      </c>
      <c r="N99" s="41">
        <v>0.25</v>
      </c>
      <c r="O99" s="41">
        <f t="shared" si="13"/>
        <v>0.82599999999999996</v>
      </c>
      <c r="P99" s="41">
        <v>5694.0230000000001</v>
      </c>
      <c r="Q99" s="41">
        <v>0</v>
      </c>
      <c r="R99" s="42">
        <f t="shared" si="14"/>
        <v>5694.0230000000001</v>
      </c>
      <c r="S99" s="62"/>
      <c r="T99" s="50">
        <v>0</v>
      </c>
      <c r="U99" s="50">
        <f t="shared" si="15"/>
        <v>0</v>
      </c>
      <c r="V99" s="50">
        <v>0</v>
      </c>
      <c r="W99" s="50">
        <f t="shared" si="16"/>
        <v>0</v>
      </c>
      <c r="X99" s="50">
        <v>0</v>
      </c>
      <c r="Y99" s="50">
        <f t="shared" si="17"/>
        <v>0</v>
      </c>
      <c r="Z99" s="50">
        <v>0</v>
      </c>
      <c r="AA99" s="50">
        <f t="shared" si="18"/>
        <v>0</v>
      </c>
      <c r="AC99" s="53">
        <v>372.096</v>
      </c>
      <c r="AD99" s="81">
        <v>2910.9</v>
      </c>
      <c r="AE99" s="77">
        <f t="shared" si="19"/>
        <v>0.57599999999999996</v>
      </c>
      <c r="AF99" s="86">
        <f t="shared" si="20"/>
        <v>0.25</v>
      </c>
      <c r="AH99" s="88">
        <v>1095.884</v>
      </c>
      <c r="AI99" s="86">
        <f t="shared" si="21"/>
        <v>0.445000121819496</v>
      </c>
      <c r="AK99" s="88">
        <v>930.68299999999999</v>
      </c>
      <c r="AL99" s="86">
        <f t="shared" si="22"/>
        <v>0.57914312383322963</v>
      </c>
      <c r="AN99" s="36">
        <v>1034.317</v>
      </c>
    </row>
    <row r="100" spans="4:40" x14ac:dyDescent="0.35">
      <c r="D100" s="39">
        <f t="shared" si="23"/>
        <v>98</v>
      </c>
      <c r="E100" s="57">
        <v>0</v>
      </c>
      <c r="F100" s="41">
        <v>0</v>
      </c>
      <c r="G100" s="41">
        <v>0</v>
      </c>
      <c r="H100" s="41">
        <v>32526.065999999999</v>
      </c>
      <c r="I100" s="41">
        <v>917.35342027000002</v>
      </c>
      <c r="J100" s="41">
        <f t="shared" si="12"/>
        <v>33443.419420270002</v>
      </c>
      <c r="K100" s="57">
        <v>0</v>
      </c>
      <c r="L100" s="62">
        <v>0</v>
      </c>
      <c r="M100" s="62">
        <v>0.59099999999999997</v>
      </c>
      <c r="N100" s="41">
        <v>0.24299999999999999</v>
      </c>
      <c r="O100" s="41">
        <f t="shared" si="13"/>
        <v>0.83399999999999996</v>
      </c>
      <c r="P100" s="41">
        <v>5318.067</v>
      </c>
      <c r="Q100" s="41">
        <v>0</v>
      </c>
      <c r="R100" s="42">
        <f t="shared" si="14"/>
        <v>5318.067</v>
      </c>
      <c r="S100" s="62"/>
      <c r="T100" s="50">
        <v>0</v>
      </c>
      <c r="U100" s="50">
        <f t="shared" si="15"/>
        <v>0</v>
      </c>
      <c r="V100" s="50">
        <v>0</v>
      </c>
      <c r="W100" s="50">
        <f t="shared" si="16"/>
        <v>0</v>
      </c>
      <c r="X100" s="50">
        <v>0</v>
      </c>
      <c r="Y100" s="50">
        <f t="shared" si="17"/>
        <v>0</v>
      </c>
      <c r="Z100" s="50">
        <v>0</v>
      </c>
      <c r="AA100" s="50">
        <f t="shared" si="18"/>
        <v>0</v>
      </c>
      <c r="AC100" s="53">
        <v>381.786</v>
      </c>
      <c r="AD100" s="81">
        <v>2829.3948</v>
      </c>
      <c r="AE100" s="77">
        <f t="shared" si="19"/>
        <v>0.59099999999999997</v>
      </c>
      <c r="AF100" s="86">
        <f t="shared" si="20"/>
        <v>0.24299999999999999</v>
      </c>
      <c r="AH100" s="88">
        <v>1034.317</v>
      </c>
      <c r="AI100" s="86">
        <f t="shared" si="21"/>
        <v>0.41999991878700271</v>
      </c>
      <c r="AK100" s="88">
        <v>928.14200000000005</v>
      </c>
      <c r="AL100" s="86">
        <f t="shared" si="22"/>
        <v>0.57756191661481027</v>
      </c>
      <c r="AN100" s="36">
        <v>1031.855</v>
      </c>
    </row>
    <row r="101" spans="4:40" x14ac:dyDescent="0.35">
      <c r="D101" s="39">
        <f t="shared" si="23"/>
        <v>99</v>
      </c>
      <c r="E101" s="57">
        <v>0</v>
      </c>
      <c r="F101" s="41">
        <v>0</v>
      </c>
      <c r="G101" s="41">
        <v>0</v>
      </c>
      <c r="H101" s="41">
        <v>31404.126</v>
      </c>
      <c r="I101" s="41">
        <v>1514.24437476</v>
      </c>
      <c r="J101" s="41">
        <f t="shared" si="12"/>
        <v>32918.370374760001</v>
      </c>
      <c r="K101" s="57">
        <v>0</v>
      </c>
      <c r="L101" s="62">
        <v>0</v>
      </c>
      <c r="M101" s="62">
        <v>0.59699999999999998</v>
      </c>
      <c r="N101" s="41">
        <v>0.24199999999999999</v>
      </c>
      <c r="O101" s="41">
        <f t="shared" si="13"/>
        <v>0.83899999999999997</v>
      </c>
      <c r="P101" s="41">
        <v>4886.8729999999996</v>
      </c>
      <c r="Q101" s="41">
        <v>0</v>
      </c>
      <c r="R101" s="42">
        <f t="shared" si="14"/>
        <v>4886.8729999999996</v>
      </c>
      <c r="S101" s="62"/>
      <c r="T101" s="50">
        <v>0</v>
      </c>
      <c r="U101" s="50">
        <f t="shared" si="15"/>
        <v>0</v>
      </c>
      <c r="V101" s="50">
        <v>0</v>
      </c>
      <c r="W101" s="50">
        <f t="shared" si="16"/>
        <v>0</v>
      </c>
      <c r="X101" s="50">
        <v>0</v>
      </c>
      <c r="Y101" s="50">
        <f t="shared" si="17"/>
        <v>0</v>
      </c>
      <c r="Z101" s="50">
        <v>0</v>
      </c>
      <c r="AA101" s="50">
        <f t="shared" si="18"/>
        <v>0</v>
      </c>
      <c r="AC101" s="53">
        <v>385.66199999999998</v>
      </c>
      <c r="AD101" s="81">
        <v>2817.7512000000002</v>
      </c>
      <c r="AE101" s="77">
        <f t="shared" si="19"/>
        <v>0.59699999999999998</v>
      </c>
      <c r="AF101" s="86">
        <f t="shared" si="20"/>
        <v>0.24199999999999999</v>
      </c>
      <c r="AH101" s="88">
        <v>1031.855</v>
      </c>
      <c r="AI101" s="86">
        <f t="shared" si="21"/>
        <v>0.41900018678989387</v>
      </c>
      <c r="AK101" s="88">
        <v>933.52300000000002</v>
      </c>
      <c r="AL101" s="86">
        <f t="shared" si="22"/>
        <v>0.58091039203484751</v>
      </c>
      <c r="AN101" s="36">
        <v>1002.303</v>
      </c>
    </row>
    <row r="102" spans="4:40" x14ac:dyDescent="0.35">
      <c r="D102" s="39">
        <f t="shared" si="23"/>
        <v>100</v>
      </c>
      <c r="E102" s="57">
        <v>0</v>
      </c>
      <c r="F102" s="41">
        <v>0</v>
      </c>
      <c r="G102" s="41">
        <v>0</v>
      </c>
      <c r="H102" s="41">
        <v>31010.085999999999</v>
      </c>
      <c r="I102" s="41">
        <v>2406.3645889999998</v>
      </c>
      <c r="J102" s="41">
        <f t="shared" si="12"/>
        <v>33416.450589</v>
      </c>
      <c r="K102" s="57">
        <v>0</v>
      </c>
      <c r="L102" s="62">
        <v>0</v>
      </c>
      <c r="M102" s="62">
        <v>0.58299999999999996</v>
      </c>
      <c r="N102" s="41">
        <v>0.26200000000000001</v>
      </c>
      <c r="O102" s="41">
        <f t="shared" si="13"/>
        <v>0.84499999999999997</v>
      </c>
      <c r="P102" s="41">
        <v>4764.5219999999999</v>
      </c>
      <c r="Q102" s="41">
        <v>0</v>
      </c>
      <c r="R102" s="42">
        <f t="shared" si="14"/>
        <v>4764.5219999999999</v>
      </c>
      <c r="S102" s="62"/>
      <c r="T102" s="50">
        <v>0</v>
      </c>
      <c r="U102" s="50">
        <f t="shared" si="15"/>
        <v>0</v>
      </c>
      <c r="V102" s="50">
        <v>0</v>
      </c>
      <c r="W102" s="50">
        <f t="shared" si="16"/>
        <v>0</v>
      </c>
      <c r="X102" s="50">
        <v>0</v>
      </c>
      <c r="Y102" s="50">
        <f t="shared" si="17"/>
        <v>0</v>
      </c>
      <c r="Z102" s="50">
        <v>0</v>
      </c>
      <c r="AA102" s="50">
        <f t="shared" si="18"/>
        <v>0</v>
      </c>
      <c r="AC102" s="53">
        <v>376.61799999999999</v>
      </c>
      <c r="AD102" s="81">
        <v>3050.6232</v>
      </c>
      <c r="AE102" s="77">
        <f t="shared" si="19"/>
        <v>0.58299999999999996</v>
      </c>
      <c r="AF102" s="86">
        <f t="shared" si="20"/>
        <v>0.26200000000000001</v>
      </c>
      <c r="AH102" s="88">
        <v>1002.303</v>
      </c>
      <c r="AI102" s="86">
        <f t="shared" si="21"/>
        <v>0.40700015430469494</v>
      </c>
      <c r="AK102" s="88">
        <v>941.20399999999995</v>
      </c>
      <c r="AL102" s="86">
        <f t="shared" si="22"/>
        <v>0.58569010578718106</v>
      </c>
      <c r="AN102" s="36">
        <v>987.52700000000004</v>
      </c>
    </row>
    <row r="103" spans="4:40" x14ac:dyDescent="0.35">
      <c r="D103" s="39">
        <f t="shared" si="23"/>
        <v>101</v>
      </c>
      <c r="E103" s="57">
        <v>0</v>
      </c>
      <c r="F103" s="41">
        <v>0</v>
      </c>
      <c r="G103" s="41">
        <v>0</v>
      </c>
      <c r="H103" s="41">
        <v>31779.83</v>
      </c>
      <c r="I103" s="41">
        <v>2704.48176496</v>
      </c>
      <c r="J103" s="41">
        <f t="shared" si="12"/>
        <v>34484.311764960003</v>
      </c>
      <c r="K103" s="57">
        <v>0</v>
      </c>
      <c r="L103" s="62">
        <v>0</v>
      </c>
      <c r="M103" s="62">
        <v>0.56299999999999994</v>
      </c>
      <c r="N103" s="41">
        <v>0.28300000000000003</v>
      </c>
      <c r="O103" s="41">
        <f t="shared" si="13"/>
        <v>0.84599999999999997</v>
      </c>
      <c r="P103" s="41">
        <v>4767.6689999999999</v>
      </c>
      <c r="Q103" s="41">
        <v>0</v>
      </c>
      <c r="R103" s="42">
        <f t="shared" si="14"/>
        <v>4767.6689999999999</v>
      </c>
      <c r="S103" s="62"/>
      <c r="T103" s="50">
        <v>0</v>
      </c>
      <c r="U103" s="50">
        <f t="shared" si="15"/>
        <v>0</v>
      </c>
      <c r="V103" s="50">
        <v>0</v>
      </c>
      <c r="W103" s="50">
        <f t="shared" si="16"/>
        <v>0</v>
      </c>
      <c r="X103" s="50">
        <v>0</v>
      </c>
      <c r="Y103" s="50">
        <f t="shared" si="17"/>
        <v>0</v>
      </c>
      <c r="Z103" s="50">
        <v>0</v>
      </c>
      <c r="AA103" s="50">
        <f t="shared" si="18"/>
        <v>0</v>
      </c>
      <c r="AC103" s="53">
        <v>363.69799999999998</v>
      </c>
      <c r="AD103" s="81">
        <v>3295.1388000000002</v>
      </c>
      <c r="AE103" s="77">
        <f t="shared" si="19"/>
        <v>0.56299999999999994</v>
      </c>
      <c r="AF103" s="86">
        <f t="shared" si="20"/>
        <v>0.28300000000000003</v>
      </c>
      <c r="AH103" s="88">
        <v>987.52700000000004</v>
      </c>
      <c r="AI103" s="86">
        <f t="shared" si="21"/>
        <v>0.4010001380620955</v>
      </c>
      <c r="AK103" s="88">
        <v>945.78499999999997</v>
      </c>
      <c r="AL103" s="86">
        <f t="shared" si="22"/>
        <v>0.58854075917859361</v>
      </c>
      <c r="AN103" s="36">
        <v>980.13900000000001</v>
      </c>
    </row>
    <row r="104" spans="4:40" x14ac:dyDescent="0.35">
      <c r="D104" s="39">
        <f t="shared" si="23"/>
        <v>102</v>
      </c>
      <c r="E104" s="57">
        <v>0</v>
      </c>
      <c r="F104" s="41">
        <v>0</v>
      </c>
      <c r="G104" s="41">
        <v>0</v>
      </c>
      <c r="H104" s="41">
        <v>33941.966999999997</v>
      </c>
      <c r="I104" s="41">
        <v>2896.52217703</v>
      </c>
      <c r="J104" s="41">
        <f t="shared" si="12"/>
        <v>36838.489177029995</v>
      </c>
      <c r="K104" s="57">
        <v>0</v>
      </c>
      <c r="L104" s="62">
        <v>0</v>
      </c>
      <c r="M104" s="62">
        <v>0.55700000000000005</v>
      </c>
      <c r="N104" s="41">
        <v>0.3</v>
      </c>
      <c r="O104" s="41">
        <f t="shared" si="13"/>
        <v>0.85699999999999998</v>
      </c>
      <c r="P104" s="41">
        <v>4904.3209999999999</v>
      </c>
      <c r="Q104" s="41">
        <v>0</v>
      </c>
      <c r="R104" s="42">
        <f t="shared" si="14"/>
        <v>4904.3209999999999</v>
      </c>
      <c r="S104" s="62"/>
      <c r="T104" s="50">
        <v>0</v>
      </c>
      <c r="U104" s="50">
        <f t="shared" si="15"/>
        <v>0</v>
      </c>
      <c r="V104" s="50">
        <v>0</v>
      </c>
      <c r="W104" s="50">
        <f t="shared" si="16"/>
        <v>0</v>
      </c>
      <c r="X104" s="50">
        <v>0</v>
      </c>
      <c r="Y104" s="50">
        <f t="shared" si="17"/>
        <v>0</v>
      </c>
      <c r="Z104" s="50">
        <v>0</v>
      </c>
      <c r="AA104" s="50">
        <f t="shared" si="18"/>
        <v>0</v>
      </c>
      <c r="AC104" s="53">
        <v>359.822</v>
      </c>
      <c r="AD104" s="81">
        <v>3493.08</v>
      </c>
      <c r="AE104" s="77">
        <f t="shared" si="19"/>
        <v>0.55700000000000005</v>
      </c>
      <c r="AF104" s="86">
        <f t="shared" si="20"/>
        <v>0.3</v>
      </c>
      <c r="AH104" s="88">
        <v>980.13900000000001</v>
      </c>
      <c r="AI104" s="86">
        <f t="shared" si="21"/>
        <v>0.39800012994079575</v>
      </c>
      <c r="AK104" s="88">
        <v>932.50099999999998</v>
      </c>
      <c r="AL104" s="86">
        <f t="shared" si="22"/>
        <v>0.58027442439327936</v>
      </c>
      <c r="AN104" s="36">
        <v>989.98900000000003</v>
      </c>
    </row>
    <row r="105" spans="4:40" x14ac:dyDescent="0.35">
      <c r="D105" s="39">
        <f t="shared" si="23"/>
        <v>103</v>
      </c>
      <c r="E105" s="57">
        <v>0</v>
      </c>
      <c r="F105" s="41">
        <v>0</v>
      </c>
      <c r="G105" s="41">
        <v>0</v>
      </c>
      <c r="H105" s="41">
        <v>37031.663</v>
      </c>
      <c r="I105" s="41">
        <v>3653.3815220500001</v>
      </c>
      <c r="J105" s="41">
        <f t="shared" si="12"/>
        <v>40685.044522049997</v>
      </c>
      <c r="K105" s="57">
        <v>0</v>
      </c>
      <c r="L105" s="62">
        <v>0</v>
      </c>
      <c r="M105" s="62">
        <v>0.56100000000000005</v>
      </c>
      <c r="N105" s="41">
        <v>0.29299999999999998</v>
      </c>
      <c r="O105" s="41">
        <f t="shared" si="13"/>
        <v>0.85400000000000009</v>
      </c>
      <c r="P105" s="41">
        <v>5261.7860000000001</v>
      </c>
      <c r="Q105" s="41">
        <v>0</v>
      </c>
      <c r="R105" s="42">
        <f t="shared" si="14"/>
        <v>5261.7860000000001</v>
      </c>
      <c r="S105" s="62"/>
      <c r="T105" s="50">
        <v>0</v>
      </c>
      <c r="U105" s="50">
        <f t="shared" si="15"/>
        <v>0</v>
      </c>
      <c r="V105" s="50">
        <v>0</v>
      </c>
      <c r="W105" s="50">
        <f t="shared" si="16"/>
        <v>0</v>
      </c>
      <c r="X105" s="50">
        <v>0</v>
      </c>
      <c r="Y105" s="50">
        <f t="shared" si="17"/>
        <v>0</v>
      </c>
      <c r="Z105" s="50">
        <v>0</v>
      </c>
      <c r="AA105" s="50">
        <f t="shared" si="18"/>
        <v>0</v>
      </c>
      <c r="AC105" s="53">
        <v>362.40600000000001</v>
      </c>
      <c r="AD105" s="81">
        <v>3411.5747999999999</v>
      </c>
      <c r="AE105" s="77">
        <f t="shared" si="19"/>
        <v>0.56100000000000005</v>
      </c>
      <c r="AF105" s="86">
        <f t="shared" si="20"/>
        <v>0.29299999999999998</v>
      </c>
      <c r="AH105" s="88">
        <v>989.98900000000003</v>
      </c>
      <c r="AI105" s="86">
        <f t="shared" si="21"/>
        <v>0.40199987005920429</v>
      </c>
      <c r="AK105" s="88">
        <v>923.06899999999996</v>
      </c>
      <c r="AL105" s="86">
        <f t="shared" si="22"/>
        <v>0.57440510267579337</v>
      </c>
      <c r="AN105" s="36">
        <v>1007.228</v>
      </c>
    </row>
    <row r="106" spans="4:40" x14ac:dyDescent="0.35">
      <c r="D106" s="39">
        <f t="shared" si="23"/>
        <v>104</v>
      </c>
      <c r="E106" s="57">
        <v>0</v>
      </c>
      <c r="F106" s="41">
        <v>0</v>
      </c>
      <c r="G106" s="41">
        <v>0</v>
      </c>
      <c r="H106" s="41">
        <v>39814.495000000003</v>
      </c>
      <c r="I106" s="41">
        <v>4060.6025534700002</v>
      </c>
      <c r="J106" s="41">
        <f t="shared" si="12"/>
        <v>43875.097553470005</v>
      </c>
      <c r="K106" s="57">
        <v>0</v>
      </c>
      <c r="L106" s="62">
        <v>0</v>
      </c>
      <c r="M106" s="62">
        <v>0.53800000000000003</v>
      </c>
      <c r="N106" s="41">
        <v>0.27099999999999996</v>
      </c>
      <c r="O106" s="41">
        <f t="shared" si="13"/>
        <v>0.80899999999999994</v>
      </c>
      <c r="P106" s="41">
        <v>5787.902</v>
      </c>
      <c r="Q106" s="41">
        <v>0</v>
      </c>
      <c r="R106" s="42">
        <f t="shared" si="14"/>
        <v>5787.902</v>
      </c>
      <c r="S106" s="62"/>
      <c r="T106" s="50">
        <v>0</v>
      </c>
      <c r="U106" s="50">
        <f t="shared" si="15"/>
        <v>0</v>
      </c>
      <c r="V106" s="50">
        <v>0</v>
      </c>
      <c r="W106" s="50">
        <f t="shared" si="16"/>
        <v>0</v>
      </c>
      <c r="X106" s="50">
        <v>0</v>
      </c>
      <c r="Y106" s="50">
        <f t="shared" si="17"/>
        <v>0</v>
      </c>
      <c r="Z106" s="50">
        <v>0</v>
      </c>
      <c r="AA106" s="50">
        <f t="shared" si="18"/>
        <v>0</v>
      </c>
      <c r="AC106" s="53">
        <v>347.548</v>
      </c>
      <c r="AD106" s="81">
        <v>3155.4155999999998</v>
      </c>
      <c r="AE106" s="77">
        <f t="shared" si="19"/>
        <v>0.53800000000000003</v>
      </c>
      <c r="AF106" s="86">
        <f t="shared" si="20"/>
        <v>0.27099999999999996</v>
      </c>
      <c r="AH106" s="88">
        <v>1007.228</v>
      </c>
      <c r="AI106" s="86">
        <f t="shared" si="21"/>
        <v>0.40900002436389921</v>
      </c>
      <c r="AK106" s="88">
        <v>898.92700000000002</v>
      </c>
      <c r="AL106" s="86">
        <f t="shared" si="22"/>
        <v>0.55938207840696952</v>
      </c>
      <c r="AN106" s="36">
        <v>1036.78</v>
      </c>
    </row>
    <row r="107" spans="4:40" x14ac:dyDescent="0.35">
      <c r="D107" s="39">
        <f t="shared" si="23"/>
        <v>105</v>
      </c>
      <c r="E107" s="57">
        <v>0</v>
      </c>
      <c r="F107" s="41">
        <v>0</v>
      </c>
      <c r="G107" s="41">
        <v>0</v>
      </c>
      <c r="H107" s="41">
        <v>41641.186000000002</v>
      </c>
      <c r="I107" s="41">
        <v>3896.9106042899998</v>
      </c>
      <c r="J107" s="41">
        <f t="shared" si="12"/>
        <v>45538.096604290004</v>
      </c>
      <c r="K107" s="57">
        <v>0</v>
      </c>
      <c r="L107" s="62">
        <v>0</v>
      </c>
      <c r="M107" s="62">
        <v>0.501</v>
      </c>
      <c r="N107" s="41">
        <v>0.27699999999999997</v>
      </c>
      <c r="O107" s="41">
        <f t="shared" si="13"/>
        <v>0.77800000000000002</v>
      </c>
      <c r="P107" s="41">
        <v>6273.2460000000001</v>
      </c>
      <c r="Q107" s="41">
        <v>0</v>
      </c>
      <c r="R107" s="42">
        <f t="shared" si="14"/>
        <v>6273.2460000000001</v>
      </c>
      <c r="S107" s="62"/>
      <c r="T107" s="50">
        <v>0</v>
      </c>
      <c r="U107" s="50">
        <f t="shared" si="15"/>
        <v>0</v>
      </c>
      <c r="V107" s="50">
        <v>0</v>
      </c>
      <c r="W107" s="50">
        <f t="shared" si="16"/>
        <v>0</v>
      </c>
      <c r="X107" s="50">
        <v>0</v>
      </c>
      <c r="Y107" s="50">
        <f t="shared" si="17"/>
        <v>0</v>
      </c>
      <c r="Z107" s="50">
        <v>0</v>
      </c>
      <c r="AA107" s="50">
        <f t="shared" si="18"/>
        <v>0</v>
      </c>
      <c r="AC107" s="53">
        <v>323.64600000000002</v>
      </c>
      <c r="AD107" s="81">
        <v>3225.2772</v>
      </c>
      <c r="AE107" s="77">
        <f t="shared" si="19"/>
        <v>0.501</v>
      </c>
      <c r="AF107" s="86">
        <f t="shared" si="20"/>
        <v>0.27699999999999997</v>
      </c>
      <c r="AH107" s="88">
        <v>1036.78</v>
      </c>
      <c r="AI107" s="86">
        <f t="shared" si="21"/>
        <v>0.42100005684909814</v>
      </c>
      <c r="AK107" s="88">
        <v>872.68399999999997</v>
      </c>
      <c r="AL107" s="86">
        <f t="shared" si="22"/>
        <v>0.54305164903546976</v>
      </c>
      <c r="AN107" s="36">
        <v>1051.556</v>
      </c>
    </row>
    <row r="108" spans="4:40" x14ac:dyDescent="0.35">
      <c r="D108" s="39">
        <f t="shared" si="23"/>
        <v>106</v>
      </c>
      <c r="E108" s="57">
        <v>0</v>
      </c>
      <c r="F108" s="41">
        <v>1.9E-2</v>
      </c>
      <c r="G108" s="41">
        <v>7.1999999999999897E-2</v>
      </c>
      <c r="H108" s="41">
        <v>42953.364999999998</v>
      </c>
      <c r="I108" s="41">
        <v>2410.80530421</v>
      </c>
      <c r="J108" s="41">
        <f t="shared" si="12"/>
        <v>45364.170304209998</v>
      </c>
      <c r="K108" s="57">
        <v>0.02</v>
      </c>
      <c r="L108" s="62">
        <v>2.1999999999999898E-2</v>
      </c>
      <c r="M108" s="62">
        <v>0.47000000000000003</v>
      </c>
      <c r="N108" s="41">
        <v>0.311</v>
      </c>
      <c r="O108" s="41">
        <f t="shared" si="13"/>
        <v>0.78100000000000003</v>
      </c>
      <c r="P108" s="41">
        <v>6495.6360000000004</v>
      </c>
      <c r="Q108" s="41">
        <v>0</v>
      </c>
      <c r="R108" s="42">
        <f t="shared" si="14"/>
        <v>6495.6360000000004</v>
      </c>
      <c r="S108" s="62"/>
      <c r="T108" s="50">
        <v>5229</v>
      </c>
      <c r="U108" s="50">
        <f t="shared" si="15"/>
        <v>6.3E-2</v>
      </c>
      <c r="V108" s="50">
        <v>91.295000000000002</v>
      </c>
      <c r="W108" s="50">
        <f t="shared" si="16"/>
        <v>1.9E-2</v>
      </c>
      <c r="X108" s="50">
        <v>690.15359999999998</v>
      </c>
      <c r="Y108" s="50">
        <f t="shared" si="17"/>
        <v>4.7999999999999994E-2</v>
      </c>
      <c r="Z108" s="50">
        <v>299.45690000000002</v>
      </c>
      <c r="AA108" s="50">
        <f t="shared" si="18"/>
        <v>3.1000000000000003E-2</v>
      </c>
      <c r="AC108" s="53">
        <v>303.62</v>
      </c>
      <c r="AD108" s="81">
        <v>3621.1596</v>
      </c>
      <c r="AE108" s="77">
        <f t="shared" si="19"/>
        <v>0.47000000000000003</v>
      </c>
      <c r="AF108" s="86">
        <f t="shared" si="20"/>
        <v>0.311</v>
      </c>
      <c r="AH108" s="88">
        <v>1051.556</v>
      </c>
      <c r="AI108" s="86">
        <f t="shared" si="21"/>
        <v>0.42700007309169763</v>
      </c>
      <c r="AK108" s="88">
        <v>872.47699999999998</v>
      </c>
      <c r="AL108" s="86">
        <f t="shared" si="22"/>
        <v>0.54292283758556314</v>
      </c>
      <c r="AN108" s="36">
        <v>1014.616</v>
      </c>
    </row>
    <row r="109" spans="4:40" x14ac:dyDescent="0.35">
      <c r="D109" s="39">
        <f t="shared" si="23"/>
        <v>107</v>
      </c>
      <c r="E109" s="57">
        <v>2.1999999999999902E-2</v>
      </c>
      <c r="F109" s="41">
        <v>0.05</v>
      </c>
      <c r="G109" s="41">
        <v>0.19600000000000001</v>
      </c>
      <c r="H109" s="41">
        <v>42971.334999999999</v>
      </c>
      <c r="I109" s="41">
        <v>1946.6902273799999</v>
      </c>
      <c r="J109" s="41">
        <f t="shared" si="12"/>
        <v>44918.02522738</v>
      </c>
      <c r="K109" s="57">
        <v>0.09</v>
      </c>
      <c r="L109" s="62">
        <v>9.5000000000000001E-2</v>
      </c>
      <c r="M109" s="62">
        <v>0.435</v>
      </c>
      <c r="N109" s="41">
        <v>0.36499999999999999</v>
      </c>
      <c r="O109" s="41">
        <f t="shared" si="13"/>
        <v>0.8</v>
      </c>
      <c r="P109" s="41">
        <v>6423.1790000000001</v>
      </c>
      <c r="Q109" s="41">
        <v>0</v>
      </c>
      <c r="R109" s="42">
        <f t="shared" si="14"/>
        <v>6423.1790000000001</v>
      </c>
      <c r="S109" s="62"/>
      <c r="T109" s="50">
        <v>15521</v>
      </c>
      <c r="U109" s="50">
        <f t="shared" si="15"/>
        <v>0.187</v>
      </c>
      <c r="V109" s="50">
        <v>240.25</v>
      </c>
      <c r="W109" s="50">
        <f t="shared" si="16"/>
        <v>0.05</v>
      </c>
      <c r="X109" s="50">
        <v>2803.7489999999998</v>
      </c>
      <c r="Y109" s="50">
        <f t="shared" si="17"/>
        <v>0.19499999999999998</v>
      </c>
      <c r="Z109" s="50">
        <v>1207.4875</v>
      </c>
      <c r="AA109" s="50">
        <f t="shared" si="18"/>
        <v>0.125</v>
      </c>
      <c r="AC109" s="53">
        <v>281.01</v>
      </c>
      <c r="AD109" s="81">
        <v>4249.9139999999998</v>
      </c>
      <c r="AE109" s="77">
        <f t="shared" si="19"/>
        <v>0.435</v>
      </c>
      <c r="AF109" s="86">
        <f t="shared" si="20"/>
        <v>0.36499999999999999</v>
      </c>
      <c r="AH109" s="88">
        <v>1014.616</v>
      </c>
      <c r="AI109" s="86">
        <f t="shared" si="21"/>
        <v>0.41200003248519895</v>
      </c>
      <c r="AK109" s="88">
        <v>876.93899999999996</v>
      </c>
      <c r="AL109" s="86">
        <f t="shared" si="22"/>
        <v>0.54569943995021775</v>
      </c>
      <c r="AN109" s="36">
        <v>994.91499999999996</v>
      </c>
    </row>
    <row r="110" spans="4:40" x14ac:dyDescent="0.35">
      <c r="D110" s="39">
        <f t="shared" si="23"/>
        <v>108</v>
      </c>
      <c r="E110" s="57">
        <v>2.7999999999999997E-2</v>
      </c>
      <c r="F110" s="41">
        <v>9.3000000000000013E-2</v>
      </c>
      <c r="G110" s="41">
        <v>0.313</v>
      </c>
      <c r="H110" s="41">
        <v>43535.764000000003</v>
      </c>
      <c r="I110" s="41">
        <v>2533.1995659700001</v>
      </c>
      <c r="J110" s="41">
        <f t="shared" si="12"/>
        <v>46068.96356597</v>
      </c>
      <c r="K110" s="57">
        <v>0.128</v>
      </c>
      <c r="L110" s="62">
        <v>0.17399999999999999</v>
      </c>
      <c r="M110" s="62">
        <v>0.39999999999999997</v>
      </c>
      <c r="N110" s="41">
        <v>0.499</v>
      </c>
      <c r="O110" s="41">
        <f t="shared" si="13"/>
        <v>0.89900000000000002</v>
      </c>
      <c r="P110" s="41">
        <v>6554.3549999999996</v>
      </c>
      <c r="Q110" s="41">
        <v>0</v>
      </c>
      <c r="R110" s="42">
        <f t="shared" si="14"/>
        <v>6554.3549999999996</v>
      </c>
      <c r="S110" s="62"/>
      <c r="T110" s="50">
        <v>22576</v>
      </c>
      <c r="U110" s="50">
        <f t="shared" si="15"/>
        <v>0.27200000000000002</v>
      </c>
      <c r="V110" s="50">
        <v>446.86500000000001</v>
      </c>
      <c r="W110" s="50">
        <f t="shared" si="16"/>
        <v>9.2999999999999999E-2</v>
      </c>
      <c r="X110" s="50">
        <v>4989.2353999999996</v>
      </c>
      <c r="Y110" s="50">
        <f t="shared" si="17"/>
        <v>0.34699999999999998</v>
      </c>
      <c r="Z110" s="50">
        <v>2202.4571999999998</v>
      </c>
      <c r="AA110" s="50">
        <f t="shared" si="18"/>
        <v>0.22799999999999998</v>
      </c>
      <c r="AC110" s="53">
        <v>258.39999999999998</v>
      </c>
      <c r="AD110" s="81">
        <v>5810.1563999999998</v>
      </c>
      <c r="AE110" s="77">
        <f t="shared" si="19"/>
        <v>0.39999999999999997</v>
      </c>
      <c r="AF110" s="86">
        <f t="shared" si="20"/>
        <v>0.499</v>
      </c>
      <c r="AH110" s="88">
        <v>994.91499999999996</v>
      </c>
      <c r="AI110" s="86">
        <f t="shared" si="21"/>
        <v>0.40400014618339519</v>
      </c>
      <c r="AK110" s="88">
        <v>893.80100000000004</v>
      </c>
      <c r="AL110" s="86">
        <f t="shared" si="22"/>
        <v>0.55619228375855634</v>
      </c>
      <c r="AN110" s="36">
        <v>0</v>
      </c>
    </row>
    <row r="111" spans="4:40" x14ac:dyDescent="0.35">
      <c r="D111" s="39">
        <f t="shared" si="23"/>
        <v>109</v>
      </c>
      <c r="E111" s="57">
        <v>2.3E-2</v>
      </c>
      <c r="F111" s="41">
        <v>0.14099999999999902</v>
      </c>
      <c r="G111" s="41">
        <v>0.40600000000000003</v>
      </c>
      <c r="H111" s="41">
        <v>44056.065000000002</v>
      </c>
      <c r="I111" s="41">
        <v>2828.8714661099998</v>
      </c>
      <c r="J111" s="41">
        <f t="shared" si="12"/>
        <v>46884.936466110004</v>
      </c>
      <c r="K111" s="57">
        <v>0.10800000000000001</v>
      </c>
      <c r="L111" s="62">
        <v>0.14499999999999902</v>
      </c>
      <c r="M111" s="62">
        <v>0.375</v>
      </c>
      <c r="N111" s="41">
        <v>0.57299999999999995</v>
      </c>
      <c r="O111" s="41">
        <f t="shared" si="13"/>
        <v>0.94799999999999995</v>
      </c>
      <c r="P111" s="41">
        <v>6677.2020000000002</v>
      </c>
      <c r="Q111" s="41">
        <v>0</v>
      </c>
      <c r="R111" s="42">
        <f t="shared" si="14"/>
        <v>6677.2020000000002</v>
      </c>
      <c r="S111" s="62"/>
      <c r="T111" s="50">
        <v>26726</v>
      </c>
      <c r="U111" s="50">
        <f t="shared" si="15"/>
        <v>0.32200000000000001</v>
      </c>
      <c r="V111" s="50">
        <v>677.505</v>
      </c>
      <c r="W111" s="50">
        <f t="shared" si="16"/>
        <v>0.14099999999999999</v>
      </c>
      <c r="X111" s="50">
        <v>6513.3245999999999</v>
      </c>
      <c r="Y111" s="50">
        <f t="shared" si="17"/>
        <v>0.45299999999999996</v>
      </c>
      <c r="Z111" s="50">
        <v>2849.6705000000002</v>
      </c>
      <c r="AA111" s="50">
        <f t="shared" si="18"/>
        <v>0.29500000000000004</v>
      </c>
      <c r="AC111" s="53">
        <v>242.25</v>
      </c>
      <c r="AD111" s="81">
        <v>6671.7828</v>
      </c>
      <c r="AE111" s="77">
        <f t="shared" si="19"/>
        <v>0.375</v>
      </c>
      <c r="AF111" s="86">
        <f t="shared" si="20"/>
        <v>0.57299999999999995</v>
      </c>
      <c r="AH111" s="88">
        <v>982.601</v>
      </c>
      <c r="AI111" s="86">
        <f t="shared" si="21"/>
        <v>0.39899986193790454</v>
      </c>
      <c r="AK111" s="88">
        <v>896.48599999999999</v>
      </c>
      <c r="AL111" s="86">
        <f t="shared" si="22"/>
        <v>0.55786309894212815</v>
      </c>
      <c r="AN111" s="36">
        <v>953.04899999999998</v>
      </c>
    </row>
    <row r="112" spans="4:40" x14ac:dyDescent="0.35">
      <c r="D112" s="39">
        <f t="shared" si="23"/>
        <v>110</v>
      </c>
      <c r="E112" s="57">
        <v>1.2E-2</v>
      </c>
      <c r="F112" s="41">
        <v>0.17800000000000002</v>
      </c>
      <c r="G112" s="41">
        <v>0.44900000000000001</v>
      </c>
      <c r="H112" s="41">
        <v>44045.722000000002</v>
      </c>
      <c r="I112" s="41">
        <v>2549.8728148700002</v>
      </c>
      <c r="J112" s="41">
        <f t="shared" si="12"/>
        <v>46595.594814870004</v>
      </c>
      <c r="K112" s="57">
        <v>7.5999999999999998E-2</v>
      </c>
      <c r="L112" s="62">
        <v>9.0999999999999998E-2</v>
      </c>
      <c r="M112" s="62">
        <v>0.37</v>
      </c>
      <c r="N112" s="41">
        <v>0.61399999999999999</v>
      </c>
      <c r="O112" s="41">
        <f t="shared" si="13"/>
        <v>0.98399999999999999</v>
      </c>
      <c r="P112" s="41">
        <v>6452.0839999999998</v>
      </c>
      <c r="Q112" s="41">
        <v>0</v>
      </c>
      <c r="R112" s="42">
        <f t="shared" si="14"/>
        <v>6452.0839999999998</v>
      </c>
      <c r="S112" s="62"/>
      <c r="T112" s="50">
        <v>28635</v>
      </c>
      <c r="U112" s="50">
        <f t="shared" si="15"/>
        <v>0.34499999999999997</v>
      </c>
      <c r="V112" s="50">
        <v>855.29</v>
      </c>
      <c r="W112" s="50">
        <f t="shared" si="16"/>
        <v>0.17799999999999999</v>
      </c>
      <c r="X112" s="50">
        <v>7160.3436000000002</v>
      </c>
      <c r="Y112" s="50">
        <f t="shared" si="17"/>
        <v>0.498</v>
      </c>
      <c r="Z112" s="50">
        <v>3071.8481999999999</v>
      </c>
      <c r="AA112" s="50">
        <f t="shared" si="18"/>
        <v>0.318</v>
      </c>
      <c r="AC112" s="53">
        <v>239.02</v>
      </c>
      <c r="AD112" s="81">
        <v>7149.1704</v>
      </c>
      <c r="AE112" s="77">
        <f t="shared" si="19"/>
        <v>0.37</v>
      </c>
      <c r="AF112" s="86">
        <f t="shared" si="20"/>
        <v>0.61399999999999999</v>
      </c>
      <c r="AH112" s="88">
        <v>953.04899999999998</v>
      </c>
      <c r="AI112" s="86">
        <f t="shared" si="21"/>
        <v>0.38699982945270561</v>
      </c>
      <c r="AK112" s="88">
        <v>870.77300000000002</v>
      </c>
      <c r="AL112" s="86">
        <f t="shared" si="22"/>
        <v>0.54186247666459242</v>
      </c>
      <c r="AN112" s="36">
        <v>0</v>
      </c>
    </row>
    <row r="113" spans="4:40" x14ac:dyDescent="0.35">
      <c r="D113" s="39">
        <f t="shared" si="23"/>
        <v>111</v>
      </c>
      <c r="E113" s="57">
        <v>0</v>
      </c>
      <c r="F113" s="41">
        <v>0.184</v>
      </c>
      <c r="G113" s="41">
        <v>0.43200000000000005</v>
      </c>
      <c r="H113" s="41">
        <v>43237.392</v>
      </c>
      <c r="I113" s="41">
        <v>1928.92882416</v>
      </c>
      <c r="J113" s="41">
        <f t="shared" si="12"/>
        <v>45166.32082416</v>
      </c>
      <c r="K113" s="57">
        <v>3.4000000000000002E-2</v>
      </c>
      <c r="L113" s="62">
        <v>0.04</v>
      </c>
      <c r="M113" s="62">
        <v>0.36699999999999999</v>
      </c>
      <c r="N113" s="41">
        <v>0.627</v>
      </c>
      <c r="O113" s="41">
        <f t="shared" si="13"/>
        <v>0.99399999999999999</v>
      </c>
      <c r="P113" s="41">
        <v>6412.6229999999996</v>
      </c>
      <c r="Q113" s="41">
        <v>0</v>
      </c>
      <c r="R113" s="42">
        <f t="shared" si="14"/>
        <v>6412.6229999999996</v>
      </c>
      <c r="S113" s="62"/>
      <c r="T113" s="50">
        <v>29050</v>
      </c>
      <c r="U113" s="50">
        <f t="shared" si="15"/>
        <v>0.35</v>
      </c>
      <c r="V113" s="50">
        <v>884.12</v>
      </c>
      <c r="W113" s="50">
        <f t="shared" si="16"/>
        <v>0.184</v>
      </c>
      <c r="X113" s="50">
        <v>6844.0231999999996</v>
      </c>
      <c r="Y113" s="50">
        <f t="shared" si="17"/>
        <v>0.47599999999999992</v>
      </c>
      <c r="Z113" s="50">
        <v>2820.6907999999999</v>
      </c>
      <c r="AA113" s="50">
        <f t="shared" si="18"/>
        <v>0.29199999999999998</v>
      </c>
      <c r="AC113" s="53">
        <v>237.08199999999999</v>
      </c>
      <c r="AD113" s="81">
        <v>7300.5371999999998</v>
      </c>
      <c r="AE113" s="77">
        <f t="shared" si="19"/>
        <v>0.36699999999999999</v>
      </c>
      <c r="AF113" s="86">
        <f t="shared" si="20"/>
        <v>0.627</v>
      </c>
      <c r="AH113" s="88">
        <v>962.9</v>
      </c>
      <c r="AI113" s="86">
        <f t="shared" si="21"/>
        <v>0.39099997563610084</v>
      </c>
      <c r="AK113" s="88">
        <v>879.36</v>
      </c>
      <c r="AL113" s="86">
        <f t="shared" si="22"/>
        <v>0.54720597386434355</v>
      </c>
      <c r="AN113" s="36">
        <v>0</v>
      </c>
    </row>
    <row r="114" spans="4:40" x14ac:dyDescent="0.35">
      <c r="D114" s="39">
        <f t="shared" si="23"/>
        <v>112</v>
      </c>
      <c r="E114" s="57">
        <v>0</v>
      </c>
      <c r="F114" s="41">
        <v>0.14899999999999902</v>
      </c>
      <c r="G114" s="41">
        <v>0.33500000000000002</v>
      </c>
      <c r="H114" s="41">
        <v>43095.959000000003</v>
      </c>
      <c r="I114" s="41">
        <v>1651.17552284</v>
      </c>
      <c r="J114" s="41">
        <f t="shared" si="12"/>
        <v>44747.134522840002</v>
      </c>
      <c r="K114" s="57">
        <v>1.7999999999999901E-2</v>
      </c>
      <c r="L114" s="62">
        <v>1.7999999999999901E-2</v>
      </c>
      <c r="M114" s="62">
        <v>0.36799999999999999</v>
      </c>
      <c r="N114" s="41">
        <v>0.60099999999999998</v>
      </c>
      <c r="O114" s="41">
        <f t="shared" si="13"/>
        <v>0.96899999999999997</v>
      </c>
      <c r="P114" s="41">
        <v>6413.6030000000001</v>
      </c>
      <c r="Q114" s="41">
        <v>0</v>
      </c>
      <c r="R114" s="42">
        <f t="shared" si="14"/>
        <v>6413.6030000000001</v>
      </c>
      <c r="S114" s="62"/>
      <c r="T114" s="50">
        <v>26643</v>
      </c>
      <c r="U114" s="50">
        <f t="shared" si="15"/>
        <v>0.32100000000000001</v>
      </c>
      <c r="V114" s="50">
        <v>715.94500000000005</v>
      </c>
      <c r="W114" s="50">
        <f t="shared" si="16"/>
        <v>0.14900000000000002</v>
      </c>
      <c r="X114" s="50">
        <v>5564.3634000000002</v>
      </c>
      <c r="Y114" s="50">
        <f t="shared" si="17"/>
        <v>0.38700000000000001</v>
      </c>
      <c r="Z114" s="50">
        <v>2173.4775</v>
      </c>
      <c r="AA114" s="50">
        <f t="shared" si="18"/>
        <v>0.22500000000000001</v>
      </c>
      <c r="AC114" s="53">
        <v>237.72800000000001</v>
      </c>
      <c r="AD114" s="81">
        <v>6997.8036000000002</v>
      </c>
      <c r="AE114" s="77">
        <f t="shared" si="19"/>
        <v>0.36799999999999999</v>
      </c>
      <c r="AF114" s="86">
        <f t="shared" si="20"/>
        <v>0.60099999999999998</v>
      </c>
      <c r="AH114" s="88">
        <v>950.58699999999999</v>
      </c>
      <c r="AI114" s="86">
        <f t="shared" si="21"/>
        <v>0.38600009745559682</v>
      </c>
      <c r="AK114" s="88">
        <v>885.97900000000004</v>
      </c>
      <c r="AL114" s="86">
        <f t="shared" si="22"/>
        <v>0.55132482887367773</v>
      </c>
      <c r="AN114" s="36">
        <v>982.601</v>
      </c>
    </row>
    <row r="115" spans="4:40" x14ac:dyDescent="0.35">
      <c r="D115" s="39">
        <f t="shared" si="23"/>
        <v>113</v>
      </c>
      <c r="E115" s="57">
        <v>0</v>
      </c>
      <c r="F115" s="41">
        <v>8.4000000000000005E-2</v>
      </c>
      <c r="G115" s="41">
        <v>0.2</v>
      </c>
      <c r="H115" s="41">
        <v>43820.275999999998</v>
      </c>
      <c r="I115" s="41">
        <v>1660.805145</v>
      </c>
      <c r="J115" s="41">
        <f t="shared" si="12"/>
        <v>45481.081144999996</v>
      </c>
      <c r="K115" s="57">
        <v>0</v>
      </c>
      <c r="L115" s="62">
        <v>0</v>
      </c>
      <c r="M115" s="62">
        <v>0.36799999999999999</v>
      </c>
      <c r="N115" s="41">
        <v>0.55999999999999994</v>
      </c>
      <c r="O115" s="41">
        <f t="shared" si="13"/>
        <v>0.92799999999999994</v>
      </c>
      <c r="P115" s="41">
        <v>6608.0029999999997</v>
      </c>
      <c r="Q115" s="41">
        <v>0</v>
      </c>
      <c r="R115" s="42">
        <f t="shared" si="14"/>
        <v>6608.0029999999997</v>
      </c>
      <c r="S115" s="62"/>
      <c r="T115" s="50">
        <v>18924</v>
      </c>
      <c r="U115" s="50">
        <f t="shared" si="15"/>
        <v>0.22800000000000001</v>
      </c>
      <c r="V115" s="50">
        <v>403.62</v>
      </c>
      <c r="W115" s="50">
        <f t="shared" si="16"/>
        <v>8.4000000000000005E-2</v>
      </c>
      <c r="X115" s="50">
        <v>3695.1974</v>
      </c>
      <c r="Y115" s="50">
        <f t="shared" si="17"/>
        <v>0.25700000000000001</v>
      </c>
      <c r="Z115" s="50">
        <v>1294.4266</v>
      </c>
      <c r="AA115" s="50">
        <f t="shared" si="18"/>
        <v>0.13400000000000001</v>
      </c>
      <c r="AC115" s="53">
        <v>237.72800000000001</v>
      </c>
      <c r="AD115" s="81">
        <v>6520.4160000000002</v>
      </c>
      <c r="AE115" s="77">
        <f t="shared" si="19"/>
        <v>0.36799999999999999</v>
      </c>
      <c r="AF115" s="86">
        <f t="shared" si="20"/>
        <v>0.55999999999999994</v>
      </c>
      <c r="AH115" s="88">
        <v>982.601</v>
      </c>
      <c r="AI115" s="86">
        <f t="shared" si="21"/>
        <v>0.39899986193790454</v>
      </c>
      <c r="AK115" s="88">
        <v>881.79200000000003</v>
      </c>
      <c r="AL115" s="86">
        <f t="shared" si="22"/>
        <v>0.54871935283136286</v>
      </c>
      <c r="AN115" s="36">
        <v>1108.1969999999999</v>
      </c>
    </row>
    <row r="116" spans="4:40" x14ac:dyDescent="0.35">
      <c r="D116" s="39">
        <f t="shared" si="23"/>
        <v>114</v>
      </c>
      <c r="E116" s="57">
        <v>0</v>
      </c>
      <c r="F116" s="41">
        <v>1.09999999999999E-2</v>
      </c>
      <c r="G116" s="41">
        <v>5.5999999999999994E-2</v>
      </c>
      <c r="H116" s="41">
        <v>46060.45</v>
      </c>
      <c r="I116" s="41">
        <v>1747.1325311000001</v>
      </c>
      <c r="J116" s="41">
        <f t="shared" si="12"/>
        <v>47807.582531099994</v>
      </c>
      <c r="K116" s="57">
        <v>0</v>
      </c>
      <c r="L116" s="62">
        <v>0</v>
      </c>
      <c r="M116" s="62">
        <v>0.36899999999999999</v>
      </c>
      <c r="N116" s="41">
        <v>0.33200000000000002</v>
      </c>
      <c r="O116" s="41">
        <f t="shared" si="13"/>
        <v>0.70100000000000007</v>
      </c>
      <c r="P116" s="41">
        <v>7061.5820000000003</v>
      </c>
      <c r="Q116" s="41">
        <v>0</v>
      </c>
      <c r="R116" s="42">
        <f t="shared" si="14"/>
        <v>7061.5820000000003</v>
      </c>
      <c r="S116" s="62"/>
      <c r="T116" s="50">
        <v>4814</v>
      </c>
      <c r="U116" s="50">
        <f t="shared" si="15"/>
        <v>5.8000000000000003E-2</v>
      </c>
      <c r="V116" s="50">
        <v>52.854999999999997</v>
      </c>
      <c r="W116" s="50">
        <f t="shared" si="16"/>
        <v>1.0999999999999999E-2</v>
      </c>
      <c r="X116" s="50">
        <v>1581.6020000000001</v>
      </c>
      <c r="Y116" s="50">
        <f t="shared" si="17"/>
        <v>0.11</v>
      </c>
      <c r="Z116" s="50">
        <v>454.01530000000002</v>
      </c>
      <c r="AA116" s="50">
        <f t="shared" si="18"/>
        <v>4.7000000000000007E-2</v>
      </c>
      <c r="AC116" s="53">
        <v>238.374</v>
      </c>
      <c r="AD116" s="81">
        <v>3865.6752000000001</v>
      </c>
      <c r="AE116" s="77">
        <f t="shared" si="19"/>
        <v>0.36899999999999999</v>
      </c>
      <c r="AF116" s="86">
        <f t="shared" si="20"/>
        <v>0.33200000000000002</v>
      </c>
      <c r="AH116" s="88">
        <v>1108.1969999999999</v>
      </c>
      <c r="AI116" s="86">
        <f t="shared" si="21"/>
        <v>0.44999999999999996</v>
      </c>
      <c r="AK116" s="88">
        <v>889.20500000000004</v>
      </c>
      <c r="AL116" s="86">
        <f t="shared" si="22"/>
        <v>0.55333229620410707</v>
      </c>
      <c r="AN116" s="36">
        <v>1130.3610000000001</v>
      </c>
    </row>
    <row r="117" spans="4:40" x14ac:dyDescent="0.35">
      <c r="D117" s="39">
        <f t="shared" si="23"/>
        <v>115</v>
      </c>
      <c r="E117" s="57">
        <v>0</v>
      </c>
      <c r="F117" s="41">
        <v>0</v>
      </c>
      <c r="G117" s="41">
        <v>0</v>
      </c>
      <c r="H117" s="41">
        <v>47164.550999999999</v>
      </c>
      <c r="I117" s="41">
        <v>1864.83769336</v>
      </c>
      <c r="J117" s="41">
        <f t="shared" si="12"/>
        <v>49029.388693360001</v>
      </c>
      <c r="K117" s="57">
        <v>0</v>
      </c>
      <c r="L117" s="62">
        <v>0</v>
      </c>
      <c r="M117" s="62">
        <v>0.36099999999999999</v>
      </c>
      <c r="N117" s="41">
        <v>0.16999999999999998</v>
      </c>
      <c r="O117" s="41">
        <f t="shared" si="13"/>
        <v>0.53099999999999992</v>
      </c>
      <c r="P117" s="41">
        <v>7459.0020000000004</v>
      </c>
      <c r="Q117" s="41">
        <v>0</v>
      </c>
      <c r="R117" s="42">
        <f t="shared" si="14"/>
        <v>7459.0020000000004</v>
      </c>
      <c r="S117" s="62"/>
      <c r="T117" s="50">
        <v>0</v>
      </c>
      <c r="U117" s="50">
        <f t="shared" si="15"/>
        <v>0</v>
      </c>
      <c r="V117" s="50">
        <v>0</v>
      </c>
      <c r="W117" s="50">
        <f t="shared" si="16"/>
        <v>0</v>
      </c>
      <c r="X117" s="50">
        <v>0</v>
      </c>
      <c r="Y117" s="50">
        <f t="shared" si="17"/>
        <v>0</v>
      </c>
      <c r="Z117" s="50">
        <v>0</v>
      </c>
      <c r="AA117" s="50">
        <f t="shared" si="18"/>
        <v>0</v>
      </c>
      <c r="AC117" s="53">
        <v>233.20599999999999</v>
      </c>
      <c r="AD117" s="81">
        <v>1979.412</v>
      </c>
      <c r="AE117" s="77">
        <f t="shared" si="19"/>
        <v>0.36099999999999999</v>
      </c>
      <c r="AF117" s="86">
        <f t="shared" si="20"/>
        <v>0.16999999999999998</v>
      </c>
      <c r="AH117" s="88">
        <v>1130.3610000000001</v>
      </c>
      <c r="AI117" s="86">
        <f t="shared" si="21"/>
        <v>0.45900002436389925</v>
      </c>
      <c r="AK117" s="88">
        <v>907.56899999999996</v>
      </c>
      <c r="AL117" s="86">
        <f t="shared" si="22"/>
        <v>0.56475980087118849</v>
      </c>
      <c r="AN117" s="36">
        <v>1132.8240000000001</v>
      </c>
    </row>
    <row r="118" spans="4:40" x14ac:dyDescent="0.35">
      <c r="D118" s="39">
        <f t="shared" si="23"/>
        <v>116</v>
      </c>
      <c r="E118" s="57">
        <v>0</v>
      </c>
      <c r="F118" s="41">
        <v>0</v>
      </c>
      <c r="G118" s="41">
        <v>0</v>
      </c>
      <c r="H118" s="41">
        <v>46362.288999999997</v>
      </c>
      <c r="I118" s="41">
        <v>1983.54918215</v>
      </c>
      <c r="J118" s="41">
        <f t="shared" si="12"/>
        <v>48345.838182149993</v>
      </c>
      <c r="K118" s="57">
        <v>0</v>
      </c>
      <c r="L118" s="62">
        <v>0</v>
      </c>
      <c r="M118" s="62">
        <v>0.33900000000000002</v>
      </c>
      <c r="N118" s="41">
        <v>0.13899999999999998</v>
      </c>
      <c r="O118" s="41">
        <f t="shared" si="13"/>
        <v>0.47799999999999998</v>
      </c>
      <c r="P118" s="41">
        <v>7511.308</v>
      </c>
      <c r="Q118" s="41">
        <v>0</v>
      </c>
      <c r="R118" s="42">
        <f t="shared" si="14"/>
        <v>7511.308</v>
      </c>
      <c r="S118" s="62"/>
      <c r="T118" s="50">
        <v>0</v>
      </c>
      <c r="U118" s="50">
        <f t="shared" si="15"/>
        <v>0</v>
      </c>
      <c r="V118" s="50">
        <v>0</v>
      </c>
      <c r="W118" s="50">
        <f t="shared" si="16"/>
        <v>0</v>
      </c>
      <c r="X118" s="50">
        <v>0</v>
      </c>
      <c r="Y118" s="50">
        <f t="shared" si="17"/>
        <v>0</v>
      </c>
      <c r="Z118" s="50">
        <v>0</v>
      </c>
      <c r="AA118" s="50">
        <f t="shared" si="18"/>
        <v>0</v>
      </c>
      <c r="AC118" s="53">
        <v>218.994</v>
      </c>
      <c r="AD118" s="81">
        <v>1618.4603999999999</v>
      </c>
      <c r="AE118" s="77">
        <f t="shared" si="19"/>
        <v>0.33900000000000002</v>
      </c>
      <c r="AF118" s="86">
        <f t="shared" si="20"/>
        <v>0.13899999999999998</v>
      </c>
      <c r="AH118" s="88">
        <v>1132.8240000000001</v>
      </c>
      <c r="AI118" s="86">
        <f t="shared" si="21"/>
        <v>0.46000016242599473</v>
      </c>
      <c r="AK118" s="88">
        <v>923.32399999999996</v>
      </c>
      <c r="AL118" s="86">
        <f t="shared" si="22"/>
        <v>0.57456378344741754</v>
      </c>
      <c r="AN118" s="36">
        <v>1132.8240000000001</v>
      </c>
    </row>
    <row r="119" spans="4:40" x14ac:dyDescent="0.35">
      <c r="D119" s="39">
        <f t="shared" si="23"/>
        <v>117</v>
      </c>
      <c r="E119" s="57">
        <v>0</v>
      </c>
      <c r="F119" s="41">
        <v>0</v>
      </c>
      <c r="G119" s="41">
        <v>0</v>
      </c>
      <c r="H119" s="41">
        <v>44574.281000000003</v>
      </c>
      <c r="I119" s="41">
        <v>1940.21043781</v>
      </c>
      <c r="J119" s="41">
        <f t="shared" si="12"/>
        <v>46514.49143781</v>
      </c>
      <c r="K119" s="57">
        <v>0</v>
      </c>
      <c r="L119" s="62">
        <v>0</v>
      </c>
      <c r="M119" s="62">
        <v>0.315</v>
      </c>
      <c r="N119" s="41">
        <v>0.151</v>
      </c>
      <c r="O119" s="41">
        <f t="shared" si="13"/>
        <v>0.46599999999999997</v>
      </c>
      <c r="P119" s="41">
        <v>7234.3190000000004</v>
      </c>
      <c r="Q119" s="41">
        <v>0</v>
      </c>
      <c r="R119" s="42">
        <f t="shared" si="14"/>
        <v>7234.3190000000004</v>
      </c>
      <c r="S119" s="62"/>
      <c r="T119" s="50">
        <v>0</v>
      </c>
      <c r="U119" s="50">
        <f t="shared" si="15"/>
        <v>0</v>
      </c>
      <c r="V119" s="50">
        <v>0</v>
      </c>
      <c r="W119" s="50">
        <f t="shared" si="16"/>
        <v>0</v>
      </c>
      <c r="X119" s="50">
        <v>0</v>
      </c>
      <c r="Y119" s="50">
        <f t="shared" si="17"/>
        <v>0</v>
      </c>
      <c r="Z119" s="50">
        <v>0</v>
      </c>
      <c r="AA119" s="50">
        <f t="shared" si="18"/>
        <v>0</v>
      </c>
      <c r="AC119" s="53">
        <v>203.49</v>
      </c>
      <c r="AD119" s="81">
        <v>1758.1836000000001</v>
      </c>
      <c r="AE119" s="77">
        <f t="shared" si="19"/>
        <v>0.315</v>
      </c>
      <c r="AF119" s="86">
        <f t="shared" si="20"/>
        <v>0.151</v>
      </c>
      <c r="AH119" s="88">
        <v>1132.8240000000001</v>
      </c>
      <c r="AI119" s="86">
        <f t="shared" si="21"/>
        <v>0.46000016242599473</v>
      </c>
      <c r="AK119" s="88">
        <v>912.42499999999995</v>
      </c>
      <c r="AL119" s="86">
        <f t="shared" si="22"/>
        <v>0.56778158058494088</v>
      </c>
      <c r="AN119" s="36">
        <v>1127.8979999999999</v>
      </c>
    </row>
    <row r="120" spans="4:40" x14ac:dyDescent="0.35">
      <c r="D120" s="39">
        <f t="shared" si="23"/>
        <v>118</v>
      </c>
      <c r="E120" s="57">
        <v>0</v>
      </c>
      <c r="F120" s="41">
        <v>0</v>
      </c>
      <c r="G120" s="41">
        <v>0</v>
      </c>
      <c r="H120" s="41">
        <v>42176.116999999998</v>
      </c>
      <c r="I120" s="41">
        <v>1853.9826188300001</v>
      </c>
      <c r="J120" s="41">
        <f t="shared" si="12"/>
        <v>44030.099618829998</v>
      </c>
      <c r="K120" s="57">
        <v>0</v>
      </c>
      <c r="L120" s="62">
        <v>0</v>
      </c>
      <c r="M120" s="62">
        <v>0.28500000000000003</v>
      </c>
      <c r="N120" s="41">
        <v>0.191</v>
      </c>
      <c r="O120" s="41">
        <f t="shared" si="13"/>
        <v>0.47600000000000003</v>
      </c>
      <c r="P120" s="41">
        <v>6791.7879999999996</v>
      </c>
      <c r="Q120" s="41">
        <v>0</v>
      </c>
      <c r="R120" s="42">
        <f t="shared" si="14"/>
        <v>6791.7879999999996</v>
      </c>
      <c r="S120" s="62"/>
      <c r="T120" s="50">
        <v>0</v>
      </c>
      <c r="U120" s="50">
        <f t="shared" si="15"/>
        <v>0</v>
      </c>
      <c r="V120" s="50">
        <v>0</v>
      </c>
      <c r="W120" s="50">
        <f t="shared" si="16"/>
        <v>0</v>
      </c>
      <c r="X120" s="50">
        <v>0</v>
      </c>
      <c r="Y120" s="50">
        <f t="shared" si="17"/>
        <v>0</v>
      </c>
      <c r="Z120" s="50">
        <v>0</v>
      </c>
      <c r="AA120" s="50">
        <f t="shared" si="18"/>
        <v>0</v>
      </c>
      <c r="AC120" s="53">
        <v>184.11</v>
      </c>
      <c r="AD120" s="81">
        <v>2223.9276</v>
      </c>
      <c r="AE120" s="77">
        <f t="shared" si="19"/>
        <v>0.28500000000000003</v>
      </c>
      <c r="AF120" s="86">
        <f t="shared" si="20"/>
        <v>0.191</v>
      </c>
      <c r="AH120" s="88">
        <v>1127.8979999999999</v>
      </c>
      <c r="AI120" s="86">
        <f t="shared" si="21"/>
        <v>0.45799988630180372</v>
      </c>
      <c r="AK120" s="88">
        <v>912.06700000000001</v>
      </c>
      <c r="AL120" s="86">
        <f t="shared" si="22"/>
        <v>0.56755880522713131</v>
      </c>
      <c r="AN120" s="36">
        <v>1113.1220000000001</v>
      </c>
    </row>
    <row r="121" spans="4:40" x14ac:dyDescent="0.35">
      <c r="D121" s="39">
        <f t="shared" si="23"/>
        <v>119</v>
      </c>
      <c r="E121" s="57">
        <v>0</v>
      </c>
      <c r="F121" s="41">
        <v>0</v>
      </c>
      <c r="G121" s="41">
        <v>0</v>
      </c>
      <c r="H121" s="41">
        <v>39847.639000000003</v>
      </c>
      <c r="I121" s="41">
        <v>1859.54534713</v>
      </c>
      <c r="J121" s="41">
        <f t="shared" si="12"/>
        <v>41707.184347130002</v>
      </c>
      <c r="K121" s="57">
        <v>0</v>
      </c>
      <c r="L121" s="62">
        <v>0</v>
      </c>
      <c r="M121" s="62">
        <v>0.246</v>
      </c>
      <c r="N121" s="41">
        <v>0.23899999999999999</v>
      </c>
      <c r="O121" s="41">
        <f t="shared" si="13"/>
        <v>0.48499999999999999</v>
      </c>
      <c r="P121" s="41">
        <v>6938.5410000000002</v>
      </c>
      <c r="Q121" s="41">
        <v>0</v>
      </c>
      <c r="R121" s="42">
        <f t="shared" si="14"/>
        <v>6938.5410000000002</v>
      </c>
      <c r="S121" s="62"/>
      <c r="T121" s="50">
        <v>0</v>
      </c>
      <c r="U121" s="50">
        <f t="shared" si="15"/>
        <v>0</v>
      </c>
      <c r="V121" s="50">
        <v>0</v>
      </c>
      <c r="W121" s="50">
        <f t="shared" si="16"/>
        <v>0</v>
      </c>
      <c r="X121" s="50">
        <v>0</v>
      </c>
      <c r="Y121" s="50">
        <f t="shared" si="17"/>
        <v>0</v>
      </c>
      <c r="Z121" s="50">
        <v>0</v>
      </c>
      <c r="AA121" s="50">
        <f t="shared" si="18"/>
        <v>0</v>
      </c>
      <c r="AC121" s="53">
        <v>158.916</v>
      </c>
      <c r="AD121" s="81">
        <v>2782.8204000000001</v>
      </c>
      <c r="AE121" s="77">
        <f t="shared" si="19"/>
        <v>0.246</v>
      </c>
      <c r="AF121" s="86">
        <f t="shared" si="20"/>
        <v>0.23899999999999999</v>
      </c>
      <c r="AH121" s="88">
        <v>1113.1220000000001</v>
      </c>
      <c r="AI121" s="86">
        <f t="shared" si="21"/>
        <v>0.45199987005920433</v>
      </c>
      <c r="AK121" s="88">
        <v>897.75900000000001</v>
      </c>
      <c r="AL121" s="86">
        <f t="shared" si="22"/>
        <v>0.55865525824517737</v>
      </c>
      <c r="AN121" s="36">
        <v>1071.2570000000001</v>
      </c>
    </row>
    <row r="122" spans="4:40" x14ac:dyDescent="0.35">
      <c r="D122" s="39">
        <f t="shared" si="23"/>
        <v>120</v>
      </c>
      <c r="E122" s="57">
        <v>0</v>
      </c>
      <c r="F122" s="41">
        <v>0</v>
      </c>
      <c r="G122" s="41">
        <v>0</v>
      </c>
      <c r="H122" s="41">
        <v>37475.285000000003</v>
      </c>
      <c r="I122" s="41">
        <v>1550.2014247499999</v>
      </c>
      <c r="J122" s="41">
        <f t="shared" si="12"/>
        <v>39025.486424750001</v>
      </c>
      <c r="K122" s="57">
        <v>0</v>
      </c>
      <c r="L122" s="62">
        <v>0</v>
      </c>
      <c r="M122" s="62">
        <v>0.21199999999999999</v>
      </c>
      <c r="N122" s="41">
        <v>0.27200000000000002</v>
      </c>
      <c r="O122" s="41">
        <f t="shared" si="13"/>
        <v>0.48399999999999999</v>
      </c>
      <c r="P122" s="41">
        <v>6454.8519999999999</v>
      </c>
      <c r="Q122" s="41">
        <v>0</v>
      </c>
      <c r="R122" s="42">
        <f t="shared" si="14"/>
        <v>6454.8519999999999</v>
      </c>
      <c r="S122" s="62"/>
      <c r="T122" s="50">
        <v>0</v>
      </c>
      <c r="U122" s="50">
        <f t="shared" si="15"/>
        <v>0</v>
      </c>
      <c r="V122" s="50">
        <v>0</v>
      </c>
      <c r="W122" s="50">
        <f t="shared" si="16"/>
        <v>0</v>
      </c>
      <c r="X122" s="50">
        <v>0</v>
      </c>
      <c r="Y122" s="50">
        <f t="shared" si="17"/>
        <v>0</v>
      </c>
      <c r="Z122" s="50">
        <v>0</v>
      </c>
      <c r="AA122" s="50">
        <f t="shared" si="18"/>
        <v>0</v>
      </c>
      <c r="AC122" s="53">
        <v>136.952</v>
      </c>
      <c r="AD122" s="81">
        <v>3167.0592000000001</v>
      </c>
      <c r="AE122" s="77">
        <f t="shared" si="19"/>
        <v>0.21199999999999999</v>
      </c>
      <c r="AF122" s="86">
        <f t="shared" si="20"/>
        <v>0.27200000000000002</v>
      </c>
      <c r="AH122" s="88">
        <v>1071.2570000000001</v>
      </c>
      <c r="AI122" s="86">
        <f t="shared" si="21"/>
        <v>0.43499995939350139</v>
      </c>
      <c r="AK122" s="88">
        <v>896.00099999999998</v>
      </c>
      <c r="AL122" s="86">
        <f t="shared" si="22"/>
        <v>0.55756129433727442</v>
      </c>
      <c r="AN122" s="36">
        <v>886.55799999999999</v>
      </c>
    </row>
    <row r="123" spans="4:40" x14ac:dyDescent="0.35">
      <c r="D123" s="39">
        <f t="shared" si="23"/>
        <v>121</v>
      </c>
      <c r="E123" s="57">
        <v>0</v>
      </c>
      <c r="F123" s="41">
        <v>0</v>
      </c>
      <c r="G123" s="41">
        <v>0</v>
      </c>
      <c r="H123" s="41">
        <v>34403.582999999999</v>
      </c>
      <c r="I123" s="41">
        <v>1260.06562431</v>
      </c>
      <c r="J123" s="41">
        <f t="shared" si="12"/>
        <v>35663.648624310001</v>
      </c>
      <c r="K123" s="57">
        <v>0</v>
      </c>
      <c r="L123" s="62">
        <v>0</v>
      </c>
      <c r="M123" s="62">
        <v>0.17899999999999999</v>
      </c>
      <c r="N123" s="41">
        <v>0.28099999999999997</v>
      </c>
      <c r="O123" s="41">
        <f t="shared" si="13"/>
        <v>0.45999999999999996</v>
      </c>
      <c r="P123" s="41">
        <v>5643.5910000000003</v>
      </c>
      <c r="Q123" s="41">
        <v>0</v>
      </c>
      <c r="R123" s="42">
        <f t="shared" si="14"/>
        <v>5643.5910000000003</v>
      </c>
      <c r="S123" s="62"/>
      <c r="T123" s="50">
        <v>0</v>
      </c>
      <c r="U123" s="50">
        <f t="shared" si="15"/>
        <v>0</v>
      </c>
      <c r="V123" s="50">
        <v>0</v>
      </c>
      <c r="W123" s="50">
        <f t="shared" si="16"/>
        <v>0</v>
      </c>
      <c r="X123" s="50">
        <v>0</v>
      </c>
      <c r="Y123" s="50">
        <f t="shared" si="17"/>
        <v>0</v>
      </c>
      <c r="Z123" s="50">
        <v>0</v>
      </c>
      <c r="AA123" s="50">
        <f t="shared" si="18"/>
        <v>0</v>
      </c>
      <c r="AC123" s="53">
        <v>115.634</v>
      </c>
      <c r="AD123" s="81">
        <v>3271.8516</v>
      </c>
      <c r="AE123" s="77">
        <f t="shared" si="19"/>
        <v>0.17899999999999999</v>
      </c>
      <c r="AF123" s="86">
        <f t="shared" si="20"/>
        <v>0.28099999999999997</v>
      </c>
      <c r="AH123" s="88">
        <v>886.55799999999999</v>
      </c>
      <c r="AI123" s="86">
        <f t="shared" si="21"/>
        <v>0.3600001624259947</v>
      </c>
      <c r="AK123" s="88">
        <v>875.71799999999996</v>
      </c>
      <c r="AL123" s="86">
        <f t="shared" si="22"/>
        <v>0.5449396390790292</v>
      </c>
      <c r="AN123" s="36">
        <v>871.78200000000004</v>
      </c>
    </row>
    <row r="124" spans="4:40" x14ac:dyDescent="0.35">
      <c r="D124" s="39">
        <f t="shared" si="23"/>
        <v>122</v>
      </c>
      <c r="E124" s="57">
        <v>0</v>
      </c>
      <c r="F124" s="41">
        <v>0</v>
      </c>
      <c r="G124" s="41">
        <v>0</v>
      </c>
      <c r="H124" s="41">
        <v>32286.286</v>
      </c>
      <c r="I124" s="41">
        <v>950.67906937999999</v>
      </c>
      <c r="J124" s="41">
        <f t="shared" si="12"/>
        <v>33236.965069379999</v>
      </c>
      <c r="K124" s="57">
        <v>0</v>
      </c>
      <c r="L124" s="62">
        <v>0</v>
      </c>
      <c r="M124" s="62">
        <v>0.14799999999999999</v>
      </c>
      <c r="N124" s="41">
        <v>0.25599999999999995</v>
      </c>
      <c r="O124" s="41">
        <f t="shared" si="13"/>
        <v>0.40399999999999991</v>
      </c>
      <c r="P124" s="41">
        <v>5246</v>
      </c>
      <c r="Q124" s="41">
        <v>0</v>
      </c>
      <c r="R124" s="42">
        <f t="shared" si="14"/>
        <v>5246</v>
      </c>
      <c r="S124" s="62"/>
      <c r="T124" s="50">
        <v>0</v>
      </c>
      <c r="U124" s="50">
        <f t="shared" si="15"/>
        <v>0</v>
      </c>
      <c r="V124" s="50">
        <v>0</v>
      </c>
      <c r="W124" s="50">
        <f t="shared" si="16"/>
        <v>0</v>
      </c>
      <c r="X124" s="50">
        <v>0</v>
      </c>
      <c r="Y124" s="50">
        <f t="shared" si="17"/>
        <v>0</v>
      </c>
      <c r="Z124" s="50">
        <v>0</v>
      </c>
      <c r="AA124" s="50">
        <f t="shared" si="18"/>
        <v>0</v>
      </c>
      <c r="AC124" s="53">
        <v>95.608000000000004</v>
      </c>
      <c r="AD124" s="81">
        <v>2980.7615999999998</v>
      </c>
      <c r="AE124" s="77">
        <f t="shared" si="19"/>
        <v>0.14799999999999999</v>
      </c>
      <c r="AF124" s="86">
        <f t="shared" si="20"/>
        <v>0.25599999999999995</v>
      </c>
      <c r="AH124" s="88">
        <v>871.78200000000004</v>
      </c>
      <c r="AI124" s="86">
        <f t="shared" si="21"/>
        <v>0.3540001461833952</v>
      </c>
      <c r="AK124" s="88">
        <v>867.94899999999996</v>
      </c>
      <c r="AL124" s="86">
        <f t="shared" si="22"/>
        <v>0.54010516490354699</v>
      </c>
      <c r="AN124" s="36">
        <v>864.39400000000001</v>
      </c>
    </row>
    <row r="125" spans="4:40" x14ac:dyDescent="0.35">
      <c r="D125" s="39">
        <f t="shared" si="23"/>
        <v>123</v>
      </c>
      <c r="E125" s="57">
        <v>0</v>
      </c>
      <c r="F125" s="41">
        <v>0</v>
      </c>
      <c r="G125" s="41">
        <v>0</v>
      </c>
      <c r="H125" s="41">
        <v>30708.298999999999</v>
      </c>
      <c r="I125" s="41">
        <v>1573.8567565000001</v>
      </c>
      <c r="J125" s="41">
        <f t="shared" si="12"/>
        <v>32282.1557565</v>
      </c>
      <c r="K125" s="57">
        <v>0</v>
      </c>
      <c r="L125" s="62">
        <v>0</v>
      </c>
      <c r="M125" s="62">
        <v>0.127</v>
      </c>
      <c r="N125" s="41">
        <v>0.221</v>
      </c>
      <c r="O125" s="41">
        <f t="shared" si="13"/>
        <v>0.34799999999999998</v>
      </c>
      <c r="P125" s="41">
        <v>4773.5889999999999</v>
      </c>
      <c r="Q125" s="41">
        <v>0</v>
      </c>
      <c r="R125" s="42">
        <f t="shared" si="14"/>
        <v>4773.5889999999999</v>
      </c>
      <c r="S125" s="62"/>
      <c r="T125" s="50">
        <v>0</v>
      </c>
      <c r="U125" s="50">
        <f t="shared" si="15"/>
        <v>0</v>
      </c>
      <c r="V125" s="50">
        <v>0</v>
      </c>
      <c r="W125" s="50">
        <f t="shared" si="16"/>
        <v>0</v>
      </c>
      <c r="X125" s="50">
        <v>0</v>
      </c>
      <c r="Y125" s="50">
        <f t="shared" si="17"/>
        <v>0</v>
      </c>
      <c r="Z125" s="50">
        <v>0</v>
      </c>
      <c r="AA125" s="50">
        <f t="shared" si="18"/>
        <v>0</v>
      </c>
      <c r="AC125" s="53">
        <v>82.042000000000002</v>
      </c>
      <c r="AD125" s="81">
        <v>2573.2356</v>
      </c>
      <c r="AE125" s="77">
        <f t="shared" si="19"/>
        <v>0.127</v>
      </c>
      <c r="AF125" s="86">
        <f t="shared" si="20"/>
        <v>0.221</v>
      </c>
      <c r="AH125" s="88">
        <v>864.39400000000001</v>
      </c>
      <c r="AI125" s="86">
        <f t="shared" si="21"/>
        <v>0.35100013806209546</v>
      </c>
      <c r="AK125" s="88">
        <v>865.53800000000001</v>
      </c>
      <c r="AL125" s="86">
        <f t="shared" si="22"/>
        <v>0.53860485376477907</v>
      </c>
      <c r="AN125" s="36">
        <v>861.93100000000004</v>
      </c>
    </row>
    <row r="126" spans="4:40" x14ac:dyDescent="0.35">
      <c r="D126" s="39">
        <f t="shared" si="23"/>
        <v>124</v>
      </c>
      <c r="E126" s="57">
        <v>0</v>
      </c>
      <c r="F126" s="41">
        <v>0</v>
      </c>
      <c r="G126" s="41">
        <v>0</v>
      </c>
      <c r="H126" s="41">
        <v>29613.284</v>
      </c>
      <c r="I126" s="41">
        <v>2506.5258746300001</v>
      </c>
      <c r="J126" s="41">
        <f t="shared" si="12"/>
        <v>32119.809874629998</v>
      </c>
      <c r="K126" s="57">
        <v>0</v>
      </c>
      <c r="L126" s="62">
        <v>0</v>
      </c>
      <c r="M126" s="62">
        <v>0.113</v>
      </c>
      <c r="N126" s="41">
        <v>0.19899999999999998</v>
      </c>
      <c r="O126" s="41">
        <f t="shared" si="13"/>
        <v>0.312</v>
      </c>
      <c r="P126" s="41">
        <v>4611.43</v>
      </c>
      <c r="Q126" s="41">
        <v>0</v>
      </c>
      <c r="R126" s="42">
        <f t="shared" si="14"/>
        <v>4611.43</v>
      </c>
      <c r="S126" s="62"/>
      <c r="T126" s="50">
        <v>0</v>
      </c>
      <c r="U126" s="50">
        <f t="shared" si="15"/>
        <v>0</v>
      </c>
      <c r="V126" s="50">
        <v>0</v>
      </c>
      <c r="W126" s="50">
        <f t="shared" si="16"/>
        <v>0</v>
      </c>
      <c r="X126" s="50">
        <v>0</v>
      </c>
      <c r="Y126" s="50">
        <f t="shared" si="17"/>
        <v>0</v>
      </c>
      <c r="Z126" s="50">
        <v>0</v>
      </c>
      <c r="AA126" s="50">
        <f t="shared" si="18"/>
        <v>0</v>
      </c>
      <c r="AC126" s="53">
        <v>72.998000000000005</v>
      </c>
      <c r="AD126" s="81">
        <v>2317.0763999999999</v>
      </c>
      <c r="AE126" s="77">
        <f t="shared" si="19"/>
        <v>0.113</v>
      </c>
      <c r="AF126" s="86">
        <f t="shared" si="20"/>
        <v>0.19899999999999998</v>
      </c>
      <c r="AH126" s="88">
        <v>861.93100000000004</v>
      </c>
      <c r="AI126" s="86">
        <f t="shared" si="21"/>
        <v>0.35000000000000003</v>
      </c>
      <c r="AK126" s="88">
        <v>873.54</v>
      </c>
      <c r="AL126" s="86">
        <f t="shared" si="22"/>
        <v>0.54358431860609835</v>
      </c>
      <c r="AN126" s="36">
        <v>859.46799999999996</v>
      </c>
    </row>
    <row r="127" spans="4:40" x14ac:dyDescent="0.35">
      <c r="D127" s="39">
        <f t="shared" si="23"/>
        <v>125</v>
      </c>
      <c r="E127" s="57">
        <v>0</v>
      </c>
      <c r="F127" s="41">
        <v>0</v>
      </c>
      <c r="G127" s="41">
        <v>0</v>
      </c>
      <c r="H127" s="41">
        <v>28629.774000000001</v>
      </c>
      <c r="I127" s="41">
        <v>2823.7174552699998</v>
      </c>
      <c r="J127" s="41">
        <f t="shared" si="12"/>
        <v>31453.491455269999</v>
      </c>
      <c r="K127" s="57">
        <v>0</v>
      </c>
      <c r="L127" s="62">
        <v>0</v>
      </c>
      <c r="M127" s="62">
        <v>0.107</v>
      </c>
      <c r="N127" s="41">
        <v>0.19899999999999998</v>
      </c>
      <c r="O127" s="41">
        <f t="shared" si="13"/>
        <v>0.30599999999999999</v>
      </c>
      <c r="P127" s="41">
        <v>4572.915</v>
      </c>
      <c r="Q127" s="41">
        <v>0</v>
      </c>
      <c r="R127" s="42">
        <f t="shared" si="14"/>
        <v>4572.915</v>
      </c>
      <c r="S127" s="62"/>
      <c r="T127" s="50">
        <v>0</v>
      </c>
      <c r="U127" s="50">
        <f t="shared" si="15"/>
        <v>0</v>
      </c>
      <c r="V127" s="50">
        <v>0</v>
      </c>
      <c r="W127" s="50">
        <f t="shared" si="16"/>
        <v>0</v>
      </c>
      <c r="X127" s="50">
        <v>0</v>
      </c>
      <c r="Y127" s="50">
        <f t="shared" si="17"/>
        <v>0</v>
      </c>
      <c r="Z127" s="50">
        <v>0</v>
      </c>
      <c r="AA127" s="50">
        <f t="shared" si="18"/>
        <v>0</v>
      </c>
      <c r="AC127" s="53">
        <v>69.122</v>
      </c>
      <c r="AD127" s="81">
        <v>2317.0763999999999</v>
      </c>
      <c r="AE127" s="77">
        <f t="shared" si="19"/>
        <v>0.107</v>
      </c>
      <c r="AF127" s="86">
        <f t="shared" si="20"/>
        <v>0.19899999999999998</v>
      </c>
      <c r="AH127" s="88">
        <v>859.46799999999996</v>
      </c>
      <c r="AI127" s="86">
        <f t="shared" si="21"/>
        <v>0.34899986193790455</v>
      </c>
      <c r="AK127" s="88">
        <v>868.88400000000001</v>
      </c>
      <c r="AL127" s="86">
        <f t="shared" si="22"/>
        <v>0.54068699439950219</v>
      </c>
      <c r="AN127" s="36">
        <v>861.93100000000004</v>
      </c>
    </row>
    <row r="128" spans="4:40" x14ac:dyDescent="0.35">
      <c r="D128" s="39">
        <f t="shared" si="23"/>
        <v>126</v>
      </c>
      <c r="E128" s="57">
        <v>0</v>
      </c>
      <c r="F128" s="41">
        <v>0</v>
      </c>
      <c r="G128" s="41">
        <v>0</v>
      </c>
      <c r="H128" s="41">
        <v>27657.187000000002</v>
      </c>
      <c r="I128" s="41">
        <v>3014.00003324</v>
      </c>
      <c r="J128" s="41">
        <f t="shared" si="12"/>
        <v>30671.187033240003</v>
      </c>
      <c r="K128" s="57">
        <v>0</v>
      </c>
      <c r="L128" s="62">
        <v>0</v>
      </c>
      <c r="M128" s="62">
        <v>0.111</v>
      </c>
      <c r="N128" s="41">
        <v>0.219</v>
      </c>
      <c r="O128" s="41">
        <f t="shared" si="13"/>
        <v>0.33</v>
      </c>
      <c r="P128" s="41">
        <v>4625.1139999999996</v>
      </c>
      <c r="Q128" s="41">
        <v>0</v>
      </c>
      <c r="R128" s="42">
        <f t="shared" si="14"/>
        <v>4625.1139999999996</v>
      </c>
      <c r="S128" s="62"/>
      <c r="T128" s="50">
        <v>0</v>
      </c>
      <c r="U128" s="50">
        <f t="shared" si="15"/>
        <v>0</v>
      </c>
      <c r="V128" s="50">
        <v>0</v>
      </c>
      <c r="W128" s="50">
        <f t="shared" si="16"/>
        <v>0</v>
      </c>
      <c r="X128" s="50">
        <v>0</v>
      </c>
      <c r="Y128" s="50">
        <f t="shared" si="17"/>
        <v>0</v>
      </c>
      <c r="Z128" s="50">
        <v>0</v>
      </c>
      <c r="AA128" s="50">
        <f t="shared" si="18"/>
        <v>0</v>
      </c>
      <c r="AC128" s="53">
        <v>71.706000000000003</v>
      </c>
      <c r="AD128" s="81">
        <v>2549.9484000000002</v>
      </c>
      <c r="AE128" s="77">
        <f t="shared" si="19"/>
        <v>0.111</v>
      </c>
      <c r="AF128" s="86">
        <f t="shared" si="20"/>
        <v>0.219</v>
      </c>
      <c r="AH128" s="88">
        <v>861.93100000000004</v>
      </c>
      <c r="AI128" s="86">
        <f t="shared" si="21"/>
        <v>0.35000000000000003</v>
      </c>
      <c r="AK128" s="88">
        <v>869.72199999999998</v>
      </c>
      <c r="AL128" s="86">
        <f t="shared" si="22"/>
        <v>0.54120846297448666</v>
      </c>
      <c r="AN128" s="36">
        <v>857.00599999999997</v>
      </c>
    </row>
    <row r="129" spans="4:40" x14ac:dyDescent="0.35">
      <c r="D129" s="39">
        <f t="shared" si="23"/>
        <v>127</v>
      </c>
      <c r="E129" s="57">
        <v>0</v>
      </c>
      <c r="F129" s="41">
        <v>0</v>
      </c>
      <c r="G129" s="41">
        <v>0</v>
      </c>
      <c r="H129" s="41">
        <v>27583.937000000002</v>
      </c>
      <c r="I129" s="41">
        <v>3811.2824580199999</v>
      </c>
      <c r="J129" s="41">
        <f t="shared" si="12"/>
        <v>31395.219458020001</v>
      </c>
      <c r="K129" s="57">
        <v>0</v>
      </c>
      <c r="L129" s="62">
        <v>0</v>
      </c>
      <c r="M129" s="62">
        <v>0.111</v>
      </c>
      <c r="N129" s="41">
        <v>0.24799999999999997</v>
      </c>
      <c r="O129" s="41">
        <f t="shared" si="13"/>
        <v>0.35899999999999999</v>
      </c>
      <c r="P129" s="41">
        <v>4739.2560000000003</v>
      </c>
      <c r="Q129" s="41">
        <v>0</v>
      </c>
      <c r="R129" s="42">
        <f t="shared" si="14"/>
        <v>4739.2560000000003</v>
      </c>
      <c r="S129" s="62"/>
      <c r="T129" s="50">
        <v>0</v>
      </c>
      <c r="U129" s="50">
        <f t="shared" si="15"/>
        <v>0</v>
      </c>
      <c r="V129" s="50">
        <v>0</v>
      </c>
      <c r="W129" s="50">
        <f t="shared" si="16"/>
        <v>0</v>
      </c>
      <c r="X129" s="50">
        <v>0</v>
      </c>
      <c r="Y129" s="50">
        <f t="shared" si="17"/>
        <v>0</v>
      </c>
      <c r="Z129" s="50">
        <v>0</v>
      </c>
      <c r="AA129" s="50">
        <f t="shared" si="18"/>
        <v>0</v>
      </c>
      <c r="AC129" s="53">
        <v>71.706000000000003</v>
      </c>
      <c r="AD129" s="81">
        <v>2887.6127999999999</v>
      </c>
      <c r="AE129" s="77">
        <f t="shared" si="19"/>
        <v>0.111</v>
      </c>
      <c r="AF129" s="86">
        <f t="shared" si="20"/>
        <v>0.24799999999999997</v>
      </c>
      <c r="AH129" s="88">
        <v>857.00599999999997</v>
      </c>
      <c r="AI129" s="86">
        <f t="shared" si="21"/>
        <v>0.34800012994079571</v>
      </c>
      <c r="AK129" s="88">
        <v>889.26300000000003</v>
      </c>
      <c r="AL129" s="86">
        <f t="shared" si="22"/>
        <v>0.5533683883011824</v>
      </c>
      <c r="AN129" s="36">
        <v>854.54300000000001</v>
      </c>
    </row>
    <row r="130" spans="4:40" x14ac:dyDescent="0.35">
      <c r="D130" s="39">
        <f t="shared" si="23"/>
        <v>128</v>
      </c>
      <c r="E130" s="57">
        <v>0</v>
      </c>
      <c r="F130" s="41">
        <v>0</v>
      </c>
      <c r="G130" s="41">
        <v>0</v>
      </c>
      <c r="H130" s="41">
        <v>28764.89</v>
      </c>
      <c r="I130" s="41">
        <v>4286.8717639500001</v>
      </c>
      <c r="J130" s="41">
        <f t="shared" si="12"/>
        <v>33051.761763950002</v>
      </c>
      <c r="K130" s="57">
        <v>0</v>
      </c>
      <c r="L130" s="62">
        <v>0</v>
      </c>
      <c r="M130" s="62">
        <v>0.11</v>
      </c>
      <c r="N130" s="41">
        <v>0.26999999999999996</v>
      </c>
      <c r="O130" s="41">
        <f t="shared" si="13"/>
        <v>0.37999999999999995</v>
      </c>
      <c r="P130" s="41">
        <v>4803.72</v>
      </c>
      <c r="Q130" s="41">
        <v>0</v>
      </c>
      <c r="R130" s="42">
        <f t="shared" si="14"/>
        <v>4803.72</v>
      </c>
      <c r="S130" s="62"/>
      <c r="T130" s="50">
        <v>0</v>
      </c>
      <c r="U130" s="50">
        <f t="shared" si="15"/>
        <v>0</v>
      </c>
      <c r="V130" s="50">
        <v>0</v>
      </c>
      <c r="W130" s="50">
        <f t="shared" si="16"/>
        <v>0</v>
      </c>
      <c r="X130" s="50">
        <v>0</v>
      </c>
      <c r="Y130" s="50">
        <f t="shared" si="17"/>
        <v>0</v>
      </c>
      <c r="Z130" s="50">
        <v>0</v>
      </c>
      <c r="AA130" s="50">
        <f t="shared" si="18"/>
        <v>0</v>
      </c>
      <c r="AC130" s="53">
        <v>71.06</v>
      </c>
      <c r="AD130" s="81">
        <v>3143.7719999999999</v>
      </c>
      <c r="AE130" s="77">
        <f t="shared" si="19"/>
        <v>0.11</v>
      </c>
      <c r="AF130" s="86">
        <f t="shared" si="20"/>
        <v>0.26999999999999996</v>
      </c>
      <c r="AH130" s="88">
        <v>854.54300000000001</v>
      </c>
      <c r="AI130" s="86">
        <f t="shared" si="21"/>
        <v>0.34699999187870029</v>
      </c>
      <c r="AK130" s="88">
        <v>932.255</v>
      </c>
      <c r="AL130" s="86">
        <f t="shared" si="22"/>
        <v>0.58012134411947724</v>
      </c>
      <c r="AN130" s="36">
        <v>864.39400000000001</v>
      </c>
    </row>
    <row r="131" spans="4:40" x14ac:dyDescent="0.35">
      <c r="D131" s="39">
        <f t="shared" si="23"/>
        <v>129</v>
      </c>
      <c r="E131" s="57">
        <v>0</v>
      </c>
      <c r="F131" s="41">
        <v>0</v>
      </c>
      <c r="G131" s="41">
        <v>0</v>
      </c>
      <c r="H131" s="41">
        <v>30670.205999999998</v>
      </c>
      <c r="I131" s="41">
        <v>4180.9137475400003</v>
      </c>
      <c r="J131" s="41">
        <f t="shared" si="12"/>
        <v>34851.119747539997</v>
      </c>
      <c r="K131" s="57">
        <v>0</v>
      </c>
      <c r="L131" s="62">
        <v>0</v>
      </c>
      <c r="M131" s="62">
        <v>0.11</v>
      </c>
      <c r="N131" s="41">
        <v>0.26999999999999996</v>
      </c>
      <c r="O131" s="41">
        <f t="shared" si="13"/>
        <v>0.37999999999999995</v>
      </c>
      <c r="P131" s="41">
        <v>4894.0069999999996</v>
      </c>
      <c r="Q131" s="41">
        <v>0</v>
      </c>
      <c r="R131" s="42">
        <f t="shared" si="14"/>
        <v>4894.0069999999996</v>
      </c>
      <c r="S131" s="62"/>
      <c r="T131" s="50">
        <v>0</v>
      </c>
      <c r="U131" s="50">
        <f t="shared" si="15"/>
        <v>0</v>
      </c>
      <c r="V131" s="50">
        <v>0</v>
      </c>
      <c r="W131" s="50">
        <f t="shared" si="16"/>
        <v>0</v>
      </c>
      <c r="X131" s="50">
        <v>0</v>
      </c>
      <c r="Y131" s="50">
        <f t="shared" si="17"/>
        <v>0</v>
      </c>
      <c r="Z131" s="50">
        <v>0</v>
      </c>
      <c r="AA131" s="50">
        <f t="shared" si="18"/>
        <v>0</v>
      </c>
      <c r="AC131" s="53">
        <v>71.06</v>
      </c>
      <c r="AD131" s="81">
        <v>3143.7719999999999</v>
      </c>
      <c r="AE131" s="77">
        <f t="shared" si="19"/>
        <v>0.11</v>
      </c>
      <c r="AF131" s="86">
        <f t="shared" si="20"/>
        <v>0.26999999999999996</v>
      </c>
      <c r="AH131" s="88">
        <v>864.39400000000001</v>
      </c>
      <c r="AI131" s="86">
        <f t="shared" si="21"/>
        <v>0.35100013806209546</v>
      </c>
      <c r="AK131" s="88">
        <v>945.16300000000001</v>
      </c>
      <c r="AL131" s="86">
        <f t="shared" si="22"/>
        <v>0.58815370255133792</v>
      </c>
      <c r="AN131" s="36">
        <v>869.31899999999996</v>
      </c>
    </row>
    <row r="132" spans="4:40" x14ac:dyDescent="0.35">
      <c r="D132" s="39">
        <f t="shared" si="23"/>
        <v>130</v>
      </c>
      <c r="E132" s="57">
        <v>0.01</v>
      </c>
      <c r="F132" s="41">
        <v>8.1000000000000003E-2</v>
      </c>
      <c r="G132" s="41">
        <v>0.127</v>
      </c>
      <c r="H132" s="41">
        <v>33008.887999999999</v>
      </c>
      <c r="I132" s="41">
        <v>2626.8456460900002</v>
      </c>
      <c r="J132" s="41">
        <f t="shared" ref="J132:J170" si="24">H132+I132</f>
        <v>35635.733646089997</v>
      </c>
      <c r="K132" s="57">
        <v>1.7000000000000001E-2</v>
      </c>
      <c r="L132" s="62">
        <v>1.7999999999999901E-2</v>
      </c>
      <c r="M132" s="62">
        <v>0.11799999999999999</v>
      </c>
      <c r="N132" s="41">
        <v>0.21299999999999999</v>
      </c>
      <c r="O132" s="41">
        <f t="shared" ref="O132:O170" si="25">M132+N132</f>
        <v>0.33099999999999996</v>
      </c>
      <c r="P132" s="41">
        <v>5145.4859999999999</v>
      </c>
      <c r="Q132" s="41">
        <v>0</v>
      </c>
      <c r="R132" s="42">
        <f t="shared" ref="R132:R170" si="26">P132+Q132</f>
        <v>5145.4859999999999</v>
      </c>
      <c r="S132" s="62"/>
      <c r="T132" s="50">
        <v>9960</v>
      </c>
      <c r="U132" s="50">
        <f t="shared" ref="U132:U170" si="27">T132/$B$5</f>
        <v>0.12</v>
      </c>
      <c r="V132" s="50">
        <v>389.20499999999998</v>
      </c>
      <c r="W132" s="50">
        <f t="shared" ref="W132:W170" si="28">V132/$B$6</f>
        <v>8.1000000000000003E-2</v>
      </c>
      <c r="X132" s="50">
        <v>790.80100000000004</v>
      </c>
      <c r="Y132" s="50">
        <f t="shared" ref="Y132:Y170" si="29">X132/$B$8</f>
        <v>5.5E-2</v>
      </c>
      <c r="Z132" s="50">
        <v>299.45690000000002</v>
      </c>
      <c r="AA132" s="50">
        <f t="shared" ref="AA132:AA170" si="30">Z132/$B$9</f>
        <v>3.1000000000000003E-2</v>
      </c>
      <c r="AC132" s="53">
        <v>76.227999999999994</v>
      </c>
      <c r="AD132" s="81">
        <v>2480.0868</v>
      </c>
      <c r="AE132" s="77">
        <f t="shared" ref="AE132:AE170" si="31">AC132/$B$11</f>
        <v>0.11799999999999999</v>
      </c>
      <c r="AF132" s="86">
        <f t="shared" ref="AF132:AF170" si="32">AD132/$B$10</f>
        <v>0.21299999999999999</v>
      </c>
      <c r="AH132" s="88">
        <v>869.31899999999996</v>
      </c>
      <c r="AI132" s="86">
        <f t="shared" ref="AI132:AI170" si="33">AH132/$B$12</f>
        <v>0.35300000812129972</v>
      </c>
      <c r="AK132" s="88">
        <v>947.83399999999995</v>
      </c>
      <c r="AL132" s="86">
        <f t="shared" ref="AL132:AL195" si="34">AK132/$B$13</f>
        <v>0.58981580584940885</v>
      </c>
      <c r="AN132" s="36">
        <v>861.93100000000004</v>
      </c>
    </row>
    <row r="133" spans="4:40" x14ac:dyDescent="0.35">
      <c r="D133" s="39">
        <f t="shared" ref="D133:D168" si="35">1+D132</f>
        <v>131</v>
      </c>
      <c r="E133" s="57">
        <v>3.59999999999999E-2</v>
      </c>
      <c r="F133" s="41">
        <v>0.21600000000000003</v>
      </c>
      <c r="G133" s="41">
        <v>0.29699999999999999</v>
      </c>
      <c r="H133" s="41">
        <v>33449.326000000001</v>
      </c>
      <c r="I133" s="41">
        <v>2099.5337936800001</v>
      </c>
      <c r="J133" s="41">
        <f t="shared" si="24"/>
        <v>35548.85979368</v>
      </c>
      <c r="K133" s="57">
        <v>8.4000000000000005E-2</v>
      </c>
      <c r="L133" s="62">
        <v>8.900000000000001E-2</v>
      </c>
      <c r="M133" s="62">
        <v>0.124</v>
      </c>
      <c r="N133" s="41">
        <v>0.126</v>
      </c>
      <c r="O133" s="41">
        <f t="shared" si="25"/>
        <v>0.25</v>
      </c>
      <c r="P133" s="41">
        <v>5222.2489999999998</v>
      </c>
      <c r="Q133" s="41">
        <v>0</v>
      </c>
      <c r="R133" s="42">
        <f t="shared" si="26"/>
        <v>5222.2489999999998</v>
      </c>
      <c r="S133" s="62"/>
      <c r="T133" s="50">
        <v>25398</v>
      </c>
      <c r="U133" s="50">
        <f t="shared" si="27"/>
        <v>0.30599999999999999</v>
      </c>
      <c r="V133" s="50">
        <v>1037.8800000000001</v>
      </c>
      <c r="W133" s="50">
        <f t="shared" si="28"/>
        <v>0.21600000000000003</v>
      </c>
      <c r="X133" s="50">
        <v>2933.1527999999998</v>
      </c>
      <c r="Y133" s="50">
        <f t="shared" si="29"/>
        <v>0.20399999999999999</v>
      </c>
      <c r="Z133" s="50">
        <v>1130.2083</v>
      </c>
      <c r="AA133" s="50">
        <f t="shared" si="30"/>
        <v>0.11700000000000001</v>
      </c>
      <c r="AC133" s="53">
        <v>80.103999999999999</v>
      </c>
      <c r="AD133" s="81">
        <v>1467.0935999999999</v>
      </c>
      <c r="AE133" s="77">
        <f t="shared" si="31"/>
        <v>0.124</v>
      </c>
      <c r="AF133" s="86">
        <f t="shared" si="32"/>
        <v>0.126</v>
      </c>
      <c r="AH133" s="88">
        <v>861.93100000000004</v>
      </c>
      <c r="AI133" s="86">
        <f t="shared" si="33"/>
        <v>0.35000000000000003</v>
      </c>
      <c r="AK133" s="88">
        <v>945.15200000000004</v>
      </c>
      <c r="AL133" s="86">
        <f t="shared" si="34"/>
        <v>0.58814685749844431</v>
      </c>
      <c r="AN133" s="36">
        <v>859.46799999999996</v>
      </c>
    </row>
    <row r="134" spans="4:40" x14ac:dyDescent="0.35">
      <c r="D134" s="39">
        <f t="shared" si="35"/>
        <v>132</v>
      </c>
      <c r="E134" s="57">
        <v>6.2000000000000006E-2</v>
      </c>
      <c r="F134" s="41">
        <v>0.36</v>
      </c>
      <c r="G134" s="41">
        <v>0.43200000000000005</v>
      </c>
      <c r="H134" s="41">
        <v>34221.461000000003</v>
      </c>
      <c r="I134" s="41">
        <v>2670.4199233099998</v>
      </c>
      <c r="J134" s="41">
        <f t="shared" si="24"/>
        <v>36891.880923310004</v>
      </c>
      <c r="K134" s="57">
        <v>0.125</v>
      </c>
      <c r="L134" s="62">
        <v>0.16699999999999998</v>
      </c>
      <c r="M134" s="62">
        <v>0.13200000000000001</v>
      </c>
      <c r="N134" s="41">
        <v>0.105</v>
      </c>
      <c r="O134" s="41">
        <f t="shared" si="25"/>
        <v>0.23699999999999999</v>
      </c>
      <c r="P134" s="41">
        <v>5428.2359999999999</v>
      </c>
      <c r="Q134" s="41">
        <v>0</v>
      </c>
      <c r="R134" s="42">
        <f t="shared" si="26"/>
        <v>5428.2359999999999</v>
      </c>
      <c r="S134" s="62"/>
      <c r="T134" s="50">
        <v>30959</v>
      </c>
      <c r="U134" s="50">
        <f t="shared" si="27"/>
        <v>0.373</v>
      </c>
      <c r="V134" s="50">
        <v>1729.8</v>
      </c>
      <c r="W134" s="50">
        <f t="shared" si="28"/>
        <v>0.36</v>
      </c>
      <c r="X134" s="50">
        <v>5017.9917999999998</v>
      </c>
      <c r="Y134" s="50">
        <f t="shared" si="29"/>
        <v>0.34899999999999998</v>
      </c>
      <c r="Z134" s="50">
        <v>1980.2795000000001</v>
      </c>
      <c r="AA134" s="50">
        <f t="shared" si="30"/>
        <v>0.20500000000000002</v>
      </c>
      <c r="AC134" s="53">
        <v>85.272000000000006</v>
      </c>
      <c r="AD134" s="81">
        <v>1222.578</v>
      </c>
      <c r="AE134" s="77">
        <f t="shared" si="31"/>
        <v>0.13200000000000001</v>
      </c>
      <c r="AF134" s="86">
        <f t="shared" si="32"/>
        <v>0.105</v>
      </c>
      <c r="AH134" s="88">
        <v>859.46799999999996</v>
      </c>
      <c r="AI134" s="86">
        <f t="shared" si="33"/>
        <v>0.34899986193790455</v>
      </c>
      <c r="AK134" s="88">
        <v>943.71100000000001</v>
      </c>
      <c r="AL134" s="86">
        <f t="shared" si="34"/>
        <v>0.58725015556938398</v>
      </c>
      <c r="AN134" s="36">
        <v>857.00599999999997</v>
      </c>
    </row>
    <row r="135" spans="4:40" x14ac:dyDescent="0.35">
      <c r="D135" s="39">
        <f t="shared" si="35"/>
        <v>133</v>
      </c>
      <c r="E135" s="57">
        <v>6.7000000000000004E-2</v>
      </c>
      <c r="F135" s="41">
        <v>0.45799999999999996</v>
      </c>
      <c r="G135" s="41">
        <v>0.496</v>
      </c>
      <c r="H135" s="41">
        <v>35155.864999999998</v>
      </c>
      <c r="I135" s="41">
        <v>2923.3451267599999</v>
      </c>
      <c r="J135" s="41">
        <f t="shared" si="24"/>
        <v>38079.210126760001</v>
      </c>
      <c r="K135" s="57">
        <v>0.12</v>
      </c>
      <c r="L135" s="62">
        <v>0.180999999999999</v>
      </c>
      <c r="M135" s="62">
        <v>0.15000000000000002</v>
      </c>
      <c r="N135" s="41">
        <v>0.17099999999999999</v>
      </c>
      <c r="O135" s="41">
        <f t="shared" si="25"/>
        <v>0.32100000000000001</v>
      </c>
      <c r="P135" s="41">
        <v>5772.0529999999999</v>
      </c>
      <c r="Q135" s="41">
        <v>0</v>
      </c>
      <c r="R135" s="42">
        <f t="shared" si="26"/>
        <v>5772.0529999999999</v>
      </c>
      <c r="S135" s="62"/>
      <c r="T135" s="50">
        <v>31872</v>
      </c>
      <c r="U135" s="50">
        <f t="shared" si="27"/>
        <v>0.38400000000000001</v>
      </c>
      <c r="V135" s="50">
        <v>2200.69</v>
      </c>
      <c r="W135" s="50">
        <f t="shared" si="28"/>
        <v>0.45800000000000002</v>
      </c>
      <c r="X135" s="50">
        <v>5909.4402</v>
      </c>
      <c r="Y135" s="50">
        <f t="shared" si="29"/>
        <v>0.41099999999999998</v>
      </c>
      <c r="Z135" s="50">
        <v>2424.6349</v>
      </c>
      <c r="AA135" s="50">
        <f t="shared" si="30"/>
        <v>0.251</v>
      </c>
      <c r="AC135" s="53">
        <v>96.9</v>
      </c>
      <c r="AD135" s="81">
        <v>1991.0555999999999</v>
      </c>
      <c r="AE135" s="77">
        <f t="shared" si="31"/>
        <v>0.15000000000000002</v>
      </c>
      <c r="AF135" s="86">
        <f t="shared" si="32"/>
        <v>0.17099999999999999</v>
      </c>
      <c r="AH135" s="88">
        <v>857.00599999999997</v>
      </c>
      <c r="AI135" s="86">
        <f t="shared" si="33"/>
        <v>0.34800012994079571</v>
      </c>
      <c r="AK135" s="88">
        <v>951.82299999999998</v>
      </c>
      <c r="AL135" s="86">
        <f t="shared" si="34"/>
        <v>0.59229807093963904</v>
      </c>
      <c r="AN135" s="36">
        <v>859.46799999999996</v>
      </c>
    </row>
    <row r="136" spans="4:40" x14ac:dyDescent="0.35">
      <c r="D136" s="39">
        <f t="shared" si="35"/>
        <v>134</v>
      </c>
      <c r="E136" s="57">
        <v>5.4000000000000006E-2</v>
      </c>
      <c r="F136" s="41">
        <v>0.48</v>
      </c>
      <c r="G136" s="41">
        <v>0.496</v>
      </c>
      <c r="H136" s="41">
        <v>35486.675999999999</v>
      </c>
      <c r="I136" s="41">
        <v>2601.0009946300002</v>
      </c>
      <c r="J136" s="41">
        <f t="shared" si="24"/>
        <v>38087.676994629997</v>
      </c>
      <c r="K136" s="57">
        <v>0.114</v>
      </c>
      <c r="L136" s="62">
        <v>0.157</v>
      </c>
      <c r="M136" s="62">
        <v>0.17499999999999999</v>
      </c>
      <c r="N136" s="41">
        <v>0.27300000000000002</v>
      </c>
      <c r="O136" s="41">
        <f t="shared" si="25"/>
        <v>0.44800000000000001</v>
      </c>
      <c r="P136" s="41">
        <v>5541.1480000000001</v>
      </c>
      <c r="Q136" s="41">
        <v>0</v>
      </c>
      <c r="R136" s="42">
        <f t="shared" si="26"/>
        <v>5541.1480000000001</v>
      </c>
      <c r="S136" s="62"/>
      <c r="T136" s="50">
        <v>31623</v>
      </c>
      <c r="U136" s="50">
        <f t="shared" si="27"/>
        <v>0.38100000000000001</v>
      </c>
      <c r="V136" s="50">
        <v>2306.4</v>
      </c>
      <c r="W136" s="50">
        <f t="shared" si="28"/>
        <v>0.48000000000000004</v>
      </c>
      <c r="X136" s="50">
        <v>5866.3055999999997</v>
      </c>
      <c r="Y136" s="50">
        <f t="shared" si="29"/>
        <v>0.40799999999999997</v>
      </c>
      <c r="Z136" s="50">
        <v>2463.2745</v>
      </c>
      <c r="AA136" s="50">
        <f t="shared" si="30"/>
        <v>0.255</v>
      </c>
      <c r="AC136" s="53">
        <v>113.05</v>
      </c>
      <c r="AD136" s="81">
        <v>3178.7028</v>
      </c>
      <c r="AE136" s="77">
        <f t="shared" si="31"/>
        <v>0.17499999999999999</v>
      </c>
      <c r="AF136" s="86">
        <f t="shared" si="32"/>
        <v>0.27300000000000002</v>
      </c>
      <c r="AH136" s="88">
        <v>859.46799999999996</v>
      </c>
      <c r="AI136" s="86">
        <f t="shared" si="33"/>
        <v>0.34899986193790455</v>
      </c>
      <c r="AK136" s="88">
        <v>966.63800000000003</v>
      </c>
      <c r="AL136" s="86">
        <f t="shared" si="34"/>
        <v>0.60151711263223395</v>
      </c>
      <c r="AN136" s="36">
        <v>859.46799999999996</v>
      </c>
    </row>
    <row r="137" spans="4:40" x14ac:dyDescent="0.35">
      <c r="D137" s="39">
        <f t="shared" si="35"/>
        <v>135</v>
      </c>
      <c r="E137" s="57">
        <v>3.1000000000000003E-2</v>
      </c>
      <c r="F137" s="41">
        <v>0.41699999999999904</v>
      </c>
      <c r="G137" s="41">
        <v>0.43799999999999994</v>
      </c>
      <c r="H137" s="41">
        <v>34433.777999999998</v>
      </c>
      <c r="I137" s="41">
        <v>1949.9707367599999</v>
      </c>
      <c r="J137" s="41">
        <f t="shared" si="24"/>
        <v>36383.748736759997</v>
      </c>
      <c r="K137" s="57">
        <v>9.6999999999999989E-2</v>
      </c>
      <c r="L137" s="62">
        <v>0.107</v>
      </c>
      <c r="M137" s="62">
        <v>0.22099999999999997</v>
      </c>
      <c r="N137" s="41">
        <v>0.35600000000000004</v>
      </c>
      <c r="O137" s="41">
        <f t="shared" si="25"/>
        <v>0.57699999999999996</v>
      </c>
      <c r="P137" s="41">
        <v>5346.7479999999996</v>
      </c>
      <c r="Q137" s="41">
        <v>0</v>
      </c>
      <c r="R137" s="42">
        <f t="shared" si="26"/>
        <v>5346.7479999999996</v>
      </c>
      <c r="S137" s="62"/>
      <c r="T137" s="50">
        <v>30627</v>
      </c>
      <c r="U137" s="50">
        <f t="shared" si="27"/>
        <v>0.36899999999999999</v>
      </c>
      <c r="V137" s="50">
        <v>2003.6849999999999</v>
      </c>
      <c r="W137" s="50">
        <f t="shared" si="28"/>
        <v>0.41699999999999998</v>
      </c>
      <c r="X137" s="50">
        <v>5046.7482</v>
      </c>
      <c r="Y137" s="50">
        <f t="shared" si="29"/>
        <v>0.35099999999999998</v>
      </c>
      <c r="Z137" s="50">
        <v>2144.4978000000001</v>
      </c>
      <c r="AA137" s="50">
        <f t="shared" si="30"/>
        <v>0.22200000000000003</v>
      </c>
      <c r="AC137" s="53">
        <v>142.76599999999999</v>
      </c>
      <c r="AD137" s="81">
        <v>4145.1216000000004</v>
      </c>
      <c r="AE137" s="77">
        <f t="shared" si="31"/>
        <v>0.22099999999999997</v>
      </c>
      <c r="AF137" s="86">
        <f t="shared" si="32"/>
        <v>0.35600000000000004</v>
      </c>
      <c r="AH137" s="88">
        <v>859.46799999999996</v>
      </c>
      <c r="AI137" s="86">
        <f t="shared" si="33"/>
        <v>0.34899986193790455</v>
      </c>
      <c r="AK137" s="88">
        <v>980.21100000000001</v>
      </c>
      <c r="AL137" s="86">
        <f t="shared" si="34"/>
        <v>0.60996328562538893</v>
      </c>
      <c r="AN137" s="36">
        <v>854.54300000000001</v>
      </c>
    </row>
    <row r="138" spans="4:40" x14ac:dyDescent="0.35">
      <c r="D138" s="39">
        <f t="shared" si="35"/>
        <v>136</v>
      </c>
      <c r="E138" s="57">
        <v>0.01</v>
      </c>
      <c r="F138" s="41">
        <v>0.28899999999999998</v>
      </c>
      <c r="G138" s="41">
        <v>0.33500000000000002</v>
      </c>
      <c r="H138" s="41">
        <v>33882.572999999997</v>
      </c>
      <c r="I138" s="41">
        <v>1661.6443127800001</v>
      </c>
      <c r="J138" s="41">
        <f t="shared" si="24"/>
        <v>35544.217312779998</v>
      </c>
      <c r="K138" s="57">
        <v>5.5E-2</v>
      </c>
      <c r="L138" s="62">
        <v>6.4000000000000001E-2</v>
      </c>
      <c r="M138" s="62">
        <v>0.29099999999999998</v>
      </c>
      <c r="N138" s="41">
        <v>0.40699999999999997</v>
      </c>
      <c r="O138" s="41">
        <f t="shared" si="25"/>
        <v>0.69799999999999995</v>
      </c>
      <c r="P138" s="41">
        <v>5363.0209999999997</v>
      </c>
      <c r="Q138" s="41">
        <v>0</v>
      </c>
      <c r="R138" s="42">
        <f t="shared" si="26"/>
        <v>5363.0209999999997</v>
      </c>
      <c r="S138" s="62"/>
      <c r="T138" s="50">
        <v>28137</v>
      </c>
      <c r="U138" s="50">
        <f t="shared" si="27"/>
        <v>0.33900000000000002</v>
      </c>
      <c r="V138" s="50">
        <v>1388.645</v>
      </c>
      <c r="W138" s="50">
        <f t="shared" si="28"/>
        <v>0.28899999999999998</v>
      </c>
      <c r="X138" s="50">
        <v>3925.2485999999999</v>
      </c>
      <c r="Y138" s="50">
        <f t="shared" si="29"/>
        <v>0.27299999999999996</v>
      </c>
      <c r="Z138" s="50">
        <v>1680.8226</v>
      </c>
      <c r="AA138" s="50">
        <f t="shared" si="30"/>
        <v>0.17400000000000002</v>
      </c>
      <c r="AC138" s="53">
        <v>187.98599999999999</v>
      </c>
      <c r="AD138" s="81">
        <v>4738.9452000000001</v>
      </c>
      <c r="AE138" s="77">
        <f t="shared" si="31"/>
        <v>0.29099999999999998</v>
      </c>
      <c r="AF138" s="86">
        <f t="shared" si="32"/>
        <v>0.40699999999999997</v>
      </c>
      <c r="AH138" s="88">
        <v>854.54300000000001</v>
      </c>
      <c r="AI138" s="86">
        <f t="shared" si="33"/>
        <v>0.34699999187870029</v>
      </c>
      <c r="AK138" s="88">
        <v>982.89499999999998</v>
      </c>
      <c r="AL138" s="86">
        <f t="shared" si="34"/>
        <v>0.61163347853142502</v>
      </c>
      <c r="AN138" s="36">
        <v>859.46799999999996</v>
      </c>
    </row>
    <row r="139" spans="4:40" x14ac:dyDescent="0.35">
      <c r="D139" s="39">
        <f t="shared" si="35"/>
        <v>137</v>
      </c>
      <c r="E139" s="57">
        <v>0</v>
      </c>
      <c r="F139" s="41">
        <v>0.13699999999999998</v>
      </c>
      <c r="G139" s="41">
        <v>0.19800000000000001</v>
      </c>
      <c r="H139" s="41">
        <v>34240.737000000001</v>
      </c>
      <c r="I139" s="41">
        <v>1673.73975726</v>
      </c>
      <c r="J139" s="41">
        <f t="shared" si="24"/>
        <v>35914.476757260003</v>
      </c>
      <c r="K139" s="57">
        <v>0</v>
      </c>
      <c r="L139" s="62">
        <v>1.7000000000000001E-2</v>
      </c>
      <c r="M139" s="62">
        <v>0.35399999999999998</v>
      </c>
      <c r="N139" s="41">
        <v>0.42799999999999999</v>
      </c>
      <c r="O139" s="41">
        <f t="shared" si="25"/>
        <v>0.78200000000000003</v>
      </c>
      <c r="P139" s="41">
        <v>5578.4830000000002</v>
      </c>
      <c r="Q139" s="41">
        <v>0</v>
      </c>
      <c r="R139" s="42">
        <f t="shared" si="26"/>
        <v>5578.4830000000002</v>
      </c>
      <c r="S139" s="62"/>
      <c r="T139" s="50">
        <v>19837</v>
      </c>
      <c r="U139" s="50">
        <f t="shared" si="27"/>
        <v>0.23899999999999999</v>
      </c>
      <c r="V139" s="50">
        <v>658.28499999999997</v>
      </c>
      <c r="W139" s="50">
        <f t="shared" si="28"/>
        <v>0.13699999999999998</v>
      </c>
      <c r="X139" s="50">
        <v>2444.2939999999999</v>
      </c>
      <c r="Y139" s="50">
        <f t="shared" si="29"/>
        <v>0.16999999999999998</v>
      </c>
      <c r="Z139" s="50">
        <v>1033.6093000000001</v>
      </c>
      <c r="AA139" s="50">
        <f t="shared" si="30"/>
        <v>0.10700000000000001</v>
      </c>
      <c r="AC139" s="53">
        <v>228.684</v>
      </c>
      <c r="AD139" s="81">
        <v>4983.4607999999998</v>
      </c>
      <c r="AE139" s="77">
        <f t="shared" si="31"/>
        <v>0.35399999999999998</v>
      </c>
      <c r="AF139" s="86">
        <f t="shared" si="32"/>
        <v>0.42799999999999999</v>
      </c>
      <c r="AH139" s="88">
        <v>859.46799999999996</v>
      </c>
      <c r="AI139" s="86">
        <f t="shared" si="33"/>
        <v>0.34899986193790455</v>
      </c>
      <c r="AK139" s="88">
        <v>984.45500000000004</v>
      </c>
      <c r="AL139" s="86">
        <f t="shared" si="34"/>
        <v>0.6126042314872433</v>
      </c>
      <c r="AN139" s="36">
        <v>884.09500000000003</v>
      </c>
    </row>
    <row r="140" spans="4:40" x14ac:dyDescent="0.35">
      <c r="D140" s="39">
        <f t="shared" si="35"/>
        <v>138</v>
      </c>
      <c r="E140" s="57">
        <v>0</v>
      </c>
      <c r="F140" s="41">
        <v>1.7000000000000001E-2</v>
      </c>
      <c r="G140" s="41">
        <v>5.5E-2</v>
      </c>
      <c r="H140" s="41">
        <v>36876.286</v>
      </c>
      <c r="I140" s="41">
        <v>1772.7842573099999</v>
      </c>
      <c r="J140" s="41">
        <f t="shared" si="24"/>
        <v>38649.070257309999</v>
      </c>
      <c r="K140" s="57">
        <v>0</v>
      </c>
      <c r="L140" s="62">
        <v>0</v>
      </c>
      <c r="M140" s="62">
        <v>0.40200000000000002</v>
      </c>
      <c r="N140" s="41">
        <v>0.28099999999999997</v>
      </c>
      <c r="O140" s="41">
        <f t="shared" si="25"/>
        <v>0.68300000000000005</v>
      </c>
      <c r="P140" s="41">
        <v>6202.8130000000001</v>
      </c>
      <c r="Q140" s="41">
        <v>0</v>
      </c>
      <c r="R140" s="42">
        <f t="shared" si="26"/>
        <v>6202.8130000000001</v>
      </c>
      <c r="S140" s="62"/>
      <c r="T140" s="50">
        <v>4648</v>
      </c>
      <c r="U140" s="50">
        <f t="shared" si="27"/>
        <v>5.6000000000000001E-2</v>
      </c>
      <c r="V140" s="50">
        <v>81.685000000000002</v>
      </c>
      <c r="W140" s="50">
        <f t="shared" si="28"/>
        <v>1.7000000000000001E-2</v>
      </c>
      <c r="X140" s="50">
        <v>1006.474</v>
      </c>
      <c r="Y140" s="50">
        <f t="shared" si="29"/>
        <v>6.9999999999999993E-2</v>
      </c>
      <c r="Z140" s="50">
        <v>367.07619999999997</v>
      </c>
      <c r="AA140" s="50">
        <f t="shared" si="30"/>
        <v>3.7999999999999999E-2</v>
      </c>
      <c r="AC140" s="53">
        <v>259.69200000000001</v>
      </c>
      <c r="AD140" s="81">
        <v>3271.8516</v>
      </c>
      <c r="AE140" s="77">
        <f t="shared" si="31"/>
        <v>0.40200000000000002</v>
      </c>
      <c r="AF140" s="86">
        <f t="shared" si="32"/>
        <v>0.28099999999999997</v>
      </c>
      <c r="AH140" s="88">
        <v>884.09500000000003</v>
      </c>
      <c r="AI140" s="86">
        <f t="shared" si="33"/>
        <v>0.35900002436389922</v>
      </c>
      <c r="AK140" s="88">
        <v>998.83299999999997</v>
      </c>
      <c r="AL140" s="86">
        <f t="shared" si="34"/>
        <v>0.62155133789670192</v>
      </c>
      <c r="AN140" s="36">
        <v>916.11</v>
      </c>
    </row>
    <row r="141" spans="4:40" x14ac:dyDescent="0.35">
      <c r="D141" s="39">
        <f t="shared" si="35"/>
        <v>139</v>
      </c>
      <c r="E141" s="57">
        <v>0</v>
      </c>
      <c r="F141" s="41">
        <v>0</v>
      </c>
      <c r="G141" s="41">
        <v>0</v>
      </c>
      <c r="H141" s="41">
        <v>38816.682000000001</v>
      </c>
      <c r="I141" s="41">
        <v>1899.2357965000001</v>
      </c>
      <c r="J141" s="41">
        <f t="shared" si="24"/>
        <v>40715.917796499998</v>
      </c>
      <c r="K141" s="57">
        <v>0</v>
      </c>
      <c r="L141" s="62">
        <v>0</v>
      </c>
      <c r="M141" s="62">
        <v>0.45800000000000002</v>
      </c>
      <c r="N141" s="41">
        <v>0.23800000000000002</v>
      </c>
      <c r="O141" s="41">
        <f t="shared" si="25"/>
        <v>0.69600000000000006</v>
      </c>
      <c r="P141" s="41">
        <v>6750.8119999999999</v>
      </c>
      <c r="Q141" s="41">
        <v>0</v>
      </c>
      <c r="R141" s="42">
        <f t="shared" si="26"/>
        <v>6750.8119999999999</v>
      </c>
      <c r="S141" s="62"/>
      <c r="T141" s="50">
        <v>0</v>
      </c>
      <c r="U141" s="50">
        <f t="shared" si="27"/>
        <v>0</v>
      </c>
      <c r="V141" s="50">
        <v>0</v>
      </c>
      <c r="W141" s="50">
        <f t="shared" si="28"/>
        <v>0</v>
      </c>
      <c r="X141" s="50">
        <v>0</v>
      </c>
      <c r="Y141" s="50">
        <f t="shared" si="29"/>
        <v>0</v>
      </c>
      <c r="Z141" s="50">
        <v>0</v>
      </c>
      <c r="AA141" s="50">
        <f t="shared" si="30"/>
        <v>0</v>
      </c>
      <c r="AC141" s="53">
        <v>295.86799999999999</v>
      </c>
      <c r="AD141" s="81">
        <v>2771.1768000000002</v>
      </c>
      <c r="AE141" s="77">
        <f t="shared" si="31"/>
        <v>0.45800000000000002</v>
      </c>
      <c r="AF141" s="86">
        <f t="shared" si="32"/>
        <v>0.23800000000000002</v>
      </c>
      <c r="AH141" s="88">
        <v>916.11</v>
      </c>
      <c r="AI141" s="86">
        <f t="shared" si="33"/>
        <v>0.37200019491119363</v>
      </c>
      <c r="AK141" s="88">
        <v>1006.634</v>
      </c>
      <c r="AL141" s="86">
        <f t="shared" si="34"/>
        <v>0.62640572495332925</v>
      </c>
      <c r="AN141" s="36">
        <v>913.64700000000005</v>
      </c>
    </row>
    <row r="142" spans="4:40" x14ac:dyDescent="0.35">
      <c r="D142" s="39">
        <f t="shared" si="35"/>
        <v>140</v>
      </c>
      <c r="E142" s="57">
        <v>0</v>
      </c>
      <c r="F142" s="41">
        <v>0</v>
      </c>
      <c r="G142" s="41">
        <v>0</v>
      </c>
      <c r="H142" s="41">
        <v>39459.180999999997</v>
      </c>
      <c r="I142" s="41">
        <v>2023.4358837899999</v>
      </c>
      <c r="J142" s="41">
        <f t="shared" si="24"/>
        <v>41482.616883789997</v>
      </c>
      <c r="K142" s="57">
        <v>0</v>
      </c>
      <c r="L142" s="62">
        <v>0</v>
      </c>
      <c r="M142" s="62">
        <v>0.50600000000000001</v>
      </c>
      <c r="N142" s="41">
        <v>0.253</v>
      </c>
      <c r="O142" s="41">
        <f t="shared" si="25"/>
        <v>0.75900000000000001</v>
      </c>
      <c r="P142" s="41">
        <v>6825.0439999999999</v>
      </c>
      <c r="Q142" s="41">
        <v>0</v>
      </c>
      <c r="R142" s="42">
        <f t="shared" si="26"/>
        <v>6825.0439999999999</v>
      </c>
      <c r="S142" s="62"/>
      <c r="T142" s="50">
        <v>0</v>
      </c>
      <c r="U142" s="50">
        <f t="shared" si="27"/>
        <v>0</v>
      </c>
      <c r="V142" s="50">
        <v>0</v>
      </c>
      <c r="W142" s="50">
        <f t="shared" si="28"/>
        <v>0</v>
      </c>
      <c r="X142" s="50">
        <v>0</v>
      </c>
      <c r="Y142" s="50">
        <f t="shared" si="29"/>
        <v>0</v>
      </c>
      <c r="Z142" s="50">
        <v>0</v>
      </c>
      <c r="AA142" s="50">
        <f t="shared" si="30"/>
        <v>0</v>
      </c>
      <c r="AC142" s="53">
        <v>326.87599999999998</v>
      </c>
      <c r="AD142" s="81">
        <v>2945.8308000000002</v>
      </c>
      <c r="AE142" s="77">
        <f t="shared" si="31"/>
        <v>0.50600000000000001</v>
      </c>
      <c r="AF142" s="86">
        <f t="shared" si="32"/>
        <v>0.253</v>
      </c>
      <c r="AH142" s="88">
        <v>913.64700000000005</v>
      </c>
      <c r="AI142" s="86">
        <f t="shared" si="33"/>
        <v>0.37100005684909815</v>
      </c>
      <c r="AK142" s="88">
        <v>1004.859</v>
      </c>
      <c r="AL142" s="86">
        <f t="shared" si="34"/>
        <v>0.62530118232731802</v>
      </c>
      <c r="AN142" s="36">
        <v>908.72199999999998</v>
      </c>
    </row>
    <row r="143" spans="4:40" x14ac:dyDescent="0.35">
      <c r="D143" s="39">
        <f t="shared" si="35"/>
        <v>141</v>
      </c>
      <c r="E143" s="57">
        <v>0</v>
      </c>
      <c r="F143" s="41">
        <v>0</v>
      </c>
      <c r="G143" s="41">
        <v>0</v>
      </c>
      <c r="H143" s="41">
        <v>39457.144</v>
      </c>
      <c r="I143" s="41">
        <v>1985.4172930300001</v>
      </c>
      <c r="J143" s="41">
        <f t="shared" si="24"/>
        <v>41442.561293029998</v>
      </c>
      <c r="K143" s="57">
        <v>0</v>
      </c>
      <c r="L143" s="62">
        <v>0</v>
      </c>
      <c r="M143" s="62">
        <v>0.54799999999999993</v>
      </c>
      <c r="N143" s="41">
        <v>0.29599999999999999</v>
      </c>
      <c r="O143" s="41">
        <f t="shared" si="25"/>
        <v>0.84399999999999986</v>
      </c>
      <c r="P143" s="41">
        <v>6558.56</v>
      </c>
      <c r="Q143" s="41">
        <v>0</v>
      </c>
      <c r="R143" s="42">
        <f t="shared" si="26"/>
        <v>6558.56</v>
      </c>
      <c r="S143" s="62"/>
      <c r="T143" s="50">
        <v>0</v>
      </c>
      <c r="U143" s="50">
        <f t="shared" si="27"/>
        <v>0</v>
      </c>
      <c r="V143" s="50">
        <v>0</v>
      </c>
      <c r="W143" s="50">
        <f t="shared" si="28"/>
        <v>0</v>
      </c>
      <c r="X143" s="50">
        <v>0</v>
      </c>
      <c r="Y143" s="50">
        <f t="shared" si="29"/>
        <v>0</v>
      </c>
      <c r="Z143" s="50">
        <v>0</v>
      </c>
      <c r="AA143" s="50">
        <f t="shared" si="30"/>
        <v>0</v>
      </c>
      <c r="AC143" s="53">
        <v>354.00799999999998</v>
      </c>
      <c r="AD143" s="81">
        <v>3446.5056</v>
      </c>
      <c r="AE143" s="77">
        <f t="shared" si="31"/>
        <v>0.54799999999999993</v>
      </c>
      <c r="AF143" s="86">
        <f t="shared" si="32"/>
        <v>0.29599999999999999</v>
      </c>
      <c r="AH143" s="88">
        <v>908.72199999999998</v>
      </c>
      <c r="AI143" s="86">
        <f t="shared" si="33"/>
        <v>0.36900018678989388</v>
      </c>
      <c r="AK143" s="88">
        <v>1004.706</v>
      </c>
      <c r="AL143" s="86">
        <f t="shared" si="34"/>
        <v>0.62520597386434351</v>
      </c>
      <c r="AN143" s="36">
        <v>911.18399999999997</v>
      </c>
    </row>
    <row r="144" spans="4:40" x14ac:dyDescent="0.35">
      <c r="D144" s="39">
        <f t="shared" si="35"/>
        <v>142</v>
      </c>
      <c r="E144" s="57">
        <v>0</v>
      </c>
      <c r="F144" s="41">
        <v>0</v>
      </c>
      <c r="G144" s="41">
        <v>0</v>
      </c>
      <c r="H144" s="41">
        <v>38604.33</v>
      </c>
      <c r="I144" s="41">
        <v>1902.4026389000001</v>
      </c>
      <c r="J144" s="41">
        <f t="shared" si="24"/>
        <v>40506.732638900001</v>
      </c>
      <c r="K144" s="57">
        <v>0</v>
      </c>
      <c r="L144" s="62">
        <v>0</v>
      </c>
      <c r="M144" s="62">
        <v>0.58399999999999996</v>
      </c>
      <c r="N144" s="41">
        <v>0.374</v>
      </c>
      <c r="O144" s="41">
        <f t="shared" si="25"/>
        <v>0.95799999999999996</v>
      </c>
      <c r="P144" s="41">
        <v>6112.9520000000002</v>
      </c>
      <c r="Q144" s="41">
        <v>0</v>
      </c>
      <c r="R144" s="42">
        <f t="shared" si="26"/>
        <v>6112.9520000000002</v>
      </c>
      <c r="S144" s="62"/>
      <c r="T144" s="50">
        <v>0</v>
      </c>
      <c r="U144" s="50">
        <f t="shared" si="27"/>
        <v>0</v>
      </c>
      <c r="V144" s="50">
        <v>0</v>
      </c>
      <c r="W144" s="50">
        <f t="shared" si="28"/>
        <v>0</v>
      </c>
      <c r="X144" s="50">
        <v>0</v>
      </c>
      <c r="Y144" s="50">
        <f t="shared" si="29"/>
        <v>0</v>
      </c>
      <c r="Z144" s="50">
        <v>0</v>
      </c>
      <c r="AA144" s="50">
        <f t="shared" si="30"/>
        <v>0</v>
      </c>
      <c r="AC144" s="53">
        <v>377.26400000000001</v>
      </c>
      <c r="AD144" s="81">
        <v>4354.7064</v>
      </c>
      <c r="AE144" s="77">
        <f t="shared" si="31"/>
        <v>0.58399999999999996</v>
      </c>
      <c r="AF144" s="86">
        <f t="shared" si="32"/>
        <v>0.374</v>
      </c>
      <c r="AH144" s="88">
        <v>911.18399999999997</v>
      </c>
      <c r="AI144" s="86">
        <f t="shared" si="33"/>
        <v>0.36999991878700267</v>
      </c>
      <c r="AK144" s="88">
        <v>999.15300000000002</v>
      </c>
      <c r="AL144" s="86">
        <f t="shared" si="34"/>
        <v>0.62175046670815182</v>
      </c>
      <c r="AN144" s="36">
        <v>891.48299999999995</v>
      </c>
    </row>
    <row r="145" spans="4:40" x14ac:dyDescent="0.35">
      <c r="D145" s="39">
        <f t="shared" si="35"/>
        <v>143</v>
      </c>
      <c r="E145" s="57">
        <v>0</v>
      </c>
      <c r="F145" s="41">
        <v>0</v>
      </c>
      <c r="G145" s="41">
        <v>0</v>
      </c>
      <c r="H145" s="41">
        <v>36813.754999999997</v>
      </c>
      <c r="I145" s="41">
        <v>1907.10974074</v>
      </c>
      <c r="J145" s="41">
        <f t="shared" si="24"/>
        <v>38720.864740739999</v>
      </c>
      <c r="K145" s="57">
        <v>0</v>
      </c>
      <c r="L145" s="62">
        <v>0</v>
      </c>
      <c r="M145" s="62">
        <v>0.61899999999999999</v>
      </c>
      <c r="N145" s="41">
        <v>0.45700000000000002</v>
      </c>
      <c r="O145" s="41">
        <f t="shared" si="25"/>
        <v>1.0760000000000001</v>
      </c>
      <c r="P145" s="41">
        <v>6325.7550000000001</v>
      </c>
      <c r="Q145" s="41">
        <v>0</v>
      </c>
      <c r="R145" s="42">
        <f t="shared" si="26"/>
        <v>6325.7550000000001</v>
      </c>
      <c r="S145" s="62"/>
      <c r="T145" s="50">
        <v>0</v>
      </c>
      <c r="U145" s="50">
        <f t="shared" si="27"/>
        <v>0</v>
      </c>
      <c r="V145" s="50">
        <v>0</v>
      </c>
      <c r="W145" s="50">
        <f t="shared" si="28"/>
        <v>0</v>
      </c>
      <c r="X145" s="50">
        <v>0</v>
      </c>
      <c r="Y145" s="50">
        <f t="shared" si="29"/>
        <v>0</v>
      </c>
      <c r="Z145" s="50">
        <v>0</v>
      </c>
      <c r="AA145" s="50">
        <f t="shared" si="30"/>
        <v>0</v>
      </c>
      <c r="AC145" s="53">
        <v>399.87400000000002</v>
      </c>
      <c r="AD145" s="81">
        <v>5321.1252000000004</v>
      </c>
      <c r="AE145" s="77">
        <f t="shared" si="31"/>
        <v>0.61899999999999999</v>
      </c>
      <c r="AF145" s="86">
        <f t="shared" si="32"/>
        <v>0.45700000000000002</v>
      </c>
      <c r="AH145" s="88">
        <v>891.48299999999995</v>
      </c>
      <c r="AI145" s="86">
        <f t="shared" si="33"/>
        <v>0.36200003248519891</v>
      </c>
      <c r="AK145" s="88">
        <v>984.97900000000004</v>
      </c>
      <c r="AL145" s="86">
        <f t="shared" si="34"/>
        <v>0.61293030491599254</v>
      </c>
      <c r="AN145" s="36">
        <v>881.63199999999995</v>
      </c>
    </row>
    <row r="146" spans="4:40" x14ac:dyDescent="0.35">
      <c r="D146" s="39">
        <f t="shared" si="35"/>
        <v>144</v>
      </c>
      <c r="E146" s="57">
        <v>0</v>
      </c>
      <c r="F146" s="41">
        <v>0</v>
      </c>
      <c r="G146" s="41">
        <v>0</v>
      </c>
      <c r="H146" s="41">
        <v>34282.080000000002</v>
      </c>
      <c r="I146" s="41">
        <v>1599.6443355199999</v>
      </c>
      <c r="J146" s="41">
        <f t="shared" si="24"/>
        <v>35881.724335520004</v>
      </c>
      <c r="K146" s="57">
        <v>0</v>
      </c>
      <c r="L146" s="62">
        <v>0</v>
      </c>
      <c r="M146" s="62">
        <v>0.65300000000000002</v>
      </c>
      <c r="N146" s="41">
        <v>0.53</v>
      </c>
      <c r="O146" s="41">
        <f t="shared" si="25"/>
        <v>1.1830000000000001</v>
      </c>
      <c r="P146" s="41">
        <v>5965.1719999999996</v>
      </c>
      <c r="Q146" s="41">
        <v>0</v>
      </c>
      <c r="R146" s="42">
        <f t="shared" si="26"/>
        <v>5965.1719999999996</v>
      </c>
      <c r="S146" s="62"/>
      <c r="T146" s="50">
        <v>0</v>
      </c>
      <c r="U146" s="50">
        <f t="shared" si="27"/>
        <v>0</v>
      </c>
      <c r="V146" s="50">
        <v>0</v>
      </c>
      <c r="W146" s="50">
        <f t="shared" si="28"/>
        <v>0</v>
      </c>
      <c r="X146" s="50">
        <v>0</v>
      </c>
      <c r="Y146" s="50">
        <f t="shared" si="29"/>
        <v>0</v>
      </c>
      <c r="Z146" s="50">
        <v>0</v>
      </c>
      <c r="AA146" s="50">
        <f t="shared" si="30"/>
        <v>0</v>
      </c>
      <c r="AC146" s="53">
        <v>421.83800000000002</v>
      </c>
      <c r="AD146" s="81">
        <v>6171.1080000000002</v>
      </c>
      <c r="AE146" s="77">
        <f t="shared" si="31"/>
        <v>0.65300000000000002</v>
      </c>
      <c r="AF146" s="86">
        <f t="shared" si="32"/>
        <v>0.53</v>
      </c>
      <c r="AH146" s="88">
        <v>881.63199999999995</v>
      </c>
      <c r="AI146" s="86">
        <f t="shared" si="33"/>
        <v>0.35799988630180374</v>
      </c>
      <c r="AK146" s="88">
        <v>972.048</v>
      </c>
      <c r="AL146" s="86">
        <f t="shared" si="34"/>
        <v>0.60488363410080892</v>
      </c>
      <c r="AN146" s="36">
        <v>884.09500000000003</v>
      </c>
    </row>
    <row r="147" spans="4:40" x14ac:dyDescent="0.35">
      <c r="D147" s="39">
        <f t="shared" si="35"/>
        <v>145</v>
      </c>
      <c r="E147" s="57">
        <v>0</v>
      </c>
      <c r="F147" s="41">
        <v>0</v>
      </c>
      <c r="G147" s="41">
        <v>0</v>
      </c>
      <c r="H147" s="41">
        <v>32633.776000000002</v>
      </c>
      <c r="I147" s="41">
        <v>1275.0043948499999</v>
      </c>
      <c r="J147" s="41">
        <f t="shared" si="24"/>
        <v>33908.78039485</v>
      </c>
      <c r="K147" s="57">
        <v>0</v>
      </c>
      <c r="L147" s="62">
        <v>0</v>
      </c>
      <c r="M147" s="62">
        <v>0.68300000000000005</v>
      </c>
      <c r="N147" s="41">
        <v>0.62</v>
      </c>
      <c r="O147" s="41">
        <f t="shared" si="25"/>
        <v>1.3029999999999999</v>
      </c>
      <c r="P147" s="41">
        <v>5339.4930000000004</v>
      </c>
      <c r="Q147" s="41">
        <v>0</v>
      </c>
      <c r="R147" s="42">
        <f t="shared" si="26"/>
        <v>5339.4930000000004</v>
      </c>
      <c r="S147" s="62"/>
      <c r="T147" s="50">
        <v>0</v>
      </c>
      <c r="U147" s="50">
        <f t="shared" si="27"/>
        <v>0</v>
      </c>
      <c r="V147" s="50">
        <v>0</v>
      </c>
      <c r="W147" s="50">
        <f t="shared" si="28"/>
        <v>0</v>
      </c>
      <c r="X147" s="50">
        <v>0</v>
      </c>
      <c r="Y147" s="50">
        <f t="shared" si="29"/>
        <v>0</v>
      </c>
      <c r="Z147" s="50">
        <v>0</v>
      </c>
      <c r="AA147" s="50">
        <f t="shared" si="30"/>
        <v>0</v>
      </c>
      <c r="AC147" s="53">
        <v>441.21800000000002</v>
      </c>
      <c r="AD147" s="81">
        <v>7219.0320000000002</v>
      </c>
      <c r="AE147" s="77">
        <f t="shared" si="31"/>
        <v>0.68300000000000005</v>
      </c>
      <c r="AF147" s="86">
        <f t="shared" si="32"/>
        <v>0.62</v>
      </c>
      <c r="AH147" s="88">
        <v>884.09500000000003</v>
      </c>
      <c r="AI147" s="86">
        <f t="shared" si="33"/>
        <v>0.35900002436389922</v>
      </c>
      <c r="AK147" s="88">
        <v>919.899</v>
      </c>
      <c r="AL147" s="86">
        <f t="shared" si="34"/>
        <v>0.57243248288736781</v>
      </c>
      <c r="AN147" s="36">
        <v>884.09500000000003</v>
      </c>
    </row>
    <row r="148" spans="4:40" x14ac:dyDescent="0.35">
      <c r="D148" s="39">
        <f t="shared" si="35"/>
        <v>146</v>
      </c>
      <c r="E148" s="57">
        <v>0</v>
      </c>
      <c r="F148" s="41">
        <v>0</v>
      </c>
      <c r="G148" s="41">
        <v>0</v>
      </c>
      <c r="H148" s="41">
        <v>30727.126</v>
      </c>
      <c r="I148" s="41">
        <v>967.56677635000005</v>
      </c>
      <c r="J148" s="41">
        <f t="shared" si="24"/>
        <v>31694.692776349999</v>
      </c>
      <c r="K148" s="57">
        <v>0</v>
      </c>
      <c r="L148" s="62">
        <v>0</v>
      </c>
      <c r="M148" s="62">
        <v>0.70399999999999996</v>
      </c>
      <c r="N148" s="41">
        <v>0.70799999999999996</v>
      </c>
      <c r="O148" s="41">
        <f t="shared" si="25"/>
        <v>1.4119999999999999</v>
      </c>
      <c r="P148" s="41">
        <v>4957.9459999999999</v>
      </c>
      <c r="Q148" s="41">
        <v>0</v>
      </c>
      <c r="R148" s="42">
        <f t="shared" si="26"/>
        <v>4957.9459999999999</v>
      </c>
      <c r="S148" s="62"/>
      <c r="T148" s="50">
        <v>0</v>
      </c>
      <c r="U148" s="50">
        <f t="shared" si="27"/>
        <v>0</v>
      </c>
      <c r="V148" s="50">
        <v>0</v>
      </c>
      <c r="W148" s="50">
        <f t="shared" si="28"/>
        <v>0</v>
      </c>
      <c r="X148" s="50">
        <v>0</v>
      </c>
      <c r="Y148" s="50">
        <f t="shared" si="29"/>
        <v>0</v>
      </c>
      <c r="Z148" s="50">
        <v>0</v>
      </c>
      <c r="AA148" s="50">
        <f t="shared" si="30"/>
        <v>0</v>
      </c>
      <c r="AC148" s="53">
        <v>454.78399999999999</v>
      </c>
      <c r="AD148" s="81">
        <v>8243.6687999999995</v>
      </c>
      <c r="AE148" s="77">
        <f t="shared" si="31"/>
        <v>0.70399999999999996</v>
      </c>
      <c r="AF148" s="86">
        <f t="shared" si="32"/>
        <v>0.70799999999999996</v>
      </c>
      <c r="AH148" s="88">
        <v>884.09500000000003</v>
      </c>
      <c r="AI148" s="86">
        <f t="shared" si="33"/>
        <v>0.35900002436389922</v>
      </c>
      <c r="AK148" s="88">
        <v>922.79899999999998</v>
      </c>
      <c r="AL148" s="86">
        <f t="shared" si="34"/>
        <v>0.57423708774113258</v>
      </c>
      <c r="AN148" s="36">
        <v>886.55799999999999</v>
      </c>
    </row>
    <row r="149" spans="4:40" x14ac:dyDescent="0.35">
      <c r="D149" s="39">
        <f t="shared" si="35"/>
        <v>147</v>
      </c>
      <c r="E149" s="57">
        <v>0</v>
      </c>
      <c r="F149" s="41">
        <v>0</v>
      </c>
      <c r="G149" s="41">
        <v>0</v>
      </c>
      <c r="H149" s="41">
        <v>29460.581999999999</v>
      </c>
      <c r="I149" s="41">
        <v>1581.5952864999999</v>
      </c>
      <c r="J149" s="41">
        <f t="shared" si="24"/>
        <v>31042.177286499998</v>
      </c>
      <c r="K149" s="57">
        <v>0</v>
      </c>
      <c r="L149" s="62">
        <v>0</v>
      </c>
      <c r="M149" s="62">
        <v>0.72599999999999998</v>
      </c>
      <c r="N149" s="41">
        <v>0.75199999999999989</v>
      </c>
      <c r="O149" s="41">
        <f t="shared" si="25"/>
        <v>1.4779999999999998</v>
      </c>
      <c r="P149" s="41">
        <v>4496.732</v>
      </c>
      <c r="Q149" s="41">
        <v>0</v>
      </c>
      <c r="R149" s="42">
        <f t="shared" si="26"/>
        <v>4496.732</v>
      </c>
      <c r="S149" s="62"/>
      <c r="T149" s="50">
        <v>0</v>
      </c>
      <c r="U149" s="50">
        <f t="shared" si="27"/>
        <v>0</v>
      </c>
      <c r="V149" s="50">
        <v>0</v>
      </c>
      <c r="W149" s="50">
        <f t="shared" si="28"/>
        <v>0</v>
      </c>
      <c r="X149" s="50">
        <v>0</v>
      </c>
      <c r="Y149" s="50">
        <f t="shared" si="29"/>
        <v>0</v>
      </c>
      <c r="Z149" s="50">
        <v>0</v>
      </c>
      <c r="AA149" s="50">
        <f t="shared" si="30"/>
        <v>0</v>
      </c>
      <c r="AC149" s="53">
        <v>468.99599999999998</v>
      </c>
      <c r="AD149" s="81">
        <v>8755.9871999999996</v>
      </c>
      <c r="AE149" s="77">
        <f t="shared" si="31"/>
        <v>0.72599999999999998</v>
      </c>
      <c r="AF149" s="86">
        <f t="shared" si="32"/>
        <v>0.75199999999999989</v>
      </c>
      <c r="AH149" s="88">
        <v>886.55799999999999</v>
      </c>
      <c r="AI149" s="86">
        <f t="shared" si="33"/>
        <v>0.3600001624259947</v>
      </c>
      <c r="AK149" s="88">
        <v>926.03700000000003</v>
      </c>
      <c r="AL149" s="86">
        <f t="shared" si="34"/>
        <v>0.57625202240199136</v>
      </c>
      <c r="AN149" s="36">
        <v>886.55799999999999</v>
      </c>
    </row>
    <row r="150" spans="4:40" x14ac:dyDescent="0.35">
      <c r="D150" s="39">
        <f t="shared" si="35"/>
        <v>148</v>
      </c>
      <c r="E150" s="57">
        <v>0</v>
      </c>
      <c r="F150" s="41">
        <v>0</v>
      </c>
      <c r="G150" s="41">
        <v>0</v>
      </c>
      <c r="H150" s="41">
        <v>28758.135999999999</v>
      </c>
      <c r="I150" s="41">
        <v>2498.7366734900002</v>
      </c>
      <c r="J150" s="41">
        <f t="shared" si="24"/>
        <v>31256.872673489997</v>
      </c>
      <c r="K150" s="57">
        <v>0</v>
      </c>
      <c r="L150" s="62">
        <v>0</v>
      </c>
      <c r="M150" s="62">
        <v>0.73299999999999998</v>
      </c>
      <c r="N150" s="41">
        <v>0.78800000000000003</v>
      </c>
      <c r="O150" s="41">
        <f t="shared" si="25"/>
        <v>1.5209999999999999</v>
      </c>
      <c r="P150" s="41">
        <v>4343.1559999999999</v>
      </c>
      <c r="Q150" s="41">
        <v>0</v>
      </c>
      <c r="R150" s="42">
        <f t="shared" si="26"/>
        <v>4343.1559999999999</v>
      </c>
      <c r="S150" s="62"/>
      <c r="T150" s="50">
        <v>0</v>
      </c>
      <c r="U150" s="50">
        <f t="shared" si="27"/>
        <v>0</v>
      </c>
      <c r="V150" s="50">
        <v>0</v>
      </c>
      <c r="W150" s="50">
        <f t="shared" si="28"/>
        <v>0</v>
      </c>
      <c r="X150" s="50">
        <v>0</v>
      </c>
      <c r="Y150" s="50">
        <f t="shared" si="29"/>
        <v>0</v>
      </c>
      <c r="Z150" s="50">
        <v>0</v>
      </c>
      <c r="AA150" s="50">
        <f t="shared" si="30"/>
        <v>0</v>
      </c>
      <c r="AC150" s="53">
        <v>473.51799999999997</v>
      </c>
      <c r="AD150" s="81">
        <v>9175.1568000000007</v>
      </c>
      <c r="AE150" s="77">
        <f t="shared" si="31"/>
        <v>0.73299999999999998</v>
      </c>
      <c r="AF150" s="86">
        <f t="shared" si="32"/>
        <v>0.78800000000000003</v>
      </c>
      <c r="AH150" s="88">
        <v>886.55799999999999</v>
      </c>
      <c r="AI150" s="86">
        <f t="shared" si="33"/>
        <v>0.3600001624259947</v>
      </c>
      <c r="AK150" s="88">
        <v>932.17399999999998</v>
      </c>
      <c r="AL150" s="86">
        <f t="shared" si="34"/>
        <v>0.58007093963907896</v>
      </c>
      <c r="AN150" s="36">
        <v>879.17</v>
      </c>
    </row>
    <row r="151" spans="4:40" x14ac:dyDescent="0.35">
      <c r="D151" s="39">
        <f t="shared" si="35"/>
        <v>149</v>
      </c>
      <c r="E151" s="57">
        <v>0</v>
      </c>
      <c r="F151" s="41">
        <v>0</v>
      </c>
      <c r="G151" s="41">
        <v>0</v>
      </c>
      <c r="H151" s="41">
        <v>28585.670999999998</v>
      </c>
      <c r="I151" s="41">
        <v>2804.0450830999998</v>
      </c>
      <c r="J151" s="41">
        <f t="shared" si="24"/>
        <v>31389.7160831</v>
      </c>
      <c r="K151" s="57">
        <v>0</v>
      </c>
      <c r="L151" s="62">
        <v>0</v>
      </c>
      <c r="M151" s="62">
        <v>0.72</v>
      </c>
      <c r="N151" s="41">
        <v>0.80799999999999994</v>
      </c>
      <c r="O151" s="41">
        <f t="shared" si="25"/>
        <v>1.528</v>
      </c>
      <c r="P151" s="41">
        <v>4305.777</v>
      </c>
      <c r="Q151" s="41">
        <v>0</v>
      </c>
      <c r="R151" s="42">
        <f t="shared" si="26"/>
        <v>4305.777</v>
      </c>
      <c r="S151" s="62"/>
      <c r="T151" s="50">
        <v>0</v>
      </c>
      <c r="U151" s="50">
        <f t="shared" si="27"/>
        <v>0</v>
      </c>
      <c r="V151" s="50">
        <v>0</v>
      </c>
      <c r="W151" s="50">
        <f t="shared" si="28"/>
        <v>0</v>
      </c>
      <c r="X151" s="50">
        <v>0</v>
      </c>
      <c r="Y151" s="50">
        <f t="shared" si="29"/>
        <v>0</v>
      </c>
      <c r="Z151" s="50">
        <v>0</v>
      </c>
      <c r="AA151" s="50">
        <f t="shared" si="30"/>
        <v>0</v>
      </c>
      <c r="AC151" s="53">
        <v>465.12</v>
      </c>
      <c r="AD151" s="81">
        <v>9408.0288</v>
      </c>
      <c r="AE151" s="77">
        <f t="shared" si="31"/>
        <v>0.72</v>
      </c>
      <c r="AF151" s="86">
        <f t="shared" si="32"/>
        <v>0.80799999999999994</v>
      </c>
      <c r="AH151" s="88">
        <v>879.17</v>
      </c>
      <c r="AI151" s="86">
        <f t="shared" si="33"/>
        <v>0.35700015430469495</v>
      </c>
      <c r="AK151" s="88">
        <v>932.14700000000005</v>
      </c>
      <c r="AL151" s="86">
        <f t="shared" si="34"/>
        <v>0.58005413814561302</v>
      </c>
      <c r="AN151" s="36">
        <v>884.09500000000003</v>
      </c>
    </row>
    <row r="152" spans="4:40" x14ac:dyDescent="0.35">
      <c r="D152" s="39">
        <f t="shared" si="35"/>
        <v>150</v>
      </c>
      <c r="E152" s="57">
        <v>0</v>
      </c>
      <c r="F152" s="41">
        <v>0</v>
      </c>
      <c r="G152" s="41">
        <v>0</v>
      </c>
      <c r="H152" s="41">
        <v>28783.722000000002</v>
      </c>
      <c r="I152" s="41">
        <v>2984.8624044200001</v>
      </c>
      <c r="J152" s="41">
        <f t="shared" si="24"/>
        <v>31768.584404420002</v>
      </c>
      <c r="K152" s="57">
        <v>0</v>
      </c>
      <c r="L152" s="62">
        <v>0</v>
      </c>
      <c r="M152" s="62">
        <v>0.68899999999999995</v>
      </c>
      <c r="N152" s="41">
        <v>0.79500000000000004</v>
      </c>
      <c r="O152" s="41">
        <f t="shared" si="25"/>
        <v>1.484</v>
      </c>
      <c r="P152" s="41">
        <v>4336.7520000000004</v>
      </c>
      <c r="Q152" s="41">
        <v>0</v>
      </c>
      <c r="R152" s="42">
        <f t="shared" si="26"/>
        <v>4336.7520000000004</v>
      </c>
      <c r="S152" s="62"/>
      <c r="T152" s="50">
        <v>0</v>
      </c>
      <c r="U152" s="50">
        <f t="shared" si="27"/>
        <v>0</v>
      </c>
      <c r="V152" s="50">
        <v>0</v>
      </c>
      <c r="W152" s="50">
        <f t="shared" si="28"/>
        <v>0</v>
      </c>
      <c r="X152" s="50">
        <v>0</v>
      </c>
      <c r="Y152" s="50">
        <f t="shared" si="29"/>
        <v>0</v>
      </c>
      <c r="Z152" s="50">
        <v>0</v>
      </c>
      <c r="AA152" s="50">
        <f t="shared" si="30"/>
        <v>0</v>
      </c>
      <c r="AC152" s="53">
        <v>445.09399999999999</v>
      </c>
      <c r="AD152" s="81">
        <v>9256.6620000000003</v>
      </c>
      <c r="AE152" s="77">
        <f t="shared" si="31"/>
        <v>0.68899999999999995</v>
      </c>
      <c r="AF152" s="86">
        <f t="shared" si="32"/>
        <v>0.79500000000000004</v>
      </c>
      <c r="AH152" s="88">
        <v>884.09500000000003</v>
      </c>
      <c r="AI152" s="86">
        <f t="shared" si="33"/>
        <v>0.35900002436389922</v>
      </c>
      <c r="AK152" s="88">
        <v>934.01599999999996</v>
      </c>
      <c r="AL152" s="86">
        <f t="shared" si="34"/>
        <v>0.58121717485998758</v>
      </c>
      <c r="AN152" s="36">
        <v>889.02</v>
      </c>
    </row>
    <row r="153" spans="4:40" x14ac:dyDescent="0.35">
      <c r="D153" s="39">
        <f t="shared" si="35"/>
        <v>151</v>
      </c>
      <c r="E153" s="57">
        <v>0</v>
      </c>
      <c r="F153" s="41">
        <v>0</v>
      </c>
      <c r="G153" s="41">
        <v>0</v>
      </c>
      <c r="H153" s="41">
        <v>29674.134999999998</v>
      </c>
      <c r="I153" s="41">
        <v>3746.0903539300002</v>
      </c>
      <c r="J153" s="41">
        <f t="shared" si="24"/>
        <v>33420.22535393</v>
      </c>
      <c r="K153" s="57">
        <v>0</v>
      </c>
      <c r="L153" s="62">
        <v>0</v>
      </c>
      <c r="M153" s="62">
        <v>0.69400000000000006</v>
      </c>
      <c r="N153" s="41">
        <v>0.78999999999999992</v>
      </c>
      <c r="O153" s="41">
        <f t="shared" si="25"/>
        <v>1.484</v>
      </c>
      <c r="P153" s="41">
        <v>4388.3490000000002</v>
      </c>
      <c r="Q153" s="41">
        <v>0</v>
      </c>
      <c r="R153" s="42">
        <f t="shared" si="26"/>
        <v>4388.3490000000002</v>
      </c>
      <c r="S153" s="62"/>
      <c r="T153" s="50">
        <v>0</v>
      </c>
      <c r="U153" s="50">
        <f t="shared" si="27"/>
        <v>0</v>
      </c>
      <c r="V153" s="50">
        <v>0</v>
      </c>
      <c r="W153" s="50">
        <f t="shared" si="28"/>
        <v>0</v>
      </c>
      <c r="X153" s="50">
        <v>0</v>
      </c>
      <c r="Y153" s="50">
        <f t="shared" si="29"/>
        <v>0</v>
      </c>
      <c r="Z153" s="50">
        <v>0</v>
      </c>
      <c r="AA153" s="50">
        <f t="shared" si="30"/>
        <v>0</v>
      </c>
      <c r="AC153" s="53">
        <v>448.32400000000001</v>
      </c>
      <c r="AD153" s="81">
        <v>9198.4439999999995</v>
      </c>
      <c r="AE153" s="77">
        <f t="shared" si="31"/>
        <v>0.69400000000000006</v>
      </c>
      <c r="AF153" s="86">
        <f t="shared" si="32"/>
        <v>0.78999999999999992</v>
      </c>
      <c r="AH153" s="88">
        <v>889.02</v>
      </c>
      <c r="AI153" s="86">
        <f t="shared" si="33"/>
        <v>0.36099989442310348</v>
      </c>
      <c r="AK153" s="88">
        <v>943.673</v>
      </c>
      <c r="AL153" s="86">
        <f t="shared" si="34"/>
        <v>0.58722650902302431</v>
      </c>
      <c r="AN153" s="36">
        <v>891.48299999999995</v>
      </c>
    </row>
    <row r="154" spans="4:40" x14ac:dyDescent="0.35">
      <c r="D154" s="39">
        <f t="shared" si="35"/>
        <v>152</v>
      </c>
      <c r="E154" s="57">
        <v>0</v>
      </c>
      <c r="F154" s="41">
        <v>0</v>
      </c>
      <c r="G154" s="41">
        <v>0</v>
      </c>
      <c r="H154" s="41">
        <v>31319.714</v>
      </c>
      <c r="I154" s="41">
        <v>4164.2738159500004</v>
      </c>
      <c r="J154" s="41">
        <f t="shared" si="24"/>
        <v>35483.98781595</v>
      </c>
      <c r="K154" s="57">
        <v>0</v>
      </c>
      <c r="L154" s="62">
        <v>0</v>
      </c>
      <c r="M154" s="62">
        <v>0.67500000000000004</v>
      </c>
      <c r="N154" s="41">
        <v>0.77799999999999991</v>
      </c>
      <c r="O154" s="41">
        <f t="shared" si="25"/>
        <v>1.4529999999999998</v>
      </c>
      <c r="P154" s="41">
        <v>4334.1949999999997</v>
      </c>
      <c r="Q154" s="41">
        <v>0</v>
      </c>
      <c r="R154" s="42">
        <f t="shared" si="26"/>
        <v>4334.1949999999997</v>
      </c>
      <c r="S154" s="62"/>
      <c r="T154" s="50">
        <v>0</v>
      </c>
      <c r="U154" s="50">
        <f t="shared" si="27"/>
        <v>0</v>
      </c>
      <c r="V154" s="50">
        <v>0</v>
      </c>
      <c r="W154" s="50">
        <f t="shared" si="28"/>
        <v>0</v>
      </c>
      <c r="X154" s="50">
        <v>0</v>
      </c>
      <c r="Y154" s="50">
        <f t="shared" si="29"/>
        <v>0</v>
      </c>
      <c r="Z154" s="50">
        <v>0</v>
      </c>
      <c r="AA154" s="50">
        <f t="shared" si="30"/>
        <v>0</v>
      </c>
      <c r="AC154" s="53">
        <v>436.05</v>
      </c>
      <c r="AD154" s="81">
        <v>9058.7207999999991</v>
      </c>
      <c r="AE154" s="77">
        <f t="shared" si="31"/>
        <v>0.67500000000000004</v>
      </c>
      <c r="AF154" s="86">
        <f t="shared" si="32"/>
        <v>0.77799999999999991</v>
      </c>
      <c r="AH154" s="88">
        <v>891.48299999999995</v>
      </c>
      <c r="AI154" s="86">
        <f t="shared" si="33"/>
        <v>0.36200003248519891</v>
      </c>
      <c r="AK154" s="88">
        <v>1016.37</v>
      </c>
      <c r="AL154" s="86">
        <f t="shared" si="34"/>
        <v>0.63246421904169259</v>
      </c>
      <c r="AN154" s="36">
        <v>891.48299999999995</v>
      </c>
    </row>
    <row r="155" spans="4:40" x14ac:dyDescent="0.35">
      <c r="D155" s="39">
        <f t="shared" si="35"/>
        <v>153</v>
      </c>
      <c r="E155" s="57">
        <v>0</v>
      </c>
      <c r="F155" s="41">
        <v>0</v>
      </c>
      <c r="G155" s="41">
        <v>0</v>
      </c>
      <c r="H155" s="41">
        <v>33635.925999999999</v>
      </c>
      <c r="I155" s="41">
        <v>4005.34518471</v>
      </c>
      <c r="J155" s="41">
        <f t="shared" si="24"/>
        <v>37641.27118471</v>
      </c>
      <c r="K155" s="57">
        <v>0</v>
      </c>
      <c r="L155" s="62">
        <v>0</v>
      </c>
      <c r="M155" s="62">
        <v>0.60499999999999998</v>
      </c>
      <c r="N155" s="41">
        <v>0.72</v>
      </c>
      <c r="O155" s="41">
        <f t="shared" si="25"/>
        <v>1.325</v>
      </c>
      <c r="P155" s="41">
        <v>4342.3630000000003</v>
      </c>
      <c r="Q155" s="41">
        <v>0</v>
      </c>
      <c r="R155" s="42">
        <f t="shared" si="26"/>
        <v>4342.3630000000003</v>
      </c>
      <c r="S155" s="62"/>
      <c r="T155" s="50">
        <v>0</v>
      </c>
      <c r="U155" s="50">
        <f t="shared" si="27"/>
        <v>0</v>
      </c>
      <c r="V155" s="50">
        <v>0</v>
      </c>
      <c r="W155" s="50">
        <f t="shared" si="28"/>
        <v>0</v>
      </c>
      <c r="X155" s="50">
        <v>0</v>
      </c>
      <c r="Y155" s="50">
        <f t="shared" si="29"/>
        <v>0</v>
      </c>
      <c r="Z155" s="50">
        <v>0</v>
      </c>
      <c r="AA155" s="50">
        <f t="shared" si="30"/>
        <v>0</v>
      </c>
      <c r="AC155" s="53">
        <v>390.83</v>
      </c>
      <c r="AD155" s="81">
        <v>8383.3919999999998</v>
      </c>
      <c r="AE155" s="77">
        <f t="shared" si="31"/>
        <v>0.60499999999999998</v>
      </c>
      <c r="AF155" s="86">
        <f t="shared" si="32"/>
        <v>0.72</v>
      </c>
      <c r="AH155" s="88">
        <v>891.48299999999995</v>
      </c>
      <c r="AI155" s="86">
        <f t="shared" si="33"/>
        <v>0.36200003248519891</v>
      </c>
      <c r="AK155" s="88">
        <v>1031.7850000000001</v>
      </c>
      <c r="AL155" s="86">
        <f t="shared" si="34"/>
        <v>0.64205662725575607</v>
      </c>
      <c r="AN155" s="36">
        <v>906.25900000000001</v>
      </c>
    </row>
    <row r="156" spans="4:40" x14ac:dyDescent="0.35">
      <c r="D156" s="39">
        <f t="shared" si="35"/>
        <v>154</v>
      </c>
      <c r="E156" s="57">
        <v>4.4999999999999998E-2</v>
      </c>
      <c r="F156" s="41">
        <v>0</v>
      </c>
      <c r="G156" s="41">
        <v>3.6999999999999901E-2</v>
      </c>
      <c r="H156" s="41">
        <v>36023.576000000001</v>
      </c>
      <c r="I156" s="41">
        <v>2484.82856219</v>
      </c>
      <c r="J156" s="41">
        <f t="shared" si="24"/>
        <v>38508.40456219</v>
      </c>
      <c r="K156" s="57">
        <v>0</v>
      </c>
      <c r="L156" s="62">
        <v>0</v>
      </c>
      <c r="M156" s="62">
        <v>0.52800000000000002</v>
      </c>
      <c r="N156" s="41">
        <v>0.66499999999999992</v>
      </c>
      <c r="O156" s="41">
        <f t="shared" si="25"/>
        <v>1.1930000000000001</v>
      </c>
      <c r="P156" s="41">
        <v>4640.1970000000001</v>
      </c>
      <c r="Q156" s="41">
        <v>0</v>
      </c>
      <c r="R156" s="42">
        <f t="shared" si="26"/>
        <v>4640.1970000000001</v>
      </c>
      <c r="S156" s="62"/>
      <c r="T156" s="50">
        <v>2490</v>
      </c>
      <c r="U156" s="50">
        <f t="shared" si="27"/>
        <v>0.03</v>
      </c>
      <c r="V156" s="50">
        <v>0</v>
      </c>
      <c r="W156" s="50">
        <f t="shared" si="28"/>
        <v>0</v>
      </c>
      <c r="X156" s="50">
        <v>172.5384</v>
      </c>
      <c r="Y156" s="50">
        <f t="shared" si="29"/>
        <v>1.1999999999999999E-2</v>
      </c>
      <c r="Z156" s="50">
        <v>115.9188</v>
      </c>
      <c r="AA156" s="50">
        <f t="shared" si="30"/>
        <v>1.2E-2</v>
      </c>
      <c r="AC156" s="53">
        <v>341.08800000000002</v>
      </c>
      <c r="AD156" s="81">
        <v>7742.9939999999997</v>
      </c>
      <c r="AE156" s="77">
        <f t="shared" si="31"/>
        <v>0.52800000000000002</v>
      </c>
      <c r="AF156" s="86">
        <f t="shared" si="32"/>
        <v>0.66499999999999992</v>
      </c>
      <c r="AH156" s="88">
        <v>906.25900000000001</v>
      </c>
      <c r="AI156" s="86">
        <f t="shared" si="33"/>
        <v>0.3680000487277984</v>
      </c>
      <c r="AK156" s="88">
        <v>0</v>
      </c>
      <c r="AL156" s="86">
        <f t="shared" si="34"/>
        <v>0</v>
      </c>
      <c r="AN156" s="36">
        <v>901.33399999999995</v>
      </c>
    </row>
    <row r="157" spans="4:40" x14ac:dyDescent="0.35">
      <c r="D157" s="39">
        <f t="shared" si="35"/>
        <v>155</v>
      </c>
      <c r="E157" s="57">
        <v>0.13900000000000001</v>
      </c>
      <c r="F157" s="41">
        <v>1.7000000000000001E-2</v>
      </c>
      <c r="G157" s="41">
        <v>0.107</v>
      </c>
      <c r="H157" s="41">
        <v>36804.972999999998</v>
      </c>
      <c r="I157" s="41">
        <v>2000.9532392599999</v>
      </c>
      <c r="J157" s="41">
        <f t="shared" si="24"/>
        <v>38805.926239259999</v>
      </c>
      <c r="K157" s="57">
        <v>0.01</v>
      </c>
      <c r="L157" s="62">
        <v>1.2E-2</v>
      </c>
      <c r="M157" s="62">
        <v>0.44599999999999995</v>
      </c>
      <c r="N157" s="41">
        <v>0.621</v>
      </c>
      <c r="O157" s="41">
        <f t="shared" si="25"/>
        <v>1.0669999999999999</v>
      </c>
      <c r="P157" s="41">
        <v>4886.9849999999997</v>
      </c>
      <c r="Q157" s="41">
        <v>0</v>
      </c>
      <c r="R157" s="42">
        <f t="shared" si="26"/>
        <v>4886.9849999999997</v>
      </c>
      <c r="S157" s="62"/>
      <c r="T157" s="50">
        <v>6806</v>
      </c>
      <c r="U157" s="50">
        <f t="shared" si="27"/>
        <v>8.2000000000000003E-2</v>
      </c>
      <c r="V157" s="50">
        <v>81.685000000000002</v>
      </c>
      <c r="W157" s="50">
        <f t="shared" si="28"/>
        <v>1.7000000000000001E-2</v>
      </c>
      <c r="X157" s="50">
        <v>704.53179999999998</v>
      </c>
      <c r="Y157" s="50">
        <f t="shared" si="29"/>
        <v>4.8999999999999995E-2</v>
      </c>
      <c r="Z157" s="50">
        <v>540.95439999999996</v>
      </c>
      <c r="AA157" s="50">
        <f t="shared" si="30"/>
        <v>5.6000000000000001E-2</v>
      </c>
      <c r="AC157" s="53">
        <v>288.11599999999999</v>
      </c>
      <c r="AD157" s="81">
        <v>7230.6755999999996</v>
      </c>
      <c r="AE157" s="77">
        <f t="shared" si="31"/>
        <v>0.44599999999999995</v>
      </c>
      <c r="AF157" s="86">
        <f t="shared" si="32"/>
        <v>0.621</v>
      </c>
      <c r="AH157" s="88">
        <v>901.33399999999995</v>
      </c>
      <c r="AI157" s="86">
        <f t="shared" si="33"/>
        <v>0.36600017866859413</v>
      </c>
      <c r="AK157" s="88">
        <v>1033.3889999999999</v>
      </c>
      <c r="AL157" s="86">
        <f t="shared" si="34"/>
        <v>0.64305476042314869</v>
      </c>
      <c r="AN157" s="36">
        <v>911.18399999999997</v>
      </c>
    </row>
    <row r="158" spans="4:40" x14ac:dyDescent="0.35">
      <c r="D158" s="39">
        <f t="shared" si="35"/>
        <v>156</v>
      </c>
      <c r="E158" s="57">
        <v>0.19399999999999998</v>
      </c>
      <c r="F158" s="41">
        <v>2.7999999999999997E-2</v>
      </c>
      <c r="G158" s="41">
        <v>0.17899999999999999</v>
      </c>
      <c r="H158" s="41">
        <v>37638.228000000003</v>
      </c>
      <c r="I158" s="41">
        <v>2578.0380017299999</v>
      </c>
      <c r="J158" s="41">
        <f t="shared" si="24"/>
        <v>40216.26600173</v>
      </c>
      <c r="K158" s="57">
        <v>1.3999999999999999E-2</v>
      </c>
      <c r="L158" s="62">
        <v>1.6E-2</v>
      </c>
      <c r="M158" s="62">
        <v>0.371</v>
      </c>
      <c r="N158" s="41">
        <v>0.57499999999999996</v>
      </c>
      <c r="O158" s="41">
        <f t="shared" si="25"/>
        <v>0.94599999999999995</v>
      </c>
      <c r="P158" s="41">
        <v>5229.9260000000004</v>
      </c>
      <c r="Q158" s="41">
        <v>0</v>
      </c>
      <c r="R158" s="42">
        <f t="shared" si="26"/>
        <v>5229.9260000000004</v>
      </c>
      <c r="S158" s="62"/>
      <c r="T158" s="50">
        <v>11288</v>
      </c>
      <c r="U158" s="50">
        <f t="shared" si="27"/>
        <v>0.13600000000000001</v>
      </c>
      <c r="V158" s="50">
        <v>134.54</v>
      </c>
      <c r="W158" s="50">
        <f t="shared" si="28"/>
        <v>2.7999999999999997E-2</v>
      </c>
      <c r="X158" s="50">
        <v>1294.038</v>
      </c>
      <c r="Y158" s="50">
        <f t="shared" si="29"/>
        <v>0.09</v>
      </c>
      <c r="Z158" s="50">
        <v>1043.2692</v>
      </c>
      <c r="AA158" s="50">
        <f t="shared" si="30"/>
        <v>0.108</v>
      </c>
      <c r="AC158" s="53">
        <v>239.666</v>
      </c>
      <c r="AD158" s="81">
        <v>6695.07</v>
      </c>
      <c r="AE158" s="77">
        <f t="shared" si="31"/>
        <v>0.371</v>
      </c>
      <c r="AF158" s="86">
        <f t="shared" si="32"/>
        <v>0.57499999999999996</v>
      </c>
      <c r="AH158" s="88">
        <v>911.18399999999997</v>
      </c>
      <c r="AI158" s="86">
        <f t="shared" si="33"/>
        <v>0.36999991878700267</v>
      </c>
      <c r="AK158" s="88">
        <v>1024.3230000000001</v>
      </c>
      <c r="AL158" s="86">
        <f t="shared" si="34"/>
        <v>0.63741319228375859</v>
      </c>
      <c r="AN158" s="36">
        <v>908.72199999999998</v>
      </c>
    </row>
    <row r="159" spans="4:40" x14ac:dyDescent="0.35">
      <c r="D159" s="39">
        <f t="shared" si="35"/>
        <v>157</v>
      </c>
      <c r="E159" s="57">
        <v>0.189</v>
      </c>
      <c r="F159" s="41">
        <v>3.59999999999999E-2</v>
      </c>
      <c r="G159" s="41">
        <v>0.24</v>
      </c>
      <c r="H159" s="41">
        <v>38535.195</v>
      </c>
      <c r="I159" s="41">
        <v>2861.3687009</v>
      </c>
      <c r="J159" s="41">
        <f t="shared" si="24"/>
        <v>41396.563700899998</v>
      </c>
      <c r="K159" s="57">
        <v>2.6000000000000002E-2</v>
      </c>
      <c r="L159" s="62">
        <v>2.5000000000000001E-2</v>
      </c>
      <c r="M159" s="62">
        <v>0.33100000000000002</v>
      </c>
      <c r="N159" s="41">
        <v>0.58399999999999996</v>
      </c>
      <c r="O159" s="41">
        <f t="shared" si="25"/>
        <v>0.91500000000000004</v>
      </c>
      <c r="P159" s="41">
        <v>5596.19</v>
      </c>
      <c r="Q159" s="41">
        <v>0</v>
      </c>
      <c r="R159" s="42">
        <f t="shared" si="26"/>
        <v>5596.19</v>
      </c>
      <c r="S159" s="62"/>
      <c r="T159" s="50">
        <v>15272</v>
      </c>
      <c r="U159" s="50">
        <f t="shared" si="27"/>
        <v>0.184</v>
      </c>
      <c r="V159" s="50">
        <v>172.98</v>
      </c>
      <c r="W159" s="50">
        <f t="shared" si="28"/>
        <v>3.5999999999999997E-2</v>
      </c>
      <c r="X159" s="50">
        <v>2185.4863999999998</v>
      </c>
      <c r="Y159" s="50">
        <f t="shared" si="29"/>
        <v>0.15199999999999997</v>
      </c>
      <c r="Z159" s="50">
        <v>1584.2236</v>
      </c>
      <c r="AA159" s="50">
        <f t="shared" si="30"/>
        <v>0.16400000000000001</v>
      </c>
      <c r="AC159" s="53">
        <v>213.82599999999999</v>
      </c>
      <c r="AD159" s="81">
        <v>6799.8624</v>
      </c>
      <c r="AE159" s="77">
        <f t="shared" si="31"/>
        <v>0.33100000000000002</v>
      </c>
      <c r="AF159" s="86">
        <f t="shared" si="32"/>
        <v>0.58399999999999996</v>
      </c>
      <c r="AH159" s="88">
        <v>908.72199999999998</v>
      </c>
      <c r="AI159" s="86">
        <f t="shared" si="33"/>
        <v>0.36900018678989388</v>
      </c>
      <c r="AK159" s="88">
        <v>1017.357</v>
      </c>
      <c r="AL159" s="86">
        <f t="shared" si="34"/>
        <v>0.63307840696950834</v>
      </c>
      <c r="AN159" s="36">
        <v>911.18399999999997</v>
      </c>
    </row>
    <row r="160" spans="4:40" x14ac:dyDescent="0.35">
      <c r="D160" s="39">
        <f t="shared" si="35"/>
        <v>158</v>
      </c>
      <c r="E160" s="57">
        <v>0.159</v>
      </c>
      <c r="F160" s="41">
        <v>3.9E-2</v>
      </c>
      <c r="G160" s="41">
        <v>0.27200000000000002</v>
      </c>
      <c r="H160" s="41">
        <v>38968.957000000002</v>
      </c>
      <c r="I160" s="41">
        <v>2565.52692428</v>
      </c>
      <c r="J160" s="41">
        <f t="shared" si="24"/>
        <v>41534.483924280001</v>
      </c>
      <c r="K160" s="57">
        <v>2.7999999999999997E-2</v>
      </c>
      <c r="L160" s="62">
        <v>0.03</v>
      </c>
      <c r="M160" s="62">
        <v>0.32400000000000001</v>
      </c>
      <c r="N160" s="41">
        <v>0.61899999999999999</v>
      </c>
      <c r="O160" s="41">
        <f t="shared" si="25"/>
        <v>0.94300000000000006</v>
      </c>
      <c r="P160" s="41">
        <v>5280.6869999999999</v>
      </c>
      <c r="Q160" s="41">
        <v>0</v>
      </c>
      <c r="R160" s="42">
        <f t="shared" si="26"/>
        <v>5280.6869999999999</v>
      </c>
      <c r="S160" s="62"/>
      <c r="T160" s="50">
        <v>17347</v>
      </c>
      <c r="U160" s="50">
        <f t="shared" si="27"/>
        <v>0.20899999999999999</v>
      </c>
      <c r="V160" s="50">
        <v>187.39500000000001</v>
      </c>
      <c r="W160" s="50">
        <f t="shared" si="28"/>
        <v>3.9E-2</v>
      </c>
      <c r="X160" s="50">
        <v>2976.2874000000002</v>
      </c>
      <c r="Y160" s="50">
        <f t="shared" si="29"/>
        <v>0.20699999999999999</v>
      </c>
      <c r="Z160" s="50">
        <v>1970.6196</v>
      </c>
      <c r="AA160" s="50">
        <f t="shared" si="30"/>
        <v>0.20400000000000001</v>
      </c>
      <c r="AC160" s="53">
        <v>209.304</v>
      </c>
      <c r="AD160" s="81">
        <v>7207.3883999999998</v>
      </c>
      <c r="AE160" s="77">
        <f t="shared" si="31"/>
        <v>0.32400000000000001</v>
      </c>
      <c r="AF160" s="86">
        <f t="shared" si="32"/>
        <v>0.61899999999999999</v>
      </c>
      <c r="AH160" s="88">
        <v>911.18399999999997</v>
      </c>
      <c r="AI160" s="86">
        <f t="shared" si="33"/>
        <v>0.36999991878700267</v>
      </c>
      <c r="AK160" s="88">
        <v>1014.687</v>
      </c>
      <c r="AL160" s="86">
        <f t="shared" si="34"/>
        <v>0.63141692594897325</v>
      </c>
      <c r="AN160" s="36">
        <v>913.64700000000005</v>
      </c>
    </row>
    <row r="161" spans="4:40" x14ac:dyDescent="0.35">
      <c r="D161" s="39">
        <f t="shared" si="35"/>
        <v>159</v>
      </c>
      <c r="E161" s="57">
        <v>9.9000000000000005E-2</v>
      </c>
      <c r="F161" s="41">
        <v>3.4000000000000002E-2</v>
      </c>
      <c r="G161" s="41">
        <v>0.26400000000000001</v>
      </c>
      <c r="H161" s="41">
        <v>38089.428</v>
      </c>
      <c r="I161" s="41">
        <v>1930.21414779</v>
      </c>
      <c r="J161" s="41">
        <f t="shared" si="24"/>
        <v>40019.64214779</v>
      </c>
      <c r="K161" s="57">
        <v>2.3E-2</v>
      </c>
      <c r="L161" s="62">
        <v>2.7999999999999997E-2</v>
      </c>
      <c r="M161" s="62">
        <v>0.33200000000000002</v>
      </c>
      <c r="N161" s="41">
        <v>0.63</v>
      </c>
      <c r="O161" s="41">
        <f t="shared" si="25"/>
        <v>0.96199999999999997</v>
      </c>
      <c r="P161" s="41">
        <v>4999.6120000000001</v>
      </c>
      <c r="Q161" s="41">
        <v>0</v>
      </c>
      <c r="R161" s="42">
        <f t="shared" si="26"/>
        <v>4999.6120000000001</v>
      </c>
      <c r="S161" s="62"/>
      <c r="T161" s="50">
        <v>17347</v>
      </c>
      <c r="U161" s="50">
        <f t="shared" si="27"/>
        <v>0.20899999999999999</v>
      </c>
      <c r="V161" s="50">
        <v>163.37</v>
      </c>
      <c r="W161" s="50">
        <f t="shared" si="28"/>
        <v>3.4000000000000002E-2</v>
      </c>
      <c r="X161" s="50">
        <v>3436.3897999999999</v>
      </c>
      <c r="Y161" s="50">
        <f t="shared" si="29"/>
        <v>0.23899999999999999</v>
      </c>
      <c r="Z161" s="50">
        <v>2057.5587</v>
      </c>
      <c r="AA161" s="50">
        <f t="shared" si="30"/>
        <v>0.21300000000000002</v>
      </c>
      <c r="AC161" s="53">
        <v>214.47200000000001</v>
      </c>
      <c r="AD161" s="81">
        <v>7335.4679999999998</v>
      </c>
      <c r="AE161" s="77">
        <f t="shared" si="31"/>
        <v>0.33200000000000002</v>
      </c>
      <c r="AF161" s="86">
        <f t="shared" si="32"/>
        <v>0.63</v>
      </c>
      <c r="AH161" s="88">
        <v>913.64700000000005</v>
      </c>
      <c r="AI161" s="86">
        <f t="shared" si="33"/>
        <v>0.37100005684909815</v>
      </c>
      <c r="AK161" s="88">
        <v>1004.417</v>
      </c>
      <c r="AL161" s="86">
        <f t="shared" si="34"/>
        <v>0.62502613565650278</v>
      </c>
      <c r="AN161" s="36">
        <v>0</v>
      </c>
    </row>
    <row r="162" spans="4:40" x14ac:dyDescent="0.35">
      <c r="D162" s="39">
        <f t="shared" si="35"/>
        <v>160</v>
      </c>
      <c r="E162" s="57">
        <v>3.4000000000000002E-2</v>
      </c>
      <c r="F162" s="41">
        <v>2.1999999999999898E-2</v>
      </c>
      <c r="G162" s="41">
        <v>0.20399999999999999</v>
      </c>
      <c r="H162" s="41">
        <v>37514.300000000003</v>
      </c>
      <c r="I162" s="41">
        <v>1637.9073579999999</v>
      </c>
      <c r="J162" s="41">
        <f t="shared" si="24"/>
        <v>39152.207358</v>
      </c>
      <c r="K162" s="57">
        <v>1.4999999999999999E-2</v>
      </c>
      <c r="L162" s="62">
        <v>1.4999999999999999E-2</v>
      </c>
      <c r="M162" s="62">
        <v>0.34199999999999997</v>
      </c>
      <c r="N162" s="41">
        <v>0.61699999999999999</v>
      </c>
      <c r="O162" s="41">
        <f t="shared" si="25"/>
        <v>0.95899999999999996</v>
      </c>
      <c r="P162" s="41">
        <v>5002.7030000000004</v>
      </c>
      <c r="Q162" s="41">
        <v>0</v>
      </c>
      <c r="R162" s="42">
        <f t="shared" si="26"/>
        <v>5002.7030000000004</v>
      </c>
      <c r="S162" s="62"/>
      <c r="T162" s="50">
        <v>14442</v>
      </c>
      <c r="U162" s="50">
        <f t="shared" si="27"/>
        <v>0.17399999999999999</v>
      </c>
      <c r="V162" s="50">
        <v>105.71</v>
      </c>
      <c r="W162" s="50">
        <f t="shared" si="28"/>
        <v>2.1999999999999999E-2</v>
      </c>
      <c r="X162" s="50">
        <v>3048.1783999999998</v>
      </c>
      <c r="Y162" s="50">
        <f t="shared" si="29"/>
        <v>0.21199999999999997</v>
      </c>
      <c r="Z162" s="50">
        <v>1680.8226</v>
      </c>
      <c r="AA162" s="50">
        <f t="shared" si="30"/>
        <v>0.17400000000000002</v>
      </c>
      <c r="AC162" s="53">
        <v>220.93199999999999</v>
      </c>
      <c r="AD162" s="81">
        <v>7184.1012000000001</v>
      </c>
      <c r="AE162" s="77">
        <f t="shared" si="31"/>
        <v>0.34199999999999997</v>
      </c>
      <c r="AF162" s="86">
        <f t="shared" si="32"/>
        <v>0.61699999999999999</v>
      </c>
      <c r="AH162" s="88">
        <v>901.33399999999995</v>
      </c>
      <c r="AI162" s="86">
        <f t="shared" si="33"/>
        <v>0.36600017866859413</v>
      </c>
      <c r="AK162" s="88">
        <v>998.851</v>
      </c>
      <c r="AL162" s="86">
        <f t="shared" si="34"/>
        <v>0.62156253889234603</v>
      </c>
      <c r="AN162" s="36">
        <v>0</v>
      </c>
    </row>
    <row r="163" spans="4:40" x14ac:dyDescent="0.35">
      <c r="D163" s="39">
        <f t="shared" si="35"/>
        <v>161</v>
      </c>
      <c r="E163" s="57">
        <v>0</v>
      </c>
      <c r="F163" s="41">
        <v>0</v>
      </c>
      <c r="G163" s="41">
        <v>0.11899999999999901</v>
      </c>
      <c r="H163" s="41">
        <v>37580.499000000003</v>
      </c>
      <c r="I163" s="41">
        <v>1632.86020579</v>
      </c>
      <c r="J163" s="41">
        <f t="shared" si="24"/>
        <v>39213.359205790002</v>
      </c>
      <c r="K163" s="57">
        <v>0</v>
      </c>
      <c r="L163" s="62">
        <v>0</v>
      </c>
      <c r="M163" s="62">
        <v>0.34100000000000003</v>
      </c>
      <c r="N163" s="41">
        <v>0.61199999999999999</v>
      </c>
      <c r="O163" s="41">
        <f t="shared" si="25"/>
        <v>0.95300000000000007</v>
      </c>
      <c r="P163" s="41">
        <v>5228.2780000000002</v>
      </c>
      <c r="Q163" s="41">
        <v>0</v>
      </c>
      <c r="R163" s="42">
        <f t="shared" si="26"/>
        <v>5228.2780000000002</v>
      </c>
      <c r="S163" s="62"/>
      <c r="T163" s="50">
        <v>9296</v>
      </c>
      <c r="U163" s="50">
        <f t="shared" si="27"/>
        <v>0.112</v>
      </c>
      <c r="V163" s="50">
        <v>0</v>
      </c>
      <c r="W163" s="50">
        <f t="shared" si="28"/>
        <v>0</v>
      </c>
      <c r="X163" s="50">
        <v>2300.5120000000002</v>
      </c>
      <c r="Y163" s="50">
        <f t="shared" si="29"/>
        <v>0.16</v>
      </c>
      <c r="Z163" s="50">
        <v>1081.9087999999999</v>
      </c>
      <c r="AA163" s="50">
        <f t="shared" si="30"/>
        <v>0.112</v>
      </c>
      <c r="AC163" s="53">
        <v>220.286</v>
      </c>
      <c r="AD163" s="81">
        <v>7125.8832000000002</v>
      </c>
      <c r="AE163" s="77">
        <f t="shared" si="31"/>
        <v>0.34100000000000003</v>
      </c>
      <c r="AF163" s="86">
        <f t="shared" si="32"/>
        <v>0.61199999999999999</v>
      </c>
      <c r="AH163" s="88">
        <v>916.11</v>
      </c>
      <c r="AI163" s="86">
        <f t="shared" si="33"/>
        <v>0.37200019491119363</v>
      </c>
      <c r="AK163" s="88">
        <v>1003.027</v>
      </c>
      <c r="AL163" s="86">
        <f t="shared" si="34"/>
        <v>0.62416116988176729</v>
      </c>
      <c r="AN163" s="36">
        <v>923.49699999999996</v>
      </c>
    </row>
    <row r="164" spans="4:40" x14ac:dyDescent="0.35">
      <c r="D164" s="39">
        <f t="shared" si="35"/>
        <v>162</v>
      </c>
      <c r="E164" s="57">
        <v>0</v>
      </c>
      <c r="F164" s="41">
        <v>0</v>
      </c>
      <c r="G164" s="41">
        <v>3.2000000000000001E-2</v>
      </c>
      <c r="H164" s="41">
        <v>39518.828999999998</v>
      </c>
      <c r="I164" s="41">
        <v>1706.74988115</v>
      </c>
      <c r="J164" s="41">
        <f t="shared" si="24"/>
        <v>41225.578881149995</v>
      </c>
      <c r="K164" s="57">
        <v>0</v>
      </c>
      <c r="L164" s="62">
        <v>0</v>
      </c>
      <c r="M164" s="62">
        <v>0.34300000000000003</v>
      </c>
      <c r="N164" s="41">
        <v>0.51700000000000002</v>
      </c>
      <c r="O164" s="41">
        <f t="shared" si="25"/>
        <v>0.8600000000000001</v>
      </c>
      <c r="P164" s="41">
        <v>5872.1220000000003</v>
      </c>
      <c r="Q164" s="41">
        <v>0</v>
      </c>
      <c r="R164" s="42">
        <f t="shared" si="26"/>
        <v>5872.1220000000003</v>
      </c>
      <c r="S164" s="62"/>
      <c r="T164" s="50">
        <v>2324</v>
      </c>
      <c r="U164" s="50">
        <f t="shared" si="27"/>
        <v>2.8000000000000001E-2</v>
      </c>
      <c r="V164" s="50">
        <v>0</v>
      </c>
      <c r="W164" s="50">
        <f t="shared" si="28"/>
        <v>0</v>
      </c>
      <c r="X164" s="50">
        <v>1308.4161999999999</v>
      </c>
      <c r="Y164" s="50">
        <f t="shared" si="29"/>
        <v>9.0999999999999984E-2</v>
      </c>
      <c r="Z164" s="50">
        <v>434.69549999999998</v>
      </c>
      <c r="AA164" s="50">
        <f t="shared" si="30"/>
        <v>4.4999999999999998E-2</v>
      </c>
      <c r="AC164" s="53">
        <v>221.578</v>
      </c>
      <c r="AD164" s="81">
        <v>6019.7412000000004</v>
      </c>
      <c r="AE164" s="77">
        <f t="shared" si="31"/>
        <v>0.34300000000000003</v>
      </c>
      <c r="AF164" s="86">
        <f t="shared" si="32"/>
        <v>0.51700000000000002</v>
      </c>
      <c r="AH164" s="88">
        <v>923.49699999999996</v>
      </c>
      <c r="AI164" s="86">
        <f t="shared" si="33"/>
        <v>0.37499979696750668</v>
      </c>
      <c r="AK164" s="88">
        <v>1006.4059999999999</v>
      </c>
      <c r="AL164" s="86">
        <f t="shared" si="34"/>
        <v>0.62626384567517113</v>
      </c>
      <c r="AN164" s="36">
        <v>925.96</v>
      </c>
    </row>
    <row r="165" spans="4:40" x14ac:dyDescent="0.35">
      <c r="D165" s="39">
        <f t="shared" si="35"/>
        <v>163</v>
      </c>
      <c r="E165" s="57">
        <v>0</v>
      </c>
      <c r="F165" s="41">
        <v>0</v>
      </c>
      <c r="G165" s="41">
        <v>0</v>
      </c>
      <c r="H165" s="41">
        <v>40568.230000000003</v>
      </c>
      <c r="I165" s="41">
        <v>1812.66727223</v>
      </c>
      <c r="J165" s="41">
        <f t="shared" si="24"/>
        <v>42380.897272230002</v>
      </c>
      <c r="K165" s="57">
        <v>0</v>
      </c>
      <c r="L165" s="62">
        <v>0</v>
      </c>
      <c r="M165" s="62">
        <v>0.33999999999999997</v>
      </c>
      <c r="N165" s="41">
        <v>0.32400000000000001</v>
      </c>
      <c r="O165" s="41">
        <f t="shared" si="25"/>
        <v>0.66399999999999992</v>
      </c>
      <c r="P165" s="41">
        <v>6451.0309999999999</v>
      </c>
      <c r="Q165" s="41">
        <v>0</v>
      </c>
      <c r="R165" s="42">
        <f t="shared" si="26"/>
        <v>6451.0309999999999</v>
      </c>
      <c r="S165" s="62"/>
      <c r="T165" s="50">
        <v>0</v>
      </c>
      <c r="U165" s="50">
        <f t="shared" si="27"/>
        <v>0</v>
      </c>
      <c r="V165" s="50">
        <v>0</v>
      </c>
      <c r="W165" s="50">
        <f t="shared" si="28"/>
        <v>0</v>
      </c>
      <c r="X165" s="50">
        <v>0</v>
      </c>
      <c r="Y165" s="50">
        <f t="shared" si="29"/>
        <v>0</v>
      </c>
      <c r="Z165" s="50">
        <v>0</v>
      </c>
      <c r="AA165" s="50">
        <f t="shared" si="30"/>
        <v>0</v>
      </c>
      <c r="AC165" s="53">
        <v>219.64</v>
      </c>
      <c r="AD165" s="81">
        <v>3772.5264000000002</v>
      </c>
      <c r="AE165" s="77">
        <f t="shared" si="31"/>
        <v>0.33999999999999997</v>
      </c>
      <c r="AF165" s="86">
        <f t="shared" si="32"/>
        <v>0.32400000000000001</v>
      </c>
      <c r="AH165" s="88">
        <v>925.96</v>
      </c>
      <c r="AI165" s="86">
        <f t="shared" si="33"/>
        <v>0.37599993502960216</v>
      </c>
      <c r="AK165" s="88">
        <v>1007.8</v>
      </c>
      <c r="AL165" s="86">
        <f t="shared" si="34"/>
        <v>0.62713130056004973</v>
      </c>
      <c r="AN165" s="36">
        <v>925.96</v>
      </c>
    </row>
    <row r="166" spans="4:40" x14ac:dyDescent="0.35">
      <c r="D166" s="39">
        <f t="shared" si="35"/>
        <v>164</v>
      </c>
      <c r="E166" s="57">
        <v>0</v>
      </c>
      <c r="F166" s="41">
        <v>0</v>
      </c>
      <c r="G166" s="41">
        <v>0</v>
      </c>
      <c r="H166" s="41">
        <v>40863.873</v>
      </c>
      <c r="I166" s="41">
        <v>1932.65798305</v>
      </c>
      <c r="J166" s="41">
        <f t="shared" si="24"/>
        <v>42796.530983049997</v>
      </c>
      <c r="K166" s="57">
        <v>0</v>
      </c>
      <c r="L166" s="62">
        <v>0</v>
      </c>
      <c r="M166" s="62">
        <v>0.33800000000000002</v>
      </c>
      <c r="N166" s="41">
        <v>0.251</v>
      </c>
      <c r="O166" s="41">
        <f t="shared" si="25"/>
        <v>0.58899999999999997</v>
      </c>
      <c r="P166" s="41">
        <v>6593.3879999999999</v>
      </c>
      <c r="Q166" s="41">
        <v>0</v>
      </c>
      <c r="R166" s="42">
        <f t="shared" si="26"/>
        <v>6593.3879999999999</v>
      </c>
      <c r="S166" s="62"/>
      <c r="T166" s="50">
        <v>0</v>
      </c>
      <c r="U166" s="50">
        <f t="shared" si="27"/>
        <v>0</v>
      </c>
      <c r="V166" s="50">
        <v>0</v>
      </c>
      <c r="W166" s="50">
        <f t="shared" si="28"/>
        <v>0</v>
      </c>
      <c r="X166" s="50">
        <v>0</v>
      </c>
      <c r="Y166" s="50">
        <f t="shared" si="29"/>
        <v>0</v>
      </c>
      <c r="Z166" s="50">
        <v>0</v>
      </c>
      <c r="AA166" s="50">
        <f t="shared" si="30"/>
        <v>0</v>
      </c>
      <c r="AC166" s="53">
        <v>218.34800000000001</v>
      </c>
      <c r="AD166" s="81">
        <v>2922.5436</v>
      </c>
      <c r="AE166" s="77">
        <f t="shared" si="31"/>
        <v>0.33800000000000002</v>
      </c>
      <c r="AF166" s="86">
        <f t="shared" si="32"/>
        <v>0.251</v>
      </c>
      <c r="AH166" s="88">
        <v>925.96</v>
      </c>
      <c r="AI166" s="86">
        <f t="shared" si="33"/>
        <v>0.37599993502960216</v>
      </c>
      <c r="AK166" s="88">
        <v>1012.452</v>
      </c>
      <c r="AL166" s="86">
        <f t="shared" si="34"/>
        <v>0.63002613565650278</v>
      </c>
      <c r="AN166" s="36">
        <v>925.96</v>
      </c>
    </row>
    <row r="167" spans="4:40" x14ac:dyDescent="0.35">
      <c r="D167" s="39">
        <f t="shared" si="35"/>
        <v>165</v>
      </c>
      <c r="E167" s="57">
        <v>0</v>
      </c>
      <c r="F167" s="41">
        <v>0</v>
      </c>
      <c r="G167" s="41">
        <v>0</v>
      </c>
      <c r="H167" s="41">
        <v>40529.981</v>
      </c>
      <c r="I167" s="41">
        <v>1902.03408986</v>
      </c>
      <c r="J167" s="41">
        <f t="shared" si="24"/>
        <v>42432.015089859997</v>
      </c>
      <c r="K167" s="57">
        <v>0</v>
      </c>
      <c r="L167" s="62">
        <v>0</v>
      </c>
      <c r="M167" s="62">
        <v>0.35599999999999998</v>
      </c>
      <c r="N167" s="41">
        <v>0.22</v>
      </c>
      <c r="O167" s="41">
        <f t="shared" si="25"/>
        <v>0.57599999999999996</v>
      </c>
      <c r="P167" s="41">
        <v>6426.7089999999998</v>
      </c>
      <c r="Q167" s="41">
        <v>0</v>
      </c>
      <c r="R167" s="42">
        <f t="shared" si="26"/>
        <v>6426.7089999999998</v>
      </c>
      <c r="S167" s="62"/>
      <c r="T167" s="50">
        <v>0</v>
      </c>
      <c r="U167" s="50">
        <f t="shared" si="27"/>
        <v>0</v>
      </c>
      <c r="V167" s="50">
        <v>0</v>
      </c>
      <c r="W167" s="50">
        <f t="shared" si="28"/>
        <v>0</v>
      </c>
      <c r="X167" s="50">
        <v>0</v>
      </c>
      <c r="Y167" s="50">
        <f t="shared" si="29"/>
        <v>0</v>
      </c>
      <c r="Z167" s="50">
        <v>0</v>
      </c>
      <c r="AA167" s="50">
        <f t="shared" si="30"/>
        <v>0</v>
      </c>
      <c r="AC167" s="53">
        <v>229.976</v>
      </c>
      <c r="AD167" s="81">
        <v>2561.5920000000001</v>
      </c>
      <c r="AE167" s="77">
        <f t="shared" si="31"/>
        <v>0.35599999999999998</v>
      </c>
      <c r="AF167" s="86">
        <f t="shared" si="32"/>
        <v>0.22</v>
      </c>
      <c r="AH167" s="88">
        <v>925.96</v>
      </c>
      <c r="AI167" s="86">
        <f t="shared" si="33"/>
        <v>0.37599993502960216</v>
      </c>
      <c r="AK167" s="88">
        <v>1021.498</v>
      </c>
      <c r="AL167" s="86">
        <f t="shared" si="34"/>
        <v>0.63565525824517732</v>
      </c>
      <c r="AN167" s="36">
        <v>928.423</v>
      </c>
    </row>
    <row r="168" spans="4:40" x14ac:dyDescent="0.35">
      <c r="D168" s="39">
        <f t="shared" si="35"/>
        <v>166</v>
      </c>
      <c r="E168" s="57">
        <v>0</v>
      </c>
      <c r="F168" s="41">
        <v>0</v>
      </c>
      <c r="G168" s="41">
        <v>0</v>
      </c>
      <c r="H168" s="41">
        <v>39225.506000000001</v>
      </c>
      <c r="I168" s="41">
        <v>1827.86891896</v>
      </c>
      <c r="J168" s="41">
        <f t="shared" si="24"/>
        <v>41053.374918959998</v>
      </c>
      <c r="K168" s="57">
        <v>0</v>
      </c>
      <c r="L168" s="62">
        <v>0</v>
      </c>
      <c r="M168" s="62">
        <v>0.39499999999999996</v>
      </c>
      <c r="N168" s="41">
        <v>0.23299999999999998</v>
      </c>
      <c r="O168" s="41">
        <f t="shared" si="25"/>
        <v>0.62799999999999989</v>
      </c>
      <c r="P168" s="41">
        <v>6037.9189999999999</v>
      </c>
      <c r="Q168" s="41">
        <v>0</v>
      </c>
      <c r="R168" s="42">
        <f t="shared" si="26"/>
        <v>6037.9189999999999</v>
      </c>
      <c r="S168" s="62"/>
      <c r="T168" s="50">
        <v>0</v>
      </c>
      <c r="U168" s="50">
        <f t="shared" si="27"/>
        <v>0</v>
      </c>
      <c r="V168" s="50">
        <v>0</v>
      </c>
      <c r="W168" s="50">
        <f t="shared" si="28"/>
        <v>0</v>
      </c>
      <c r="X168" s="50">
        <v>0</v>
      </c>
      <c r="Y168" s="50">
        <f t="shared" si="29"/>
        <v>0</v>
      </c>
      <c r="Z168" s="50">
        <v>0</v>
      </c>
      <c r="AA168" s="50">
        <f t="shared" si="30"/>
        <v>0</v>
      </c>
      <c r="AC168" s="53">
        <v>255.17</v>
      </c>
      <c r="AD168" s="81">
        <v>2712.9587999999999</v>
      </c>
      <c r="AE168" s="77">
        <f t="shared" si="31"/>
        <v>0.39499999999999996</v>
      </c>
      <c r="AF168" s="86">
        <f t="shared" si="32"/>
        <v>0.23299999999999998</v>
      </c>
      <c r="AH168" s="88">
        <v>928.423</v>
      </c>
      <c r="AI168" s="86">
        <f t="shared" si="33"/>
        <v>0.37700007309169764</v>
      </c>
      <c r="AK168" s="88">
        <v>1023.155</v>
      </c>
      <c r="AL168" s="86">
        <f t="shared" si="34"/>
        <v>0.63668637212196633</v>
      </c>
      <c r="AN168" s="36">
        <v>918.572</v>
      </c>
    </row>
    <row r="169" spans="4:40" x14ac:dyDescent="0.35">
      <c r="D169" s="39">
        <f>1+D168</f>
        <v>167</v>
      </c>
      <c r="E169" s="57">
        <v>0</v>
      </c>
      <c r="F169" s="41">
        <v>0</v>
      </c>
      <c r="G169" s="41">
        <v>0</v>
      </c>
      <c r="H169" s="41">
        <v>37244.283000000003</v>
      </c>
      <c r="I169" s="41">
        <v>1840.56683034</v>
      </c>
      <c r="J169" s="41">
        <f t="shared" si="24"/>
        <v>39084.849830340005</v>
      </c>
      <c r="K169" s="57">
        <v>0</v>
      </c>
      <c r="L169" s="62">
        <v>0</v>
      </c>
      <c r="M169" s="62">
        <v>0.44800000000000001</v>
      </c>
      <c r="N169" s="41">
        <v>0.27699999999999997</v>
      </c>
      <c r="O169" s="41">
        <f t="shared" si="25"/>
        <v>0.72499999999999998</v>
      </c>
      <c r="P169" s="41">
        <v>6241.08</v>
      </c>
      <c r="Q169" s="41">
        <v>0</v>
      </c>
      <c r="R169" s="42">
        <f t="shared" si="26"/>
        <v>6241.08</v>
      </c>
      <c r="S169" s="62"/>
      <c r="T169" s="50">
        <v>0</v>
      </c>
      <c r="U169" s="50">
        <f t="shared" si="27"/>
        <v>0</v>
      </c>
      <c r="V169" s="50">
        <v>0</v>
      </c>
      <c r="W169" s="50">
        <f t="shared" si="28"/>
        <v>0</v>
      </c>
      <c r="X169" s="50">
        <v>0</v>
      </c>
      <c r="Y169" s="50">
        <f t="shared" si="29"/>
        <v>0</v>
      </c>
      <c r="Z169" s="50">
        <v>0</v>
      </c>
      <c r="AA169" s="50">
        <f t="shared" si="30"/>
        <v>0</v>
      </c>
      <c r="AC169" s="53">
        <v>289.40800000000002</v>
      </c>
      <c r="AD169" s="81">
        <v>3225.2772</v>
      </c>
      <c r="AE169" s="77">
        <f t="shared" si="31"/>
        <v>0.44800000000000001</v>
      </c>
      <c r="AF169" s="86">
        <f t="shared" si="32"/>
        <v>0.27699999999999997</v>
      </c>
      <c r="AH169" s="88">
        <v>918.572</v>
      </c>
      <c r="AI169" s="86">
        <f t="shared" si="33"/>
        <v>0.37299992690830241</v>
      </c>
      <c r="AK169" s="88">
        <v>1026.3009999999999</v>
      </c>
      <c r="AL169" s="86">
        <f t="shared" si="34"/>
        <v>0.63864405724953321</v>
      </c>
      <c r="AN169" s="36">
        <v>908.72199999999998</v>
      </c>
    </row>
    <row r="170" spans="4:40" x14ac:dyDescent="0.35">
      <c r="D170" s="40">
        <f t="shared" ref="D170" si="36">1+D169</f>
        <v>168</v>
      </c>
      <c r="E170" s="58">
        <v>0</v>
      </c>
      <c r="F170" s="43">
        <v>0</v>
      </c>
      <c r="G170" s="43">
        <v>0</v>
      </c>
      <c r="H170" s="43">
        <v>34857.546000000002</v>
      </c>
      <c r="I170" s="43">
        <v>1545.00162452</v>
      </c>
      <c r="J170" s="43">
        <f t="shared" si="24"/>
        <v>36402.547624520004</v>
      </c>
      <c r="K170" s="58">
        <v>0</v>
      </c>
      <c r="L170" s="62">
        <v>0</v>
      </c>
      <c r="M170" s="43">
        <v>0.50900000000000001</v>
      </c>
      <c r="N170" s="43">
        <v>0.34899999999999998</v>
      </c>
      <c r="O170" s="41">
        <f t="shared" si="25"/>
        <v>0.85799999999999998</v>
      </c>
      <c r="P170" s="43">
        <v>5886.9840000000004</v>
      </c>
      <c r="Q170" s="43">
        <v>0</v>
      </c>
      <c r="R170" s="44">
        <f t="shared" si="26"/>
        <v>5886.9840000000004</v>
      </c>
      <c r="S170" s="62"/>
      <c r="T170" s="50">
        <v>0</v>
      </c>
      <c r="U170" s="50">
        <f t="shared" si="27"/>
        <v>0</v>
      </c>
      <c r="V170" s="50">
        <v>0</v>
      </c>
      <c r="W170" s="50">
        <f t="shared" si="28"/>
        <v>0</v>
      </c>
      <c r="X170" s="50">
        <v>0</v>
      </c>
      <c r="Y170" s="50">
        <f t="shared" si="29"/>
        <v>0</v>
      </c>
      <c r="Z170" s="50">
        <v>0</v>
      </c>
      <c r="AA170" s="50">
        <f t="shared" si="30"/>
        <v>0</v>
      </c>
      <c r="AC170" s="55">
        <v>328.81400000000002</v>
      </c>
      <c r="AD170" s="82">
        <v>4063.6163999999999</v>
      </c>
      <c r="AE170" s="66">
        <f t="shared" si="31"/>
        <v>0.50900000000000001</v>
      </c>
      <c r="AF170" s="87">
        <f t="shared" si="32"/>
        <v>0.34899999999999998</v>
      </c>
      <c r="AH170" s="89">
        <v>908.72199999999998</v>
      </c>
      <c r="AI170" s="87">
        <f t="shared" si="33"/>
        <v>0.36900018678989388</v>
      </c>
      <c r="AK170" s="89">
        <v>1026.0419999999999</v>
      </c>
      <c r="AL170" s="86">
        <f t="shared" si="34"/>
        <v>0.63848288736776593</v>
      </c>
    </row>
    <row r="171" spans="4:40" x14ac:dyDescent="0.35">
      <c r="AL171" s="86"/>
    </row>
    <row r="172" spans="4:40" x14ac:dyDescent="0.35">
      <c r="AL172" s="86"/>
    </row>
    <row r="173" spans="4:40" x14ac:dyDescent="0.35">
      <c r="AL173" s="86"/>
    </row>
    <row r="174" spans="4:40" x14ac:dyDescent="0.35">
      <c r="AL174" s="86"/>
    </row>
    <row r="175" spans="4:40" x14ac:dyDescent="0.35">
      <c r="AL175" s="86"/>
    </row>
    <row r="176" spans="4:40" x14ac:dyDescent="0.35">
      <c r="AL176" s="86"/>
    </row>
    <row r="177" spans="38:38" x14ac:dyDescent="0.35">
      <c r="AL177" s="86"/>
    </row>
    <row r="178" spans="38:38" x14ac:dyDescent="0.35">
      <c r="AL178" s="86"/>
    </row>
    <row r="179" spans="38:38" x14ac:dyDescent="0.35">
      <c r="AL179" s="86"/>
    </row>
    <row r="180" spans="38:38" x14ac:dyDescent="0.35">
      <c r="AL180" s="86"/>
    </row>
    <row r="181" spans="38:38" x14ac:dyDescent="0.35">
      <c r="AL181" s="86"/>
    </row>
    <row r="182" spans="38:38" x14ac:dyDescent="0.35">
      <c r="AL182" s="86"/>
    </row>
    <row r="183" spans="38:38" x14ac:dyDescent="0.35">
      <c r="AL183" s="86"/>
    </row>
    <row r="184" spans="38:38" x14ac:dyDescent="0.35">
      <c r="AL184" s="86"/>
    </row>
    <row r="185" spans="38:38" x14ac:dyDescent="0.35">
      <c r="AL185" s="86"/>
    </row>
    <row r="186" spans="38:38" x14ac:dyDescent="0.35">
      <c r="AL186" s="86"/>
    </row>
    <row r="187" spans="38:38" x14ac:dyDescent="0.35">
      <c r="AL187" s="86"/>
    </row>
    <row r="188" spans="38:38" x14ac:dyDescent="0.35">
      <c r="AL188" s="86"/>
    </row>
    <row r="189" spans="38:38" x14ac:dyDescent="0.35">
      <c r="AL189" s="86"/>
    </row>
    <row r="190" spans="38:38" x14ac:dyDescent="0.35">
      <c r="AL190" s="86"/>
    </row>
    <row r="191" spans="38:38" x14ac:dyDescent="0.35">
      <c r="AL191" s="86"/>
    </row>
    <row r="192" spans="38:38" x14ac:dyDescent="0.35">
      <c r="AL192" s="86"/>
    </row>
    <row r="193" spans="38:38" x14ac:dyDescent="0.35">
      <c r="AL193" s="86"/>
    </row>
    <row r="194" spans="38:38" x14ac:dyDescent="0.35">
      <c r="AL194" s="86"/>
    </row>
    <row r="195" spans="38:38" x14ac:dyDescent="0.35">
      <c r="AL195" s="86"/>
    </row>
    <row r="196" spans="38:38" x14ac:dyDescent="0.35">
      <c r="AL196" s="86"/>
    </row>
    <row r="197" spans="38:38" x14ac:dyDescent="0.35">
      <c r="AL197" s="86"/>
    </row>
    <row r="198" spans="38:38" x14ac:dyDescent="0.35">
      <c r="AL198" s="86"/>
    </row>
    <row r="199" spans="38:38" x14ac:dyDescent="0.35">
      <c r="AL199" s="86"/>
    </row>
    <row r="200" spans="38:38" x14ac:dyDescent="0.35">
      <c r="AL200" s="86"/>
    </row>
    <row r="201" spans="38:38" x14ac:dyDescent="0.35">
      <c r="AL201" s="86"/>
    </row>
    <row r="202" spans="38:38" x14ac:dyDescent="0.35">
      <c r="AL202" s="86"/>
    </row>
    <row r="203" spans="38:38" x14ac:dyDescent="0.35">
      <c r="AL203" s="86"/>
    </row>
    <row r="204" spans="38:38" x14ac:dyDescent="0.35">
      <c r="AL204" s="86"/>
    </row>
    <row r="205" spans="38:38" x14ac:dyDescent="0.35">
      <c r="AL205" s="86"/>
    </row>
    <row r="206" spans="38:38" x14ac:dyDescent="0.35">
      <c r="AL206" s="86"/>
    </row>
    <row r="207" spans="38:38" x14ac:dyDescent="0.35">
      <c r="AL207" s="86"/>
    </row>
    <row r="208" spans="38:38" x14ac:dyDescent="0.35">
      <c r="AL208" s="86"/>
    </row>
    <row r="209" spans="38:38" x14ac:dyDescent="0.35">
      <c r="AL209" s="86"/>
    </row>
    <row r="210" spans="38:38" x14ac:dyDescent="0.35">
      <c r="AL210" s="86"/>
    </row>
    <row r="211" spans="38:38" x14ac:dyDescent="0.35">
      <c r="AL211" s="86"/>
    </row>
    <row r="212" spans="38:38" x14ac:dyDescent="0.35">
      <c r="AL212" s="86"/>
    </row>
    <row r="213" spans="38:38" x14ac:dyDescent="0.35">
      <c r="AL213" s="86"/>
    </row>
    <row r="214" spans="38:38" x14ac:dyDescent="0.35">
      <c r="AL214" s="86"/>
    </row>
    <row r="215" spans="38:38" x14ac:dyDescent="0.35">
      <c r="AL215" s="86"/>
    </row>
    <row r="216" spans="38:38" x14ac:dyDescent="0.35">
      <c r="AL216" s="86"/>
    </row>
    <row r="217" spans="38:38" x14ac:dyDescent="0.35">
      <c r="AL217" s="86"/>
    </row>
    <row r="218" spans="38:38" x14ac:dyDescent="0.35">
      <c r="AL218" s="86"/>
    </row>
    <row r="219" spans="38:38" x14ac:dyDescent="0.35">
      <c r="AL219" s="86"/>
    </row>
    <row r="220" spans="38:38" x14ac:dyDescent="0.35">
      <c r="AL220" s="86"/>
    </row>
    <row r="221" spans="38:38" x14ac:dyDescent="0.35">
      <c r="AL221" s="86"/>
    </row>
    <row r="222" spans="38:38" x14ac:dyDescent="0.35">
      <c r="AL222" s="86"/>
    </row>
    <row r="223" spans="38:38" x14ac:dyDescent="0.35">
      <c r="AL223" s="86"/>
    </row>
    <row r="224" spans="38:38" x14ac:dyDescent="0.35">
      <c r="AL224" s="86"/>
    </row>
    <row r="225" spans="38:38" x14ac:dyDescent="0.35">
      <c r="AL225" s="86"/>
    </row>
    <row r="226" spans="38:38" x14ac:dyDescent="0.35">
      <c r="AL226" s="86"/>
    </row>
    <row r="227" spans="38:38" x14ac:dyDescent="0.35">
      <c r="AL227" s="86"/>
    </row>
    <row r="228" spans="38:38" x14ac:dyDescent="0.35">
      <c r="AL228" s="86"/>
    </row>
    <row r="229" spans="38:38" x14ac:dyDescent="0.35">
      <c r="AL229" s="86"/>
    </row>
    <row r="230" spans="38:38" x14ac:dyDescent="0.35">
      <c r="AL230" s="86"/>
    </row>
    <row r="231" spans="38:38" x14ac:dyDescent="0.35">
      <c r="AL231" s="86"/>
    </row>
    <row r="232" spans="38:38" x14ac:dyDescent="0.35">
      <c r="AL232" s="86"/>
    </row>
    <row r="233" spans="38:38" x14ac:dyDescent="0.35">
      <c r="AL233" s="86"/>
    </row>
    <row r="234" spans="38:38" x14ac:dyDescent="0.35">
      <c r="AL234" s="86"/>
    </row>
    <row r="235" spans="38:38" x14ac:dyDescent="0.35">
      <c r="AL235" s="86"/>
    </row>
    <row r="236" spans="38:38" x14ac:dyDescent="0.35">
      <c r="AL236" s="86"/>
    </row>
    <row r="237" spans="38:38" x14ac:dyDescent="0.35">
      <c r="AL237" s="86"/>
    </row>
    <row r="238" spans="38:38" x14ac:dyDescent="0.35">
      <c r="AL238" s="86"/>
    </row>
    <row r="239" spans="38:38" x14ac:dyDescent="0.35">
      <c r="AL239" s="86"/>
    </row>
    <row r="240" spans="38:38" x14ac:dyDescent="0.35">
      <c r="AL240" s="86"/>
    </row>
    <row r="241" spans="38:38" x14ac:dyDescent="0.35">
      <c r="AL241" s="86"/>
    </row>
    <row r="242" spans="38:38" x14ac:dyDescent="0.35">
      <c r="AL242" s="86"/>
    </row>
    <row r="243" spans="38:38" x14ac:dyDescent="0.35">
      <c r="AL243" s="86"/>
    </row>
    <row r="244" spans="38:38" x14ac:dyDescent="0.35">
      <c r="AL244" s="86"/>
    </row>
    <row r="245" spans="38:38" x14ac:dyDescent="0.35">
      <c r="AL245" s="86"/>
    </row>
    <row r="246" spans="38:38" x14ac:dyDescent="0.35">
      <c r="AL246" s="86"/>
    </row>
    <row r="247" spans="38:38" x14ac:dyDescent="0.35">
      <c r="AL247" s="86"/>
    </row>
    <row r="248" spans="38:38" x14ac:dyDescent="0.35">
      <c r="AL248" s="86"/>
    </row>
    <row r="249" spans="38:38" x14ac:dyDescent="0.35">
      <c r="AL249" s="86"/>
    </row>
    <row r="250" spans="38:38" x14ac:dyDescent="0.35">
      <c r="AL250" s="86"/>
    </row>
    <row r="251" spans="38:38" x14ac:dyDescent="0.35">
      <c r="AL251" s="86"/>
    </row>
    <row r="252" spans="38:38" x14ac:dyDescent="0.35">
      <c r="AL252" s="86"/>
    </row>
    <row r="253" spans="38:38" x14ac:dyDescent="0.35">
      <c r="AL253" s="86"/>
    </row>
    <row r="254" spans="38:38" x14ac:dyDescent="0.35">
      <c r="AL254" s="86"/>
    </row>
    <row r="255" spans="38:38" x14ac:dyDescent="0.35">
      <c r="AL255" s="86"/>
    </row>
    <row r="256" spans="38:38" x14ac:dyDescent="0.35">
      <c r="AL256" s="86"/>
    </row>
    <row r="257" spans="38:38" x14ac:dyDescent="0.35">
      <c r="AL257" s="86"/>
    </row>
    <row r="258" spans="38:38" x14ac:dyDescent="0.35">
      <c r="AL258" s="86"/>
    </row>
    <row r="259" spans="38:38" x14ac:dyDescent="0.35">
      <c r="AL259" s="86"/>
    </row>
    <row r="260" spans="38:38" x14ac:dyDescent="0.35">
      <c r="AL260" s="86"/>
    </row>
    <row r="261" spans="38:38" x14ac:dyDescent="0.35">
      <c r="AL261" s="86"/>
    </row>
    <row r="262" spans="38:38" x14ac:dyDescent="0.35">
      <c r="AL262" s="86"/>
    </row>
    <row r="263" spans="38:38" x14ac:dyDescent="0.35">
      <c r="AL263" s="86"/>
    </row>
    <row r="264" spans="38:38" x14ac:dyDescent="0.35">
      <c r="AL264" s="86"/>
    </row>
    <row r="265" spans="38:38" x14ac:dyDescent="0.35">
      <c r="AL265" s="86"/>
    </row>
    <row r="266" spans="38:38" x14ac:dyDescent="0.35">
      <c r="AL266" s="86"/>
    </row>
    <row r="267" spans="38:38" x14ac:dyDescent="0.35">
      <c r="AL267" s="86"/>
    </row>
    <row r="268" spans="38:38" x14ac:dyDescent="0.35">
      <c r="AL268" s="86"/>
    </row>
    <row r="269" spans="38:38" x14ac:dyDescent="0.35">
      <c r="AL269" s="86"/>
    </row>
    <row r="270" spans="38:38" x14ac:dyDescent="0.35">
      <c r="AL270" s="86"/>
    </row>
    <row r="271" spans="38:38" x14ac:dyDescent="0.35">
      <c r="AL271" s="86"/>
    </row>
    <row r="272" spans="38:38" x14ac:dyDescent="0.35">
      <c r="AL272" s="86"/>
    </row>
    <row r="273" spans="38:38" x14ac:dyDescent="0.35">
      <c r="AL273" s="86"/>
    </row>
    <row r="274" spans="38:38" x14ac:dyDescent="0.35">
      <c r="AL274" s="86"/>
    </row>
    <row r="275" spans="38:38" x14ac:dyDescent="0.35">
      <c r="AL275" s="86"/>
    </row>
    <row r="276" spans="38:38" x14ac:dyDescent="0.35">
      <c r="AL276" s="86"/>
    </row>
    <row r="277" spans="38:38" x14ac:dyDescent="0.35">
      <c r="AL277" s="86"/>
    </row>
    <row r="278" spans="38:38" x14ac:dyDescent="0.35">
      <c r="AL278" s="86"/>
    </row>
    <row r="279" spans="38:38" x14ac:dyDescent="0.35">
      <c r="AL279" s="86"/>
    </row>
    <row r="280" spans="38:38" x14ac:dyDescent="0.35">
      <c r="AL280" s="86"/>
    </row>
    <row r="281" spans="38:38" x14ac:dyDescent="0.35">
      <c r="AL281" s="86"/>
    </row>
    <row r="282" spans="38:38" x14ac:dyDescent="0.35">
      <c r="AL282" s="86"/>
    </row>
    <row r="283" spans="38:38" x14ac:dyDescent="0.35">
      <c r="AL283" s="86"/>
    </row>
    <row r="284" spans="38:38" x14ac:dyDescent="0.35">
      <c r="AL284" s="86"/>
    </row>
    <row r="285" spans="38:38" x14ac:dyDescent="0.35">
      <c r="AL285" s="86"/>
    </row>
    <row r="286" spans="38:38" x14ac:dyDescent="0.35">
      <c r="AL286" s="86"/>
    </row>
    <row r="287" spans="38:38" x14ac:dyDescent="0.35">
      <c r="AL287" s="86"/>
    </row>
    <row r="288" spans="38:38" x14ac:dyDescent="0.35">
      <c r="AL288" s="86"/>
    </row>
    <row r="289" spans="38:38" x14ac:dyDescent="0.35">
      <c r="AL289" s="86"/>
    </row>
    <row r="290" spans="38:38" x14ac:dyDescent="0.35">
      <c r="AL290" s="86"/>
    </row>
    <row r="291" spans="38:38" x14ac:dyDescent="0.35">
      <c r="AL291" s="86"/>
    </row>
    <row r="292" spans="38:38" x14ac:dyDescent="0.35">
      <c r="AL292" s="86"/>
    </row>
    <row r="293" spans="38:38" x14ac:dyDescent="0.35">
      <c r="AL293" s="86"/>
    </row>
    <row r="294" spans="38:38" x14ac:dyDescent="0.35">
      <c r="AL294" s="86"/>
    </row>
    <row r="295" spans="38:38" x14ac:dyDescent="0.35">
      <c r="AL295" s="86"/>
    </row>
    <row r="296" spans="38:38" x14ac:dyDescent="0.35">
      <c r="AL296" s="86"/>
    </row>
    <row r="297" spans="38:38" x14ac:dyDescent="0.35">
      <c r="AL297" s="86"/>
    </row>
    <row r="298" spans="38:38" x14ac:dyDescent="0.35">
      <c r="AL298" s="86"/>
    </row>
    <row r="299" spans="38:38" x14ac:dyDescent="0.35">
      <c r="AL299" s="86"/>
    </row>
    <row r="300" spans="38:38" x14ac:dyDescent="0.35">
      <c r="AL300" s="86"/>
    </row>
    <row r="301" spans="38:38" x14ac:dyDescent="0.35">
      <c r="AL301" s="86"/>
    </row>
    <row r="302" spans="38:38" x14ac:dyDescent="0.35">
      <c r="AL302" s="86"/>
    </row>
    <row r="303" spans="38:38" x14ac:dyDescent="0.35">
      <c r="AL303" s="86"/>
    </row>
    <row r="304" spans="38:38" x14ac:dyDescent="0.35">
      <c r="AL304" s="86"/>
    </row>
    <row r="305" spans="38:38" x14ac:dyDescent="0.35">
      <c r="AL305" s="86"/>
    </row>
    <row r="306" spans="38:38" x14ac:dyDescent="0.35">
      <c r="AL306" s="86"/>
    </row>
    <row r="307" spans="38:38" x14ac:dyDescent="0.35">
      <c r="AL307" s="86"/>
    </row>
    <row r="308" spans="38:38" x14ac:dyDescent="0.35">
      <c r="AL308" s="86"/>
    </row>
    <row r="309" spans="38:38" x14ac:dyDescent="0.35">
      <c r="AL309" s="86"/>
    </row>
    <row r="310" spans="38:38" x14ac:dyDescent="0.35">
      <c r="AL310" s="86"/>
    </row>
    <row r="311" spans="38:38" x14ac:dyDescent="0.35">
      <c r="AL311" s="86"/>
    </row>
    <row r="312" spans="38:38" x14ac:dyDescent="0.35">
      <c r="AL312" s="86"/>
    </row>
    <row r="313" spans="38:38" x14ac:dyDescent="0.35">
      <c r="AL313" s="86"/>
    </row>
    <row r="314" spans="38:38" x14ac:dyDescent="0.35">
      <c r="AL314" s="86"/>
    </row>
    <row r="315" spans="38:38" x14ac:dyDescent="0.35">
      <c r="AL315" s="86"/>
    </row>
    <row r="316" spans="38:38" x14ac:dyDescent="0.35">
      <c r="AL316" s="86"/>
    </row>
    <row r="317" spans="38:38" x14ac:dyDescent="0.35">
      <c r="AL317" s="86"/>
    </row>
    <row r="318" spans="38:38" x14ac:dyDescent="0.35">
      <c r="AL318" s="86"/>
    </row>
    <row r="319" spans="38:38" x14ac:dyDescent="0.35">
      <c r="AL319" s="86"/>
    </row>
    <row r="320" spans="38:38" x14ac:dyDescent="0.35">
      <c r="AL320" s="86"/>
    </row>
    <row r="321" spans="38:38" x14ac:dyDescent="0.35">
      <c r="AL321" s="86"/>
    </row>
    <row r="322" spans="38:38" x14ac:dyDescent="0.35">
      <c r="AL322" s="86"/>
    </row>
    <row r="323" spans="38:38" x14ac:dyDescent="0.35">
      <c r="AL323" s="86"/>
    </row>
    <row r="324" spans="38:38" x14ac:dyDescent="0.35">
      <c r="AL324" s="86"/>
    </row>
    <row r="325" spans="38:38" x14ac:dyDescent="0.35">
      <c r="AL325" s="86"/>
    </row>
    <row r="326" spans="38:38" x14ac:dyDescent="0.35">
      <c r="AL326" s="86"/>
    </row>
    <row r="327" spans="38:38" x14ac:dyDescent="0.35">
      <c r="AL327" s="86"/>
    </row>
    <row r="328" spans="38:38" x14ac:dyDescent="0.35">
      <c r="AL328" s="86"/>
    </row>
    <row r="329" spans="38:38" x14ac:dyDescent="0.35">
      <c r="AL329" s="86"/>
    </row>
    <row r="330" spans="38:38" x14ac:dyDescent="0.35">
      <c r="AL330" s="86"/>
    </row>
    <row r="331" spans="38:38" x14ac:dyDescent="0.35">
      <c r="AL331" s="86"/>
    </row>
    <row r="332" spans="38:38" x14ac:dyDescent="0.35">
      <c r="AL332" s="86"/>
    </row>
    <row r="333" spans="38:38" x14ac:dyDescent="0.35">
      <c r="AL333" s="86"/>
    </row>
    <row r="334" spans="38:38" x14ac:dyDescent="0.35">
      <c r="AL334" s="86"/>
    </row>
    <row r="335" spans="38:38" x14ac:dyDescent="0.35">
      <c r="AL335" s="86"/>
    </row>
    <row r="336" spans="38:38" x14ac:dyDescent="0.35">
      <c r="AL336" s="86"/>
    </row>
    <row r="337" spans="38:38" x14ac:dyDescent="0.35">
      <c r="AL337" s="86"/>
    </row>
    <row r="338" spans="38:38" x14ac:dyDescent="0.35">
      <c r="AL338" s="86"/>
    </row>
    <row r="339" spans="38:38" x14ac:dyDescent="0.35">
      <c r="AL339" s="86"/>
    </row>
    <row r="340" spans="38:38" x14ac:dyDescent="0.35">
      <c r="AL340" s="86"/>
    </row>
    <row r="341" spans="38:38" x14ac:dyDescent="0.35">
      <c r="AL341" s="86"/>
    </row>
    <row r="342" spans="38:38" x14ac:dyDescent="0.35">
      <c r="AL342" s="86"/>
    </row>
    <row r="343" spans="38:38" x14ac:dyDescent="0.35">
      <c r="AL343" s="86"/>
    </row>
    <row r="344" spans="38:38" x14ac:dyDescent="0.35">
      <c r="AL344" s="86"/>
    </row>
    <row r="345" spans="38:38" x14ac:dyDescent="0.35">
      <c r="AL345" s="86"/>
    </row>
    <row r="346" spans="38:38" x14ac:dyDescent="0.35">
      <c r="AL346" s="86"/>
    </row>
    <row r="347" spans="38:38" x14ac:dyDescent="0.35">
      <c r="AL347" s="86"/>
    </row>
    <row r="348" spans="38:38" x14ac:dyDescent="0.35">
      <c r="AL348" s="86"/>
    </row>
    <row r="349" spans="38:38" x14ac:dyDescent="0.35">
      <c r="AL349" s="86"/>
    </row>
    <row r="350" spans="38:38" x14ac:dyDescent="0.35">
      <c r="AL350" s="86"/>
    </row>
    <row r="351" spans="38:38" x14ac:dyDescent="0.35">
      <c r="AL351" s="86"/>
    </row>
    <row r="352" spans="38:38" x14ac:dyDescent="0.35">
      <c r="AL352" s="86"/>
    </row>
    <row r="353" spans="38:38" x14ac:dyDescent="0.35">
      <c r="AL353" s="86"/>
    </row>
    <row r="354" spans="38:38" x14ac:dyDescent="0.35">
      <c r="AL354" s="86"/>
    </row>
    <row r="355" spans="38:38" x14ac:dyDescent="0.35">
      <c r="AL355" s="86"/>
    </row>
    <row r="356" spans="38:38" x14ac:dyDescent="0.35">
      <c r="AL356" s="86"/>
    </row>
    <row r="357" spans="38:38" x14ac:dyDescent="0.35">
      <c r="AL357" s="86"/>
    </row>
    <row r="358" spans="38:38" x14ac:dyDescent="0.35">
      <c r="AL358" s="86"/>
    </row>
    <row r="359" spans="38:38" x14ac:dyDescent="0.35">
      <c r="AL359" s="86"/>
    </row>
    <row r="360" spans="38:38" x14ac:dyDescent="0.35">
      <c r="AL360" s="86"/>
    </row>
    <row r="361" spans="38:38" x14ac:dyDescent="0.35">
      <c r="AL361" s="86"/>
    </row>
    <row r="362" spans="38:38" x14ac:dyDescent="0.35">
      <c r="AL362" s="86"/>
    </row>
    <row r="363" spans="38:38" x14ac:dyDescent="0.35">
      <c r="AL363" s="86"/>
    </row>
    <row r="364" spans="38:38" x14ac:dyDescent="0.35">
      <c r="AL364" s="86"/>
    </row>
    <row r="365" spans="38:38" x14ac:dyDescent="0.35">
      <c r="AL365" s="86"/>
    </row>
    <row r="366" spans="38:38" x14ac:dyDescent="0.35">
      <c r="AL366" s="86"/>
    </row>
    <row r="367" spans="38:38" x14ac:dyDescent="0.35">
      <c r="AL367" s="86"/>
    </row>
    <row r="368" spans="38:38" x14ac:dyDescent="0.35">
      <c r="AL368" s="86"/>
    </row>
    <row r="369" spans="38:38" x14ac:dyDescent="0.35">
      <c r="AL369" s="86"/>
    </row>
    <row r="370" spans="38:38" x14ac:dyDescent="0.35">
      <c r="AL370" s="86"/>
    </row>
    <row r="371" spans="38:38" x14ac:dyDescent="0.35">
      <c r="AL371" s="86"/>
    </row>
    <row r="372" spans="38:38" x14ac:dyDescent="0.35">
      <c r="AL372" s="86"/>
    </row>
    <row r="373" spans="38:38" x14ac:dyDescent="0.35">
      <c r="AL373" s="86"/>
    </row>
    <row r="374" spans="38:38" x14ac:dyDescent="0.35">
      <c r="AL374" s="86"/>
    </row>
    <row r="375" spans="38:38" x14ac:dyDescent="0.35">
      <c r="AL375" s="86"/>
    </row>
    <row r="376" spans="38:38" x14ac:dyDescent="0.35">
      <c r="AL376" s="86"/>
    </row>
    <row r="377" spans="38:38" x14ac:dyDescent="0.35">
      <c r="AL377" s="86"/>
    </row>
    <row r="378" spans="38:38" x14ac:dyDescent="0.35">
      <c r="AL378" s="86"/>
    </row>
    <row r="379" spans="38:38" x14ac:dyDescent="0.35">
      <c r="AL379" s="86"/>
    </row>
    <row r="380" spans="38:38" x14ac:dyDescent="0.35">
      <c r="AL380" s="86"/>
    </row>
    <row r="381" spans="38:38" x14ac:dyDescent="0.35">
      <c r="AL381" s="86"/>
    </row>
    <row r="382" spans="38:38" x14ac:dyDescent="0.35">
      <c r="AL382" s="86"/>
    </row>
    <row r="383" spans="38:38" x14ac:dyDescent="0.35">
      <c r="AL383" s="86"/>
    </row>
    <row r="384" spans="38:38" x14ac:dyDescent="0.35">
      <c r="AL384" s="86"/>
    </row>
    <row r="385" spans="38:38" x14ac:dyDescent="0.35">
      <c r="AL385" s="86"/>
    </row>
    <row r="386" spans="38:38" x14ac:dyDescent="0.35">
      <c r="AL386" s="86"/>
    </row>
    <row r="387" spans="38:38" x14ac:dyDescent="0.35">
      <c r="AL387" s="86"/>
    </row>
    <row r="388" spans="38:38" x14ac:dyDescent="0.35">
      <c r="AL388" s="86"/>
    </row>
    <row r="389" spans="38:38" x14ac:dyDescent="0.35">
      <c r="AL389" s="86"/>
    </row>
    <row r="390" spans="38:38" x14ac:dyDescent="0.35">
      <c r="AL390" s="86"/>
    </row>
    <row r="391" spans="38:38" x14ac:dyDescent="0.35">
      <c r="AL391" s="86"/>
    </row>
    <row r="392" spans="38:38" x14ac:dyDescent="0.35">
      <c r="AL392" s="86"/>
    </row>
    <row r="393" spans="38:38" x14ac:dyDescent="0.35">
      <c r="AL393" s="86"/>
    </row>
    <row r="394" spans="38:38" x14ac:dyDescent="0.35">
      <c r="AL394" s="86"/>
    </row>
    <row r="395" spans="38:38" x14ac:dyDescent="0.35">
      <c r="AL395" s="86"/>
    </row>
    <row r="396" spans="38:38" x14ac:dyDescent="0.35">
      <c r="AL396" s="86"/>
    </row>
    <row r="397" spans="38:38" x14ac:dyDescent="0.35">
      <c r="AL397" s="86"/>
    </row>
    <row r="398" spans="38:38" x14ac:dyDescent="0.35">
      <c r="AL398" s="86"/>
    </row>
    <row r="399" spans="38:38" x14ac:dyDescent="0.35">
      <c r="AL399" s="86"/>
    </row>
    <row r="400" spans="38:38" x14ac:dyDescent="0.35">
      <c r="AL400" s="86"/>
    </row>
    <row r="401" spans="38:38" x14ac:dyDescent="0.35">
      <c r="AL401" s="86"/>
    </row>
    <row r="402" spans="38:38" x14ac:dyDescent="0.35">
      <c r="AL402" s="86"/>
    </row>
    <row r="403" spans="38:38" x14ac:dyDescent="0.35">
      <c r="AL403" s="86"/>
    </row>
    <row r="404" spans="38:38" x14ac:dyDescent="0.35">
      <c r="AL404" s="86"/>
    </row>
    <row r="405" spans="38:38" x14ac:dyDescent="0.35">
      <c r="AL405" s="86"/>
    </row>
    <row r="406" spans="38:38" x14ac:dyDescent="0.35">
      <c r="AL406" s="86"/>
    </row>
    <row r="407" spans="38:38" x14ac:dyDescent="0.35">
      <c r="AL407" s="86"/>
    </row>
    <row r="408" spans="38:38" x14ac:dyDescent="0.35">
      <c r="AL408" s="86"/>
    </row>
    <row r="409" spans="38:38" x14ac:dyDescent="0.35">
      <c r="AL409" s="86"/>
    </row>
    <row r="410" spans="38:38" x14ac:dyDescent="0.35">
      <c r="AL410" s="86"/>
    </row>
    <row r="411" spans="38:38" x14ac:dyDescent="0.35">
      <c r="AL411" s="86"/>
    </row>
    <row r="412" spans="38:38" x14ac:dyDescent="0.35">
      <c r="AL412" s="86"/>
    </row>
    <row r="413" spans="38:38" x14ac:dyDescent="0.35">
      <c r="AL413" s="86"/>
    </row>
    <row r="414" spans="38:38" x14ac:dyDescent="0.35">
      <c r="AL414" s="86"/>
    </row>
    <row r="415" spans="38:38" x14ac:dyDescent="0.35">
      <c r="AL415" s="86"/>
    </row>
    <row r="416" spans="38:38" x14ac:dyDescent="0.35">
      <c r="AL416" s="86"/>
    </row>
    <row r="417" spans="38:38" x14ac:dyDescent="0.35">
      <c r="AL417" s="86"/>
    </row>
    <row r="418" spans="38:38" x14ac:dyDescent="0.35">
      <c r="AL418" s="86"/>
    </row>
    <row r="419" spans="38:38" x14ac:dyDescent="0.35">
      <c r="AL419" s="86"/>
    </row>
    <row r="420" spans="38:38" x14ac:dyDescent="0.35">
      <c r="AL420" s="86"/>
    </row>
    <row r="421" spans="38:38" x14ac:dyDescent="0.35">
      <c r="AL421" s="86"/>
    </row>
    <row r="422" spans="38:38" x14ac:dyDescent="0.35">
      <c r="AL422" s="86"/>
    </row>
    <row r="423" spans="38:38" x14ac:dyDescent="0.35">
      <c r="AL423" s="86"/>
    </row>
    <row r="424" spans="38:38" x14ac:dyDescent="0.35">
      <c r="AL424" s="86"/>
    </row>
    <row r="425" spans="38:38" x14ac:dyDescent="0.35">
      <c r="AL425" s="86"/>
    </row>
    <row r="426" spans="38:38" x14ac:dyDescent="0.35">
      <c r="AL426" s="86"/>
    </row>
    <row r="427" spans="38:38" x14ac:dyDescent="0.35">
      <c r="AL427" s="86"/>
    </row>
    <row r="428" spans="38:38" x14ac:dyDescent="0.35">
      <c r="AL428" s="86"/>
    </row>
    <row r="429" spans="38:38" x14ac:dyDescent="0.35">
      <c r="AL429" s="86"/>
    </row>
    <row r="430" spans="38:38" x14ac:dyDescent="0.35">
      <c r="AL430" s="86"/>
    </row>
    <row r="431" spans="38:38" x14ac:dyDescent="0.35">
      <c r="AL431" s="86"/>
    </row>
    <row r="432" spans="38:38" x14ac:dyDescent="0.35">
      <c r="AL432" s="86"/>
    </row>
    <row r="433" spans="38:38" x14ac:dyDescent="0.35">
      <c r="AL433" s="86"/>
    </row>
    <row r="434" spans="38:38" x14ac:dyDescent="0.35">
      <c r="AL434" s="86"/>
    </row>
    <row r="435" spans="38:38" x14ac:dyDescent="0.35">
      <c r="AL435" s="86"/>
    </row>
    <row r="436" spans="38:38" x14ac:dyDescent="0.35">
      <c r="AL436" s="86"/>
    </row>
    <row r="437" spans="38:38" x14ac:dyDescent="0.35">
      <c r="AL437" s="86"/>
    </row>
    <row r="438" spans="38:38" x14ac:dyDescent="0.35">
      <c r="AL438" s="86"/>
    </row>
    <row r="439" spans="38:38" x14ac:dyDescent="0.35">
      <c r="AL439" s="86"/>
    </row>
    <row r="440" spans="38:38" x14ac:dyDescent="0.35">
      <c r="AL440" s="86"/>
    </row>
    <row r="441" spans="38:38" x14ac:dyDescent="0.35">
      <c r="AL441" s="86"/>
    </row>
    <row r="442" spans="38:38" x14ac:dyDescent="0.35">
      <c r="AL442" s="86"/>
    </row>
    <row r="443" spans="38:38" x14ac:dyDescent="0.35">
      <c r="AL443" s="86"/>
    </row>
    <row r="444" spans="38:38" x14ac:dyDescent="0.35">
      <c r="AL444" s="86"/>
    </row>
    <row r="445" spans="38:38" x14ac:dyDescent="0.35">
      <c r="AL445" s="86"/>
    </row>
    <row r="446" spans="38:38" x14ac:dyDescent="0.35">
      <c r="AL446" s="86"/>
    </row>
    <row r="447" spans="38:38" x14ac:dyDescent="0.35">
      <c r="AL447" s="86"/>
    </row>
    <row r="448" spans="38:38" x14ac:dyDescent="0.35">
      <c r="AL448" s="86"/>
    </row>
    <row r="449" spans="38:38" x14ac:dyDescent="0.35">
      <c r="AL449" s="86"/>
    </row>
    <row r="450" spans="38:38" x14ac:dyDescent="0.35">
      <c r="AL450" s="86"/>
    </row>
    <row r="451" spans="38:38" x14ac:dyDescent="0.35">
      <c r="AL451" s="86"/>
    </row>
    <row r="452" spans="38:38" x14ac:dyDescent="0.35">
      <c r="AL452" s="86"/>
    </row>
    <row r="453" spans="38:38" x14ac:dyDescent="0.35">
      <c r="AL453" s="86"/>
    </row>
    <row r="454" spans="38:38" x14ac:dyDescent="0.35">
      <c r="AL454" s="86"/>
    </row>
    <row r="455" spans="38:38" x14ac:dyDescent="0.35">
      <c r="AL455" s="86"/>
    </row>
    <row r="456" spans="38:38" x14ac:dyDescent="0.35">
      <c r="AL456" s="86"/>
    </row>
    <row r="457" spans="38:38" x14ac:dyDescent="0.35">
      <c r="AL457" s="86"/>
    </row>
    <row r="458" spans="38:38" x14ac:dyDescent="0.35">
      <c r="AL458" s="86"/>
    </row>
    <row r="459" spans="38:38" x14ac:dyDescent="0.35">
      <c r="AL459" s="86"/>
    </row>
    <row r="460" spans="38:38" x14ac:dyDescent="0.35">
      <c r="AL460" s="86"/>
    </row>
    <row r="461" spans="38:38" x14ac:dyDescent="0.35">
      <c r="AL461" s="86"/>
    </row>
    <row r="462" spans="38:38" x14ac:dyDescent="0.35">
      <c r="AL462" s="86"/>
    </row>
    <row r="463" spans="38:38" x14ac:dyDescent="0.35">
      <c r="AL463" s="86"/>
    </row>
    <row r="464" spans="38:38" x14ac:dyDescent="0.35">
      <c r="AL464" s="86"/>
    </row>
    <row r="465" spans="38:38" x14ac:dyDescent="0.35">
      <c r="AL465" s="86"/>
    </row>
    <row r="466" spans="38:38" x14ac:dyDescent="0.35">
      <c r="AL466" s="86"/>
    </row>
    <row r="467" spans="38:38" x14ac:dyDescent="0.35">
      <c r="AL467" s="86"/>
    </row>
    <row r="468" spans="38:38" x14ac:dyDescent="0.35">
      <c r="AL468" s="86"/>
    </row>
    <row r="469" spans="38:38" x14ac:dyDescent="0.35">
      <c r="AL469" s="86"/>
    </row>
    <row r="470" spans="38:38" x14ac:dyDescent="0.35">
      <c r="AL470" s="86"/>
    </row>
    <row r="471" spans="38:38" x14ac:dyDescent="0.35">
      <c r="AL471" s="86"/>
    </row>
    <row r="472" spans="38:38" x14ac:dyDescent="0.35">
      <c r="AL472" s="86"/>
    </row>
    <row r="473" spans="38:38" x14ac:dyDescent="0.35">
      <c r="AL473" s="86"/>
    </row>
    <row r="474" spans="38:38" x14ac:dyDescent="0.35">
      <c r="AL474" s="86"/>
    </row>
    <row r="475" spans="38:38" x14ac:dyDescent="0.35">
      <c r="AL475" s="86"/>
    </row>
    <row r="476" spans="38:38" x14ac:dyDescent="0.35">
      <c r="AL476" s="86"/>
    </row>
    <row r="477" spans="38:38" x14ac:dyDescent="0.35">
      <c r="AL477" s="86"/>
    </row>
    <row r="478" spans="38:38" x14ac:dyDescent="0.35">
      <c r="AL478" s="86"/>
    </row>
    <row r="479" spans="38:38" x14ac:dyDescent="0.35">
      <c r="AL479" s="86"/>
    </row>
    <row r="480" spans="38:38" x14ac:dyDescent="0.35">
      <c r="AL480" s="86"/>
    </row>
    <row r="481" spans="38:38" x14ac:dyDescent="0.35">
      <c r="AL481" s="86"/>
    </row>
    <row r="482" spans="38:38" x14ac:dyDescent="0.35">
      <c r="AL482" s="86"/>
    </row>
    <row r="483" spans="38:38" x14ac:dyDescent="0.35">
      <c r="AL483" s="86"/>
    </row>
    <row r="484" spans="38:38" x14ac:dyDescent="0.35">
      <c r="AL484" s="86"/>
    </row>
    <row r="485" spans="38:38" x14ac:dyDescent="0.35">
      <c r="AL485" s="86"/>
    </row>
    <row r="486" spans="38:38" x14ac:dyDescent="0.35">
      <c r="AL486" s="86"/>
    </row>
    <row r="487" spans="38:38" x14ac:dyDescent="0.35">
      <c r="AL487" s="86"/>
    </row>
    <row r="488" spans="38:38" x14ac:dyDescent="0.35">
      <c r="AL488" s="86"/>
    </row>
    <row r="489" spans="38:38" x14ac:dyDescent="0.35">
      <c r="AL489" s="86"/>
    </row>
    <row r="490" spans="38:38" x14ac:dyDescent="0.35">
      <c r="AL490" s="86"/>
    </row>
    <row r="491" spans="38:38" x14ac:dyDescent="0.35">
      <c r="AL491" s="86"/>
    </row>
    <row r="492" spans="38:38" x14ac:dyDescent="0.35">
      <c r="AL492" s="86"/>
    </row>
    <row r="493" spans="38:38" x14ac:dyDescent="0.35">
      <c r="AL493" s="86"/>
    </row>
    <row r="494" spans="38:38" x14ac:dyDescent="0.35">
      <c r="AL494" s="86"/>
    </row>
    <row r="495" spans="38:38" x14ac:dyDescent="0.35">
      <c r="AL495" s="86"/>
    </row>
    <row r="496" spans="38:38" x14ac:dyDescent="0.35">
      <c r="AL496" s="86"/>
    </row>
    <row r="497" spans="38:38" x14ac:dyDescent="0.35">
      <c r="AL497" s="86"/>
    </row>
    <row r="498" spans="38:38" x14ac:dyDescent="0.35">
      <c r="AL498" s="86"/>
    </row>
    <row r="499" spans="38:38" x14ac:dyDescent="0.35">
      <c r="AL499" s="86"/>
    </row>
    <row r="500" spans="38:38" x14ac:dyDescent="0.35">
      <c r="AL500" s="86"/>
    </row>
    <row r="501" spans="38:38" x14ac:dyDescent="0.35">
      <c r="AL501" s="86"/>
    </row>
    <row r="502" spans="38:38" x14ac:dyDescent="0.35">
      <c r="AL502" s="86"/>
    </row>
    <row r="503" spans="38:38" x14ac:dyDescent="0.35">
      <c r="AL503" s="86"/>
    </row>
    <row r="504" spans="38:38" x14ac:dyDescent="0.35">
      <c r="AL504" s="86"/>
    </row>
    <row r="505" spans="38:38" x14ac:dyDescent="0.35">
      <c r="AL505" s="86"/>
    </row>
    <row r="506" spans="38:38" x14ac:dyDescent="0.35">
      <c r="AL506" s="86"/>
    </row>
    <row r="507" spans="38:38" x14ac:dyDescent="0.35">
      <c r="AL507" s="86"/>
    </row>
    <row r="508" spans="38:38" x14ac:dyDescent="0.35">
      <c r="AL508" s="86"/>
    </row>
    <row r="509" spans="38:38" x14ac:dyDescent="0.35">
      <c r="AL509" s="86"/>
    </row>
    <row r="510" spans="38:38" x14ac:dyDescent="0.35">
      <c r="AL510" s="86"/>
    </row>
    <row r="511" spans="38:38" x14ac:dyDescent="0.35">
      <c r="AL511" s="86"/>
    </row>
    <row r="512" spans="38:38" x14ac:dyDescent="0.35">
      <c r="AL512" s="86"/>
    </row>
    <row r="513" spans="38:38" x14ac:dyDescent="0.35">
      <c r="AL513" s="86"/>
    </row>
    <row r="514" spans="38:38" x14ac:dyDescent="0.35">
      <c r="AL514" s="86"/>
    </row>
    <row r="515" spans="38:38" x14ac:dyDescent="0.35">
      <c r="AL515" s="86"/>
    </row>
    <row r="516" spans="38:38" x14ac:dyDescent="0.35">
      <c r="AL516" s="86"/>
    </row>
    <row r="517" spans="38:38" x14ac:dyDescent="0.35">
      <c r="AL517" s="86"/>
    </row>
    <row r="518" spans="38:38" x14ac:dyDescent="0.35">
      <c r="AL518" s="86"/>
    </row>
    <row r="519" spans="38:38" x14ac:dyDescent="0.35">
      <c r="AL519" s="86"/>
    </row>
    <row r="520" spans="38:38" x14ac:dyDescent="0.35">
      <c r="AL520" s="86"/>
    </row>
    <row r="521" spans="38:38" x14ac:dyDescent="0.35">
      <c r="AL521" s="86"/>
    </row>
    <row r="522" spans="38:38" x14ac:dyDescent="0.35">
      <c r="AL522" s="86"/>
    </row>
    <row r="523" spans="38:38" x14ac:dyDescent="0.35">
      <c r="AL523" s="86"/>
    </row>
    <row r="524" spans="38:38" x14ac:dyDescent="0.35">
      <c r="AL524" s="86"/>
    </row>
    <row r="525" spans="38:38" x14ac:dyDescent="0.35">
      <c r="AL525" s="86"/>
    </row>
    <row r="526" spans="38:38" x14ac:dyDescent="0.35">
      <c r="AL526" s="86"/>
    </row>
    <row r="527" spans="38:38" x14ac:dyDescent="0.35">
      <c r="AL527" s="86"/>
    </row>
    <row r="528" spans="38:38" x14ac:dyDescent="0.35">
      <c r="AL528" s="86"/>
    </row>
    <row r="529" spans="38:38" x14ac:dyDescent="0.35">
      <c r="AL529" s="86"/>
    </row>
    <row r="530" spans="38:38" x14ac:dyDescent="0.35">
      <c r="AL530" s="86"/>
    </row>
    <row r="531" spans="38:38" x14ac:dyDescent="0.35">
      <c r="AL531" s="86"/>
    </row>
    <row r="532" spans="38:38" x14ac:dyDescent="0.35">
      <c r="AL532" s="86"/>
    </row>
    <row r="533" spans="38:38" x14ac:dyDescent="0.35">
      <c r="AL533" s="86"/>
    </row>
    <row r="534" spans="38:38" x14ac:dyDescent="0.35">
      <c r="AL534" s="86"/>
    </row>
    <row r="535" spans="38:38" x14ac:dyDescent="0.35">
      <c r="AL535" s="86"/>
    </row>
    <row r="536" spans="38:38" x14ac:dyDescent="0.35">
      <c r="AL536" s="86"/>
    </row>
    <row r="537" spans="38:38" x14ac:dyDescent="0.35">
      <c r="AL537" s="86"/>
    </row>
    <row r="538" spans="38:38" x14ac:dyDescent="0.35">
      <c r="AL538" s="86"/>
    </row>
    <row r="539" spans="38:38" x14ac:dyDescent="0.35">
      <c r="AL539" s="86"/>
    </row>
    <row r="540" spans="38:38" x14ac:dyDescent="0.35">
      <c r="AL540" s="86"/>
    </row>
    <row r="541" spans="38:38" x14ac:dyDescent="0.35">
      <c r="AL541" s="86"/>
    </row>
    <row r="542" spans="38:38" x14ac:dyDescent="0.35">
      <c r="AL542" s="86"/>
    </row>
    <row r="543" spans="38:38" x14ac:dyDescent="0.35">
      <c r="AL543" s="86"/>
    </row>
    <row r="544" spans="38:38" x14ac:dyDescent="0.35">
      <c r="AL544" s="86"/>
    </row>
    <row r="545" spans="38:38" x14ac:dyDescent="0.35">
      <c r="AL545" s="86"/>
    </row>
    <row r="546" spans="38:38" x14ac:dyDescent="0.35">
      <c r="AL546" s="86"/>
    </row>
    <row r="547" spans="38:38" x14ac:dyDescent="0.35">
      <c r="AL547" s="86"/>
    </row>
    <row r="548" spans="38:38" x14ac:dyDescent="0.35">
      <c r="AL548" s="86"/>
    </row>
    <row r="549" spans="38:38" x14ac:dyDescent="0.35">
      <c r="AL549" s="86"/>
    </row>
    <row r="550" spans="38:38" x14ac:dyDescent="0.35">
      <c r="AL550" s="86"/>
    </row>
    <row r="551" spans="38:38" x14ac:dyDescent="0.35">
      <c r="AL551" s="86"/>
    </row>
    <row r="552" spans="38:38" x14ac:dyDescent="0.35">
      <c r="AL552" s="86"/>
    </row>
    <row r="553" spans="38:38" x14ac:dyDescent="0.35">
      <c r="AL553" s="86"/>
    </row>
    <row r="554" spans="38:38" x14ac:dyDescent="0.35">
      <c r="AL554" s="86"/>
    </row>
    <row r="555" spans="38:38" x14ac:dyDescent="0.35">
      <c r="AL555" s="86"/>
    </row>
    <row r="556" spans="38:38" x14ac:dyDescent="0.35">
      <c r="AL556" s="86"/>
    </row>
    <row r="557" spans="38:38" x14ac:dyDescent="0.35">
      <c r="AL557" s="86"/>
    </row>
    <row r="558" spans="38:38" x14ac:dyDescent="0.35">
      <c r="AL558" s="86"/>
    </row>
    <row r="559" spans="38:38" x14ac:dyDescent="0.35">
      <c r="AL559" s="86"/>
    </row>
    <row r="560" spans="38:38" x14ac:dyDescent="0.35">
      <c r="AL560" s="86"/>
    </row>
    <row r="561" spans="38:38" x14ac:dyDescent="0.35">
      <c r="AL561" s="86"/>
    </row>
    <row r="562" spans="38:38" x14ac:dyDescent="0.35">
      <c r="AL562" s="86"/>
    </row>
    <row r="563" spans="38:38" x14ac:dyDescent="0.35">
      <c r="AL563" s="86"/>
    </row>
    <row r="564" spans="38:38" x14ac:dyDescent="0.35">
      <c r="AL564" s="86"/>
    </row>
    <row r="565" spans="38:38" x14ac:dyDescent="0.35">
      <c r="AL565" s="86"/>
    </row>
    <row r="566" spans="38:38" x14ac:dyDescent="0.35">
      <c r="AL566" s="86"/>
    </row>
    <row r="567" spans="38:38" x14ac:dyDescent="0.35">
      <c r="AL567" s="86"/>
    </row>
    <row r="568" spans="38:38" x14ac:dyDescent="0.35">
      <c r="AL568" s="86"/>
    </row>
    <row r="569" spans="38:38" x14ac:dyDescent="0.35">
      <c r="AL569" s="86"/>
    </row>
    <row r="570" spans="38:38" x14ac:dyDescent="0.35">
      <c r="AL570" s="86"/>
    </row>
    <row r="571" spans="38:38" x14ac:dyDescent="0.35">
      <c r="AL571" s="86"/>
    </row>
    <row r="572" spans="38:38" x14ac:dyDescent="0.35">
      <c r="AL572" s="86"/>
    </row>
    <row r="573" spans="38:38" x14ac:dyDescent="0.35">
      <c r="AL573" s="86"/>
    </row>
    <row r="574" spans="38:38" x14ac:dyDescent="0.35">
      <c r="AL574" s="86"/>
    </row>
    <row r="575" spans="38:38" x14ac:dyDescent="0.35">
      <c r="AL575" s="86"/>
    </row>
    <row r="576" spans="38:38" x14ac:dyDescent="0.35">
      <c r="AL576" s="86"/>
    </row>
    <row r="577" spans="38:38" x14ac:dyDescent="0.35">
      <c r="AL577" s="86"/>
    </row>
    <row r="578" spans="38:38" x14ac:dyDescent="0.35">
      <c r="AL578" s="86"/>
    </row>
    <row r="579" spans="38:38" x14ac:dyDescent="0.35">
      <c r="AL579" s="86"/>
    </row>
    <row r="580" spans="38:38" x14ac:dyDescent="0.35">
      <c r="AL580" s="86"/>
    </row>
    <row r="581" spans="38:38" x14ac:dyDescent="0.35">
      <c r="AL581" s="86"/>
    </row>
    <row r="582" spans="38:38" x14ac:dyDescent="0.35">
      <c r="AL582" s="86"/>
    </row>
    <row r="583" spans="38:38" x14ac:dyDescent="0.35">
      <c r="AL583" s="86"/>
    </row>
    <row r="584" spans="38:38" x14ac:dyDescent="0.35">
      <c r="AL584" s="86"/>
    </row>
    <row r="585" spans="38:38" x14ac:dyDescent="0.35">
      <c r="AL585" s="86"/>
    </row>
    <row r="586" spans="38:38" x14ac:dyDescent="0.35">
      <c r="AL586" s="86"/>
    </row>
    <row r="587" spans="38:38" x14ac:dyDescent="0.35">
      <c r="AL587" s="86"/>
    </row>
    <row r="588" spans="38:38" x14ac:dyDescent="0.35">
      <c r="AL588" s="86"/>
    </row>
    <row r="589" spans="38:38" x14ac:dyDescent="0.35">
      <c r="AL589" s="86"/>
    </row>
    <row r="590" spans="38:38" x14ac:dyDescent="0.35">
      <c r="AL590" s="86"/>
    </row>
    <row r="591" spans="38:38" x14ac:dyDescent="0.35">
      <c r="AL591" s="86"/>
    </row>
    <row r="592" spans="38:38" x14ac:dyDescent="0.35">
      <c r="AL592" s="86"/>
    </row>
    <row r="593" spans="38:38" x14ac:dyDescent="0.35">
      <c r="AL593" s="86"/>
    </row>
    <row r="594" spans="38:38" x14ac:dyDescent="0.35">
      <c r="AL594" s="86"/>
    </row>
    <row r="595" spans="38:38" x14ac:dyDescent="0.35">
      <c r="AL595" s="86"/>
    </row>
    <row r="596" spans="38:38" x14ac:dyDescent="0.35">
      <c r="AL596" s="86"/>
    </row>
    <row r="597" spans="38:38" x14ac:dyDescent="0.35">
      <c r="AL597" s="86"/>
    </row>
    <row r="598" spans="38:38" x14ac:dyDescent="0.35">
      <c r="AL598" s="86"/>
    </row>
    <row r="599" spans="38:38" x14ac:dyDescent="0.35">
      <c r="AL599" s="86"/>
    </row>
    <row r="600" spans="38:38" x14ac:dyDescent="0.35">
      <c r="AL600" s="86"/>
    </row>
    <row r="601" spans="38:38" x14ac:dyDescent="0.35">
      <c r="AL601" s="86"/>
    </row>
    <row r="602" spans="38:38" x14ac:dyDescent="0.35">
      <c r="AL602" s="86"/>
    </row>
    <row r="603" spans="38:38" x14ac:dyDescent="0.35">
      <c r="AL603" s="86"/>
    </row>
    <row r="604" spans="38:38" x14ac:dyDescent="0.35">
      <c r="AL604" s="86"/>
    </row>
    <row r="605" spans="38:38" x14ac:dyDescent="0.35">
      <c r="AL605" s="86"/>
    </row>
    <row r="606" spans="38:38" x14ac:dyDescent="0.35">
      <c r="AL606" s="86"/>
    </row>
    <row r="607" spans="38:38" x14ac:dyDescent="0.35">
      <c r="AL607" s="86"/>
    </row>
    <row r="608" spans="38:38" x14ac:dyDescent="0.35">
      <c r="AL608" s="86"/>
    </row>
    <row r="609" spans="38:38" x14ac:dyDescent="0.35">
      <c r="AL609" s="86"/>
    </row>
    <row r="610" spans="38:38" x14ac:dyDescent="0.35">
      <c r="AL610" s="86"/>
    </row>
    <row r="611" spans="38:38" x14ac:dyDescent="0.35">
      <c r="AL611" s="86"/>
    </row>
    <row r="612" spans="38:38" x14ac:dyDescent="0.35">
      <c r="AL612" s="86"/>
    </row>
    <row r="613" spans="38:38" x14ac:dyDescent="0.35">
      <c r="AL613" s="86"/>
    </row>
    <row r="614" spans="38:38" x14ac:dyDescent="0.35">
      <c r="AL614" s="86"/>
    </row>
    <row r="615" spans="38:38" x14ac:dyDescent="0.35">
      <c r="AL615" s="86"/>
    </row>
    <row r="616" spans="38:38" x14ac:dyDescent="0.35">
      <c r="AL616" s="86"/>
    </row>
    <row r="617" spans="38:38" x14ac:dyDescent="0.35">
      <c r="AL617" s="86"/>
    </row>
    <row r="618" spans="38:38" x14ac:dyDescent="0.35">
      <c r="AL618" s="86"/>
    </row>
    <row r="619" spans="38:38" x14ac:dyDescent="0.35">
      <c r="AL619" s="86"/>
    </row>
    <row r="620" spans="38:38" x14ac:dyDescent="0.35">
      <c r="AL620" s="86"/>
    </row>
    <row r="621" spans="38:38" x14ac:dyDescent="0.35">
      <c r="AL621" s="86"/>
    </row>
    <row r="622" spans="38:38" x14ac:dyDescent="0.35">
      <c r="AL622" s="86"/>
    </row>
    <row r="623" spans="38:38" x14ac:dyDescent="0.35">
      <c r="AL623" s="86"/>
    </row>
    <row r="624" spans="38:38" x14ac:dyDescent="0.35">
      <c r="AL624" s="86"/>
    </row>
    <row r="625" spans="38:38" x14ac:dyDescent="0.35">
      <c r="AL625" s="86"/>
    </row>
    <row r="626" spans="38:38" x14ac:dyDescent="0.35">
      <c r="AL626" s="86"/>
    </row>
    <row r="627" spans="38:38" x14ac:dyDescent="0.35">
      <c r="AL627" s="86"/>
    </row>
    <row r="628" spans="38:38" x14ac:dyDescent="0.35">
      <c r="AL628" s="86"/>
    </row>
    <row r="629" spans="38:38" x14ac:dyDescent="0.35">
      <c r="AL629" s="86"/>
    </row>
    <row r="630" spans="38:38" x14ac:dyDescent="0.35">
      <c r="AL630" s="86"/>
    </row>
    <row r="631" spans="38:38" x14ac:dyDescent="0.35">
      <c r="AL631" s="86"/>
    </row>
    <row r="632" spans="38:38" x14ac:dyDescent="0.35">
      <c r="AL632" s="86"/>
    </row>
    <row r="633" spans="38:38" x14ac:dyDescent="0.35">
      <c r="AL633" s="86"/>
    </row>
    <row r="634" spans="38:38" x14ac:dyDescent="0.35">
      <c r="AL634" s="86"/>
    </row>
    <row r="635" spans="38:38" x14ac:dyDescent="0.35">
      <c r="AL635" s="86"/>
    </row>
    <row r="636" spans="38:38" x14ac:dyDescent="0.35">
      <c r="AL636" s="86"/>
    </row>
    <row r="637" spans="38:38" x14ac:dyDescent="0.35">
      <c r="AL637" s="86"/>
    </row>
    <row r="638" spans="38:38" x14ac:dyDescent="0.35">
      <c r="AL638" s="86"/>
    </row>
    <row r="639" spans="38:38" x14ac:dyDescent="0.35">
      <c r="AL639" s="86"/>
    </row>
    <row r="640" spans="38:38" x14ac:dyDescent="0.35">
      <c r="AL640" s="86"/>
    </row>
    <row r="641" spans="38:38" x14ac:dyDescent="0.35">
      <c r="AL641" s="86"/>
    </row>
    <row r="642" spans="38:38" x14ac:dyDescent="0.35">
      <c r="AL642" s="86"/>
    </row>
    <row r="643" spans="38:38" x14ac:dyDescent="0.35">
      <c r="AL643" s="86"/>
    </row>
    <row r="644" spans="38:38" x14ac:dyDescent="0.35">
      <c r="AL644" s="86"/>
    </row>
    <row r="645" spans="38:38" x14ac:dyDescent="0.35">
      <c r="AL645" s="86"/>
    </row>
    <row r="646" spans="38:38" x14ac:dyDescent="0.35">
      <c r="AL646" s="86"/>
    </row>
    <row r="647" spans="38:38" x14ac:dyDescent="0.35">
      <c r="AL647" s="86"/>
    </row>
    <row r="648" spans="38:38" x14ac:dyDescent="0.35">
      <c r="AL648" s="86"/>
    </row>
    <row r="649" spans="38:38" x14ac:dyDescent="0.35">
      <c r="AL649" s="86"/>
    </row>
    <row r="650" spans="38:38" x14ac:dyDescent="0.35">
      <c r="AL650" s="86"/>
    </row>
    <row r="651" spans="38:38" x14ac:dyDescent="0.35">
      <c r="AL651" s="86"/>
    </row>
    <row r="652" spans="38:38" x14ac:dyDescent="0.35">
      <c r="AL652" s="86"/>
    </row>
    <row r="653" spans="38:38" x14ac:dyDescent="0.35">
      <c r="AL653" s="86"/>
    </row>
    <row r="654" spans="38:38" x14ac:dyDescent="0.35">
      <c r="AL654" s="86"/>
    </row>
    <row r="655" spans="38:38" x14ac:dyDescent="0.35">
      <c r="AL655" s="86"/>
    </row>
    <row r="656" spans="38:38" x14ac:dyDescent="0.35">
      <c r="AL656" s="86"/>
    </row>
    <row r="657" spans="38:38" x14ac:dyDescent="0.35">
      <c r="AL657" s="86"/>
    </row>
    <row r="658" spans="38:38" x14ac:dyDescent="0.35">
      <c r="AL658" s="86"/>
    </row>
    <row r="659" spans="38:38" x14ac:dyDescent="0.35">
      <c r="AL659" s="86"/>
    </row>
    <row r="660" spans="38:38" x14ac:dyDescent="0.35">
      <c r="AL660" s="86"/>
    </row>
    <row r="661" spans="38:38" x14ac:dyDescent="0.35">
      <c r="AL661" s="86"/>
    </row>
    <row r="662" spans="38:38" x14ac:dyDescent="0.35">
      <c r="AL662" s="86"/>
    </row>
    <row r="663" spans="38:38" x14ac:dyDescent="0.35">
      <c r="AL663" s="86"/>
    </row>
    <row r="664" spans="38:38" x14ac:dyDescent="0.35">
      <c r="AL664" s="86"/>
    </row>
    <row r="665" spans="38:38" x14ac:dyDescent="0.35">
      <c r="AL665" s="86"/>
    </row>
    <row r="666" spans="38:38" x14ac:dyDescent="0.35">
      <c r="AL666" s="86"/>
    </row>
    <row r="667" spans="38:38" x14ac:dyDescent="0.35">
      <c r="AL667" s="86"/>
    </row>
    <row r="668" spans="38:38" x14ac:dyDescent="0.35">
      <c r="AL668" s="86"/>
    </row>
    <row r="669" spans="38:38" x14ac:dyDescent="0.35">
      <c r="AL669" s="86"/>
    </row>
    <row r="670" spans="38:38" x14ac:dyDescent="0.35">
      <c r="AL670" s="86"/>
    </row>
    <row r="671" spans="38:38" x14ac:dyDescent="0.35">
      <c r="AL671" s="86"/>
    </row>
    <row r="672" spans="38:38" x14ac:dyDescent="0.35">
      <c r="AL672" s="86"/>
    </row>
    <row r="673" spans="38:38" x14ac:dyDescent="0.35">
      <c r="AL673" s="86"/>
    </row>
    <row r="674" spans="38:38" x14ac:dyDescent="0.35">
      <c r="AL674" s="86"/>
    </row>
    <row r="675" spans="38:38" x14ac:dyDescent="0.35">
      <c r="AL675" s="86"/>
    </row>
    <row r="676" spans="38:38" x14ac:dyDescent="0.35">
      <c r="AL676" s="86"/>
    </row>
    <row r="677" spans="38:38" x14ac:dyDescent="0.35">
      <c r="AL677" s="86"/>
    </row>
    <row r="678" spans="38:38" x14ac:dyDescent="0.35">
      <c r="AL678" s="86"/>
    </row>
    <row r="679" spans="38:38" x14ac:dyDescent="0.35">
      <c r="AL679" s="86"/>
    </row>
    <row r="680" spans="38:38" x14ac:dyDescent="0.35">
      <c r="AL680" s="86"/>
    </row>
    <row r="681" spans="38:38" x14ac:dyDescent="0.35">
      <c r="AL681" s="86"/>
    </row>
    <row r="682" spans="38:38" x14ac:dyDescent="0.35">
      <c r="AL682" s="86"/>
    </row>
    <row r="683" spans="38:38" x14ac:dyDescent="0.35">
      <c r="AL683" s="86"/>
    </row>
    <row r="684" spans="38:38" x14ac:dyDescent="0.35">
      <c r="AL684" s="86"/>
    </row>
    <row r="685" spans="38:38" x14ac:dyDescent="0.35">
      <c r="AL685" s="86"/>
    </row>
    <row r="686" spans="38:38" x14ac:dyDescent="0.35">
      <c r="AL686" s="86"/>
    </row>
    <row r="687" spans="38:38" x14ac:dyDescent="0.35">
      <c r="AL687" s="86"/>
    </row>
    <row r="688" spans="38:38" x14ac:dyDescent="0.35">
      <c r="AL688" s="86"/>
    </row>
    <row r="689" spans="38:38" x14ac:dyDescent="0.35">
      <c r="AL689" s="86"/>
    </row>
    <row r="690" spans="38:38" x14ac:dyDescent="0.35">
      <c r="AL690" s="86"/>
    </row>
    <row r="691" spans="38:38" x14ac:dyDescent="0.35">
      <c r="AL691" s="86"/>
    </row>
    <row r="692" spans="38:38" x14ac:dyDescent="0.35">
      <c r="AL692" s="86"/>
    </row>
    <row r="693" spans="38:38" x14ac:dyDescent="0.35">
      <c r="AL693" s="86"/>
    </row>
    <row r="694" spans="38:38" x14ac:dyDescent="0.35">
      <c r="AL694" s="86"/>
    </row>
    <row r="695" spans="38:38" x14ac:dyDescent="0.35">
      <c r="AL695" s="86"/>
    </row>
    <row r="696" spans="38:38" x14ac:dyDescent="0.35">
      <c r="AL696" s="86"/>
    </row>
    <row r="697" spans="38:38" x14ac:dyDescent="0.35">
      <c r="AL697" s="86"/>
    </row>
    <row r="698" spans="38:38" x14ac:dyDescent="0.35">
      <c r="AL698" s="86"/>
    </row>
    <row r="699" spans="38:38" x14ac:dyDescent="0.35">
      <c r="AL699" s="86"/>
    </row>
    <row r="700" spans="38:38" x14ac:dyDescent="0.35">
      <c r="AL700" s="86"/>
    </row>
    <row r="701" spans="38:38" x14ac:dyDescent="0.35">
      <c r="AL701" s="86"/>
    </row>
    <row r="702" spans="38:38" x14ac:dyDescent="0.35">
      <c r="AL702" s="86"/>
    </row>
    <row r="703" spans="38:38" x14ac:dyDescent="0.35">
      <c r="AL703" s="86"/>
    </row>
    <row r="704" spans="38:38" x14ac:dyDescent="0.35">
      <c r="AL704" s="86"/>
    </row>
    <row r="705" spans="38:38" x14ac:dyDescent="0.35">
      <c r="AL705" s="86"/>
    </row>
    <row r="706" spans="38:38" x14ac:dyDescent="0.35">
      <c r="AL706" s="86"/>
    </row>
    <row r="707" spans="38:38" x14ac:dyDescent="0.35">
      <c r="AL707" s="86"/>
    </row>
    <row r="708" spans="38:38" x14ac:dyDescent="0.35">
      <c r="AL708" s="86"/>
    </row>
    <row r="709" spans="38:38" x14ac:dyDescent="0.35">
      <c r="AL709" s="86"/>
    </row>
    <row r="710" spans="38:38" x14ac:dyDescent="0.35">
      <c r="AL710" s="86"/>
    </row>
    <row r="711" spans="38:38" x14ac:dyDescent="0.35">
      <c r="AL711" s="86"/>
    </row>
    <row r="712" spans="38:38" x14ac:dyDescent="0.35">
      <c r="AL712" s="86"/>
    </row>
    <row r="713" spans="38:38" x14ac:dyDescent="0.35">
      <c r="AL713" s="86"/>
    </row>
    <row r="714" spans="38:38" x14ac:dyDescent="0.35">
      <c r="AL714" s="86"/>
    </row>
    <row r="715" spans="38:38" x14ac:dyDescent="0.35">
      <c r="AL715" s="86"/>
    </row>
    <row r="716" spans="38:38" x14ac:dyDescent="0.35">
      <c r="AL716" s="86"/>
    </row>
    <row r="717" spans="38:38" x14ac:dyDescent="0.35">
      <c r="AL717" s="86"/>
    </row>
    <row r="718" spans="38:38" x14ac:dyDescent="0.35">
      <c r="AL718" s="86"/>
    </row>
    <row r="719" spans="38:38" x14ac:dyDescent="0.35">
      <c r="AL719" s="86"/>
    </row>
    <row r="720" spans="38:38" x14ac:dyDescent="0.35">
      <c r="AL720" s="86"/>
    </row>
    <row r="721" spans="38:38" x14ac:dyDescent="0.35">
      <c r="AL721" s="86"/>
    </row>
    <row r="722" spans="38:38" x14ac:dyDescent="0.35">
      <c r="AL722" s="86"/>
    </row>
    <row r="723" spans="38:38" x14ac:dyDescent="0.35">
      <c r="AL723" s="86"/>
    </row>
    <row r="724" spans="38:38" x14ac:dyDescent="0.35">
      <c r="AL724" s="86"/>
    </row>
    <row r="725" spans="38:38" x14ac:dyDescent="0.35">
      <c r="AL725" s="86"/>
    </row>
    <row r="726" spans="38:38" x14ac:dyDescent="0.35">
      <c r="AL726" s="86"/>
    </row>
    <row r="727" spans="38:38" x14ac:dyDescent="0.35">
      <c r="AL727" s="86"/>
    </row>
    <row r="728" spans="38:38" x14ac:dyDescent="0.35">
      <c r="AL728" s="86"/>
    </row>
    <row r="729" spans="38:38" x14ac:dyDescent="0.35">
      <c r="AL729" s="86"/>
    </row>
    <row r="730" spans="38:38" x14ac:dyDescent="0.35">
      <c r="AL730" s="86"/>
    </row>
    <row r="731" spans="38:38" x14ac:dyDescent="0.35">
      <c r="AL731" s="86"/>
    </row>
    <row r="732" spans="38:38" x14ac:dyDescent="0.35">
      <c r="AL732" s="86"/>
    </row>
    <row r="733" spans="38:38" x14ac:dyDescent="0.35">
      <c r="AL733" s="86"/>
    </row>
    <row r="734" spans="38:38" x14ac:dyDescent="0.35">
      <c r="AL734" s="86"/>
    </row>
    <row r="735" spans="38:38" x14ac:dyDescent="0.35">
      <c r="AL735" s="86"/>
    </row>
    <row r="736" spans="38:38" x14ac:dyDescent="0.35">
      <c r="AL736" s="86"/>
    </row>
    <row r="737" spans="38:38" x14ac:dyDescent="0.35">
      <c r="AL737" s="86"/>
    </row>
    <row r="738" spans="38:38" x14ac:dyDescent="0.35">
      <c r="AL738" s="86"/>
    </row>
    <row r="739" spans="38:38" x14ac:dyDescent="0.35">
      <c r="AL739" s="86"/>
    </row>
    <row r="740" spans="38:38" x14ac:dyDescent="0.35">
      <c r="AL740" s="86"/>
    </row>
    <row r="741" spans="38:38" x14ac:dyDescent="0.35">
      <c r="AL741" s="86"/>
    </row>
    <row r="742" spans="38:38" x14ac:dyDescent="0.35">
      <c r="AL742" s="86"/>
    </row>
    <row r="743" spans="38:38" x14ac:dyDescent="0.35">
      <c r="AL743" s="86"/>
    </row>
    <row r="744" spans="38:38" x14ac:dyDescent="0.35">
      <c r="AL744" s="86"/>
    </row>
    <row r="745" spans="38:38" x14ac:dyDescent="0.35">
      <c r="AL745" s="86"/>
    </row>
    <row r="746" spans="38:38" x14ac:dyDescent="0.35">
      <c r="AL746" s="86"/>
    </row>
    <row r="747" spans="38:38" x14ac:dyDescent="0.35">
      <c r="AL747" s="86"/>
    </row>
    <row r="748" spans="38:38" x14ac:dyDescent="0.35">
      <c r="AL748" s="86"/>
    </row>
    <row r="749" spans="38:38" x14ac:dyDescent="0.35">
      <c r="AL749" s="86"/>
    </row>
    <row r="750" spans="38:38" x14ac:dyDescent="0.35">
      <c r="AL750" s="86"/>
    </row>
    <row r="751" spans="38:38" x14ac:dyDescent="0.35">
      <c r="AL751" s="86"/>
    </row>
    <row r="752" spans="38:38" x14ac:dyDescent="0.35">
      <c r="AL752" s="86"/>
    </row>
    <row r="753" spans="38:38" x14ac:dyDescent="0.35">
      <c r="AL753" s="86"/>
    </row>
    <row r="754" spans="38:38" x14ac:dyDescent="0.35">
      <c r="AL754" s="86"/>
    </row>
    <row r="755" spans="38:38" x14ac:dyDescent="0.35">
      <c r="AL755" s="86"/>
    </row>
    <row r="756" spans="38:38" x14ac:dyDescent="0.35">
      <c r="AL756" s="86"/>
    </row>
    <row r="757" spans="38:38" x14ac:dyDescent="0.35">
      <c r="AL757" s="86"/>
    </row>
    <row r="758" spans="38:38" x14ac:dyDescent="0.35">
      <c r="AL758" s="86"/>
    </row>
    <row r="759" spans="38:38" x14ac:dyDescent="0.35">
      <c r="AL759" s="86"/>
    </row>
    <row r="760" spans="38:38" x14ac:dyDescent="0.35">
      <c r="AL760" s="86"/>
    </row>
    <row r="761" spans="38:38" x14ac:dyDescent="0.35">
      <c r="AL761" s="86"/>
    </row>
    <row r="762" spans="38:38" x14ac:dyDescent="0.35">
      <c r="AL762" s="86"/>
    </row>
    <row r="763" spans="38:38" x14ac:dyDescent="0.35">
      <c r="AL763" s="86"/>
    </row>
    <row r="764" spans="38:38" x14ac:dyDescent="0.35">
      <c r="AL764" s="86"/>
    </row>
    <row r="765" spans="38:38" x14ac:dyDescent="0.35">
      <c r="AL765" s="86"/>
    </row>
    <row r="766" spans="38:38" x14ac:dyDescent="0.35">
      <c r="AL766" s="86"/>
    </row>
    <row r="767" spans="38:38" x14ac:dyDescent="0.35">
      <c r="AL767" s="86"/>
    </row>
    <row r="768" spans="38:38" x14ac:dyDescent="0.35">
      <c r="AL768" s="86"/>
    </row>
    <row r="769" spans="38:38" x14ac:dyDescent="0.35">
      <c r="AL769" s="86"/>
    </row>
    <row r="770" spans="38:38" x14ac:dyDescent="0.35">
      <c r="AL770" s="86"/>
    </row>
    <row r="771" spans="38:38" x14ac:dyDescent="0.35">
      <c r="AL771" s="86"/>
    </row>
    <row r="772" spans="38:38" x14ac:dyDescent="0.35">
      <c r="AL772" s="86"/>
    </row>
    <row r="773" spans="38:38" x14ac:dyDescent="0.35">
      <c r="AL773" s="86"/>
    </row>
    <row r="774" spans="38:38" x14ac:dyDescent="0.35">
      <c r="AL774" s="86"/>
    </row>
    <row r="775" spans="38:38" x14ac:dyDescent="0.35">
      <c r="AL775" s="86"/>
    </row>
    <row r="776" spans="38:38" x14ac:dyDescent="0.35">
      <c r="AL776" s="86"/>
    </row>
    <row r="777" spans="38:38" x14ac:dyDescent="0.35">
      <c r="AL777" s="86"/>
    </row>
    <row r="778" spans="38:38" x14ac:dyDescent="0.35">
      <c r="AL778" s="86"/>
    </row>
    <row r="779" spans="38:38" x14ac:dyDescent="0.35">
      <c r="AL779" s="86"/>
    </row>
    <row r="780" spans="38:38" x14ac:dyDescent="0.35">
      <c r="AL780" s="86"/>
    </row>
    <row r="781" spans="38:38" x14ac:dyDescent="0.35">
      <c r="AL781" s="86"/>
    </row>
    <row r="782" spans="38:38" x14ac:dyDescent="0.35">
      <c r="AL782" s="86"/>
    </row>
    <row r="783" spans="38:38" x14ac:dyDescent="0.35">
      <c r="AL783" s="86"/>
    </row>
    <row r="784" spans="38:38" x14ac:dyDescent="0.35">
      <c r="AL784" s="86"/>
    </row>
    <row r="785" spans="38:38" x14ac:dyDescent="0.35">
      <c r="AL785" s="86"/>
    </row>
    <row r="786" spans="38:38" x14ac:dyDescent="0.35">
      <c r="AL786" s="86"/>
    </row>
    <row r="787" spans="38:38" x14ac:dyDescent="0.35">
      <c r="AL787" s="86"/>
    </row>
    <row r="788" spans="38:38" x14ac:dyDescent="0.35">
      <c r="AL788" s="86"/>
    </row>
    <row r="789" spans="38:38" x14ac:dyDescent="0.35">
      <c r="AL789" s="86"/>
    </row>
    <row r="790" spans="38:38" x14ac:dyDescent="0.35">
      <c r="AL790" s="86"/>
    </row>
    <row r="791" spans="38:38" x14ac:dyDescent="0.35">
      <c r="AL791" s="86"/>
    </row>
    <row r="792" spans="38:38" x14ac:dyDescent="0.35">
      <c r="AL792" s="86"/>
    </row>
    <row r="793" spans="38:38" x14ac:dyDescent="0.35">
      <c r="AL793" s="86"/>
    </row>
    <row r="794" spans="38:38" x14ac:dyDescent="0.35">
      <c r="AL794" s="86"/>
    </row>
    <row r="795" spans="38:38" x14ac:dyDescent="0.35">
      <c r="AL795" s="86"/>
    </row>
    <row r="796" spans="38:38" x14ac:dyDescent="0.35">
      <c r="AL796" s="86"/>
    </row>
    <row r="797" spans="38:38" x14ac:dyDescent="0.35">
      <c r="AL797" s="86"/>
    </row>
    <row r="798" spans="38:38" x14ac:dyDescent="0.35">
      <c r="AL798" s="86"/>
    </row>
    <row r="799" spans="38:38" x14ac:dyDescent="0.35">
      <c r="AL799" s="86"/>
    </row>
    <row r="800" spans="38:38" x14ac:dyDescent="0.35">
      <c r="AL800" s="86"/>
    </row>
    <row r="801" spans="38:38" x14ac:dyDescent="0.35">
      <c r="AL801" s="86"/>
    </row>
    <row r="802" spans="38:38" x14ac:dyDescent="0.35">
      <c r="AL802" s="86"/>
    </row>
    <row r="803" spans="38:38" x14ac:dyDescent="0.35">
      <c r="AL803" s="86"/>
    </row>
    <row r="804" spans="38:38" x14ac:dyDescent="0.35">
      <c r="AL804" s="86"/>
    </row>
    <row r="805" spans="38:38" x14ac:dyDescent="0.35">
      <c r="AL805" s="86"/>
    </row>
    <row r="806" spans="38:38" x14ac:dyDescent="0.35">
      <c r="AL806" s="86"/>
    </row>
    <row r="807" spans="38:38" x14ac:dyDescent="0.35">
      <c r="AL807" s="86"/>
    </row>
    <row r="808" spans="38:38" x14ac:dyDescent="0.35">
      <c r="AL808" s="86"/>
    </row>
    <row r="809" spans="38:38" x14ac:dyDescent="0.35">
      <c r="AL809" s="86"/>
    </row>
    <row r="810" spans="38:38" x14ac:dyDescent="0.35">
      <c r="AL810" s="86"/>
    </row>
    <row r="811" spans="38:38" x14ac:dyDescent="0.35">
      <c r="AL811" s="86"/>
    </row>
    <row r="812" spans="38:38" x14ac:dyDescent="0.35">
      <c r="AL812" s="86"/>
    </row>
    <row r="813" spans="38:38" x14ac:dyDescent="0.35">
      <c r="AL813" s="86"/>
    </row>
    <row r="814" spans="38:38" x14ac:dyDescent="0.35">
      <c r="AL814" s="86"/>
    </row>
    <row r="815" spans="38:38" x14ac:dyDescent="0.35">
      <c r="AL815" s="86"/>
    </row>
    <row r="816" spans="38:38" x14ac:dyDescent="0.35">
      <c r="AL816" s="86"/>
    </row>
    <row r="817" spans="38:38" x14ac:dyDescent="0.35">
      <c r="AL817" s="86"/>
    </row>
    <row r="818" spans="38:38" x14ac:dyDescent="0.35">
      <c r="AL818" s="86"/>
    </row>
    <row r="819" spans="38:38" x14ac:dyDescent="0.35">
      <c r="AL819" s="86"/>
    </row>
    <row r="820" spans="38:38" x14ac:dyDescent="0.35">
      <c r="AL820" s="86"/>
    </row>
    <row r="821" spans="38:38" x14ac:dyDescent="0.35">
      <c r="AL821" s="86"/>
    </row>
    <row r="822" spans="38:38" x14ac:dyDescent="0.35">
      <c r="AL822" s="86"/>
    </row>
    <row r="823" spans="38:38" x14ac:dyDescent="0.35">
      <c r="AL823" s="86"/>
    </row>
    <row r="824" spans="38:38" x14ac:dyDescent="0.35">
      <c r="AL824" s="86"/>
    </row>
    <row r="825" spans="38:38" x14ac:dyDescent="0.35">
      <c r="AL825" s="86"/>
    </row>
    <row r="826" spans="38:38" x14ac:dyDescent="0.35">
      <c r="AL826" s="86"/>
    </row>
    <row r="827" spans="38:38" x14ac:dyDescent="0.35">
      <c r="AL827" s="86"/>
    </row>
    <row r="828" spans="38:38" x14ac:dyDescent="0.35">
      <c r="AL828" s="86"/>
    </row>
    <row r="829" spans="38:38" x14ac:dyDescent="0.35">
      <c r="AL829" s="86"/>
    </row>
    <row r="830" spans="38:38" x14ac:dyDescent="0.35">
      <c r="AL830" s="86"/>
    </row>
    <row r="831" spans="38:38" x14ac:dyDescent="0.35">
      <c r="AL831" s="86"/>
    </row>
    <row r="832" spans="38:38" x14ac:dyDescent="0.35">
      <c r="AL832" s="86"/>
    </row>
    <row r="833" spans="38:38" x14ac:dyDescent="0.35">
      <c r="AL833" s="86"/>
    </row>
    <row r="834" spans="38:38" x14ac:dyDescent="0.35">
      <c r="AL834" s="86"/>
    </row>
    <row r="835" spans="38:38" x14ac:dyDescent="0.35">
      <c r="AL835" s="86"/>
    </row>
    <row r="836" spans="38:38" x14ac:dyDescent="0.35">
      <c r="AL836" s="86"/>
    </row>
    <row r="837" spans="38:38" x14ac:dyDescent="0.35">
      <c r="AL837" s="86"/>
    </row>
    <row r="838" spans="38:38" x14ac:dyDescent="0.35">
      <c r="AL838" s="86"/>
    </row>
    <row r="839" spans="38:38" x14ac:dyDescent="0.35">
      <c r="AL839" s="86"/>
    </row>
    <row r="840" spans="38:38" x14ac:dyDescent="0.35">
      <c r="AL840" s="86"/>
    </row>
    <row r="841" spans="38:38" x14ac:dyDescent="0.35">
      <c r="AL841" s="86"/>
    </row>
    <row r="842" spans="38:38" x14ac:dyDescent="0.35">
      <c r="AL842" s="86"/>
    </row>
    <row r="843" spans="38:38" x14ac:dyDescent="0.35">
      <c r="AL843" s="86"/>
    </row>
    <row r="844" spans="38:38" x14ac:dyDescent="0.35">
      <c r="AL844" s="86"/>
    </row>
    <row r="845" spans="38:38" x14ac:dyDescent="0.35">
      <c r="AL845" s="86"/>
    </row>
    <row r="846" spans="38:38" x14ac:dyDescent="0.35">
      <c r="AL846" s="86"/>
    </row>
    <row r="847" spans="38:38" x14ac:dyDescent="0.35">
      <c r="AL847" s="86"/>
    </row>
    <row r="848" spans="38:38" x14ac:dyDescent="0.35">
      <c r="AL848" s="86"/>
    </row>
    <row r="849" spans="38:38" x14ac:dyDescent="0.35">
      <c r="AL849" s="86"/>
    </row>
    <row r="850" spans="38:38" x14ac:dyDescent="0.35">
      <c r="AL850" s="86"/>
    </row>
    <row r="851" spans="38:38" x14ac:dyDescent="0.35">
      <c r="AL851" s="86"/>
    </row>
    <row r="852" spans="38:38" x14ac:dyDescent="0.35">
      <c r="AL852" s="86"/>
    </row>
    <row r="853" spans="38:38" x14ac:dyDescent="0.35">
      <c r="AL853" s="86"/>
    </row>
    <row r="854" spans="38:38" x14ac:dyDescent="0.35">
      <c r="AL854" s="86"/>
    </row>
    <row r="855" spans="38:38" x14ac:dyDescent="0.35">
      <c r="AL855" s="86"/>
    </row>
    <row r="856" spans="38:38" x14ac:dyDescent="0.35">
      <c r="AL856" s="86"/>
    </row>
    <row r="857" spans="38:38" x14ac:dyDescent="0.35">
      <c r="AL857" s="86"/>
    </row>
    <row r="858" spans="38:38" x14ac:dyDescent="0.35">
      <c r="AL858" s="86"/>
    </row>
    <row r="859" spans="38:38" x14ac:dyDescent="0.35">
      <c r="AL859" s="86"/>
    </row>
    <row r="860" spans="38:38" x14ac:dyDescent="0.35">
      <c r="AL860" s="86"/>
    </row>
    <row r="861" spans="38:38" x14ac:dyDescent="0.35">
      <c r="AL861" s="86"/>
    </row>
    <row r="862" spans="38:38" x14ac:dyDescent="0.35">
      <c r="AL862" s="86"/>
    </row>
    <row r="863" spans="38:38" x14ac:dyDescent="0.35">
      <c r="AL863" s="86"/>
    </row>
    <row r="864" spans="38:38" x14ac:dyDescent="0.35">
      <c r="AL864" s="86"/>
    </row>
    <row r="865" spans="38:38" x14ac:dyDescent="0.35">
      <c r="AL865" s="86"/>
    </row>
    <row r="866" spans="38:38" x14ac:dyDescent="0.35">
      <c r="AL866" s="86"/>
    </row>
    <row r="867" spans="38:38" x14ac:dyDescent="0.35">
      <c r="AL867" s="86"/>
    </row>
    <row r="868" spans="38:38" x14ac:dyDescent="0.35">
      <c r="AL868" s="86"/>
    </row>
    <row r="869" spans="38:38" x14ac:dyDescent="0.35">
      <c r="AL869" s="86"/>
    </row>
    <row r="870" spans="38:38" x14ac:dyDescent="0.35">
      <c r="AL870" s="86"/>
    </row>
    <row r="871" spans="38:38" x14ac:dyDescent="0.35">
      <c r="AL871" s="86"/>
    </row>
    <row r="872" spans="38:38" x14ac:dyDescent="0.35">
      <c r="AL872" s="86"/>
    </row>
    <row r="873" spans="38:38" x14ac:dyDescent="0.35">
      <c r="AL873" s="86"/>
    </row>
    <row r="874" spans="38:38" x14ac:dyDescent="0.35">
      <c r="AL874" s="86"/>
    </row>
    <row r="875" spans="38:38" x14ac:dyDescent="0.35">
      <c r="AL875" s="86"/>
    </row>
    <row r="876" spans="38:38" x14ac:dyDescent="0.35">
      <c r="AL876" s="86"/>
    </row>
    <row r="877" spans="38:38" x14ac:dyDescent="0.35">
      <c r="AL877" s="86"/>
    </row>
    <row r="878" spans="38:38" x14ac:dyDescent="0.35">
      <c r="AL878" s="86"/>
    </row>
    <row r="879" spans="38:38" x14ac:dyDescent="0.35">
      <c r="AL879" s="86"/>
    </row>
    <row r="880" spans="38:38" x14ac:dyDescent="0.35">
      <c r="AL880" s="86"/>
    </row>
    <row r="881" spans="38:38" x14ac:dyDescent="0.35">
      <c r="AL881" s="86"/>
    </row>
    <row r="882" spans="38:38" x14ac:dyDescent="0.35">
      <c r="AL882" s="86"/>
    </row>
    <row r="883" spans="38:38" x14ac:dyDescent="0.35">
      <c r="AL883" s="86"/>
    </row>
    <row r="884" spans="38:38" x14ac:dyDescent="0.35">
      <c r="AL884" s="86"/>
    </row>
    <row r="885" spans="38:38" x14ac:dyDescent="0.35">
      <c r="AL885" s="86"/>
    </row>
    <row r="886" spans="38:38" x14ac:dyDescent="0.35">
      <c r="AL886" s="86"/>
    </row>
    <row r="887" spans="38:38" x14ac:dyDescent="0.35">
      <c r="AL887" s="86"/>
    </row>
    <row r="888" spans="38:38" x14ac:dyDescent="0.35">
      <c r="AL888" s="86"/>
    </row>
    <row r="889" spans="38:38" x14ac:dyDescent="0.35">
      <c r="AL889" s="86"/>
    </row>
    <row r="890" spans="38:38" x14ac:dyDescent="0.35">
      <c r="AL890" s="86"/>
    </row>
    <row r="891" spans="38:38" x14ac:dyDescent="0.35">
      <c r="AL891" s="86"/>
    </row>
    <row r="892" spans="38:38" x14ac:dyDescent="0.35">
      <c r="AL892" s="86"/>
    </row>
    <row r="893" spans="38:38" x14ac:dyDescent="0.35">
      <c r="AL893" s="86"/>
    </row>
    <row r="894" spans="38:38" x14ac:dyDescent="0.35">
      <c r="AL894" s="86"/>
    </row>
    <row r="895" spans="38:38" x14ac:dyDescent="0.35">
      <c r="AL895" s="86"/>
    </row>
    <row r="896" spans="38:38" x14ac:dyDescent="0.35">
      <c r="AL896" s="86"/>
    </row>
    <row r="897" spans="38:38" x14ac:dyDescent="0.35">
      <c r="AL897" s="86"/>
    </row>
    <row r="898" spans="38:38" x14ac:dyDescent="0.35">
      <c r="AL898" s="86"/>
    </row>
    <row r="899" spans="38:38" x14ac:dyDescent="0.35">
      <c r="AL899" s="86"/>
    </row>
    <row r="900" spans="38:38" x14ac:dyDescent="0.35">
      <c r="AL900" s="86"/>
    </row>
    <row r="901" spans="38:38" x14ac:dyDescent="0.35">
      <c r="AL901" s="86"/>
    </row>
    <row r="902" spans="38:38" x14ac:dyDescent="0.35">
      <c r="AL902" s="86"/>
    </row>
    <row r="903" spans="38:38" x14ac:dyDescent="0.35">
      <c r="AL903" s="86"/>
    </row>
    <row r="904" spans="38:38" x14ac:dyDescent="0.35">
      <c r="AL904" s="86"/>
    </row>
    <row r="905" spans="38:38" x14ac:dyDescent="0.35">
      <c r="AL905" s="86"/>
    </row>
    <row r="906" spans="38:38" x14ac:dyDescent="0.35">
      <c r="AL906" s="86"/>
    </row>
    <row r="907" spans="38:38" x14ac:dyDescent="0.35">
      <c r="AL907" s="86"/>
    </row>
    <row r="908" spans="38:38" x14ac:dyDescent="0.35">
      <c r="AL908" s="86"/>
    </row>
    <row r="909" spans="38:38" x14ac:dyDescent="0.35">
      <c r="AL909" s="86"/>
    </row>
    <row r="910" spans="38:38" x14ac:dyDescent="0.35">
      <c r="AL910" s="86"/>
    </row>
    <row r="911" spans="38:38" x14ac:dyDescent="0.35">
      <c r="AL911" s="86"/>
    </row>
    <row r="912" spans="38:38" x14ac:dyDescent="0.35">
      <c r="AL912" s="86"/>
    </row>
    <row r="913" spans="38:38" x14ac:dyDescent="0.35">
      <c r="AL913" s="86"/>
    </row>
    <row r="914" spans="38:38" x14ac:dyDescent="0.35">
      <c r="AL914" s="86"/>
    </row>
    <row r="915" spans="38:38" x14ac:dyDescent="0.35">
      <c r="AL915" s="86"/>
    </row>
    <row r="916" spans="38:38" x14ac:dyDescent="0.35">
      <c r="AL916" s="86"/>
    </row>
    <row r="917" spans="38:38" x14ac:dyDescent="0.35">
      <c r="AL917" s="86"/>
    </row>
    <row r="918" spans="38:38" x14ac:dyDescent="0.35">
      <c r="AL918" s="86"/>
    </row>
    <row r="919" spans="38:38" x14ac:dyDescent="0.35">
      <c r="AL919" s="86"/>
    </row>
    <row r="920" spans="38:38" x14ac:dyDescent="0.35">
      <c r="AL920" s="86"/>
    </row>
    <row r="921" spans="38:38" x14ac:dyDescent="0.35">
      <c r="AL921" s="86"/>
    </row>
    <row r="922" spans="38:38" x14ac:dyDescent="0.35">
      <c r="AL922" s="86"/>
    </row>
    <row r="923" spans="38:38" x14ac:dyDescent="0.35">
      <c r="AL923" s="86"/>
    </row>
    <row r="924" spans="38:38" x14ac:dyDescent="0.35">
      <c r="AL924" s="86"/>
    </row>
    <row r="925" spans="38:38" x14ac:dyDescent="0.35">
      <c r="AL925" s="86"/>
    </row>
    <row r="926" spans="38:38" x14ac:dyDescent="0.35">
      <c r="AL926" s="86"/>
    </row>
    <row r="927" spans="38:38" x14ac:dyDescent="0.35">
      <c r="AL927" s="86"/>
    </row>
    <row r="928" spans="38:38" x14ac:dyDescent="0.35">
      <c r="AL928" s="86"/>
    </row>
    <row r="929" spans="38:38" x14ac:dyDescent="0.35">
      <c r="AL929" s="86"/>
    </row>
    <row r="930" spans="38:38" x14ac:dyDescent="0.35">
      <c r="AL930" s="86"/>
    </row>
    <row r="931" spans="38:38" x14ac:dyDescent="0.35">
      <c r="AL931" s="86"/>
    </row>
    <row r="932" spans="38:38" x14ac:dyDescent="0.35">
      <c r="AL932" s="86"/>
    </row>
    <row r="933" spans="38:38" x14ac:dyDescent="0.35">
      <c r="AL933" s="86"/>
    </row>
    <row r="934" spans="38:38" x14ac:dyDescent="0.35">
      <c r="AL934" s="86"/>
    </row>
    <row r="935" spans="38:38" x14ac:dyDescent="0.35">
      <c r="AL935" s="86"/>
    </row>
    <row r="936" spans="38:38" x14ac:dyDescent="0.35">
      <c r="AL936" s="86"/>
    </row>
    <row r="937" spans="38:38" x14ac:dyDescent="0.35">
      <c r="AL937" s="86"/>
    </row>
    <row r="938" spans="38:38" x14ac:dyDescent="0.35">
      <c r="AL938" s="86"/>
    </row>
    <row r="939" spans="38:38" x14ac:dyDescent="0.35">
      <c r="AL939" s="86"/>
    </row>
    <row r="940" spans="38:38" x14ac:dyDescent="0.35">
      <c r="AL940" s="86"/>
    </row>
    <row r="941" spans="38:38" x14ac:dyDescent="0.35">
      <c r="AL941" s="86"/>
    </row>
    <row r="942" spans="38:38" x14ac:dyDescent="0.35">
      <c r="AL942" s="86"/>
    </row>
    <row r="943" spans="38:38" x14ac:dyDescent="0.35">
      <c r="AL943" s="86"/>
    </row>
    <row r="944" spans="38:38" x14ac:dyDescent="0.35">
      <c r="AL944" s="86"/>
    </row>
    <row r="945" spans="38:38" x14ac:dyDescent="0.35">
      <c r="AL945" s="86"/>
    </row>
    <row r="946" spans="38:38" x14ac:dyDescent="0.35">
      <c r="AL946" s="86"/>
    </row>
    <row r="947" spans="38:38" x14ac:dyDescent="0.35">
      <c r="AL947" s="86"/>
    </row>
    <row r="948" spans="38:38" x14ac:dyDescent="0.35">
      <c r="AL948" s="86"/>
    </row>
    <row r="949" spans="38:38" x14ac:dyDescent="0.35">
      <c r="AL949" s="86"/>
    </row>
    <row r="950" spans="38:38" x14ac:dyDescent="0.35">
      <c r="AL950" s="86"/>
    </row>
    <row r="951" spans="38:38" x14ac:dyDescent="0.35">
      <c r="AL951" s="86"/>
    </row>
    <row r="952" spans="38:38" x14ac:dyDescent="0.35">
      <c r="AL952" s="86"/>
    </row>
    <row r="953" spans="38:38" x14ac:dyDescent="0.35">
      <c r="AL953" s="86"/>
    </row>
    <row r="954" spans="38:38" x14ac:dyDescent="0.35">
      <c r="AL954" s="86"/>
    </row>
    <row r="955" spans="38:38" x14ac:dyDescent="0.35">
      <c r="AL955" s="86"/>
    </row>
    <row r="956" spans="38:38" x14ac:dyDescent="0.35">
      <c r="AL956" s="86"/>
    </row>
    <row r="957" spans="38:38" x14ac:dyDescent="0.35">
      <c r="AL957" s="86"/>
    </row>
    <row r="958" spans="38:38" x14ac:dyDescent="0.35">
      <c r="AL958" s="86"/>
    </row>
    <row r="959" spans="38:38" x14ac:dyDescent="0.35">
      <c r="AL959" s="86"/>
    </row>
    <row r="960" spans="38:38" x14ac:dyDescent="0.35">
      <c r="AL960" s="86"/>
    </row>
    <row r="961" spans="38:38" x14ac:dyDescent="0.35">
      <c r="AL961" s="86"/>
    </row>
    <row r="962" spans="38:38" x14ac:dyDescent="0.35">
      <c r="AL962" s="86"/>
    </row>
    <row r="963" spans="38:38" x14ac:dyDescent="0.35">
      <c r="AL963" s="86"/>
    </row>
    <row r="964" spans="38:38" x14ac:dyDescent="0.35">
      <c r="AL964" s="86"/>
    </row>
    <row r="965" spans="38:38" x14ac:dyDescent="0.35">
      <c r="AL965" s="86"/>
    </row>
    <row r="966" spans="38:38" x14ac:dyDescent="0.35">
      <c r="AL966" s="86"/>
    </row>
    <row r="967" spans="38:38" x14ac:dyDescent="0.35">
      <c r="AL967" s="86"/>
    </row>
    <row r="968" spans="38:38" x14ac:dyDescent="0.35">
      <c r="AL968" s="86"/>
    </row>
    <row r="969" spans="38:38" x14ac:dyDescent="0.35">
      <c r="AL969" s="86"/>
    </row>
    <row r="970" spans="38:38" x14ac:dyDescent="0.35">
      <c r="AL970" s="86"/>
    </row>
    <row r="971" spans="38:38" x14ac:dyDescent="0.35">
      <c r="AL971" s="86"/>
    </row>
    <row r="972" spans="38:38" x14ac:dyDescent="0.35">
      <c r="AL972" s="86"/>
    </row>
    <row r="973" spans="38:38" x14ac:dyDescent="0.35">
      <c r="AL973" s="86"/>
    </row>
    <row r="974" spans="38:38" x14ac:dyDescent="0.35">
      <c r="AL974" s="86"/>
    </row>
    <row r="975" spans="38:38" x14ac:dyDescent="0.35">
      <c r="AL975" s="86"/>
    </row>
    <row r="976" spans="38:38" x14ac:dyDescent="0.35">
      <c r="AL976" s="86"/>
    </row>
    <row r="977" spans="38:38" x14ac:dyDescent="0.35">
      <c r="AL977" s="86"/>
    </row>
    <row r="978" spans="38:38" x14ac:dyDescent="0.35">
      <c r="AL978" s="86"/>
    </row>
    <row r="979" spans="38:38" x14ac:dyDescent="0.35">
      <c r="AL979" s="86"/>
    </row>
    <row r="980" spans="38:38" x14ac:dyDescent="0.35">
      <c r="AL980" s="86"/>
    </row>
    <row r="981" spans="38:38" x14ac:dyDescent="0.35">
      <c r="AL981" s="86"/>
    </row>
    <row r="982" spans="38:38" x14ac:dyDescent="0.35">
      <c r="AL982" s="86"/>
    </row>
    <row r="983" spans="38:38" x14ac:dyDescent="0.35">
      <c r="AL983" s="86"/>
    </row>
    <row r="984" spans="38:38" x14ac:dyDescent="0.35">
      <c r="AL984" s="86"/>
    </row>
    <row r="985" spans="38:38" x14ac:dyDescent="0.35">
      <c r="AL985" s="86"/>
    </row>
    <row r="986" spans="38:38" x14ac:dyDescent="0.35">
      <c r="AL986" s="86"/>
    </row>
    <row r="987" spans="38:38" x14ac:dyDescent="0.35">
      <c r="AL987" s="86"/>
    </row>
    <row r="988" spans="38:38" x14ac:dyDescent="0.35">
      <c r="AL988" s="86"/>
    </row>
    <row r="989" spans="38:38" x14ac:dyDescent="0.35">
      <c r="AL989" s="86"/>
    </row>
    <row r="990" spans="38:38" x14ac:dyDescent="0.35">
      <c r="AL990" s="86"/>
    </row>
    <row r="991" spans="38:38" x14ac:dyDescent="0.35">
      <c r="AL991" s="86"/>
    </row>
    <row r="992" spans="38:38" x14ac:dyDescent="0.35">
      <c r="AL992" s="86"/>
    </row>
    <row r="993" spans="38:38" x14ac:dyDescent="0.35">
      <c r="AL993" s="86"/>
    </row>
    <row r="994" spans="38:38" x14ac:dyDescent="0.35">
      <c r="AL994" s="86"/>
    </row>
    <row r="995" spans="38:38" x14ac:dyDescent="0.35">
      <c r="AL995" s="86"/>
    </row>
    <row r="996" spans="38:38" x14ac:dyDescent="0.35">
      <c r="AL996" s="86"/>
    </row>
    <row r="997" spans="38:38" x14ac:dyDescent="0.35">
      <c r="AL997" s="86"/>
    </row>
    <row r="998" spans="38:38" x14ac:dyDescent="0.35">
      <c r="AL998" s="86"/>
    </row>
    <row r="999" spans="38:38" x14ac:dyDescent="0.35">
      <c r="AL999" s="86"/>
    </row>
    <row r="1000" spans="38:38" x14ac:dyDescent="0.35">
      <c r="AL1000" s="86"/>
    </row>
    <row r="1001" spans="38:38" x14ac:dyDescent="0.35">
      <c r="AL1001" s="86"/>
    </row>
    <row r="1002" spans="38:38" x14ac:dyDescent="0.35">
      <c r="AL1002" s="86"/>
    </row>
    <row r="1003" spans="38:38" x14ac:dyDescent="0.35">
      <c r="AL1003" s="86"/>
    </row>
    <row r="1004" spans="38:38" x14ac:dyDescent="0.35">
      <c r="AL1004" s="86"/>
    </row>
    <row r="1005" spans="38:38" x14ac:dyDescent="0.35">
      <c r="AL1005" s="86"/>
    </row>
    <row r="1006" spans="38:38" x14ac:dyDescent="0.35">
      <c r="AL1006" s="86"/>
    </row>
    <row r="1007" spans="38:38" x14ac:dyDescent="0.35">
      <c r="AL1007" s="86"/>
    </row>
    <row r="1008" spans="38:38" x14ac:dyDescent="0.35">
      <c r="AL1008" s="86"/>
    </row>
    <row r="1009" spans="38:38" x14ac:dyDescent="0.35">
      <c r="AL1009" s="86"/>
    </row>
    <row r="1010" spans="38:38" x14ac:dyDescent="0.35">
      <c r="AL1010" s="86"/>
    </row>
    <row r="1011" spans="38:38" x14ac:dyDescent="0.35">
      <c r="AL1011" s="86"/>
    </row>
    <row r="1012" spans="38:38" x14ac:dyDescent="0.35">
      <c r="AL1012" s="86"/>
    </row>
    <row r="1013" spans="38:38" x14ac:dyDescent="0.35">
      <c r="AL1013" s="86"/>
    </row>
    <row r="1014" spans="38:38" x14ac:dyDescent="0.35">
      <c r="AL1014" s="86"/>
    </row>
    <row r="1015" spans="38:38" x14ac:dyDescent="0.35">
      <c r="AL1015" s="86"/>
    </row>
    <row r="1016" spans="38:38" x14ac:dyDescent="0.35">
      <c r="AL1016" s="86"/>
    </row>
    <row r="1017" spans="38:38" x14ac:dyDescent="0.35">
      <c r="AL1017" s="86"/>
    </row>
    <row r="1018" spans="38:38" x14ac:dyDescent="0.35">
      <c r="AL1018" s="86"/>
    </row>
    <row r="1019" spans="38:38" x14ac:dyDescent="0.35">
      <c r="AL1019" s="86"/>
    </row>
    <row r="1020" spans="38:38" x14ac:dyDescent="0.35">
      <c r="AL1020" s="86"/>
    </row>
    <row r="1021" spans="38:38" x14ac:dyDescent="0.35">
      <c r="AL1021" s="86"/>
    </row>
    <row r="1022" spans="38:38" x14ac:dyDescent="0.35">
      <c r="AL1022" s="86"/>
    </row>
    <row r="1023" spans="38:38" x14ac:dyDescent="0.35">
      <c r="AL1023" s="86"/>
    </row>
    <row r="1024" spans="38:38" x14ac:dyDescent="0.35">
      <c r="AL1024" s="86"/>
    </row>
    <row r="1025" spans="38:38" x14ac:dyDescent="0.35">
      <c r="AL1025" s="86"/>
    </row>
    <row r="1026" spans="38:38" x14ac:dyDescent="0.35">
      <c r="AL1026" s="86"/>
    </row>
    <row r="1027" spans="38:38" x14ac:dyDescent="0.35">
      <c r="AL1027" s="86"/>
    </row>
    <row r="1028" spans="38:38" x14ac:dyDescent="0.35">
      <c r="AL1028" s="86"/>
    </row>
    <row r="1029" spans="38:38" x14ac:dyDescent="0.35">
      <c r="AL1029" s="86"/>
    </row>
    <row r="1030" spans="38:38" x14ac:dyDescent="0.35">
      <c r="AL1030" s="86"/>
    </row>
    <row r="1031" spans="38:38" x14ac:dyDescent="0.35">
      <c r="AL1031" s="86"/>
    </row>
    <row r="1032" spans="38:38" x14ac:dyDescent="0.35">
      <c r="AL1032" s="86"/>
    </row>
    <row r="1033" spans="38:38" x14ac:dyDescent="0.35">
      <c r="AL1033" s="86"/>
    </row>
    <row r="1034" spans="38:38" x14ac:dyDescent="0.35">
      <c r="AL1034" s="86"/>
    </row>
    <row r="1035" spans="38:38" x14ac:dyDescent="0.35">
      <c r="AL1035" s="86"/>
    </row>
    <row r="1036" spans="38:38" x14ac:dyDescent="0.35">
      <c r="AL1036" s="86"/>
    </row>
    <row r="1037" spans="38:38" x14ac:dyDescent="0.35">
      <c r="AL1037" s="86"/>
    </row>
    <row r="1038" spans="38:38" x14ac:dyDescent="0.35">
      <c r="AL1038" s="86"/>
    </row>
    <row r="1039" spans="38:38" x14ac:dyDescent="0.35">
      <c r="AL1039" s="86"/>
    </row>
    <row r="1040" spans="38:38" x14ac:dyDescent="0.35">
      <c r="AL1040" s="86"/>
    </row>
    <row r="1041" spans="38:38" x14ac:dyDescent="0.35">
      <c r="AL1041" s="86"/>
    </row>
    <row r="1042" spans="38:38" x14ac:dyDescent="0.35">
      <c r="AL1042" s="86"/>
    </row>
    <row r="1043" spans="38:38" x14ac:dyDescent="0.35">
      <c r="AL1043" s="86"/>
    </row>
    <row r="1044" spans="38:38" x14ac:dyDescent="0.35">
      <c r="AL1044" s="86"/>
    </row>
    <row r="1045" spans="38:38" x14ac:dyDescent="0.35">
      <c r="AL1045" s="86"/>
    </row>
    <row r="1046" spans="38:38" x14ac:dyDescent="0.35">
      <c r="AL1046" s="86"/>
    </row>
    <row r="1047" spans="38:38" x14ac:dyDescent="0.35">
      <c r="AL1047" s="86"/>
    </row>
    <row r="1048" spans="38:38" x14ac:dyDescent="0.35">
      <c r="AL1048" s="86"/>
    </row>
    <row r="1049" spans="38:38" x14ac:dyDescent="0.35">
      <c r="AL1049" s="86"/>
    </row>
    <row r="1050" spans="38:38" x14ac:dyDescent="0.35">
      <c r="AL1050" s="86"/>
    </row>
    <row r="1051" spans="38:38" x14ac:dyDescent="0.35">
      <c r="AL1051" s="86"/>
    </row>
    <row r="1052" spans="38:38" x14ac:dyDescent="0.35">
      <c r="AL1052" s="86"/>
    </row>
    <row r="1053" spans="38:38" x14ac:dyDescent="0.35">
      <c r="AL1053" s="86"/>
    </row>
    <row r="1054" spans="38:38" x14ac:dyDescent="0.35">
      <c r="AL1054" s="86"/>
    </row>
    <row r="1055" spans="38:38" x14ac:dyDescent="0.35">
      <c r="AL1055" s="86"/>
    </row>
    <row r="1056" spans="38:38" x14ac:dyDescent="0.35">
      <c r="AL1056" s="86"/>
    </row>
    <row r="1057" spans="38:38" x14ac:dyDescent="0.35">
      <c r="AL1057" s="86"/>
    </row>
    <row r="1058" spans="38:38" x14ac:dyDescent="0.35">
      <c r="AL1058" s="86"/>
    </row>
    <row r="1059" spans="38:38" x14ac:dyDescent="0.35">
      <c r="AL1059" s="86"/>
    </row>
    <row r="1060" spans="38:38" x14ac:dyDescent="0.35">
      <c r="AL1060" s="86"/>
    </row>
    <row r="1061" spans="38:38" x14ac:dyDescent="0.35">
      <c r="AL1061" s="86"/>
    </row>
    <row r="1062" spans="38:38" x14ac:dyDescent="0.35">
      <c r="AL1062" s="86"/>
    </row>
    <row r="1063" spans="38:38" x14ac:dyDescent="0.35">
      <c r="AL1063" s="86"/>
    </row>
    <row r="1064" spans="38:38" x14ac:dyDescent="0.35">
      <c r="AL1064" s="86"/>
    </row>
    <row r="1065" spans="38:38" x14ac:dyDescent="0.35">
      <c r="AL1065" s="86"/>
    </row>
    <row r="1066" spans="38:38" x14ac:dyDescent="0.35">
      <c r="AL1066" s="86"/>
    </row>
    <row r="1067" spans="38:38" x14ac:dyDescent="0.35">
      <c r="AL1067" s="86"/>
    </row>
    <row r="1068" spans="38:38" x14ac:dyDescent="0.35">
      <c r="AL1068" s="86"/>
    </row>
    <row r="1069" spans="38:38" x14ac:dyDescent="0.35">
      <c r="AL1069" s="86"/>
    </row>
    <row r="1070" spans="38:38" x14ac:dyDescent="0.35">
      <c r="AL1070" s="86"/>
    </row>
    <row r="1071" spans="38:38" x14ac:dyDescent="0.35">
      <c r="AL1071" s="86"/>
    </row>
    <row r="1072" spans="38:38" x14ac:dyDescent="0.35">
      <c r="AL1072" s="86"/>
    </row>
    <row r="1073" spans="38:38" x14ac:dyDescent="0.35">
      <c r="AL1073" s="86"/>
    </row>
    <row r="1074" spans="38:38" x14ac:dyDescent="0.35">
      <c r="AL1074" s="86"/>
    </row>
    <row r="1075" spans="38:38" x14ac:dyDescent="0.35">
      <c r="AL1075" s="86"/>
    </row>
    <row r="1076" spans="38:38" x14ac:dyDescent="0.35">
      <c r="AL1076" s="86"/>
    </row>
    <row r="1077" spans="38:38" x14ac:dyDescent="0.35">
      <c r="AL1077" s="86"/>
    </row>
    <row r="1078" spans="38:38" x14ac:dyDescent="0.35">
      <c r="AL1078" s="86"/>
    </row>
    <row r="1079" spans="38:38" x14ac:dyDescent="0.35">
      <c r="AL1079" s="86"/>
    </row>
    <row r="1080" spans="38:38" x14ac:dyDescent="0.35">
      <c r="AL1080" s="86"/>
    </row>
    <row r="1081" spans="38:38" x14ac:dyDescent="0.35">
      <c r="AL1081" s="86"/>
    </row>
    <row r="1082" spans="38:38" x14ac:dyDescent="0.35">
      <c r="AL1082" s="86"/>
    </row>
    <row r="1083" spans="38:38" x14ac:dyDescent="0.35">
      <c r="AL1083" s="86"/>
    </row>
    <row r="1084" spans="38:38" x14ac:dyDescent="0.35">
      <c r="AL1084" s="86"/>
    </row>
    <row r="1085" spans="38:38" x14ac:dyDescent="0.35">
      <c r="AL1085" s="86"/>
    </row>
    <row r="1086" spans="38:38" x14ac:dyDescent="0.35">
      <c r="AL1086" s="86"/>
    </row>
    <row r="1087" spans="38:38" x14ac:dyDescent="0.35">
      <c r="AL1087" s="86"/>
    </row>
    <row r="1088" spans="38:38" x14ac:dyDescent="0.35">
      <c r="AL1088" s="86"/>
    </row>
    <row r="1089" spans="38:38" x14ac:dyDescent="0.35">
      <c r="AL1089" s="86"/>
    </row>
    <row r="1090" spans="38:38" x14ac:dyDescent="0.35">
      <c r="AL1090" s="86"/>
    </row>
    <row r="1091" spans="38:38" x14ac:dyDescent="0.35">
      <c r="AL1091" s="86"/>
    </row>
    <row r="1092" spans="38:38" x14ac:dyDescent="0.35">
      <c r="AL1092" s="86"/>
    </row>
    <row r="1093" spans="38:38" x14ac:dyDescent="0.35">
      <c r="AL1093" s="86"/>
    </row>
    <row r="1094" spans="38:38" x14ac:dyDescent="0.35">
      <c r="AL1094" s="86"/>
    </row>
    <row r="1095" spans="38:38" x14ac:dyDescent="0.35">
      <c r="AL1095" s="86"/>
    </row>
    <row r="1096" spans="38:38" x14ac:dyDescent="0.35">
      <c r="AL1096" s="86"/>
    </row>
    <row r="1097" spans="38:38" x14ac:dyDescent="0.35">
      <c r="AL1097" s="86"/>
    </row>
    <row r="1098" spans="38:38" x14ac:dyDescent="0.35">
      <c r="AL1098" s="86"/>
    </row>
    <row r="1099" spans="38:38" x14ac:dyDescent="0.35">
      <c r="AL1099" s="86"/>
    </row>
    <row r="1100" spans="38:38" x14ac:dyDescent="0.35">
      <c r="AL1100" s="86"/>
    </row>
    <row r="1101" spans="38:38" x14ac:dyDescent="0.35">
      <c r="AL1101" s="86"/>
    </row>
    <row r="1102" spans="38:38" x14ac:dyDescent="0.35">
      <c r="AL1102" s="86"/>
    </row>
    <row r="1103" spans="38:38" x14ac:dyDescent="0.35">
      <c r="AL1103" s="86"/>
    </row>
    <row r="1104" spans="38:38" x14ac:dyDescent="0.35">
      <c r="AL1104" s="86"/>
    </row>
    <row r="1105" spans="38:38" x14ac:dyDescent="0.35">
      <c r="AL1105" s="86"/>
    </row>
    <row r="1106" spans="38:38" x14ac:dyDescent="0.35">
      <c r="AL1106" s="86"/>
    </row>
    <row r="1107" spans="38:38" x14ac:dyDescent="0.35">
      <c r="AL1107" s="86"/>
    </row>
    <row r="1108" spans="38:38" x14ac:dyDescent="0.35">
      <c r="AL1108" s="86"/>
    </row>
    <row r="1109" spans="38:38" x14ac:dyDescent="0.35">
      <c r="AL1109" s="86"/>
    </row>
    <row r="1110" spans="38:38" x14ac:dyDescent="0.35">
      <c r="AL1110" s="86"/>
    </row>
    <row r="1111" spans="38:38" x14ac:dyDescent="0.35">
      <c r="AL1111" s="86"/>
    </row>
    <row r="1112" spans="38:38" x14ac:dyDescent="0.35">
      <c r="AL1112" s="86"/>
    </row>
    <row r="1113" spans="38:38" x14ac:dyDescent="0.35">
      <c r="AL1113" s="86"/>
    </row>
    <row r="1114" spans="38:38" x14ac:dyDescent="0.35">
      <c r="AL1114" s="86"/>
    </row>
    <row r="1115" spans="38:38" x14ac:dyDescent="0.35">
      <c r="AL1115" s="86"/>
    </row>
    <row r="1116" spans="38:38" x14ac:dyDescent="0.35">
      <c r="AL1116" s="86"/>
    </row>
    <row r="1117" spans="38:38" x14ac:dyDescent="0.35">
      <c r="AL1117" s="86"/>
    </row>
    <row r="1118" spans="38:38" x14ac:dyDescent="0.35">
      <c r="AL1118" s="86"/>
    </row>
    <row r="1119" spans="38:38" x14ac:dyDescent="0.35">
      <c r="AL1119" s="86"/>
    </row>
    <row r="1120" spans="38:38" x14ac:dyDescent="0.35">
      <c r="AL1120" s="86"/>
    </row>
    <row r="1121" spans="38:38" x14ac:dyDescent="0.35">
      <c r="AL1121" s="86"/>
    </row>
    <row r="1122" spans="38:38" x14ac:dyDescent="0.35">
      <c r="AL1122" s="86"/>
    </row>
    <row r="1123" spans="38:38" x14ac:dyDescent="0.35">
      <c r="AL1123" s="86"/>
    </row>
    <row r="1124" spans="38:38" x14ac:dyDescent="0.35">
      <c r="AL1124" s="86"/>
    </row>
    <row r="1125" spans="38:38" x14ac:dyDescent="0.35">
      <c r="AL1125" s="86"/>
    </row>
    <row r="1126" spans="38:38" x14ac:dyDescent="0.35">
      <c r="AL1126" s="86"/>
    </row>
    <row r="1127" spans="38:38" x14ac:dyDescent="0.35">
      <c r="AL1127" s="86"/>
    </row>
    <row r="1128" spans="38:38" x14ac:dyDescent="0.35">
      <c r="AL1128" s="86"/>
    </row>
    <row r="1129" spans="38:38" x14ac:dyDescent="0.35">
      <c r="AL1129" s="86"/>
    </row>
    <row r="1130" spans="38:38" x14ac:dyDescent="0.35">
      <c r="AL1130" s="86"/>
    </row>
    <row r="1131" spans="38:38" x14ac:dyDescent="0.35">
      <c r="AL1131" s="86"/>
    </row>
    <row r="1132" spans="38:38" x14ac:dyDescent="0.35">
      <c r="AL1132" s="86"/>
    </row>
    <row r="1133" spans="38:38" x14ac:dyDescent="0.35">
      <c r="AL1133" s="86"/>
    </row>
    <row r="1134" spans="38:38" x14ac:dyDescent="0.35">
      <c r="AL1134" s="86"/>
    </row>
    <row r="1135" spans="38:38" x14ac:dyDescent="0.35">
      <c r="AL1135" s="86"/>
    </row>
    <row r="1136" spans="38:38" x14ac:dyDescent="0.35">
      <c r="AL1136" s="86"/>
    </row>
    <row r="1137" spans="38:38" x14ac:dyDescent="0.35">
      <c r="AL1137" s="86"/>
    </row>
    <row r="1138" spans="38:38" x14ac:dyDescent="0.35">
      <c r="AL1138" s="86"/>
    </row>
    <row r="1139" spans="38:38" x14ac:dyDescent="0.35">
      <c r="AL1139" s="86"/>
    </row>
    <row r="1140" spans="38:38" x14ac:dyDescent="0.35">
      <c r="AL1140" s="86"/>
    </row>
    <row r="1141" spans="38:38" x14ac:dyDescent="0.35">
      <c r="AL1141" s="86"/>
    </row>
    <row r="1142" spans="38:38" x14ac:dyDescent="0.35">
      <c r="AL1142" s="86"/>
    </row>
    <row r="1143" spans="38:38" x14ac:dyDescent="0.35">
      <c r="AL1143" s="86"/>
    </row>
    <row r="1144" spans="38:38" x14ac:dyDescent="0.35">
      <c r="AL1144" s="86"/>
    </row>
    <row r="1145" spans="38:38" x14ac:dyDescent="0.35">
      <c r="AL1145" s="86"/>
    </row>
    <row r="1146" spans="38:38" x14ac:dyDescent="0.35">
      <c r="AL1146" s="86"/>
    </row>
    <row r="1147" spans="38:38" x14ac:dyDescent="0.35">
      <c r="AL1147" s="86"/>
    </row>
    <row r="1148" spans="38:38" x14ac:dyDescent="0.35">
      <c r="AL1148" s="86"/>
    </row>
    <row r="1149" spans="38:38" x14ac:dyDescent="0.35">
      <c r="AL1149" s="86"/>
    </row>
    <row r="1150" spans="38:38" x14ac:dyDescent="0.35">
      <c r="AL1150" s="86"/>
    </row>
    <row r="1151" spans="38:38" x14ac:dyDescent="0.35">
      <c r="AL1151" s="86"/>
    </row>
    <row r="1152" spans="38:38" x14ac:dyDescent="0.35">
      <c r="AL1152" s="86"/>
    </row>
    <row r="1153" spans="38:38" x14ac:dyDescent="0.35">
      <c r="AL1153" s="86"/>
    </row>
    <row r="1154" spans="38:38" x14ac:dyDescent="0.35">
      <c r="AL1154" s="86"/>
    </row>
    <row r="1155" spans="38:38" x14ac:dyDescent="0.35">
      <c r="AL1155" s="86"/>
    </row>
    <row r="1156" spans="38:38" x14ac:dyDescent="0.35">
      <c r="AL1156" s="86"/>
    </row>
    <row r="1157" spans="38:38" x14ac:dyDescent="0.35">
      <c r="AL1157" s="86"/>
    </row>
    <row r="1158" spans="38:38" x14ac:dyDescent="0.35">
      <c r="AL1158" s="86"/>
    </row>
    <row r="1159" spans="38:38" x14ac:dyDescent="0.35">
      <c r="AL1159" s="86"/>
    </row>
    <row r="1160" spans="38:38" x14ac:dyDescent="0.35">
      <c r="AL1160" s="86"/>
    </row>
    <row r="1161" spans="38:38" x14ac:dyDescent="0.35">
      <c r="AL1161" s="86"/>
    </row>
    <row r="1162" spans="38:38" x14ac:dyDescent="0.35">
      <c r="AL1162" s="86"/>
    </row>
    <row r="1163" spans="38:38" x14ac:dyDescent="0.35">
      <c r="AL1163" s="86"/>
    </row>
    <row r="1164" spans="38:38" x14ac:dyDescent="0.35">
      <c r="AL1164" s="86"/>
    </row>
    <row r="1165" spans="38:38" x14ac:dyDescent="0.35">
      <c r="AL1165" s="86"/>
    </row>
    <row r="1166" spans="38:38" x14ac:dyDescent="0.35">
      <c r="AL1166" s="86"/>
    </row>
    <row r="1167" spans="38:38" x14ac:dyDescent="0.35">
      <c r="AL1167" s="86"/>
    </row>
    <row r="1168" spans="38:38" x14ac:dyDescent="0.35">
      <c r="AL1168" s="86"/>
    </row>
    <row r="1169" spans="38:38" x14ac:dyDescent="0.35">
      <c r="AL1169" s="86"/>
    </row>
    <row r="1170" spans="38:38" x14ac:dyDescent="0.35">
      <c r="AL1170" s="86"/>
    </row>
    <row r="1171" spans="38:38" x14ac:dyDescent="0.35">
      <c r="AL1171" s="86"/>
    </row>
    <row r="1172" spans="38:38" x14ac:dyDescent="0.35">
      <c r="AL1172" s="86"/>
    </row>
    <row r="1173" spans="38:38" x14ac:dyDescent="0.35">
      <c r="AL1173" s="86"/>
    </row>
    <row r="1174" spans="38:38" x14ac:dyDescent="0.35">
      <c r="AL1174" s="86"/>
    </row>
    <row r="1175" spans="38:38" x14ac:dyDescent="0.35">
      <c r="AL1175" s="86"/>
    </row>
    <row r="1176" spans="38:38" x14ac:dyDescent="0.35">
      <c r="AL1176" s="86"/>
    </row>
    <row r="1177" spans="38:38" x14ac:dyDescent="0.35">
      <c r="AL1177" s="86"/>
    </row>
    <row r="1178" spans="38:38" x14ac:dyDescent="0.35">
      <c r="AL1178" s="86"/>
    </row>
    <row r="1179" spans="38:38" x14ac:dyDescent="0.35">
      <c r="AL1179" s="86"/>
    </row>
    <row r="1180" spans="38:38" x14ac:dyDescent="0.35">
      <c r="AL1180" s="86"/>
    </row>
    <row r="1181" spans="38:38" x14ac:dyDescent="0.35">
      <c r="AL1181" s="86"/>
    </row>
    <row r="1182" spans="38:38" x14ac:dyDescent="0.35">
      <c r="AL1182" s="86"/>
    </row>
    <row r="1183" spans="38:38" x14ac:dyDescent="0.35">
      <c r="AL1183" s="86"/>
    </row>
    <row r="1184" spans="38:38" x14ac:dyDescent="0.35">
      <c r="AL1184" s="86"/>
    </row>
    <row r="1185" spans="38:38" x14ac:dyDescent="0.35">
      <c r="AL1185" s="86"/>
    </row>
    <row r="1186" spans="38:38" x14ac:dyDescent="0.35">
      <c r="AL1186" s="86"/>
    </row>
    <row r="1187" spans="38:38" x14ac:dyDescent="0.35">
      <c r="AL1187" s="86"/>
    </row>
    <row r="1188" spans="38:38" x14ac:dyDescent="0.35">
      <c r="AL1188" s="86"/>
    </row>
    <row r="1189" spans="38:38" x14ac:dyDescent="0.35">
      <c r="AL1189" s="86"/>
    </row>
    <row r="1190" spans="38:38" x14ac:dyDescent="0.35">
      <c r="AL1190" s="86"/>
    </row>
    <row r="1191" spans="38:38" x14ac:dyDescent="0.35">
      <c r="AL1191" s="86"/>
    </row>
    <row r="1192" spans="38:38" x14ac:dyDescent="0.35">
      <c r="AL1192" s="86"/>
    </row>
    <row r="1193" spans="38:38" x14ac:dyDescent="0.35">
      <c r="AL1193" s="86"/>
    </row>
    <row r="1194" spans="38:38" x14ac:dyDescent="0.35">
      <c r="AL1194" s="86"/>
    </row>
    <row r="1195" spans="38:38" x14ac:dyDescent="0.35">
      <c r="AL1195" s="86"/>
    </row>
    <row r="1196" spans="38:38" x14ac:dyDescent="0.35">
      <c r="AL1196" s="86"/>
    </row>
    <row r="1197" spans="38:38" x14ac:dyDescent="0.35">
      <c r="AL1197" s="86"/>
    </row>
    <row r="1198" spans="38:38" x14ac:dyDescent="0.35">
      <c r="AL1198" s="86"/>
    </row>
    <row r="1199" spans="38:38" x14ac:dyDescent="0.35">
      <c r="AL1199" s="86"/>
    </row>
    <row r="1200" spans="38:38" x14ac:dyDescent="0.35">
      <c r="AL1200" s="86"/>
    </row>
    <row r="1201" spans="38:38" x14ac:dyDescent="0.35">
      <c r="AL1201" s="86"/>
    </row>
    <row r="1202" spans="38:38" x14ac:dyDescent="0.35">
      <c r="AL1202" s="86"/>
    </row>
    <row r="1203" spans="38:38" x14ac:dyDescent="0.35">
      <c r="AL1203" s="86"/>
    </row>
    <row r="1204" spans="38:38" x14ac:dyDescent="0.35">
      <c r="AL1204" s="86"/>
    </row>
    <row r="1205" spans="38:38" x14ac:dyDescent="0.35">
      <c r="AL1205" s="86"/>
    </row>
    <row r="1206" spans="38:38" x14ac:dyDescent="0.35">
      <c r="AL1206" s="86"/>
    </row>
    <row r="1207" spans="38:38" x14ac:dyDescent="0.35">
      <c r="AL1207" s="86"/>
    </row>
    <row r="1208" spans="38:38" x14ac:dyDescent="0.35">
      <c r="AL1208" s="86"/>
    </row>
    <row r="1209" spans="38:38" x14ac:dyDescent="0.35">
      <c r="AL1209" s="86"/>
    </row>
    <row r="1210" spans="38:38" x14ac:dyDescent="0.35">
      <c r="AL1210" s="86"/>
    </row>
    <row r="1211" spans="38:38" x14ac:dyDescent="0.35">
      <c r="AL1211" s="86"/>
    </row>
    <row r="1212" spans="38:38" x14ac:dyDescent="0.35">
      <c r="AL1212" s="86"/>
    </row>
    <row r="1213" spans="38:38" x14ac:dyDescent="0.35">
      <c r="AL1213" s="86"/>
    </row>
    <row r="1214" spans="38:38" x14ac:dyDescent="0.35">
      <c r="AL1214" s="86"/>
    </row>
    <row r="1215" spans="38:38" x14ac:dyDescent="0.35">
      <c r="AL1215" s="86"/>
    </row>
    <row r="1216" spans="38:38" x14ac:dyDescent="0.35">
      <c r="AL1216" s="86"/>
    </row>
    <row r="1217" spans="38:38" x14ac:dyDescent="0.35">
      <c r="AL1217" s="86"/>
    </row>
    <row r="1218" spans="38:38" x14ac:dyDescent="0.35">
      <c r="AL1218" s="86"/>
    </row>
    <row r="1219" spans="38:38" x14ac:dyDescent="0.35">
      <c r="AL1219" s="86"/>
    </row>
    <row r="1220" spans="38:38" x14ac:dyDescent="0.35">
      <c r="AL1220" s="86"/>
    </row>
    <row r="1221" spans="38:38" x14ac:dyDescent="0.35">
      <c r="AL1221" s="86"/>
    </row>
    <row r="1222" spans="38:38" x14ac:dyDescent="0.35">
      <c r="AL1222" s="86"/>
    </row>
    <row r="1223" spans="38:38" x14ac:dyDescent="0.35">
      <c r="AL1223" s="86"/>
    </row>
    <row r="1224" spans="38:38" x14ac:dyDescent="0.35">
      <c r="AL1224" s="86"/>
    </row>
    <row r="1225" spans="38:38" x14ac:dyDescent="0.35">
      <c r="AL1225" s="86"/>
    </row>
    <row r="1226" spans="38:38" x14ac:dyDescent="0.35">
      <c r="AL1226" s="86"/>
    </row>
    <row r="1227" spans="38:38" x14ac:dyDescent="0.35">
      <c r="AL1227" s="86"/>
    </row>
    <row r="1228" spans="38:38" x14ac:dyDescent="0.35">
      <c r="AL1228" s="86"/>
    </row>
    <row r="1229" spans="38:38" x14ac:dyDescent="0.35">
      <c r="AL1229" s="86"/>
    </row>
    <row r="1230" spans="38:38" x14ac:dyDescent="0.35">
      <c r="AL1230" s="86"/>
    </row>
    <row r="1231" spans="38:38" x14ac:dyDescent="0.35">
      <c r="AL1231" s="86"/>
    </row>
    <row r="1232" spans="38:38" x14ac:dyDescent="0.35">
      <c r="AL1232" s="86"/>
    </row>
    <row r="1233" spans="38:38" x14ac:dyDescent="0.35">
      <c r="AL1233" s="86"/>
    </row>
    <row r="1234" spans="38:38" x14ac:dyDescent="0.35">
      <c r="AL1234" s="86"/>
    </row>
    <row r="1235" spans="38:38" x14ac:dyDescent="0.35">
      <c r="AL1235" s="86"/>
    </row>
    <row r="1236" spans="38:38" x14ac:dyDescent="0.35">
      <c r="AL1236" s="86"/>
    </row>
    <row r="1237" spans="38:38" x14ac:dyDescent="0.35">
      <c r="AL1237" s="86"/>
    </row>
    <row r="1238" spans="38:38" x14ac:dyDescent="0.35">
      <c r="AL1238" s="86"/>
    </row>
    <row r="1239" spans="38:38" x14ac:dyDescent="0.35">
      <c r="AL1239" s="86"/>
    </row>
    <row r="1240" spans="38:38" x14ac:dyDescent="0.35">
      <c r="AL1240" s="86"/>
    </row>
    <row r="1241" spans="38:38" x14ac:dyDescent="0.35">
      <c r="AL1241" s="86"/>
    </row>
    <row r="1242" spans="38:38" x14ac:dyDescent="0.35">
      <c r="AL1242" s="86"/>
    </row>
    <row r="1243" spans="38:38" x14ac:dyDescent="0.35">
      <c r="AL1243" s="86"/>
    </row>
    <row r="1244" spans="38:38" x14ac:dyDescent="0.35">
      <c r="AL1244" s="86"/>
    </row>
    <row r="1245" spans="38:38" x14ac:dyDescent="0.35">
      <c r="AL1245" s="86"/>
    </row>
    <row r="1246" spans="38:38" x14ac:dyDescent="0.35">
      <c r="AL1246" s="86"/>
    </row>
    <row r="1247" spans="38:38" x14ac:dyDescent="0.35">
      <c r="AL1247" s="86"/>
    </row>
    <row r="1248" spans="38:38" x14ac:dyDescent="0.35">
      <c r="AL1248" s="86"/>
    </row>
    <row r="1249" spans="38:38" x14ac:dyDescent="0.35">
      <c r="AL1249" s="86"/>
    </row>
    <row r="1250" spans="38:38" x14ac:dyDescent="0.35">
      <c r="AL1250" s="86"/>
    </row>
    <row r="1251" spans="38:38" x14ac:dyDescent="0.35">
      <c r="AL1251" s="86"/>
    </row>
    <row r="1252" spans="38:38" x14ac:dyDescent="0.35">
      <c r="AL1252" s="86"/>
    </row>
    <row r="1253" spans="38:38" x14ac:dyDescent="0.35">
      <c r="AL1253" s="86"/>
    </row>
    <row r="1254" spans="38:38" x14ac:dyDescent="0.35">
      <c r="AL1254" s="86"/>
    </row>
    <row r="1255" spans="38:38" x14ac:dyDescent="0.35">
      <c r="AL1255" s="86"/>
    </row>
    <row r="1256" spans="38:38" x14ac:dyDescent="0.35">
      <c r="AL1256" s="86"/>
    </row>
    <row r="1257" spans="38:38" x14ac:dyDescent="0.35">
      <c r="AL1257" s="86"/>
    </row>
    <row r="1258" spans="38:38" x14ac:dyDescent="0.35">
      <c r="AL1258" s="86"/>
    </row>
    <row r="1259" spans="38:38" x14ac:dyDescent="0.35">
      <c r="AL1259" s="86"/>
    </row>
    <row r="1260" spans="38:38" x14ac:dyDescent="0.35">
      <c r="AL1260" s="86"/>
    </row>
    <row r="1261" spans="38:38" x14ac:dyDescent="0.35">
      <c r="AL1261" s="86"/>
    </row>
    <row r="1262" spans="38:38" x14ac:dyDescent="0.35">
      <c r="AL1262" s="86"/>
    </row>
    <row r="1263" spans="38:38" x14ac:dyDescent="0.35">
      <c r="AL1263" s="86"/>
    </row>
    <row r="1264" spans="38:38" x14ac:dyDescent="0.35">
      <c r="AL1264" s="86"/>
    </row>
    <row r="1265" spans="38:38" x14ac:dyDescent="0.35">
      <c r="AL1265" s="86"/>
    </row>
    <row r="1266" spans="38:38" x14ac:dyDescent="0.35">
      <c r="AL1266" s="86"/>
    </row>
    <row r="1267" spans="38:38" x14ac:dyDescent="0.35">
      <c r="AL1267" s="86"/>
    </row>
    <row r="1268" spans="38:38" x14ac:dyDescent="0.35">
      <c r="AL1268" s="86"/>
    </row>
    <row r="1269" spans="38:38" x14ac:dyDescent="0.35">
      <c r="AL1269" s="86"/>
    </row>
    <row r="1270" spans="38:38" x14ac:dyDescent="0.35">
      <c r="AL1270" s="86"/>
    </row>
    <row r="1271" spans="38:38" x14ac:dyDescent="0.35">
      <c r="AL1271" s="86"/>
    </row>
    <row r="1272" spans="38:38" x14ac:dyDescent="0.35">
      <c r="AL1272" s="86"/>
    </row>
    <row r="1273" spans="38:38" x14ac:dyDescent="0.35">
      <c r="AL1273" s="86"/>
    </row>
    <row r="1274" spans="38:38" x14ac:dyDescent="0.35">
      <c r="AL1274" s="86"/>
    </row>
    <row r="1275" spans="38:38" x14ac:dyDescent="0.35">
      <c r="AL1275" s="86"/>
    </row>
    <row r="1276" spans="38:38" x14ac:dyDescent="0.35">
      <c r="AL1276" s="86"/>
    </row>
    <row r="1277" spans="38:38" x14ac:dyDescent="0.35">
      <c r="AL1277" s="86"/>
    </row>
    <row r="1278" spans="38:38" x14ac:dyDescent="0.35">
      <c r="AL1278" s="86"/>
    </row>
    <row r="1279" spans="38:38" x14ac:dyDescent="0.35">
      <c r="AL1279" s="86"/>
    </row>
    <row r="1280" spans="38:38" x14ac:dyDescent="0.35">
      <c r="AL1280" s="86"/>
    </row>
    <row r="1281" spans="38:38" x14ac:dyDescent="0.35">
      <c r="AL1281" s="86"/>
    </row>
    <row r="1282" spans="38:38" x14ac:dyDescent="0.35">
      <c r="AL1282" s="86"/>
    </row>
    <row r="1283" spans="38:38" x14ac:dyDescent="0.35">
      <c r="AL1283" s="86"/>
    </row>
    <row r="1284" spans="38:38" x14ac:dyDescent="0.35">
      <c r="AL1284" s="86"/>
    </row>
    <row r="1285" spans="38:38" x14ac:dyDescent="0.35">
      <c r="AL1285" s="86"/>
    </row>
    <row r="1286" spans="38:38" x14ac:dyDescent="0.35">
      <c r="AL1286" s="86"/>
    </row>
    <row r="1287" spans="38:38" x14ac:dyDescent="0.35">
      <c r="AL1287" s="86"/>
    </row>
    <row r="1288" spans="38:38" x14ac:dyDescent="0.35">
      <c r="AL1288" s="86"/>
    </row>
    <row r="1289" spans="38:38" x14ac:dyDescent="0.35">
      <c r="AL1289" s="86"/>
    </row>
    <row r="1290" spans="38:38" x14ac:dyDescent="0.35">
      <c r="AL1290" s="86"/>
    </row>
    <row r="1291" spans="38:38" x14ac:dyDescent="0.35">
      <c r="AL1291" s="86"/>
    </row>
    <row r="1292" spans="38:38" x14ac:dyDescent="0.35">
      <c r="AL1292" s="86"/>
    </row>
    <row r="1293" spans="38:38" x14ac:dyDescent="0.35">
      <c r="AL1293" s="86"/>
    </row>
    <row r="1294" spans="38:38" x14ac:dyDescent="0.35">
      <c r="AL1294" s="86"/>
    </row>
    <row r="1295" spans="38:38" x14ac:dyDescent="0.35">
      <c r="AL1295" s="86"/>
    </row>
    <row r="1296" spans="38:38" x14ac:dyDescent="0.35">
      <c r="AL1296" s="86"/>
    </row>
    <row r="1297" spans="38:38" x14ac:dyDescent="0.35">
      <c r="AL1297" s="86"/>
    </row>
    <row r="1298" spans="38:38" x14ac:dyDescent="0.35">
      <c r="AL1298" s="86"/>
    </row>
    <row r="1299" spans="38:38" x14ac:dyDescent="0.35">
      <c r="AL1299" s="86"/>
    </row>
    <row r="1300" spans="38:38" x14ac:dyDescent="0.35">
      <c r="AL1300" s="86"/>
    </row>
    <row r="1301" spans="38:38" x14ac:dyDescent="0.35">
      <c r="AL1301" s="86"/>
    </row>
    <row r="1302" spans="38:38" x14ac:dyDescent="0.35">
      <c r="AL1302" s="86"/>
    </row>
    <row r="1303" spans="38:38" x14ac:dyDescent="0.35">
      <c r="AL1303" s="86"/>
    </row>
    <row r="1304" spans="38:38" x14ac:dyDescent="0.35">
      <c r="AL1304" s="86"/>
    </row>
    <row r="1305" spans="38:38" x14ac:dyDescent="0.35">
      <c r="AL1305" s="86"/>
    </row>
    <row r="1306" spans="38:38" x14ac:dyDescent="0.35">
      <c r="AL1306" s="86"/>
    </row>
    <row r="1307" spans="38:38" x14ac:dyDescent="0.35">
      <c r="AL1307" s="86"/>
    </row>
    <row r="1308" spans="38:38" x14ac:dyDescent="0.35">
      <c r="AL1308" s="86"/>
    </row>
    <row r="1309" spans="38:38" x14ac:dyDescent="0.35">
      <c r="AL1309" s="86"/>
    </row>
    <row r="1310" spans="38:38" x14ac:dyDescent="0.35">
      <c r="AL1310" s="86"/>
    </row>
    <row r="1311" spans="38:38" x14ac:dyDescent="0.35">
      <c r="AL1311" s="86"/>
    </row>
    <row r="1312" spans="38:38" x14ac:dyDescent="0.35">
      <c r="AL1312" s="86"/>
    </row>
    <row r="1313" spans="38:38" x14ac:dyDescent="0.35">
      <c r="AL1313" s="86"/>
    </row>
    <row r="1314" spans="38:38" x14ac:dyDescent="0.35">
      <c r="AL1314" s="86"/>
    </row>
    <row r="1315" spans="38:38" x14ac:dyDescent="0.35">
      <c r="AL1315" s="86"/>
    </row>
    <row r="1316" spans="38:38" x14ac:dyDescent="0.35">
      <c r="AL1316" s="86"/>
    </row>
    <row r="1317" spans="38:38" x14ac:dyDescent="0.35">
      <c r="AL1317" s="86"/>
    </row>
    <row r="1318" spans="38:38" x14ac:dyDescent="0.35">
      <c r="AL1318" s="86"/>
    </row>
    <row r="1319" spans="38:38" x14ac:dyDescent="0.35">
      <c r="AL1319" s="86"/>
    </row>
    <row r="1320" spans="38:38" x14ac:dyDescent="0.35">
      <c r="AL1320" s="86"/>
    </row>
    <row r="1321" spans="38:38" x14ac:dyDescent="0.35">
      <c r="AL1321" s="86"/>
    </row>
    <row r="1322" spans="38:38" x14ac:dyDescent="0.35">
      <c r="AL1322" s="86"/>
    </row>
    <row r="1323" spans="38:38" x14ac:dyDescent="0.35">
      <c r="AL1323" s="86"/>
    </row>
    <row r="1324" spans="38:38" x14ac:dyDescent="0.35">
      <c r="AL1324" s="86"/>
    </row>
    <row r="1325" spans="38:38" x14ac:dyDescent="0.35">
      <c r="AL1325" s="86"/>
    </row>
    <row r="1326" spans="38:38" x14ac:dyDescent="0.35">
      <c r="AL1326" s="86"/>
    </row>
    <row r="1327" spans="38:38" x14ac:dyDescent="0.35">
      <c r="AL1327" s="86"/>
    </row>
    <row r="1328" spans="38:38" x14ac:dyDescent="0.35">
      <c r="AL1328" s="86"/>
    </row>
    <row r="1329" spans="38:38" x14ac:dyDescent="0.35">
      <c r="AL1329" s="86"/>
    </row>
    <row r="1330" spans="38:38" x14ac:dyDescent="0.35">
      <c r="AL1330" s="86"/>
    </row>
    <row r="1331" spans="38:38" x14ac:dyDescent="0.35">
      <c r="AL1331" s="86"/>
    </row>
    <row r="1332" spans="38:38" x14ac:dyDescent="0.35">
      <c r="AL1332" s="86"/>
    </row>
    <row r="1333" spans="38:38" x14ac:dyDescent="0.35">
      <c r="AL1333" s="86"/>
    </row>
    <row r="1334" spans="38:38" x14ac:dyDescent="0.35">
      <c r="AL1334" s="86"/>
    </row>
    <row r="1335" spans="38:38" x14ac:dyDescent="0.35">
      <c r="AL1335" s="86"/>
    </row>
    <row r="1336" spans="38:38" x14ac:dyDescent="0.35">
      <c r="AL1336" s="86"/>
    </row>
    <row r="1337" spans="38:38" x14ac:dyDescent="0.35">
      <c r="AL1337" s="86"/>
    </row>
    <row r="1338" spans="38:38" x14ac:dyDescent="0.35">
      <c r="AL1338" s="86"/>
    </row>
    <row r="1339" spans="38:38" x14ac:dyDescent="0.35">
      <c r="AL1339" s="86"/>
    </row>
    <row r="1340" spans="38:38" x14ac:dyDescent="0.35">
      <c r="AL1340" s="86"/>
    </row>
    <row r="1341" spans="38:38" x14ac:dyDescent="0.35">
      <c r="AL1341" s="86"/>
    </row>
    <row r="1342" spans="38:38" x14ac:dyDescent="0.35">
      <c r="AL1342" s="86"/>
    </row>
    <row r="1343" spans="38:38" x14ac:dyDescent="0.35">
      <c r="AL1343" s="86"/>
    </row>
    <row r="1344" spans="38:38" x14ac:dyDescent="0.35">
      <c r="AL1344" s="86"/>
    </row>
    <row r="1345" spans="38:38" x14ac:dyDescent="0.35">
      <c r="AL1345" s="86"/>
    </row>
    <row r="1346" spans="38:38" x14ac:dyDescent="0.35">
      <c r="AL1346" s="86"/>
    </row>
    <row r="1347" spans="38:38" x14ac:dyDescent="0.35">
      <c r="AL1347" s="86"/>
    </row>
    <row r="1348" spans="38:38" x14ac:dyDescent="0.35">
      <c r="AL1348" s="86"/>
    </row>
    <row r="1349" spans="38:38" x14ac:dyDescent="0.35">
      <c r="AL1349" s="86"/>
    </row>
    <row r="1350" spans="38:38" x14ac:dyDescent="0.35">
      <c r="AL1350" s="86"/>
    </row>
    <row r="1351" spans="38:38" x14ac:dyDescent="0.35">
      <c r="AL1351" s="86"/>
    </row>
    <row r="1352" spans="38:38" x14ac:dyDescent="0.35">
      <c r="AL1352" s="86"/>
    </row>
    <row r="1353" spans="38:38" x14ac:dyDescent="0.35">
      <c r="AL1353" s="86"/>
    </row>
    <row r="1354" spans="38:38" x14ac:dyDescent="0.35">
      <c r="AL1354" s="86"/>
    </row>
    <row r="1355" spans="38:38" x14ac:dyDescent="0.35">
      <c r="AL1355" s="86"/>
    </row>
    <row r="1356" spans="38:38" x14ac:dyDescent="0.35">
      <c r="AL1356" s="86"/>
    </row>
    <row r="1357" spans="38:38" x14ac:dyDescent="0.35">
      <c r="AL1357" s="86"/>
    </row>
    <row r="1358" spans="38:38" x14ac:dyDescent="0.35">
      <c r="AL1358" s="86"/>
    </row>
    <row r="1359" spans="38:38" x14ac:dyDescent="0.35">
      <c r="AL1359" s="86"/>
    </row>
    <row r="1360" spans="38:38" x14ac:dyDescent="0.35">
      <c r="AL1360" s="86"/>
    </row>
    <row r="1361" spans="38:38" x14ac:dyDescent="0.35">
      <c r="AL1361" s="86"/>
    </row>
    <row r="1362" spans="38:38" x14ac:dyDescent="0.35">
      <c r="AL1362" s="86"/>
    </row>
    <row r="1363" spans="38:38" x14ac:dyDescent="0.35">
      <c r="AL1363" s="86"/>
    </row>
    <row r="1364" spans="38:38" x14ac:dyDescent="0.35">
      <c r="AL1364" s="86"/>
    </row>
    <row r="1365" spans="38:38" x14ac:dyDescent="0.35">
      <c r="AL1365" s="86"/>
    </row>
    <row r="1366" spans="38:38" x14ac:dyDescent="0.35">
      <c r="AL1366" s="86"/>
    </row>
    <row r="1367" spans="38:38" x14ac:dyDescent="0.35">
      <c r="AL1367" s="86"/>
    </row>
    <row r="1368" spans="38:38" x14ac:dyDescent="0.35">
      <c r="AL1368" s="86"/>
    </row>
    <row r="1369" spans="38:38" x14ac:dyDescent="0.35">
      <c r="AL1369" s="86"/>
    </row>
    <row r="1370" spans="38:38" x14ac:dyDescent="0.35">
      <c r="AL1370" s="86"/>
    </row>
    <row r="1371" spans="38:38" x14ac:dyDescent="0.35">
      <c r="AL1371" s="86"/>
    </row>
    <row r="1372" spans="38:38" x14ac:dyDescent="0.35">
      <c r="AL1372" s="86"/>
    </row>
    <row r="1373" spans="38:38" x14ac:dyDescent="0.35">
      <c r="AL1373" s="86"/>
    </row>
    <row r="1374" spans="38:38" x14ac:dyDescent="0.35">
      <c r="AL1374" s="86"/>
    </row>
    <row r="1375" spans="38:38" x14ac:dyDescent="0.35">
      <c r="AL1375" s="86"/>
    </row>
    <row r="1376" spans="38:38" x14ac:dyDescent="0.35">
      <c r="AL1376" s="86"/>
    </row>
    <row r="1377" spans="38:38" x14ac:dyDescent="0.35">
      <c r="AL1377" s="86"/>
    </row>
    <row r="1378" spans="38:38" x14ac:dyDescent="0.35">
      <c r="AL1378" s="86"/>
    </row>
    <row r="1379" spans="38:38" x14ac:dyDescent="0.35">
      <c r="AL1379" s="86"/>
    </row>
    <row r="1380" spans="38:38" x14ac:dyDescent="0.35">
      <c r="AL1380" s="86"/>
    </row>
    <row r="1381" spans="38:38" x14ac:dyDescent="0.35">
      <c r="AL1381" s="86"/>
    </row>
    <row r="1382" spans="38:38" x14ac:dyDescent="0.35">
      <c r="AL1382" s="86"/>
    </row>
    <row r="1383" spans="38:38" x14ac:dyDescent="0.35">
      <c r="AL1383" s="86"/>
    </row>
    <row r="1384" spans="38:38" x14ac:dyDescent="0.35">
      <c r="AL1384" s="86"/>
    </row>
    <row r="1385" spans="38:38" x14ac:dyDescent="0.35">
      <c r="AL1385" s="86"/>
    </row>
    <row r="1386" spans="38:38" x14ac:dyDescent="0.35">
      <c r="AL1386" s="86"/>
    </row>
    <row r="1387" spans="38:38" x14ac:dyDescent="0.35">
      <c r="AL1387" s="86"/>
    </row>
    <row r="1388" spans="38:38" x14ac:dyDescent="0.35">
      <c r="AL1388" s="86"/>
    </row>
    <row r="1389" spans="38:38" x14ac:dyDescent="0.35">
      <c r="AL1389" s="86"/>
    </row>
    <row r="1390" spans="38:38" x14ac:dyDescent="0.35">
      <c r="AL1390" s="86"/>
    </row>
    <row r="1391" spans="38:38" x14ac:dyDescent="0.35">
      <c r="AL1391" s="86"/>
    </row>
    <row r="1392" spans="38:38" x14ac:dyDescent="0.35">
      <c r="AL1392" s="86"/>
    </row>
    <row r="1393" spans="38:38" x14ac:dyDescent="0.35">
      <c r="AL1393" s="86"/>
    </row>
    <row r="1394" spans="38:38" x14ac:dyDescent="0.35">
      <c r="AL1394" s="86"/>
    </row>
    <row r="1395" spans="38:38" x14ac:dyDescent="0.35">
      <c r="AL1395" s="86"/>
    </row>
    <row r="1396" spans="38:38" x14ac:dyDescent="0.35">
      <c r="AL1396" s="86"/>
    </row>
    <row r="1397" spans="38:38" x14ac:dyDescent="0.35">
      <c r="AL1397" s="86"/>
    </row>
    <row r="1398" spans="38:38" x14ac:dyDescent="0.35">
      <c r="AL1398" s="86"/>
    </row>
    <row r="1399" spans="38:38" x14ac:dyDescent="0.35">
      <c r="AL1399" s="86"/>
    </row>
    <row r="1400" spans="38:38" x14ac:dyDescent="0.35">
      <c r="AL1400" s="86"/>
    </row>
    <row r="1401" spans="38:38" x14ac:dyDescent="0.35">
      <c r="AL1401" s="86"/>
    </row>
    <row r="1402" spans="38:38" x14ac:dyDescent="0.35">
      <c r="AL1402" s="86"/>
    </row>
    <row r="1403" spans="38:38" x14ac:dyDescent="0.35">
      <c r="AL1403" s="86"/>
    </row>
    <row r="1404" spans="38:38" x14ac:dyDescent="0.35">
      <c r="AL1404" s="86"/>
    </row>
    <row r="1405" spans="38:38" x14ac:dyDescent="0.35">
      <c r="AL1405" s="86"/>
    </row>
    <row r="1406" spans="38:38" x14ac:dyDescent="0.35">
      <c r="AL1406" s="86"/>
    </row>
    <row r="1407" spans="38:38" x14ac:dyDescent="0.35">
      <c r="AL1407" s="86"/>
    </row>
    <row r="1408" spans="38:38" x14ac:dyDescent="0.35">
      <c r="AL1408" s="86"/>
    </row>
    <row r="1409" spans="38:38" x14ac:dyDescent="0.35">
      <c r="AL1409" s="86"/>
    </row>
    <row r="1410" spans="38:38" x14ac:dyDescent="0.35">
      <c r="AL1410" s="86"/>
    </row>
    <row r="1411" spans="38:38" x14ac:dyDescent="0.35">
      <c r="AL1411" s="86"/>
    </row>
    <row r="1412" spans="38:38" x14ac:dyDescent="0.35">
      <c r="AL1412" s="86"/>
    </row>
    <row r="1413" spans="38:38" x14ac:dyDescent="0.35">
      <c r="AL1413" s="86"/>
    </row>
    <row r="1414" spans="38:38" x14ac:dyDescent="0.35">
      <c r="AL1414" s="86"/>
    </row>
    <row r="1415" spans="38:38" x14ac:dyDescent="0.35">
      <c r="AL1415" s="86"/>
    </row>
    <row r="1416" spans="38:38" x14ac:dyDescent="0.35">
      <c r="AL1416" s="86"/>
    </row>
    <row r="1417" spans="38:38" x14ac:dyDescent="0.35">
      <c r="AL1417" s="86"/>
    </row>
    <row r="1418" spans="38:38" x14ac:dyDescent="0.35">
      <c r="AL1418" s="86"/>
    </row>
    <row r="1419" spans="38:38" x14ac:dyDescent="0.35">
      <c r="AL1419" s="86"/>
    </row>
    <row r="1420" spans="38:38" x14ac:dyDescent="0.35">
      <c r="AL1420" s="86"/>
    </row>
    <row r="1421" spans="38:38" x14ac:dyDescent="0.35">
      <c r="AL1421" s="86"/>
    </row>
    <row r="1422" spans="38:38" x14ac:dyDescent="0.35">
      <c r="AL1422" s="86"/>
    </row>
    <row r="1423" spans="38:38" x14ac:dyDescent="0.35">
      <c r="AL1423" s="86"/>
    </row>
    <row r="1424" spans="38:38" x14ac:dyDescent="0.35">
      <c r="AL1424" s="86"/>
    </row>
    <row r="1425" spans="38:38" x14ac:dyDescent="0.35">
      <c r="AL1425" s="86"/>
    </row>
    <row r="1426" spans="38:38" x14ac:dyDescent="0.35">
      <c r="AL1426" s="86"/>
    </row>
    <row r="1427" spans="38:38" x14ac:dyDescent="0.35">
      <c r="AL1427" s="86"/>
    </row>
    <row r="1428" spans="38:38" x14ac:dyDescent="0.35">
      <c r="AL1428" s="86"/>
    </row>
    <row r="1429" spans="38:38" x14ac:dyDescent="0.35">
      <c r="AL1429" s="86"/>
    </row>
    <row r="1430" spans="38:38" x14ac:dyDescent="0.35">
      <c r="AL1430" s="86"/>
    </row>
    <row r="1431" spans="38:38" x14ac:dyDescent="0.35">
      <c r="AL1431" s="86"/>
    </row>
    <row r="1432" spans="38:38" x14ac:dyDescent="0.35">
      <c r="AL1432" s="86"/>
    </row>
    <row r="1433" spans="38:38" x14ac:dyDescent="0.35">
      <c r="AL1433" s="86"/>
    </row>
    <row r="1434" spans="38:38" x14ac:dyDescent="0.35">
      <c r="AL1434" s="86"/>
    </row>
    <row r="1435" spans="38:38" x14ac:dyDescent="0.35">
      <c r="AL1435" s="86"/>
    </row>
    <row r="1436" spans="38:38" x14ac:dyDescent="0.35">
      <c r="AL1436" s="86"/>
    </row>
    <row r="1437" spans="38:38" x14ac:dyDescent="0.35">
      <c r="AL1437" s="86"/>
    </row>
    <row r="1438" spans="38:38" x14ac:dyDescent="0.35">
      <c r="AL1438" s="86"/>
    </row>
    <row r="1439" spans="38:38" x14ac:dyDescent="0.35">
      <c r="AL1439" s="86"/>
    </row>
    <row r="1440" spans="38:38" x14ac:dyDescent="0.35">
      <c r="AL1440" s="86"/>
    </row>
    <row r="1441" spans="38:38" x14ac:dyDescent="0.35">
      <c r="AL1441" s="86"/>
    </row>
    <row r="1442" spans="38:38" x14ac:dyDescent="0.35">
      <c r="AL1442" s="86"/>
    </row>
    <row r="1443" spans="38:38" x14ac:dyDescent="0.35">
      <c r="AL1443" s="86"/>
    </row>
    <row r="1444" spans="38:38" x14ac:dyDescent="0.35">
      <c r="AL1444" s="86"/>
    </row>
    <row r="1445" spans="38:38" x14ac:dyDescent="0.35">
      <c r="AL1445" s="86"/>
    </row>
    <row r="1446" spans="38:38" x14ac:dyDescent="0.35">
      <c r="AL1446" s="86"/>
    </row>
    <row r="1447" spans="38:38" x14ac:dyDescent="0.35">
      <c r="AL1447" s="86"/>
    </row>
    <row r="1448" spans="38:38" x14ac:dyDescent="0.35">
      <c r="AL1448" s="86"/>
    </row>
    <row r="1449" spans="38:38" x14ac:dyDescent="0.35">
      <c r="AL1449" s="86"/>
    </row>
    <row r="1450" spans="38:38" x14ac:dyDescent="0.35">
      <c r="AL1450" s="86"/>
    </row>
    <row r="1451" spans="38:38" x14ac:dyDescent="0.35">
      <c r="AL1451" s="86"/>
    </row>
    <row r="1452" spans="38:38" x14ac:dyDescent="0.35">
      <c r="AL1452" s="86"/>
    </row>
    <row r="1453" spans="38:38" x14ac:dyDescent="0.35">
      <c r="AL1453" s="86"/>
    </row>
    <row r="1454" spans="38:38" x14ac:dyDescent="0.35">
      <c r="AL1454" s="86"/>
    </row>
    <row r="1455" spans="38:38" x14ac:dyDescent="0.35">
      <c r="AL1455" s="86"/>
    </row>
    <row r="1456" spans="38:38" x14ac:dyDescent="0.35">
      <c r="AL1456" s="86"/>
    </row>
    <row r="1457" spans="38:38" x14ac:dyDescent="0.35">
      <c r="AL1457" s="86"/>
    </row>
    <row r="1458" spans="38:38" x14ac:dyDescent="0.35">
      <c r="AL1458" s="86"/>
    </row>
    <row r="1459" spans="38:38" x14ac:dyDescent="0.35">
      <c r="AL1459" s="86"/>
    </row>
    <row r="1460" spans="38:38" x14ac:dyDescent="0.35">
      <c r="AL1460" s="86"/>
    </row>
    <row r="1461" spans="38:38" x14ac:dyDescent="0.35">
      <c r="AL1461" s="86"/>
    </row>
    <row r="1462" spans="38:38" x14ac:dyDescent="0.35">
      <c r="AL1462" s="86"/>
    </row>
    <row r="1463" spans="38:38" x14ac:dyDescent="0.35">
      <c r="AL1463" s="86"/>
    </row>
    <row r="1464" spans="38:38" x14ac:dyDescent="0.35">
      <c r="AL1464" s="86"/>
    </row>
    <row r="1465" spans="38:38" x14ac:dyDescent="0.35">
      <c r="AL1465" s="86"/>
    </row>
    <row r="1466" spans="38:38" x14ac:dyDescent="0.35">
      <c r="AL1466" s="86"/>
    </row>
    <row r="1467" spans="38:38" x14ac:dyDescent="0.35">
      <c r="AL1467" s="86"/>
    </row>
    <row r="1468" spans="38:38" x14ac:dyDescent="0.35">
      <c r="AL1468" s="86"/>
    </row>
    <row r="1469" spans="38:38" x14ac:dyDescent="0.35">
      <c r="AL1469" s="86"/>
    </row>
    <row r="1470" spans="38:38" x14ac:dyDescent="0.35">
      <c r="AL1470" s="86"/>
    </row>
    <row r="1471" spans="38:38" x14ac:dyDescent="0.35">
      <c r="AL1471" s="86"/>
    </row>
    <row r="1472" spans="38:38" x14ac:dyDescent="0.35">
      <c r="AL1472" s="86"/>
    </row>
    <row r="1473" spans="38:38" x14ac:dyDescent="0.35">
      <c r="AL1473" s="86"/>
    </row>
    <row r="1474" spans="38:38" x14ac:dyDescent="0.35">
      <c r="AL1474" s="86"/>
    </row>
    <row r="1475" spans="38:38" x14ac:dyDescent="0.35">
      <c r="AL1475" s="86"/>
    </row>
    <row r="1476" spans="38:38" x14ac:dyDescent="0.35">
      <c r="AL1476" s="86"/>
    </row>
    <row r="1477" spans="38:38" x14ac:dyDescent="0.35">
      <c r="AL1477" s="86"/>
    </row>
    <row r="1478" spans="38:38" x14ac:dyDescent="0.35">
      <c r="AL1478" s="86"/>
    </row>
    <row r="1479" spans="38:38" x14ac:dyDescent="0.35">
      <c r="AL1479" s="86"/>
    </row>
    <row r="1480" spans="38:38" x14ac:dyDescent="0.35">
      <c r="AL1480" s="86"/>
    </row>
    <row r="1481" spans="38:38" x14ac:dyDescent="0.35">
      <c r="AL1481" s="86"/>
    </row>
    <row r="1482" spans="38:38" x14ac:dyDescent="0.35">
      <c r="AL1482" s="86"/>
    </row>
    <row r="1483" spans="38:38" x14ac:dyDescent="0.35">
      <c r="AL1483" s="86"/>
    </row>
    <row r="1484" spans="38:38" x14ac:dyDescent="0.35">
      <c r="AL1484" s="86"/>
    </row>
    <row r="1485" spans="38:38" x14ac:dyDescent="0.35">
      <c r="AL1485" s="86"/>
    </row>
    <row r="1486" spans="38:38" x14ac:dyDescent="0.35">
      <c r="AL1486" s="86"/>
    </row>
    <row r="1487" spans="38:38" x14ac:dyDescent="0.35">
      <c r="AL1487" s="86"/>
    </row>
    <row r="1488" spans="38:38" x14ac:dyDescent="0.35">
      <c r="AL1488" s="86"/>
    </row>
    <row r="1489" spans="38:38" x14ac:dyDescent="0.35">
      <c r="AL1489" s="86"/>
    </row>
    <row r="1490" spans="38:38" x14ac:dyDescent="0.35">
      <c r="AL1490" s="86"/>
    </row>
    <row r="1491" spans="38:38" x14ac:dyDescent="0.35">
      <c r="AL1491" s="86"/>
    </row>
    <row r="1492" spans="38:38" x14ac:dyDescent="0.35">
      <c r="AL1492" s="86"/>
    </row>
    <row r="1493" spans="38:38" x14ac:dyDescent="0.35">
      <c r="AL1493" s="86"/>
    </row>
    <row r="1494" spans="38:38" x14ac:dyDescent="0.35">
      <c r="AL1494" s="86"/>
    </row>
    <row r="1495" spans="38:38" x14ac:dyDescent="0.35">
      <c r="AL1495" s="86"/>
    </row>
    <row r="1496" spans="38:38" x14ac:dyDescent="0.35">
      <c r="AL1496" s="86"/>
    </row>
    <row r="1497" spans="38:38" x14ac:dyDescent="0.35">
      <c r="AL1497" s="86"/>
    </row>
    <row r="1498" spans="38:38" x14ac:dyDescent="0.35">
      <c r="AL1498" s="86"/>
    </row>
    <row r="1499" spans="38:38" x14ac:dyDescent="0.35">
      <c r="AL1499" s="86"/>
    </row>
    <row r="1500" spans="38:38" x14ac:dyDescent="0.35">
      <c r="AL1500" s="86"/>
    </row>
    <row r="1501" spans="38:38" x14ac:dyDescent="0.35">
      <c r="AL1501" s="86"/>
    </row>
    <row r="1502" spans="38:38" x14ac:dyDescent="0.35">
      <c r="AL1502" s="86"/>
    </row>
    <row r="1503" spans="38:38" x14ac:dyDescent="0.35">
      <c r="AL1503" s="86"/>
    </row>
    <row r="1504" spans="38:38" x14ac:dyDescent="0.35">
      <c r="AL1504" s="86"/>
    </row>
    <row r="1505" spans="38:38" x14ac:dyDescent="0.35">
      <c r="AL1505" s="86"/>
    </row>
    <row r="1506" spans="38:38" x14ac:dyDescent="0.35">
      <c r="AL1506" s="86"/>
    </row>
    <row r="1507" spans="38:38" x14ac:dyDescent="0.35">
      <c r="AL1507" s="86"/>
    </row>
    <row r="1508" spans="38:38" x14ac:dyDescent="0.35">
      <c r="AL1508" s="86"/>
    </row>
    <row r="1509" spans="38:38" x14ac:dyDescent="0.35">
      <c r="AL1509" s="86"/>
    </row>
    <row r="1510" spans="38:38" x14ac:dyDescent="0.35">
      <c r="AL1510" s="86"/>
    </row>
    <row r="1511" spans="38:38" x14ac:dyDescent="0.35">
      <c r="AL1511" s="86"/>
    </row>
    <row r="1512" spans="38:38" x14ac:dyDescent="0.35">
      <c r="AL1512" s="86"/>
    </row>
    <row r="1513" spans="38:38" x14ac:dyDescent="0.35">
      <c r="AL1513" s="86"/>
    </row>
    <row r="1514" spans="38:38" x14ac:dyDescent="0.35">
      <c r="AL1514" s="86"/>
    </row>
    <row r="1515" spans="38:38" x14ac:dyDescent="0.35">
      <c r="AL1515" s="86"/>
    </row>
    <row r="1516" spans="38:38" x14ac:dyDescent="0.35">
      <c r="AL1516" s="86"/>
    </row>
    <row r="1517" spans="38:38" x14ac:dyDescent="0.35">
      <c r="AL1517" s="86"/>
    </row>
    <row r="1518" spans="38:38" x14ac:dyDescent="0.35">
      <c r="AL1518" s="86"/>
    </row>
    <row r="1519" spans="38:38" x14ac:dyDescent="0.35">
      <c r="AL1519" s="86"/>
    </row>
    <row r="1520" spans="38:38" x14ac:dyDescent="0.35">
      <c r="AL1520" s="86"/>
    </row>
    <row r="1521" spans="38:38" x14ac:dyDescent="0.35">
      <c r="AL1521" s="86"/>
    </row>
    <row r="1522" spans="38:38" x14ac:dyDescent="0.35">
      <c r="AL1522" s="86"/>
    </row>
    <row r="1523" spans="38:38" x14ac:dyDescent="0.35">
      <c r="AL1523" s="86"/>
    </row>
    <row r="1524" spans="38:38" x14ac:dyDescent="0.35">
      <c r="AL1524" s="86"/>
    </row>
    <row r="1525" spans="38:38" x14ac:dyDescent="0.35">
      <c r="AL1525" s="86"/>
    </row>
    <row r="1526" spans="38:38" x14ac:dyDescent="0.35">
      <c r="AL1526" s="86"/>
    </row>
    <row r="1527" spans="38:38" x14ac:dyDescent="0.35">
      <c r="AL1527" s="86"/>
    </row>
    <row r="1528" spans="38:38" x14ac:dyDescent="0.35">
      <c r="AL1528" s="86"/>
    </row>
    <row r="1529" spans="38:38" x14ac:dyDescent="0.35">
      <c r="AL1529" s="86"/>
    </row>
    <row r="1530" spans="38:38" x14ac:dyDescent="0.35">
      <c r="AL1530" s="86"/>
    </row>
    <row r="1531" spans="38:38" x14ac:dyDescent="0.35">
      <c r="AL1531" s="86"/>
    </row>
    <row r="1532" spans="38:38" x14ac:dyDescent="0.35">
      <c r="AL1532" s="86"/>
    </row>
    <row r="1533" spans="38:38" x14ac:dyDescent="0.35">
      <c r="AL1533" s="86"/>
    </row>
    <row r="1534" spans="38:38" x14ac:dyDescent="0.35">
      <c r="AL1534" s="86"/>
    </row>
    <row r="1535" spans="38:38" x14ac:dyDescent="0.35">
      <c r="AL1535" s="86"/>
    </row>
    <row r="1536" spans="38:38" x14ac:dyDescent="0.35">
      <c r="AL1536" s="86"/>
    </row>
    <row r="1537" spans="38:38" x14ac:dyDescent="0.35">
      <c r="AL1537" s="86"/>
    </row>
    <row r="1538" spans="38:38" x14ac:dyDescent="0.35">
      <c r="AL1538" s="86"/>
    </row>
    <row r="1539" spans="38:38" x14ac:dyDescent="0.35">
      <c r="AL1539" s="86"/>
    </row>
    <row r="1540" spans="38:38" x14ac:dyDescent="0.35">
      <c r="AL1540" s="86"/>
    </row>
    <row r="1541" spans="38:38" x14ac:dyDescent="0.35">
      <c r="AL1541" s="86"/>
    </row>
    <row r="1542" spans="38:38" x14ac:dyDescent="0.35">
      <c r="AL1542" s="86"/>
    </row>
    <row r="1543" spans="38:38" x14ac:dyDescent="0.35">
      <c r="AL1543" s="86"/>
    </row>
    <row r="1544" spans="38:38" x14ac:dyDescent="0.35">
      <c r="AL1544" s="86"/>
    </row>
    <row r="1545" spans="38:38" x14ac:dyDescent="0.35">
      <c r="AL1545" s="86"/>
    </row>
    <row r="1546" spans="38:38" x14ac:dyDescent="0.35">
      <c r="AL1546" s="86"/>
    </row>
    <row r="1547" spans="38:38" x14ac:dyDescent="0.35">
      <c r="AL1547" s="86"/>
    </row>
    <row r="1548" spans="38:38" x14ac:dyDescent="0.35">
      <c r="AL1548" s="86"/>
    </row>
    <row r="1549" spans="38:38" x14ac:dyDescent="0.35">
      <c r="AL1549" s="86"/>
    </row>
    <row r="1550" spans="38:38" x14ac:dyDescent="0.35">
      <c r="AL1550" s="86"/>
    </row>
    <row r="1551" spans="38:38" x14ac:dyDescent="0.35">
      <c r="AL1551" s="86"/>
    </row>
    <row r="1552" spans="38:38" x14ac:dyDescent="0.35">
      <c r="AL1552" s="86"/>
    </row>
    <row r="1553" spans="38:38" x14ac:dyDescent="0.35">
      <c r="AL1553" s="86"/>
    </row>
    <row r="1554" spans="38:38" x14ac:dyDescent="0.35">
      <c r="AL1554" s="86"/>
    </row>
    <row r="1555" spans="38:38" x14ac:dyDescent="0.35">
      <c r="AL1555" s="86"/>
    </row>
    <row r="1556" spans="38:38" x14ac:dyDescent="0.35">
      <c r="AL1556" s="86"/>
    </row>
    <row r="1557" spans="38:38" x14ac:dyDescent="0.35">
      <c r="AL1557" s="86"/>
    </row>
    <row r="1558" spans="38:38" x14ac:dyDescent="0.35">
      <c r="AL1558" s="86"/>
    </row>
    <row r="1559" spans="38:38" x14ac:dyDescent="0.35">
      <c r="AL1559" s="86"/>
    </row>
    <row r="1560" spans="38:38" x14ac:dyDescent="0.35">
      <c r="AL1560" s="86"/>
    </row>
    <row r="1561" spans="38:38" x14ac:dyDescent="0.35">
      <c r="AL1561" s="86"/>
    </row>
    <row r="1562" spans="38:38" x14ac:dyDescent="0.35">
      <c r="AL1562" s="86"/>
    </row>
    <row r="1563" spans="38:38" x14ac:dyDescent="0.35">
      <c r="AL1563" s="86"/>
    </row>
    <row r="1564" spans="38:38" x14ac:dyDescent="0.35">
      <c r="AL1564" s="86"/>
    </row>
    <row r="1565" spans="38:38" x14ac:dyDescent="0.35">
      <c r="AL1565" s="86"/>
    </row>
    <row r="1566" spans="38:38" x14ac:dyDescent="0.35">
      <c r="AL1566" s="86"/>
    </row>
    <row r="1567" spans="38:38" x14ac:dyDescent="0.35">
      <c r="AL1567" s="86"/>
    </row>
    <row r="1568" spans="38:38" x14ac:dyDescent="0.35">
      <c r="AL1568" s="86"/>
    </row>
    <row r="1569" spans="38:38" x14ac:dyDescent="0.35">
      <c r="AL1569" s="86"/>
    </row>
    <row r="1570" spans="38:38" x14ac:dyDescent="0.35">
      <c r="AL1570" s="86"/>
    </row>
    <row r="1571" spans="38:38" x14ac:dyDescent="0.35">
      <c r="AL1571" s="86"/>
    </row>
    <row r="1572" spans="38:38" x14ac:dyDescent="0.35">
      <c r="AL1572" s="86"/>
    </row>
    <row r="1573" spans="38:38" x14ac:dyDescent="0.35">
      <c r="AL1573" s="86"/>
    </row>
    <row r="1574" spans="38:38" x14ac:dyDescent="0.35">
      <c r="AL1574" s="86"/>
    </row>
    <row r="1575" spans="38:38" x14ac:dyDescent="0.35">
      <c r="AL1575" s="86"/>
    </row>
    <row r="1576" spans="38:38" x14ac:dyDescent="0.35">
      <c r="AL1576" s="86"/>
    </row>
    <row r="1577" spans="38:38" x14ac:dyDescent="0.35">
      <c r="AL1577" s="86"/>
    </row>
    <row r="1578" spans="38:38" x14ac:dyDescent="0.35">
      <c r="AL1578" s="86"/>
    </row>
    <row r="1579" spans="38:38" x14ac:dyDescent="0.35">
      <c r="AL1579" s="86"/>
    </row>
    <row r="1580" spans="38:38" x14ac:dyDescent="0.35">
      <c r="AL1580" s="86"/>
    </row>
    <row r="1581" spans="38:38" x14ac:dyDescent="0.35">
      <c r="AL1581" s="86"/>
    </row>
    <row r="1582" spans="38:38" x14ac:dyDescent="0.35">
      <c r="AL1582" s="86"/>
    </row>
    <row r="1583" spans="38:38" x14ac:dyDescent="0.35">
      <c r="AL1583" s="86"/>
    </row>
    <row r="1584" spans="38:38" x14ac:dyDescent="0.35">
      <c r="AL1584" s="86"/>
    </row>
    <row r="1585" spans="38:38" x14ac:dyDescent="0.35">
      <c r="AL1585" s="86"/>
    </row>
    <row r="1586" spans="38:38" x14ac:dyDescent="0.35">
      <c r="AL1586" s="86"/>
    </row>
    <row r="1587" spans="38:38" x14ac:dyDescent="0.35">
      <c r="AL1587" s="86"/>
    </row>
    <row r="1588" spans="38:38" x14ac:dyDescent="0.35">
      <c r="AL1588" s="86"/>
    </row>
    <row r="1589" spans="38:38" x14ac:dyDescent="0.35">
      <c r="AL1589" s="86"/>
    </row>
    <row r="1590" spans="38:38" x14ac:dyDescent="0.35">
      <c r="AL1590" s="86"/>
    </row>
    <row r="1591" spans="38:38" x14ac:dyDescent="0.35">
      <c r="AL1591" s="86"/>
    </row>
    <row r="1592" spans="38:38" x14ac:dyDescent="0.35">
      <c r="AL1592" s="86"/>
    </row>
    <row r="1593" spans="38:38" x14ac:dyDescent="0.35">
      <c r="AL1593" s="86"/>
    </row>
    <row r="1594" spans="38:38" x14ac:dyDescent="0.35">
      <c r="AL1594" s="86"/>
    </row>
    <row r="1595" spans="38:38" x14ac:dyDescent="0.35">
      <c r="AL1595" s="86"/>
    </row>
    <row r="1596" spans="38:38" x14ac:dyDescent="0.35">
      <c r="AL1596" s="86"/>
    </row>
    <row r="1597" spans="38:38" x14ac:dyDescent="0.35">
      <c r="AL1597" s="86"/>
    </row>
    <row r="1598" spans="38:38" x14ac:dyDescent="0.35">
      <c r="AL1598" s="86"/>
    </row>
    <row r="1599" spans="38:38" x14ac:dyDescent="0.35">
      <c r="AL1599" s="86"/>
    </row>
    <row r="1600" spans="38:38" x14ac:dyDescent="0.35">
      <c r="AL1600" s="86"/>
    </row>
    <row r="1601" spans="38:38" x14ac:dyDescent="0.35">
      <c r="AL1601" s="86"/>
    </row>
    <row r="1602" spans="38:38" x14ac:dyDescent="0.35">
      <c r="AL1602" s="86"/>
    </row>
    <row r="1603" spans="38:38" x14ac:dyDescent="0.35">
      <c r="AL1603" s="86"/>
    </row>
    <row r="1604" spans="38:38" x14ac:dyDescent="0.35">
      <c r="AL1604" s="86"/>
    </row>
    <row r="1605" spans="38:38" x14ac:dyDescent="0.35">
      <c r="AL1605" s="86"/>
    </row>
    <row r="1606" spans="38:38" x14ac:dyDescent="0.35">
      <c r="AL1606" s="86"/>
    </row>
    <row r="1607" spans="38:38" x14ac:dyDescent="0.35">
      <c r="AL1607" s="86"/>
    </row>
    <row r="1608" spans="38:38" x14ac:dyDescent="0.35">
      <c r="AL1608" s="86"/>
    </row>
    <row r="1609" spans="38:38" x14ac:dyDescent="0.35">
      <c r="AL1609" s="86"/>
    </row>
    <row r="1610" spans="38:38" x14ac:dyDescent="0.35">
      <c r="AL1610" s="86"/>
    </row>
    <row r="1611" spans="38:38" x14ac:dyDescent="0.35">
      <c r="AL1611" s="86"/>
    </row>
    <row r="1612" spans="38:38" x14ac:dyDescent="0.35">
      <c r="AL1612" s="86"/>
    </row>
    <row r="1613" spans="38:38" x14ac:dyDescent="0.35">
      <c r="AL1613" s="86"/>
    </row>
    <row r="1614" spans="38:38" x14ac:dyDescent="0.35">
      <c r="AL1614" s="86"/>
    </row>
    <row r="1615" spans="38:38" x14ac:dyDescent="0.35">
      <c r="AL1615" s="86"/>
    </row>
    <row r="1616" spans="38:38" x14ac:dyDescent="0.35">
      <c r="AL1616" s="86"/>
    </row>
    <row r="1617" spans="38:38" x14ac:dyDescent="0.35">
      <c r="AL1617" s="86"/>
    </row>
    <row r="1618" spans="38:38" x14ac:dyDescent="0.35">
      <c r="AL1618" s="86"/>
    </row>
    <row r="1619" spans="38:38" x14ac:dyDescent="0.35">
      <c r="AL1619" s="86"/>
    </row>
    <row r="1620" spans="38:38" x14ac:dyDescent="0.35">
      <c r="AL1620" s="86"/>
    </row>
    <row r="1621" spans="38:38" x14ac:dyDescent="0.35">
      <c r="AL1621" s="86"/>
    </row>
    <row r="1622" spans="38:38" x14ac:dyDescent="0.35">
      <c r="AL1622" s="86"/>
    </row>
    <row r="1623" spans="38:38" x14ac:dyDescent="0.35">
      <c r="AL1623" s="86"/>
    </row>
    <row r="1624" spans="38:38" x14ac:dyDescent="0.35">
      <c r="AL1624" s="86"/>
    </row>
    <row r="1625" spans="38:38" x14ac:dyDescent="0.35">
      <c r="AL1625" s="86"/>
    </row>
    <row r="1626" spans="38:38" x14ac:dyDescent="0.35">
      <c r="AL1626" s="86"/>
    </row>
    <row r="1627" spans="38:38" x14ac:dyDescent="0.35">
      <c r="AL1627" s="86"/>
    </row>
    <row r="1628" spans="38:38" x14ac:dyDescent="0.35">
      <c r="AL1628" s="86"/>
    </row>
    <row r="1629" spans="38:38" x14ac:dyDescent="0.35">
      <c r="AL1629" s="86"/>
    </row>
    <row r="1630" spans="38:38" x14ac:dyDescent="0.35">
      <c r="AL1630" s="86"/>
    </row>
    <row r="1631" spans="38:38" x14ac:dyDescent="0.35">
      <c r="AL1631" s="86"/>
    </row>
    <row r="1632" spans="38:38" x14ac:dyDescent="0.35">
      <c r="AL1632" s="86"/>
    </row>
    <row r="1633" spans="38:38" x14ac:dyDescent="0.35">
      <c r="AL1633" s="86"/>
    </row>
    <row r="1634" spans="38:38" x14ac:dyDescent="0.35">
      <c r="AL1634" s="86"/>
    </row>
    <row r="1635" spans="38:38" x14ac:dyDescent="0.35">
      <c r="AL1635" s="86"/>
    </row>
    <row r="1636" spans="38:38" x14ac:dyDescent="0.35">
      <c r="AL1636" s="86"/>
    </row>
    <row r="1637" spans="38:38" x14ac:dyDescent="0.35">
      <c r="AL1637" s="86"/>
    </row>
    <row r="1638" spans="38:38" x14ac:dyDescent="0.35">
      <c r="AL1638" s="86"/>
    </row>
    <row r="1639" spans="38:38" x14ac:dyDescent="0.35">
      <c r="AL1639" s="86"/>
    </row>
    <row r="1640" spans="38:38" x14ac:dyDescent="0.35">
      <c r="AL1640" s="86"/>
    </row>
    <row r="1641" spans="38:38" x14ac:dyDescent="0.35">
      <c r="AL1641" s="86"/>
    </row>
    <row r="1642" spans="38:38" x14ac:dyDescent="0.35">
      <c r="AL1642" s="86"/>
    </row>
    <row r="1643" spans="38:38" x14ac:dyDescent="0.35">
      <c r="AL1643" s="86"/>
    </row>
    <row r="1644" spans="38:38" x14ac:dyDescent="0.35">
      <c r="AL1644" s="86"/>
    </row>
    <row r="1645" spans="38:38" x14ac:dyDescent="0.35">
      <c r="AL1645" s="86"/>
    </row>
    <row r="1646" spans="38:38" x14ac:dyDescent="0.35">
      <c r="AL1646" s="86"/>
    </row>
    <row r="1647" spans="38:38" x14ac:dyDescent="0.35">
      <c r="AL1647" s="86"/>
    </row>
    <row r="1648" spans="38:38" x14ac:dyDescent="0.35">
      <c r="AL1648" s="86"/>
    </row>
    <row r="1649" spans="38:38" x14ac:dyDescent="0.35">
      <c r="AL1649" s="86"/>
    </row>
    <row r="1650" spans="38:38" x14ac:dyDescent="0.35">
      <c r="AL1650" s="86"/>
    </row>
    <row r="1651" spans="38:38" x14ac:dyDescent="0.35">
      <c r="AL1651" s="86"/>
    </row>
    <row r="1652" spans="38:38" x14ac:dyDescent="0.35">
      <c r="AL1652" s="86"/>
    </row>
    <row r="1653" spans="38:38" x14ac:dyDescent="0.35">
      <c r="AL1653" s="86"/>
    </row>
    <row r="1654" spans="38:38" x14ac:dyDescent="0.35">
      <c r="AL1654" s="86"/>
    </row>
    <row r="1655" spans="38:38" x14ac:dyDescent="0.35">
      <c r="AL1655" s="86"/>
    </row>
    <row r="1656" spans="38:38" x14ac:dyDescent="0.35">
      <c r="AL1656" s="86"/>
    </row>
    <row r="1657" spans="38:38" x14ac:dyDescent="0.35">
      <c r="AL1657" s="86"/>
    </row>
    <row r="1658" spans="38:38" x14ac:dyDescent="0.35">
      <c r="AL1658" s="86"/>
    </row>
    <row r="1659" spans="38:38" x14ac:dyDescent="0.35">
      <c r="AL1659" s="86"/>
    </row>
    <row r="1660" spans="38:38" x14ac:dyDescent="0.35">
      <c r="AL1660" s="86"/>
    </row>
    <row r="1661" spans="38:38" x14ac:dyDescent="0.35">
      <c r="AL1661" s="86"/>
    </row>
    <row r="1662" spans="38:38" x14ac:dyDescent="0.35">
      <c r="AL1662" s="86"/>
    </row>
    <row r="1663" spans="38:38" x14ac:dyDescent="0.35">
      <c r="AL1663" s="86"/>
    </row>
    <row r="1664" spans="38:38" x14ac:dyDescent="0.35">
      <c r="AL1664" s="86"/>
    </row>
    <row r="1665" spans="38:38" x14ac:dyDescent="0.35">
      <c r="AL1665" s="86"/>
    </row>
    <row r="1666" spans="38:38" x14ac:dyDescent="0.35">
      <c r="AL1666" s="86"/>
    </row>
    <row r="1667" spans="38:38" x14ac:dyDescent="0.35">
      <c r="AL1667" s="86"/>
    </row>
    <row r="1668" spans="38:38" x14ac:dyDescent="0.35">
      <c r="AL1668" s="86"/>
    </row>
    <row r="1669" spans="38:38" x14ac:dyDescent="0.35">
      <c r="AL1669" s="86"/>
    </row>
    <row r="1670" spans="38:38" x14ac:dyDescent="0.35">
      <c r="AL1670" s="86"/>
    </row>
    <row r="1671" spans="38:38" x14ac:dyDescent="0.35">
      <c r="AL1671" s="86"/>
    </row>
    <row r="1672" spans="38:38" x14ac:dyDescent="0.35">
      <c r="AL1672" s="86"/>
    </row>
    <row r="1673" spans="38:38" x14ac:dyDescent="0.35">
      <c r="AL1673" s="86"/>
    </row>
    <row r="1674" spans="38:38" x14ac:dyDescent="0.35">
      <c r="AL1674" s="86"/>
    </row>
    <row r="1675" spans="38:38" x14ac:dyDescent="0.35">
      <c r="AL1675" s="86"/>
    </row>
    <row r="1676" spans="38:38" x14ac:dyDescent="0.35">
      <c r="AL1676" s="86"/>
    </row>
    <row r="1677" spans="38:38" x14ac:dyDescent="0.35">
      <c r="AL1677" s="86"/>
    </row>
    <row r="1678" spans="38:38" x14ac:dyDescent="0.35">
      <c r="AL1678" s="86"/>
    </row>
    <row r="1679" spans="38:38" x14ac:dyDescent="0.35">
      <c r="AL1679" s="86"/>
    </row>
    <row r="1680" spans="38:38" x14ac:dyDescent="0.35">
      <c r="AL1680" s="86"/>
    </row>
    <row r="1681" spans="38:38" x14ac:dyDescent="0.35">
      <c r="AL1681" s="86"/>
    </row>
    <row r="1682" spans="38:38" x14ac:dyDescent="0.35">
      <c r="AL1682" s="86"/>
    </row>
    <row r="1683" spans="38:38" x14ac:dyDescent="0.35">
      <c r="AL1683" s="86"/>
    </row>
    <row r="1684" spans="38:38" x14ac:dyDescent="0.35">
      <c r="AL1684" s="86"/>
    </row>
    <row r="1685" spans="38:38" x14ac:dyDescent="0.35">
      <c r="AL1685" s="86"/>
    </row>
    <row r="1686" spans="38:38" x14ac:dyDescent="0.35">
      <c r="AL1686" s="86"/>
    </row>
    <row r="1687" spans="38:38" x14ac:dyDescent="0.35">
      <c r="AL1687" s="86"/>
    </row>
    <row r="1688" spans="38:38" x14ac:dyDescent="0.35">
      <c r="AL1688" s="86"/>
    </row>
    <row r="1689" spans="38:38" x14ac:dyDescent="0.35">
      <c r="AL1689" s="86"/>
    </row>
    <row r="1690" spans="38:38" x14ac:dyDescent="0.35">
      <c r="AL1690" s="86"/>
    </row>
    <row r="1691" spans="38:38" x14ac:dyDescent="0.35">
      <c r="AL1691" s="86"/>
    </row>
    <row r="1692" spans="38:38" x14ac:dyDescent="0.35">
      <c r="AL1692" s="86"/>
    </row>
    <row r="1693" spans="38:38" x14ac:dyDescent="0.35">
      <c r="AL1693" s="86"/>
    </row>
    <row r="1694" spans="38:38" x14ac:dyDescent="0.35">
      <c r="AL1694" s="86"/>
    </row>
    <row r="1695" spans="38:38" x14ac:dyDescent="0.35">
      <c r="AL1695" s="86"/>
    </row>
    <row r="1696" spans="38:38" x14ac:dyDescent="0.35">
      <c r="AL1696" s="86"/>
    </row>
    <row r="1697" spans="38:38" x14ac:dyDescent="0.35">
      <c r="AL1697" s="86"/>
    </row>
    <row r="1698" spans="38:38" x14ac:dyDescent="0.35">
      <c r="AL1698" s="86"/>
    </row>
    <row r="1699" spans="38:38" x14ac:dyDescent="0.35">
      <c r="AL1699" s="86"/>
    </row>
    <row r="1700" spans="38:38" x14ac:dyDescent="0.35">
      <c r="AL1700" s="86"/>
    </row>
    <row r="1701" spans="38:38" x14ac:dyDescent="0.35">
      <c r="AL1701" s="86"/>
    </row>
    <row r="1702" spans="38:38" x14ac:dyDescent="0.35">
      <c r="AL1702" s="86"/>
    </row>
    <row r="1703" spans="38:38" x14ac:dyDescent="0.35">
      <c r="AL1703" s="86"/>
    </row>
    <row r="1704" spans="38:38" x14ac:dyDescent="0.35">
      <c r="AL1704" s="86"/>
    </row>
    <row r="1705" spans="38:38" x14ac:dyDescent="0.35">
      <c r="AL1705" s="86"/>
    </row>
    <row r="1706" spans="38:38" x14ac:dyDescent="0.35">
      <c r="AL1706" s="86"/>
    </row>
    <row r="1707" spans="38:38" x14ac:dyDescent="0.35">
      <c r="AL1707" s="86"/>
    </row>
    <row r="1708" spans="38:38" x14ac:dyDescent="0.35">
      <c r="AL1708" s="86"/>
    </row>
    <row r="1709" spans="38:38" x14ac:dyDescent="0.35">
      <c r="AL1709" s="86"/>
    </row>
    <row r="1710" spans="38:38" x14ac:dyDescent="0.35">
      <c r="AL1710" s="86"/>
    </row>
    <row r="1711" spans="38:38" x14ac:dyDescent="0.35">
      <c r="AL1711" s="86"/>
    </row>
    <row r="1712" spans="38:38" x14ac:dyDescent="0.35">
      <c r="AL1712" s="86"/>
    </row>
    <row r="1713" spans="38:38" x14ac:dyDescent="0.35">
      <c r="AL1713" s="86"/>
    </row>
    <row r="1714" spans="38:38" x14ac:dyDescent="0.35">
      <c r="AL1714" s="86"/>
    </row>
    <row r="1715" spans="38:38" x14ac:dyDescent="0.35">
      <c r="AL1715" s="86"/>
    </row>
    <row r="1716" spans="38:38" x14ac:dyDescent="0.35">
      <c r="AL1716" s="86"/>
    </row>
    <row r="1717" spans="38:38" x14ac:dyDescent="0.35">
      <c r="AL1717" s="86"/>
    </row>
    <row r="1718" spans="38:38" x14ac:dyDescent="0.35">
      <c r="AL1718" s="86"/>
    </row>
    <row r="1719" spans="38:38" x14ac:dyDescent="0.35">
      <c r="AL1719" s="86"/>
    </row>
    <row r="1720" spans="38:38" x14ac:dyDescent="0.35">
      <c r="AL1720" s="86"/>
    </row>
    <row r="1721" spans="38:38" x14ac:dyDescent="0.35">
      <c r="AL1721" s="86"/>
    </row>
    <row r="1722" spans="38:38" x14ac:dyDescent="0.35">
      <c r="AL1722" s="86"/>
    </row>
    <row r="1723" spans="38:38" x14ac:dyDescent="0.35">
      <c r="AL1723" s="86"/>
    </row>
    <row r="1724" spans="38:38" x14ac:dyDescent="0.35">
      <c r="AL1724" s="86"/>
    </row>
    <row r="1725" spans="38:38" x14ac:dyDescent="0.35">
      <c r="AL1725" s="86"/>
    </row>
    <row r="1726" spans="38:38" x14ac:dyDescent="0.35">
      <c r="AL1726" s="86"/>
    </row>
    <row r="1727" spans="38:38" x14ac:dyDescent="0.35">
      <c r="AL1727" s="86"/>
    </row>
    <row r="1728" spans="38:38" x14ac:dyDescent="0.35">
      <c r="AL1728" s="86"/>
    </row>
    <row r="1729" spans="38:38" x14ac:dyDescent="0.35">
      <c r="AL1729" s="86"/>
    </row>
    <row r="1730" spans="38:38" x14ac:dyDescent="0.35">
      <c r="AL1730" s="86"/>
    </row>
    <row r="1731" spans="38:38" x14ac:dyDescent="0.35">
      <c r="AL1731" s="86"/>
    </row>
    <row r="1732" spans="38:38" x14ac:dyDescent="0.35">
      <c r="AL1732" s="86"/>
    </row>
    <row r="1733" spans="38:38" x14ac:dyDescent="0.35">
      <c r="AL1733" s="86"/>
    </row>
    <row r="1734" spans="38:38" x14ac:dyDescent="0.35">
      <c r="AL1734" s="86"/>
    </row>
    <row r="1735" spans="38:38" x14ac:dyDescent="0.35">
      <c r="AL1735" s="86"/>
    </row>
    <row r="1736" spans="38:38" x14ac:dyDescent="0.35">
      <c r="AL1736" s="86"/>
    </row>
    <row r="1737" spans="38:38" x14ac:dyDescent="0.35">
      <c r="AL1737" s="86"/>
    </row>
    <row r="1738" spans="38:38" x14ac:dyDescent="0.35">
      <c r="AL1738" s="86"/>
    </row>
    <row r="1739" spans="38:38" x14ac:dyDescent="0.35">
      <c r="AL1739" s="86"/>
    </row>
    <row r="1740" spans="38:38" x14ac:dyDescent="0.35">
      <c r="AL1740" s="86"/>
    </row>
    <row r="1741" spans="38:38" x14ac:dyDescent="0.35">
      <c r="AL1741" s="86"/>
    </row>
    <row r="1742" spans="38:38" x14ac:dyDescent="0.35">
      <c r="AL1742" s="86"/>
    </row>
    <row r="1743" spans="38:38" x14ac:dyDescent="0.35">
      <c r="AL1743" s="86"/>
    </row>
    <row r="1744" spans="38:38" x14ac:dyDescent="0.35">
      <c r="AL1744" s="86"/>
    </row>
    <row r="1745" spans="38:38" x14ac:dyDescent="0.35">
      <c r="AL1745" s="86"/>
    </row>
    <row r="1746" spans="38:38" x14ac:dyDescent="0.35">
      <c r="AL1746" s="86"/>
    </row>
    <row r="1747" spans="38:38" x14ac:dyDescent="0.35">
      <c r="AL1747" s="86"/>
    </row>
    <row r="1748" spans="38:38" x14ac:dyDescent="0.35">
      <c r="AL1748" s="86"/>
    </row>
    <row r="1749" spans="38:38" x14ac:dyDescent="0.35">
      <c r="AL1749" s="86"/>
    </row>
    <row r="1750" spans="38:38" x14ac:dyDescent="0.35">
      <c r="AL1750" s="86"/>
    </row>
    <row r="1751" spans="38:38" x14ac:dyDescent="0.35">
      <c r="AL1751" s="86"/>
    </row>
    <row r="1752" spans="38:38" x14ac:dyDescent="0.35">
      <c r="AL1752" s="86"/>
    </row>
    <row r="1753" spans="38:38" x14ac:dyDescent="0.35">
      <c r="AL1753" s="86"/>
    </row>
    <row r="1754" spans="38:38" x14ac:dyDescent="0.35">
      <c r="AL1754" s="86"/>
    </row>
    <row r="1755" spans="38:38" x14ac:dyDescent="0.35">
      <c r="AL1755" s="86"/>
    </row>
    <row r="1756" spans="38:38" x14ac:dyDescent="0.35">
      <c r="AL1756" s="86"/>
    </row>
    <row r="1757" spans="38:38" x14ac:dyDescent="0.35">
      <c r="AL1757" s="86"/>
    </row>
    <row r="1758" spans="38:38" x14ac:dyDescent="0.35">
      <c r="AL1758" s="86"/>
    </row>
    <row r="1759" spans="38:38" x14ac:dyDescent="0.35">
      <c r="AL1759" s="86"/>
    </row>
    <row r="1760" spans="38:38" x14ac:dyDescent="0.35">
      <c r="AL1760" s="86"/>
    </row>
    <row r="1761" spans="38:38" x14ac:dyDescent="0.35">
      <c r="AL1761" s="86"/>
    </row>
    <row r="1762" spans="38:38" x14ac:dyDescent="0.35">
      <c r="AL1762" s="86"/>
    </row>
    <row r="1763" spans="38:38" x14ac:dyDescent="0.35">
      <c r="AL1763" s="86"/>
    </row>
    <row r="1764" spans="38:38" x14ac:dyDescent="0.35">
      <c r="AL1764" s="86"/>
    </row>
    <row r="1765" spans="38:38" x14ac:dyDescent="0.35">
      <c r="AL1765" s="86"/>
    </row>
    <row r="1766" spans="38:38" x14ac:dyDescent="0.35">
      <c r="AL1766" s="86"/>
    </row>
    <row r="1767" spans="38:38" x14ac:dyDescent="0.35">
      <c r="AL1767" s="86"/>
    </row>
    <row r="1768" spans="38:38" x14ac:dyDescent="0.35">
      <c r="AL1768" s="86"/>
    </row>
    <row r="1769" spans="38:38" x14ac:dyDescent="0.35">
      <c r="AL1769" s="86"/>
    </row>
    <row r="1770" spans="38:38" x14ac:dyDescent="0.35">
      <c r="AL1770" s="86"/>
    </row>
    <row r="1771" spans="38:38" x14ac:dyDescent="0.35">
      <c r="AL1771" s="86"/>
    </row>
    <row r="1772" spans="38:38" x14ac:dyDescent="0.35">
      <c r="AL1772" s="86"/>
    </row>
    <row r="1773" spans="38:38" x14ac:dyDescent="0.35">
      <c r="AL1773" s="86"/>
    </row>
    <row r="1774" spans="38:38" x14ac:dyDescent="0.35">
      <c r="AL1774" s="86"/>
    </row>
    <row r="1775" spans="38:38" x14ac:dyDescent="0.35">
      <c r="AL1775" s="86"/>
    </row>
    <row r="1776" spans="38:38" x14ac:dyDescent="0.35">
      <c r="AL1776" s="86"/>
    </row>
    <row r="1777" spans="38:38" x14ac:dyDescent="0.35">
      <c r="AL1777" s="86"/>
    </row>
    <row r="1778" spans="38:38" x14ac:dyDescent="0.35">
      <c r="AL1778" s="86"/>
    </row>
    <row r="1779" spans="38:38" x14ac:dyDescent="0.35">
      <c r="AL1779" s="86"/>
    </row>
    <row r="1780" spans="38:38" x14ac:dyDescent="0.35">
      <c r="AL1780" s="86"/>
    </row>
    <row r="1781" spans="38:38" x14ac:dyDescent="0.35">
      <c r="AL1781" s="86"/>
    </row>
    <row r="1782" spans="38:38" x14ac:dyDescent="0.35">
      <c r="AL1782" s="86"/>
    </row>
    <row r="1783" spans="38:38" x14ac:dyDescent="0.35">
      <c r="AL1783" s="86"/>
    </row>
    <row r="1784" spans="38:38" x14ac:dyDescent="0.35">
      <c r="AL1784" s="86"/>
    </row>
    <row r="1785" spans="38:38" x14ac:dyDescent="0.35">
      <c r="AL1785" s="86"/>
    </row>
    <row r="1786" spans="38:38" x14ac:dyDescent="0.35">
      <c r="AL1786" s="86"/>
    </row>
    <row r="1787" spans="38:38" x14ac:dyDescent="0.35">
      <c r="AL1787" s="86"/>
    </row>
    <row r="1788" spans="38:38" x14ac:dyDescent="0.35">
      <c r="AL1788" s="86"/>
    </row>
    <row r="1789" spans="38:38" x14ac:dyDescent="0.35">
      <c r="AL1789" s="86"/>
    </row>
    <row r="1790" spans="38:38" x14ac:dyDescent="0.35">
      <c r="AL1790" s="86"/>
    </row>
    <row r="1791" spans="38:38" x14ac:dyDescent="0.35">
      <c r="AL1791" s="86"/>
    </row>
    <row r="1792" spans="38:38" x14ac:dyDescent="0.35">
      <c r="AL1792" s="86"/>
    </row>
    <row r="1793" spans="38:38" x14ac:dyDescent="0.35">
      <c r="AL1793" s="86"/>
    </row>
    <row r="1794" spans="38:38" x14ac:dyDescent="0.35">
      <c r="AL1794" s="86"/>
    </row>
    <row r="1795" spans="38:38" x14ac:dyDescent="0.35">
      <c r="AL1795" s="86"/>
    </row>
    <row r="1796" spans="38:38" x14ac:dyDescent="0.35">
      <c r="AL1796" s="86"/>
    </row>
    <row r="1797" spans="38:38" x14ac:dyDescent="0.35">
      <c r="AL1797" s="86"/>
    </row>
    <row r="1798" spans="38:38" x14ac:dyDescent="0.35">
      <c r="AL1798" s="86"/>
    </row>
    <row r="1799" spans="38:38" x14ac:dyDescent="0.35">
      <c r="AL1799" s="86"/>
    </row>
    <row r="1800" spans="38:38" x14ac:dyDescent="0.35">
      <c r="AL1800" s="86"/>
    </row>
    <row r="1801" spans="38:38" x14ac:dyDescent="0.35">
      <c r="AL1801" s="86"/>
    </row>
    <row r="1802" spans="38:38" x14ac:dyDescent="0.35">
      <c r="AL1802" s="86"/>
    </row>
    <row r="1803" spans="38:38" x14ac:dyDescent="0.35">
      <c r="AL1803" s="86"/>
    </row>
    <row r="1804" spans="38:38" x14ac:dyDescent="0.35">
      <c r="AL1804" s="86"/>
    </row>
    <row r="1805" spans="38:38" x14ac:dyDescent="0.35">
      <c r="AL1805" s="86"/>
    </row>
    <row r="1806" spans="38:38" x14ac:dyDescent="0.35">
      <c r="AL1806" s="86"/>
    </row>
    <row r="1807" spans="38:38" x14ac:dyDescent="0.35">
      <c r="AL1807" s="86"/>
    </row>
    <row r="1808" spans="38:38" x14ac:dyDescent="0.35">
      <c r="AL1808" s="86"/>
    </row>
    <row r="1809" spans="38:38" x14ac:dyDescent="0.35">
      <c r="AL1809" s="86"/>
    </row>
    <row r="1810" spans="38:38" x14ac:dyDescent="0.35">
      <c r="AL1810" s="86"/>
    </row>
    <row r="1811" spans="38:38" x14ac:dyDescent="0.35">
      <c r="AL1811" s="86"/>
    </row>
    <row r="1812" spans="38:38" x14ac:dyDescent="0.35">
      <c r="AL1812" s="86"/>
    </row>
    <row r="1813" spans="38:38" x14ac:dyDescent="0.35">
      <c r="AL1813" s="86"/>
    </row>
    <row r="1814" spans="38:38" x14ac:dyDescent="0.35">
      <c r="AL1814" s="86"/>
    </row>
    <row r="1815" spans="38:38" x14ac:dyDescent="0.35">
      <c r="AL1815" s="86"/>
    </row>
    <row r="1816" spans="38:38" x14ac:dyDescent="0.35">
      <c r="AL1816" s="86"/>
    </row>
    <row r="1817" spans="38:38" x14ac:dyDescent="0.35">
      <c r="AL1817" s="86"/>
    </row>
    <row r="1818" spans="38:38" x14ac:dyDescent="0.35">
      <c r="AL1818" s="86"/>
    </row>
    <row r="1819" spans="38:38" x14ac:dyDescent="0.35">
      <c r="AL1819" s="86"/>
    </row>
    <row r="1820" spans="38:38" x14ac:dyDescent="0.35">
      <c r="AL1820" s="86"/>
    </row>
    <row r="1821" spans="38:38" x14ac:dyDescent="0.35">
      <c r="AL1821" s="86"/>
    </row>
    <row r="1822" spans="38:38" x14ac:dyDescent="0.35">
      <c r="AL1822" s="86"/>
    </row>
    <row r="1823" spans="38:38" x14ac:dyDescent="0.35">
      <c r="AL1823" s="86"/>
    </row>
    <row r="1824" spans="38:38" x14ac:dyDescent="0.35">
      <c r="AL1824" s="86"/>
    </row>
    <row r="1825" spans="38:38" x14ac:dyDescent="0.35">
      <c r="AL1825" s="86"/>
    </row>
    <row r="1826" spans="38:38" x14ac:dyDescent="0.35">
      <c r="AL1826" s="86"/>
    </row>
    <row r="1827" spans="38:38" x14ac:dyDescent="0.35">
      <c r="AL1827" s="86"/>
    </row>
    <row r="1828" spans="38:38" x14ac:dyDescent="0.35">
      <c r="AL1828" s="86"/>
    </row>
    <row r="1829" spans="38:38" x14ac:dyDescent="0.35">
      <c r="AL1829" s="86"/>
    </row>
    <row r="1830" spans="38:38" x14ac:dyDescent="0.35">
      <c r="AL1830" s="86"/>
    </row>
    <row r="1831" spans="38:38" x14ac:dyDescent="0.35">
      <c r="AL1831" s="86"/>
    </row>
    <row r="1832" spans="38:38" x14ac:dyDescent="0.35">
      <c r="AL1832" s="86"/>
    </row>
    <row r="1833" spans="38:38" x14ac:dyDescent="0.35">
      <c r="AL1833" s="86"/>
    </row>
    <row r="1834" spans="38:38" x14ac:dyDescent="0.35">
      <c r="AL1834" s="86"/>
    </row>
    <row r="1835" spans="38:38" x14ac:dyDescent="0.35">
      <c r="AL1835" s="86"/>
    </row>
    <row r="1836" spans="38:38" x14ac:dyDescent="0.35">
      <c r="AL1836" s="86"/>
    </row>
    <row r="1837" spans="38:38" x14ac:dyDescent="0.35">
      <c r="AL1837" s="86"/>
    </row>
    <row r="1838" spans="38:38" x14ac:dyDescent="0.35">
      <c r="AL1838" s="86"/>
    </row>
    <row r="1839" spans="38:38" x14ac:dyDescent="0.35">
      <c r="AL1839" s="86"/>
    </row>
    <row r="1840" spans="38:38" x14ac:dyDescent="0.35">
      <c r="AL1840" s="86"/>
    </row>
    <row r="1841" spans="38:38" x14ac:dyDescent="0.35">
      <c r="AL1841" s="86"/>
    </row>
    <row r="1842" spans="38:38" x14ac:dyDescent="0.35">
      <c r="AL1842" s="86"/>
    </row>
    <row r="1843" spans="38:38" x14ac:dyDescent="0.35">
      <c r="AL1843" s="86"/>
    </row>
    <row r="1844" spans="38:38" x14ac:dyDescent="0.35">
      <c r="AL1844" s="86"/>
    </row>
    <row r="1845" spans="38:38" x14ac:dyDescent="0.35">
      <c r="AL1845" s="86"/>
    </row>
    <row r="1846" spans="38:38" x14ac:dyDescent="0.35">
      <c r="AL1846" s="86"/>
    </row>
    <row r="1847" spans="38:38" x14ac:dyDescent="0.35">
      <c r="AL1847" s="86"/>
    </row>
    <row r="1848" spans="38:38" x14ac:dyDescent="0.35">
      <c r="AL1848" s="86"/>
    </row>
    <row r="1849" spans="38:38" x14ac:dyDescent="0.35">
      <c r="AL1849" s="86"/>
    </row>
    <row r="1850" spans="38:38" x14ac:dyDescent="0.35">
      <c r="AL1850" s="86"/>
    </row>
    <row r="1851" spans="38:38" x14ac:dyDescent="0.35">
      <c r="AL1851" s="86"/>
    </row>
    <row r="1852" spans="38:38" x14ac:dyDescent="0.35">
      <c r="AL1852" s="86"/>
    </row>
    <row r="1853" spans="38:38" x14ac:dyDescent="0.35">
      <c r="AL1853" s="86"/>
    </row>
    <row r="1854" spans="38:38" x14ac:dyDescent="0.35">
      <c r="AL1854" s="86"/>
    </row>
    <row r="1855" spans="38:38" x14ac:dyDescent="0.35">
      <c r="AL1855" s="86"/>
    </row>
    <row r="1856" spans="38:38" x14ac:dyDescent="0.35">
      <c r="AL1856" s="86"/>
    </row>
    <row r="1857" spans="38:38" x14ac:dyDescent="0.35">
      <c r="AL1857" s="86"/>
    </row>
    <row r="1858" spans="38:38" x14ac:dyDescent="0.35">
      <c r="AL1858" s="86"/>
    </row>
    <row r="1859" spans="38:38" x14ac:dyDescent="0.35">
      <c r="AL1859" s="86"/>
    </row>
    <row r="1860" spans="38:38" x14ac:dyDescent="0.35">
      <c r="AL1860" s="86"/>
    </row>
    <row r="1861" spans="38:38" x14ac:dyDescent="0.35">
      <c r="AL1861" s="86"/>
    </row>
    <row r="1862" spans="38:38" x14ac:dyDescent="0.35">
      <c r="AL1862" s="86"/>
    </row>
    <row r="1863" spans="38:38" x14ac:dyDescent="0.35">
      <c r="AL1863" s="86"/>
    </row>
    <row r="1864" spans="38:38" x14ac:dyDescent="0.35">
      <c r="AL1864" s="86"/>
    </row>
    <row r="1865" spans="38:38" x14ac:dyDescent="0.35">
      <c r="AL1865" s="86"/>
    </row>
    <row r="1866" spans="38:38" x14ac:dyDescent="0.35">
      <c r="AL1866" s="86"/>
    </row>
    <row r="1867" spans="38:38" x14ac:dyDescent="0.35">
      <c r="AL1867" s="86"/>
    </row>
    <row r="1868" spans="38:38" x14ac:dyDescent="0.35">
      <c r="AL1868" s="86"/>
    </row>
    <row r="1869" spans="38:38" x14ac:dyDescent="0.35">
      <c r="AL1869" s="86"/>
    </row>
    <row r="1870" spans="38:38" x14ac:dyDescent="0.35">
      <c r="AL1870" s="86"/>
    </row>
    <row r="1871" spans="38:38" x14ac:dyDescent="0.35">
      <c r="AL1871" s="86"/>
    </row>
    <row r="1872" spans="38:38" x14ac:dyDescent="0.35">
      <c r="AL1872" s="86"/>
    </row>
    <row r="1873" spans="38:38" x14ac:dyDescent="0.35">
      <c r="AL1873" s="86"/>
    </row>
    <row r="1874" spans="38:38" x14ac:dyDescent="0.35">
      <c r="AL1874" s="86"/>
    </row>
    <row r="1875" spans="38:38" x14ac:dyDescent="0.35">
      <c r="AL1875" s="86"/>
    </row>
    <row r="1876" spans="38:38" x14ac:dyDescent="0.35">
      <c r="AL1876" s="86"/>
    </row>
    <row r="1877" spans="38:38" x14ac:dyDescent="0.35">
      <c r="AL1877" s="86"/>
    </row>
    <row r="1878" spans="38:38" x14ac:dyDescent="0.35">
      <c r="AL1878" s="86"/>
    </row>
    <row r="1879" spans="38:38" x14ac:dyDescent="0.35">
      <c r="AL1879" s="86"/>
    </row>
    <row r="1880" spans="38:38" x14ac:dyDescent="0.35">
      <c r="AL1880" s="86"/>
    </row>
    <row r="1881" spans="38:38" x14ac:dyDescent="0.35">
      <c r="AL1881" s="86"/>
    </row>
    <row r="1882" spans="38:38" x14ac:dyDescent="0.35">
      <c r="AL1882" s="86"/>
    </row>
    <row r="1883" spans="38:38" x14ac:dyDescent="0.35">
      <c r="AL1883" s="86"/>
    </row>
    <row r="1884" spans="38:38" x14ac:dyDescent="0.35">
      <c r="AL1884" s="86"/>
    </row>
    <row r="1885" spans="38:38" x14ac:dyDescent="0.35">
      <c r="AL1885" s="86"/>
    </row>
    <row r="1886" spans="38:38" x14ac:dyDescent="0.35">
      <c r="AL1886" s="86"/>
    </row>
    <row r="1887" spans="38:38" x14ac:dyDescent="0.35">
      <c r="AL1887" s="86"/>
    </row>
    <row r="1888" spans="38:38" x14ac:dyDescent="0.35">
      <c r="AL1888" s="86"/>
    </row>
    <row r="1889" spans="38:38" x14ac:dyDescent="0.35">
      <c r="AL1889" s="86"/>
    </row>
    <row r="1890" spans="38:38" x14ac:dyDescent="0.35">
      <c r="AL1890" s="86"/>
    </row>
    <row r="1891" spans="38:38" x14ac:dyDescent="0.35">
      <c r="AL1891" s="86"/>
    </row>
    <row r="1892" spans="38:38" x14ac:dyDescent="0.35">
      <c r="AL1892" s="86"/>
    </row>
    <row r="1893" spans="38:38" x14ac:dyDescent="0.35">
      <c r="AL1893" s="86"/>
    </row>
    <row r="1894" spans="38:38" x14ac:dyDescent="0.35">
      <c r="AL1894" s="86"/>
    </row>
    <row r="1895" spans="38:38" x14ac:dyDescent="0.35">
      <c r="AL1895" s="86"/>
    </row>
    <row r="1896" spans="38:38" x14ac:dyDescent="0.35">
      <c r="AL1896" s="86"/>
    </row>
    <row r="1897" spans="38:38" x14ac:dyDescent="0.35">
      <c r="AL1897" s="86"/>
    </row>
    <row r="1898" spans="38:38" x14ac:dyDescent="0.35">
      <c r="AL1898" s="86"/>
    </row>
    <row r="1899" spans="38:38" x14ac:dyDescent="0.35">
      <c r="AL1899" s="86"/>
    </row>
    <row r="1900" spans="38:38" x14ac:dyDescent="0.35">
      <c r="AL1900" s="86"/>
    </row>
    <row r="1901" spans="38:38" x14ac:dyDescent="0.35">
      <c r="AL1901" s="86"/>
    </row>
    <row r="1902" spans="38:38" x14ac:dyDescent="0.35">
      <c r="AL1902" s="86"/>
    </row>
    <row r="1903" spans="38:38" x14ac:dyDescent="0.35">
      <c r="AL1903" s="86"/>
    </row>
    <row r="1904" spans="38:38" x14ac:dyDescent="0.35">
      <c r="AL1904" s="86"/>
    </row>
    <row r="1905" spans="38:38" x14ac:dyDescent="0.35">
      <c r="AL1905" s="86"/>
    </row>
    <row r="1906" spans="38:38" x14ac:dyDescent="0.35">
      <c r="AL1906" s="86"/>
    </row>
    <row r="1907" spans="38:38" x14ac:dyDescent="0.35">
      <c r="AL1907" s="86"/>
    </row>
    <row r="1908" spans="38:38" x14ac:dyDescent="0.35">
      <c r="AL1908" s="86"/>
    </row>
    <row r="1909" spans="38:38" x14ac:dyDescent="0.35">
      <c r="AL1909" s="86"/>
    </row>
    <row r="1910" spans="38:38" x14ac:dyDescent="0.35">
      <c r="AL1910" s="86"/>
    </row>
    <row r="1911" spans="38:38" x14ac:dyDescent="0.35">
      <c r="AL1911" s="86"/>
    </row>
    <row r="1912" spans="38:38" x14ac:dyDescent="0.35">
      <c r="AL1912" s="86"/>
    </row>
    <row r="1913" spans="38:38" x14ac:dyDescent="0.35">
      <c r="AL1913" s="86"/>
    </row>
    <row r="1914" spans="38:38" x14ac:dyDescent="0.35">
      <c r="AL1914" s="86"/>
    </row>
    <row r="1915" spans="38:38" x14ac:dyDescent="0.35">
      <c r="AL1915" s="86"/>
    </row>
    <row r="1916" spans="38:38" x14ac:dyDescent="0.35">
      <c r="AL1916" s="86"/>
    </row>
    <row r="1917" spans="38:38" x14ac:dyDescent="0.35">
      <c r="AL1917" s="86"/>
    </row>
    <row r="1918" spans="38:38" x14ac:dyDescent="0.35">
      <c r="AL1918" s="86"/>
    </row>
    <row r="1919" spans="38:38" x14ac:dyDescent="0.35">
      <c r="AL1919" s="86"/>
    </row>
    <row r="1920" spans="38:38" x14ac:dyDescent="0.35">
      <c r="AL1920" s="86"/>
    </row>
    <row r="1921" spans="38:38" x14ac:dyDescent="0.35">
      <c r="AL1921" s="86"/>
    </row>
    <row r="1922" spans="38:38" x14ac:dyDescent="0.35">
      <c r="AL1922" s="86"/>
    </row>
    <row r="1923" spans="38:38" x14ac:dyDescent="0.35">
      <c r="AL1923" s="86"/>
    </row>
    <row r="1924" spans="38:38" x14ac:dyDescent="0.35">
      <c r="AL1924" s="86"/>
    </row>
    <row r="1925" spans="38:38" x14ac:dyDescent="0.35">
      <c r="AL1925" s="86"/>
    </row>
    <row r="1926" spans="38:38" x14ac:dyDescent="0.35">
      <c r="AL1926" s="86"/>
    </row>
    <row r="1927" spans="38:38" x14ac:dyDescent="0.35">
      <c r="AL1927" s="86"/>
    </row>
    <row r="1928" spans="38:38" x14ac:dyDescent="0.35">
      <c r="AL1928" s="86"/>
    </row>
    <row r="1929" spans="38:38" x14ac:dyDescent="0.35">
      <c r="AL1929" s="86"/>
    </row>
    <row r="1930" spans="38:38" x14ac:dyDescent="0.35">
      <c r="AL1930" s="86"/>
    </row>
    <row r="1931" spans="38:38" x14ac:dyDescent="0.35">
      <c r="AL1931" s="86"/>
    </row>
    <row r="1932" spans="38:38" x14ac:dyDescent="0.35">
      <c r="AL1932" s="86"/>
    </row>
    <row r="1933" spans="38:38" x14ac:dyDescent="0.35">
      <c r="AL1933" s="86"/>
    </row>
    <row r="1934" spans="38:38" x14ac:dyDescent="0.35">
      <c r="AL1934" s="86"/>
    </row>
    <row r="1935" spans="38:38" x14ac:dyDescent="0.35">
      <c r="AL1935" s="86"/>
    </row>
    <row r="1936" spans="38:38" x14ac:dyDescent="0.35">
      <c r="AL1936" s="86"/>
    </row>
    <row r="1937" spans="38:38" x14ac:dyDescent="0.35">
      <c r="AL1937" s="86"/>
    </row>
    <row r="1938" spans="38:38" x14ac:dyDescent="0.35">
      <c r="AL1938" s="86"/>
    </row>
    <row r="1939" spans="38:38" x14ac:dyDescent="0.35">
      <c r="AL1939" s="86"/>
    </row>
    <row r="1940" spans="38:38" x14ac:dyDescent="0.35">
      <c r="AL1940" s="86"/>
    </row>
    <row r="1941" spans="38:38" x14ac:dyDescent="0.35">
      <c r="AL1941" s="86"/>
    </row>
    <row r="1942" spans="38:38" x14ac:dyDescent="0.35">
      <c r="AL1942" s="86"/>
    </row>
    <row r="1943" spans="38:38" x14ac:dyDescent="0.35">
      <c r="AL1943" s="86"/>
    </row>
    <row r="1944" spans="38:38" x14ac:dyDescent="0.35">
      <c r="AL1944" s="86"/>
    </row>
    <row r="1945" spans="38:38" x14ac:dyDescent="0.35">
      <c r="AL1945" s="86"/>
    </row>
    <row r="1946" spans="38:38" x14ac:dyDescent="0.35">
      <c r="AL1946" s="86"/>
    </row>
    <row r="1947" spans="38:38" x14ac:dyDescent="0.35">
      <c r="AL1947" s="86"/>
    </row>
    <row r="1948" spans="38:38" x14ac:dyDescent="0.35">
      <c r="AL1948" s="86"/>
    </row>
    <row r="1949" spans="38:38" x14ac:dyDescent="0.35">
      <c r="AL1949" s="86"/>
    </row>
    <row r="1950" spans="38:38" x14ac:dyDescent="0.35">
      <c r="AL1950" s="86"/>
    </row>
    <row r="1951" spans="38:38" x14ac:dyDescent="0.35">
      <c r="AL1951" s="86"/>
    </row>
    <row r="1952" spans="38:38" x14ac:dyDescent="0.35">
      <c r="AL1952" s="86"/>
    </row>
    <row r="1953" spans="38:38" x14ac:dyDescent="0.35">
      <c r="AL1953" s="86"/>
    </row>
    <row r="1954" spans="38:38" x14ac:dyDescent="0.35">
      <c r="AL1954" s="86"/>
    </row>
    <row r="1955" spans="38:38" x14ac:dyDescent="0.35">
      <c r="AL1955" s="86"/>
    </row>
    <row r="1956" spans="38:38" x14ac:dyDescent="0.35">
      <c r="AL1956" s="86"/>
    </row>
    <row r="1957" spans="38:38" x14ac:dyDescent="0.35">
      <c r="AL1957" s="86"/>
    </row>
    <row r="1958" spans="38:38" x14ac:dyDescent="0.35">
      <c r="AL1958" s="86"/>
    </row>
    <row r="1959" spans="38:38" x14ac:dyDescent="0.35">
      <c r="AL1959" s="86"/>
    </row>
    <row r="1960" spans="38:38" x14ac:dyDescent="0.35">
      <c r="AL1960" s="86"/>
    </row>
    <row r="1961" spans="38:38" x14ac:dyDescent="0.35">
      <c r="AL1961" s="86"/>
    </row>
    <row r="1962" spans="38:38" x14ac:dyDescent="0.35">
      <c r="AL1962" s="86"/>
    </row>
    <row r="1963" spans="38:38" x14ac:dyDescent="0.35">
      <c r="AL1963" s="86"/>
    </row>
    <row r="1964" spans="38:38" x14ac:dyDescent="0.35">
      <c r="AL1964" s="86"/>
    </row>
    <row r="1965" spans="38:38" x14ac:dyDescent="0.35">
      <c r="AL1965" s="86"/>
    </row>
    <row r="1966" spans="38:38" x14ac:dyDescent="0.35">
      <c r="AL1966" s="86"/>
    </row>
    <row r="1967" spans="38:38" x14ac:dyDescent="0.35">
      <c r="AL1967" s="86"/>
    </row>
    <row r="1968" spans="38:38" x14ac:dyDescent="0.35">
      <c r="AL1968" s="86"/>
    </row>
    <row r="1969" spans="38:38" x14ac:dyDescent="0.35">
      <c r="AL1969" s="86"/>
    </row>
    <row r="1970" spans="38:38" x14ac:dyDescent="0.35">
      <c r="AL1970" s="86"/>
    </row>
    <row r="1971" spans="38:38" x14ac:dyDescent="0.35">
      <c r="AL1971" s="86"/>
    </row>
    <row r="1972" spans="38:38" x14ac:dyDescent="0.35">
      <c r="AL1972" s="86"/>
    </row>
    <row r="1973" spans="38:38" x14ac:dyDescent="0.35">
      <c r="AL1973" s="86"/>
    </row>
    <row r="1974" spans="38:38" x14ac:dyDescent="0.35">
      <c r="AL1974" s="86"/>
    </row>
    <row r="1975" spans="38:38" x14ac:dyDescent="0.35">
      <c r="AL1975" s="86"/>
    </row>
    <row r="1976" spans="38:38" x14ac:dyDescent="0.35">
      <c r="AL1976" s="86"/>
    </row>
    <row r="1977" spans="38:38" x14ac:dyDescent="0.35">
      <c r="AL1977" s="86"/>
    </row>
    <row r="1978" spans="38:38" x14ac:dyDescent="0.35">
      <c r="AL1978" s="86"/>
    </row>
    <row r="1979" spans="38:38" x14ac:dyDescent="0.35">
      <c r="AL1979" s="86"/>
    </row>
    <row r="1980" spans="38:38" x14ac:dyDescent="0.35">
      <c r="AL1980" s="86"/>
    </row>
    <row r="1981" spans="38:38" x14ac:dyDescent="0.35">
      <c r="AL1981" s="86"/>
    </row>
    <row r="1982" spans="38:38" x14ac:dyDescent="0.35">
      <c r="AL1982" s="86"/>
    </row>
    <row r="1983" spans="38:38" x14ac:dyDescent="0.35">
      <c r="AL1983" s="86"/>
    </row>
    <row r="1984" spans="38:38" x14ac:dyDescent="0.35">
      <c r="AL1984" s="86"/>
    </row>
    <row r="1985" spans="38:38" x14ac:dyDescent="0.35">
      <c r="AL1985" s="86"/>
    </row>
    <row r="1986" spans="38:38" x14ac:dyDescent="0.35">
      <c r="AL1986" s="86"/>
    </row>
    <row r="1987" spans="38:38" x14ac:dyDescent="0.35">
      <c r="AL1987" s="86"/>
    </row>
    <row r="1988" spans="38:38" x14ac:dyDescent="0.35">
      <c r="AL1988" s="86"/>
    </row>
    <row r="1989" spans="38:38" x14ac:dyDescent="0.35">
      <c r="AL1989" s="86"/>
    </row>
    <row r="1990" spans="38:38" x14ac:dyDescent="0.35">
      <c r="AL1990" s="86"/>
    </row>
    <row r="1991" spans="38:38" x14ac:dyDescent="0.35">
      <c r="AL1991" s="86"/>
    </row>
    <row r="1992" spans="38:38" x14ac:dyDescent="0.35">
      <c r="AL1992" s="86"/>
    </row>
    <row r="1993" spans="38:38" x14ac:dyDescent="0.35">
      <c r="AL1993" s="86"/>
    </row>
    <row r="1994" spans="38:38" x14ac:dyDescent="0.35">
      <c r="AL1994" s="86"/>
    </row>
    <row r="1995" spans="38:38" x14ac:dyDescent="0.35">
      <c r="AL1995" s="86"/>
    </row>
    <row r="1996" spans="38:38" x14ac:dyDescent="0.35">
      <c r="AL1996" s="86"/>
    </row>
    <row r="1997" spans="38:38" x14ac:dyDescent="0.35">
      <c r="AL1997" s="86"/>
    </row>
    <row r="1998" spans="38:38" x14ac:dyDescent="0.35">
      <c r="AL1998" s="86"/>
    </row>
    <row r="1999" spans="38:38" x14ac:dyDescent="0.35">
      <c r="AL1999" s="86"/>
    </row>
    <row r="2000" spans="38:38" x14ac:dyDescent="0.35">
      <c r="AL2000" s="86"/>
    </row>
    <row r="2001" spans="38:38" x14ac:dyDescent="0.35">
      <c r="AL2001" s="86"/>
    </row>
    <row r="2002" spans="38:38" x14ac:dyDescent="0.35">
      <c r="AL2002" s="86"/>
    </row>
    <row r="2003" spans="38:38" x14ac:dyDescent="0.35">
      <c r="AL2003" s="86"/>
    </row>
    <row r="2004" spans="38:38" x14ac:dyDescent="0.35">
      <c r="AL2004" s="86"/>
    </row>
    <row r="2005" spans="38:38" x14ac:dyDescent="0.35">
      <c r="AL2005" s="86"/>
    </row>
    <row r="2006" spans="38:38" x14ac:dyDescent="0.35">
      <c r="AL2006" s="86"/>
    </row>
    <row r="2007" spans="38:38" x14ac:dyDescent="0.35">
      <c r="AL2007" s="86"/>
    </row>
    <row r="2008" spans="38:38" x14ac:dyDescent="0.35">
      <c r="AL2008" s="86"/>
    </row>
    <row r="2009" spans="38:38" x14ac:dyDescent="0.35">
      <c r="AL2009" s="86"/>
    </row>
    <row r="2010" spans="38:38" x14ac:dyDescent="0.35">
      <c r="AL2010" s="86"/>
    </row>
    <row r="2011" spans="38:38" x14ac:dyDescent="0.35">
      <c r="AL2011" s="86"/>
    </row>
    <row r="2012" spans="38:38" x14ac:dyDescent="0.35">
      <c r="AL2012" s="86"/>
    </row>
    <row r="2013" spans="38:38" x14ac:dyDescent="0.35">
      <c r="AL2013" s="86"/>
    </row>
    <row r="2014" spans="38:38" x14ac:dyDescent="0.35">
      <c r="AL2014" s="86"/>
    </row>
    <row r="2015" spans="38:38" x14ac:dyDescent="0.35">
      <c r="AL2015" s="86"/>
    </row>
    <row r="2016" spans="38:38" x14ac:dyDescent="0.35">
      <c r="AL2016" s="86"/>
    </row>
    <row r="2017" spans="38:38" x14ac:dyDescent="0.35">
      <c r="AL2017" s="86"/>
    </row>
    <row r="2018" spans="38:38" x14ac:dyDescent="0.35">
      <c r="AL2018" s="86"/>
    </row>
    <row r="2019" spans="38:38" x14ac:dyDescent="0.35">
      <c r="AL2019" s="86"/>
    </row>
    <row r="2020" spans="38:38" x14ac:dyDescent="0.35">
      <c r="AL2020" s="86"/>
    </row>
    <row r="2021" spans="38:38" x14ac:dyDescent="0.35">
      <c r="AL2021" s="86"/>
    </row>
    <row r="2022" spans="38:38" x14ac:dyDescent="0.35">
      <c r="AL2022" s="86"/>
    </row>
    <row r="2023" spans="38:38" x14ac:dyDescent="0.35">
      <c r="AL2023" s="86"/>
    </row>
    <row r="2024" spans="38:38" x14ac:dyDescent="0.35">
      <c r="AL2024" s="86"/>
    </row>
    <row r="2025" spans="38:38" x14ac:dyDescent="0.35">
      <c r="AL2025" s="86"/>
    </row>
    <row r="2026" spans="38:38" x14ac:dyDescent="0.35">
      <c r="AL2026" s="86"/>
    </row>
    <row r="2027" spans="38:38" x14ac:dyDescent="0.35">
      <c r="AL2027" s="86"/>
    </row>
    <row r="2028" spans="38:38" x14ac:dyDescent="0.35">
      <c r="AL2028" s="86"/>
    </row>
    <row r="2029" spans="38:38" x14ac:dyDescent="0.35">
      <c r="AL2029" s="86"/>
    </row>
    <row r="2030" spans="38:38" x14ac:dyDescent="0.35">
      <c r="AL2030" s="86"/>
    </row>
    <row r="2031" spans="38:38" x14ac:dyDescent="0.35">
      <c r="AL2031" s="86"/>
    </row>
    <row r="2032" spans="38:38" x14ac:dyDescent="0.35">
      <c r="AL2032" s="86"/>
    </row>
    <row r="2033" spans="38:38" x14ac:dyDescent="0.35">
      <c r="AL2033" s="86"/>
    </row>
    <row r="2034" spans="38:38" x14ac:dyDescent="0.35">
      <c r="AL2034" s="86"/>
    </row>
    <row r="2035" spans="38:38" x14ac:dyDescent="0.35">
      <c r="AL2035" s="86"/>
    </row>
    <row r="2036" spans="38:38" x14ac:dyDescent="0.35">
      <c r="AL2036" s="86"/>
    </row>
    <row r="2037" spans="38:38" x14ac:dyDescent="0.35">
      <c r="AL2037" s="86"/>
    </row>
    <row r="2038" spans="38:38" x14ac:dyDescent="0.35">
      <c r="AL2038" s="86"/>
    </row>
    <row r="2039" spans="38:38" x14ac:dyDescent="0.35">
      <c r="AL2039" s="86"/>
    </row>
    <row r="2040" spans="38:38" x14ac:dyDescent="0.35">
      <c r="AL2040" s="86"/>
    </row>
    <row r="2041" spans="38:38" x14ac:dyDescent="0.35">
      <c r="AL2041" s="86"/>
    </row>
    <row r="2042" spans="38:38" x14ac:dyDescent="0.35">
      <c r="AL2042" s="86"/>
    </row>
    <row r="2043" spans="38:38" x14ac:dyDescent="0.35">
      <c r="AL2043" s="86"/>
    </row>
    <row r="2044" spans="38:38" x14ac:dyDescent="0.35">
      <c r="AL2044" s="86"/>
    </row>
    <row r="2045" spans="38:38" x14ac:dyDescent="0.35">
      <c r="AL2045" s="86"/>
    </row>
    <row r="2046" spans="38:38" x14ac:dyDescent="0.35">
      <c r="AL2046" s="86"/>
    </row>
    <row r="2047" spans="38:38" x14ac:dyDescent="0.35">
      <c r="AL2047" s="86"/>
    </row>
    <row r="2048" spans="38:38" x14ac:dyDescent="0.35">
      <c r="AL2048" s="86"/>
    </row>
    <row r="2049" spans="38:38" x14ac:dyDescent="0.35">
      <c r="AL2049" s="86"/>
    </row>
    <row r="2050" spans="38:38" x14ac:dyDescent="0.35">
      <c r="AL2050" s="86"/>
    </row>
    <row r="2051" spans="38:38" x14ac:dyDescent="0.35">
      <c r="AL2051" s="86"/>
    </row>
    <row r="2052" spans="38:38" x14ac:dyDescent="0.35">
      <c r="AL2052" s="86"/>
    </row>
    <row r="2053" spans="38:38" x14ac:dyDescent="0.35">
      <c r="AL2053" s="86"/>
    </row>
    <row r="2054" spans="38:38" x14ac:dyDescent="0.35">
      <c r="AL2054" s="86"/>
    </row>
    <row r="2055" spans="38:38" x14ac:dyDescent="0.35">
      <c r="AL2055" s="86"/>
    </row>
    <row r="2056" spans="38:38" x14ac:dyDescent="0.35">
      <c r="AL2056" s="86"/>
    </row>
    <row r="2057" spans="38:38" x14ac:dyDescent="0.35">
      <c r="AL2057" s="86"/>
    </row>
    <row r="2058" spans="38:38" x14ac:dyDescent="0.35">
      <c r="AL2058" s="86"/>
    </row>
    <row r="2059" spans="38:38" x14ac:dyDescent="0.35">
      <c r="AL2059" s="86"/>
    </row>
    <row r="2060" spans="38:38" x14ac:dyDescent="0.35">
      <c r="AL2060" s="86"/>
    </row>
    <row r="2061" spans="38:38" x14ac:dyDescent="0.35">
      <c r="AL2061" s="86"/>
    </row>
    <row r="2062" spans="38:38" x14ac:dyDescent="0.35">
      <c r="AL2062" s="86"/>
    </row>
    <row r="2063" spans="38:38" x14ac:dyDescent="0.35">
      <c r="AL2063" s="86"/>
    </row>
    <row r="2064" spans="38:38" x14ac:dyDescent="0.35">
      <c r="AL2064" s="86"/>
    </row>
    <row r="2065" spans="38:38" x14ac:dyDescent="0.35">
      <c r="AL2065" s="86"/>
    </row>
    <row r="2066" spans="38:38" x14ac:dyDescent="0.35">
      <c r="AL2066" s="86"/>
    </row>
    <row r="2067" spans="38:38" x14ac:dyDescent="0.35">
      <c r="AL2067" s="86"/>
    </row>
    <row r="2068" spans="38:38" x14ac:dyDescent="0.35">
      <c r="AL2068" s="86"/>
    </row>
    <row r="2069" spans="38:38" x14ac:dyDescent="0.35">
      <c r="AL2069" s="86"/>
    </row>
    <row r="2070" spans="38:38" x14ac:dyDescent="0.35">
      <c r="AL2070" s="86"/>
    </row>
    <row r="2071" spans="38:38" x14ac:dyDescent="0.35">
      <c r="AL2071" s="86"/>
    </row>
    <row r="2072" spans="38:38" x14ac:dyDescent="0.35">
      <c r="AL2072" s="86"/>
    </row>
    <row r="2073" spans="38:38" x14ac:dyDescent="0.35">
      <c r="AL2073" s="86"/>
    </row>
    <row r="2074" spans="38:38" x14ac:dyDescent="0.35">
      <c r="AL2074" s="86"/>
    </row>
    <row r="2075" spans="38:38" x14ac:dyDescent="0.35">
      <c r="AL2075" s="86"/>
    </row>
    <row r="2076" spans="38:38" x14ac:dyDescent="0.35">
      <c r="AL2076" s="86"/>
    </row>
    <row r="2077" spans="38:38" x14ac:dyDescent="0.35">
      <c r="AL2077" s="86"/>
    </row>
    <row r="2078" spans="38:38" x14ac:dyDescent="0.35">
      <c r="AL2078" s="86"/>
    </row>
    <row r="2079" spans="38:38" x14ac:dyDescent="0.35">
      <c r="AL2079" s="86"/>
    </row>
    <row r="2080" spans="38:38" x14ac:dyDescent="0.35">
      <c r="AL2080" s="86"/>
    </row>
    <row r="2081" spans="38:38" x14ac:dyDescent="0.35">
      <c r="AL2081" s="86"/>
    </row>
    <row r="2082" spans="38:38" x14ac:dyDescent="0.35">
      <c r="AL2082" s="86"/>
    </row>
    <row r="2083" spans="38:38" x14ac:dyDescent="0.35">
      <c r="AL2083" s="86"/>
    </row>
    <row r="2084" spans="38:38" x14ac:dyDescent="0.35">
      <c r="AL2084" s="86"/>
    </row>
    <row r="2085" spans="38:38" x14ac:dyDescent="0.35">
      <c r="AL2085" s="86"/>
    </row>
    <row r="2086" spans="38:38" x14ac:dyDescent="0.35">
      <c r="AL2086" s="86"/>
    </row>
    <row r="2087" spans="38:38" x14ac:dyDescent="0.35">
      <c r="AL2087" s="86"/>
    </row>
    <row r="2088" spans="38:38" x14ac:dyDescent="0.35">
      <c r="AL2088" s="86"/>
    </row>
    <row r="2089" spans="38:38" x14ac:dyDescent="0.35">
      <c r="AL2089" s="86"/>
    </row>
    <row r="2090" spans="38:38" x14ac:dyDescent="0.35">
      <c r="AL2090" s="86"/>
    </row>
    <row r="2091" spans="38:38" x14ac:dyDescent="0.35">
      <c r="AL2091" s="86"/>
    </row>
    <row r="2092" spans="38:38" x14ac:dyDescent="0.35">
      <c r="AL2092" s="86"/>
    </row>
    <row r="2093" spans="38:38" x14ac:dyDescent="0.35">
      <c r="AL2093" s="86"/>
    </row>
    <row r="2094" spans="38:38" x14ac:dyDescent="0.35">
      <c r="AL2094" s="86"/>
    </row>
    <row r="2095" spans="38:38" x14ac:dyDescent="0.35">
      <c r="AL2095" s="86"/>
    </row>
    <row r="2096" spans="38:38" x14ac:dyDescent="0.35">
      <c r="AL2096" s="86"/>
    </row>
    <row r="2097" spans="38:38" x14ac:dyDescent="0.35">
      <c r="AL2097" s="86"/>
    </row>
    <row r="2098" spans="38:38" x14ac:dyDescent="0.35">
      <c r="AL2098" s="86"/>
    </row>
    <row r="2099" spans="38:38" x14ac:dyDescent="0.35">
      <c r="AL2099" s="86"/>
    </row>
    <row r="2100" spans="38:38" x14ac:dyDescent="0.35">
      <c r="AL2100" s="86"/>
    </row>
    <row r="2101" spans="38:38" x14ac:dyDescent="0.35">
      <c r="AL2101" s="86"/>
    </row>
    <row r="2102" spans="38:38" x14ac:dyDescent="0.35">
      <c r="AL2102" s="86"/>
    </row>
    <row r="2103" spans="38:38" x14ac:dyDescent="0.35">
      <c r="AL2103" s="86"/>
    </row>
    <row r="2104" spans="38:38" x14ac:dyDescent="0.35">
      <c r="AL2104" s="86"/>
    </row>
    <row r="2105" spans="38:38" x14ac:dyDescent="0.35">
      <c r="AL2105" s="86"/>
    </row>
    <row r="2106" spans="38:38" x14ac:dyDescent="0.35">
      <c r="AL2106" s="86"/>
    </row>
    <row r="2107" spans="38:38" x14ac:dyDescent="0.35">
      <c r="AL2107" s="86"/>
    </row>
    <row r="2108" spans="38:38" x14ac:dyDescent="0.35">
      <c r="AL2108" s="86"/>
    </row>
    <row r="2109" spans="38:38" x14ac:dyDescent="0.35">
      <c r="AL2109" s="86"/>
    </row>
    <row r="2110" spans="38:38" x14ac:dyDescent="0.35">
      <c r="AL2110" s="86"/>
    </row>
    <row r="2111" spans="38:38" x14ac:dyDescent="0.35">
      <c r="AL2111" s="86"/>
    </row>
    <row r="2112" spans="38:38" x14ac:dyDescent="0.35">
      <c r="AL2112" s="86"/>
    </row>
    <row r="2113" spans="38:38" x14ac:dyDescent="0.35">
      <c r="AL2113" s="86"/>
    </row>
    <row r="2114" spans="38:38" x14ac:dyDescent="0.35">
      <c r="AL2114" s="86"/>
    </row>
    <row r="2115" spans="38:38" x14ac:dyDescent="0.35">
      <c r="AL2115" s="86"/>
    </row>
    <row r="2116" spans="38:38" x14ac:dyDescent="0.35">
      <c r="AL2116" s="86"/>
    </row>
    <row r="2117" spans="38:38" x14ac:dyDescent="0.35">
      <c r="AL2117" s="86"/>
    </row>
    <row r="2118" spans="38:38" x14ac:dyDescent="0.35">
      <c r="AL2118" s="86"/>
    </row>
    <row r="2119" spans="38:38" x14ac:dyDescent="0.35">
      <c r="AL2119" s="86"/>
    </row>
    <row r="2120" spans="38:38" x14ac:dyDescent="0.35">
      <c r="AL2120" s="86"/>
    </row>
    <row r="2121" spans="38:38" x14ac:dyDescent="0.35">
      <c r="AL2121" s="86"/>
    </row>
    <row r="2122" spans="38:38" x14ac:dyDescent="0.35">
      <c r="AL2122" s="86"/>
    </row>
    <row r="2123" spans="38:38" x14ac:dyDescent="0.35">
      <c r="AL2123" s="86"/>
    </row>
    <row r="2124" spans="38:38" x14ac:dyDescent="0.35">
      <c r="AL2124" s="86"/>
    </row>
    <row r="2125" spans="38:38" x14ac:dyDescent="0.35">
      <c r="AL2125" s="86"/>
    </row>
    <row r="2126" spans="38:38" x14ac:dyDescent="0.35">
      <c r="AL2126" s="86"/>
    </row>
    <row r="2127" spans="38:38" x14ac:dyDescent="0.35">
      <c r="AL2127" s="86"/>
    </row>
    <row r="2128" spans="38:38" x14ac:dyDescent="0.35">
      <c r="AL2128" s="86"/>
    </row>
    <row r="2129" spans="38:38" x14ac:dyDescent="0.35">
      <c r="AL2129" s="86"/>
    </row>
    <row r="2130" spans="38:38" x14ac:dyDescent="0.35">
      <c r="AL2130" s="86"/>
    </row>
    <row r="2131" spans="38:38" x14ac:dyDescent="0.35">
      <c r="AL2131" s="86"/>
    </row>
    <row r="2132" spans="38:38" x14ac:dyDescent="0.35">
      <c r="AL2132" s="86"/>
    </row>
    <row r="2133" spans="38:38" x14ac:dyDescent="0.35">
      <c r="AL2133" s="86"/>
    </row>
    <row r="2134" spans="38:38" x14ac:dyDescent="0.35">
      <c r="AL2134" s="86"/>
    </row>
    <row r="2135" spans="38:38" x14ac:dyDescent="0.35">
      <c r="AL2135" s="86"/>
    </row>
    <row r="2136" spans="38:38" x14ac:dyDescent="0.35">
      <c r="AL2136" s="86"/>
    </row>
    <row r="2137" spans="38:38" x14ac:dyDescent="0.35">
      <c r="AL2137" s="86"/>
    </row>
    <row r="2138" spans="38:38" x14ac:dyDescent="0.35">
      <c r="AL2138" s="86"/>
    </row>
    <row r="2139" spans="38:38" x14ac:dyDescent="0.35">
      <c r="AL2139" s="86"/>
    </row>
    <row r="2140" spans="38:38" x14ac:dyDescent="0.35">
      <c r="AL2140" s="86"/>
    </row>
    <row r="2141" spans="38:38" x14ac:dyDescent="0.35">
      <c r="AL2141" s="86"/>
    </row>
    <row r="2142" spans="38:38" x14ac:dyDescent="0.35">
      <c r="AL2142" s="86"/>
    </row>
    <row r="2143" spans="38:38" x14ac:dyDescent="0.35">
      <c r="AL2143" s="86"/>
    </row>
    <row r="2144" spans="38:38" x14ac:dyDescent="0.35">
      <c r="AL2144" s="86"/>
    </row>
    <row r="2145" spans="38:38" x14ac:dyDescent="0.35">
      <c r="AL2145" s="86"/>
    </row>
    <row r="2146" spans="38:38" x14ac:dyDescent="0.35">
      <c r="AL2146" s="86"/>
    </row>
    <row r="2147" spans="38:38" x14ac:dyDescent="0.35">
      <c r="AL2147" s="86"/>
    </row>
    <row r="2148" spans="38:38" x14ac:dyDescent="0.35">
      <c r="AL2148" s="86"/>
    </row>
    <row r="2149" spans="38:38" x14ac:dyDescent="0.35">
      <c r="AL2149" s="86"/>
    </row>
    <row r="2150" spans="38:38" x14ac:dyDescent="0.35">
      <c r="AL2150" s="86"/>
    </row>
    <row r="2151" spans="38:38" x14ac:dyDescent="0.35">
      <c r="AL2151" s="86"/>
    </row>
    <row r="2152" spans="38:38" x14ac:dyDescent="0.35">
      <c r="AL2152" s="86"/>
    </row>
    <row r="2153" spans="38:38" x14ac:dyDescent="0.35">
      <c r="AL2153" s="86"/>
    </row>
    <row r="2154" spans="38:38" x14ac:dyDescent="0.35">
      <c r="AL2154" s="86"/>
    </row>
    <row r="2155" spans="38:38" x14ac:dyDescent="0.35">
      <c r="AL2155" s="86"/>
    </row>
    <row r="2156" spans="38:38" x14ac:dyDescent="0.35">
      <c r="AL2156" s="86"/>
    </row>
    <row r="2157" spans="38:38" x14ac:dyDescent="0.35">
      <c r="AL2157" s="86"/>
    </row>
    <row r="2158" spans="38:38" x14ac:dyDescent="0.35">
      <c r="AL2158" s="86"/>
    </row>
    <row r="2159" spans="38:38" x14ac:dyDescent="0.35">
      <c r="AL2159" s="86"/>
    </row>
    <row r="2160" spans="38:38" x14ac:dyDescent="0.35">
      <c r="AL2160" s="86"/>
    </row>
    <row r="2161" spans="38:38" x14ac:dyDescent="0.35">
      <c r="AL2161" s="86"/>
    </row>
    <row r="2162" spans="38:38" x14ac:dyDescent="0.35">
      <c r="AL2162" s="86"/>
    </row>
    <row r="2163" spans="38:38" x14ac:dyDescent="0.35">
      <c r="AL2163" s="86"/>
    </row>
    <row r="2164" spans="38:38" x14ac:dyDescent="0.35">
      <c r="AL2164" s="86"/>
    </row>
    <row r="2165" spans="38:38" x14ac:dyDescent="0.35">
      <c r="AL2165" s="86"/>
    </row>
    <row r="2166" spans="38:38" x14ac:dyDescent="0.35">
      <c r="AL2166" s="86"/>
    </row>
    <row r="2167" spans="38:38" x14ac:dyDescent="0.35">
      <c r="AL2167" s="86"/>
    </row>
    <row r="2168" spans="38:38" x14ac:dyDescent="0.35">
      <c r="AL2168" s="86"/>
    </row>
    <row r="2169" spans="38:38" x14ac:dyDescent="0.35">
      <c r="AL2169" s="86"/>
    </row>
    <row r="2170" spans="38:38" x14ac:dyDescent="0.35">
      <c r="AL2170" s="86"/>
    </row>
    <row r="2171" spans="38:38" x14ac:dyDescent="0.35">
      <c r="AL2171" s="86"/>
    </row>
    <row r="2172" spans="38:38" x14ac:dyDescent="0.35">
      <c r="AL2172" s="86"/>
    </row>
    <row r="2173" spans="38:38" x14ac:dyDescent="0.35">
      <c r="AL2173" s="86"/>
    </row>
    <row r="2174" spans="38:38" x14ac:dyDescent="0.35">
      <c r="AL2174" s="86"/>
    </row>
    <row r="2175" spans="38:38" x14ac:dyDescent="0.35">
      <c r="AL2175" s="86"/>
    </row>
    <row r="2176" spans="38:38" x14ac:dyDescent="0.35">
      <c r="AL2176" s="86"/>
    </row>
    <row r="2177" spans="38:38" x14ac:dyDescent="0.35">
      <c r="AL2177" s="86"/>
    </row>
    <row r="2178" spans="38:38" x14ac:dyDescent="0.35">
      <c r="AL2178" s="86"/>
    </row>
    <row r="2179" spans="38:38" x14ac:dyDescent="0.35">
      <c r="AL2179" s="86"/>
    </row>
    <row r="2180" spans="38:38" x14ac:dyDescent="0.35">
      <c r="AL2180" s="86"/>
    </row>
    <row r="2181" spans="38:38" x14ac:dyDescent="0.35">
      <c r="AL2181" s="86"/>
    </row>
    <row r="2182" spans="38:38" x14ac:dyDescent="0.35">
      <c r="AL2182" s="86"/>
    </row>
    <row r="2183" spans="38:38" x14ac:dyDescent="0.35">
      <c r="AL2183" s="86"/>
    </row>
    <row r="2184" spans="38:38" x14ac:dyDescent="0.35">
      <c r="AL2184" s="86"/>
    </row>
    <row r="2185" spans="38:38" x14ac:dyDescent="0.35">
      <c r="AL2185" s="86"/>
    </row>
    <row r="2186" spans="38:38" x14ac:dyDescent="0.35">
      <c r="AL2186" s="86"/>
    </row>
    <row r="2187" spans="38:38" x14ac:dyDescent="0.35">
      <c r="AL2187" s="86"/>
    </row>
    <row r="2188" spans="38:38" x14ac:dyDescent="0.35">
      <c r="AL2188" s="86"/>
    </row>
    <row r="2189" spans="38:38" x14ac:dyDescent="0.35">
      <c r="AL2189" s="86"/>
    </row>
    <row r="2190" spans="38:38" x14ac:dyDescent="0.35">
      <c r="AL2190" s="86"/>
    </row>
    <row r="2191" spans="38:38" x14ac:dyDescent="0.35">
      <c r="AL2191" s="86"/>
    </row>
    <row r="2192" spans="38:38" x14ac:dyDescent="0.35">
      <c r="AL2192" s="86"/>
    </row>
    <row r="2193" spans="38:38" x14ac:dyDescent="0.35">
      <c r="AL2193" s="86"/>
    </row>
    <row r="2194" spans="38:38" x14ac:dyDescent="0.35">
      <c r="AL2194" s="86"/>
    </row>
    <row r="2195" spans="38:38" x14ac:dyDescent="0.35">
      <c r="AL2195" s="86"/>
    </row>
    <row r="2196" spans="38:38" x14ac:dyDescent="0.35">
      <c r="AL2196" s="86"/>
    </row>
    <row r="2197" spans="38:38" x14ac:dyDescent="0.35">
      <c r="AL2197" s="86"/>
    </row>
    <row r="2198" spans="38:38" x14ac:dyDescent="0.35">
      <c r="AL2198" s="86"/>
    </row>
    <row r="2199" spans="38:38" x14ac:dyDescent="0.35">
      <c r="AL2199" s="86"/>
    </row>
    <row r="2200" spans="38:38" x14ac:dyDescent="0.35">
      <c r="AL2200" s="86"/>
    </row>
    <row r="2201" spans="38:38" x14ac:dyDescent="0.35">
      <c r="AL2201" s="86"/>
    </row>
    <row r="2202" spans="38:38" x14ac:dyDescent="0.35">
      <c r="AL2202" s="86"/>
    </row>
    <row r="2203" spans="38:38" x14ac:dyDescent="0.35">
      <c r="AL2203" s="86"/>
    </row>
    <row r="2204" spans="38:38" x14ac:dyDescent="0.35">
      <c r="AL2204" s="86"/>
    </row>
    <row r="2205" spans="38:38" x14ac:dyDescent="0.35">
      <c r="AL2205" s="86"/>
    </row>
    <row r="2206" spans="38:38" x14ac:dyDescent="0.35">
      <c r="AL2206" s="86"/>
    </row>
    <row r="2207" spans="38:38" x14ac:dyDescent="0.35">
      <c r="AL2207" s="86"/>
    </row>
    <row r="2208" spans="38:38" x14ac:dyDescent="0.35">
      <c r="AL2208" s="86"/>
    </row>
    <row r="2209" spans="38:38" x14ac:dyDescent="0.35">
      <c r="AL2209" s="86"/>
    </row>
    <row r="2210" spans="38:38" x14ac:dyDescent="0.35">
      <c r="AL2210" s="86"/>
    </row>
    <row r="2211" spans="38:38" x14ac:dyDescent="0.35">
      <c r="AL2211" s="86"/>
    </row>
    <row r="2212" spans="38:38" x14ac:dyDescent="0.35">
      <c r="AL2212" s="86"/>
    </row>
    <row r="2213" spans="38:38" x14ac:dyDescent="0.35">
      <c r="AL2213" s="86"/>
    </row>
    <row r="2214" spans="38:38" x14ac:dyDescent="0.35">
      <c r="AL2214" s="86"/>
    </row>
    <row r="2215" spans="38:38" x14ac:dyDescent="0.35">
      <c r="AL2215" s="86"/>
    </row>
    <row r="2216" spans="38:38" x14ac:dyDescent="0.35">
      <c r="AL2216" s="86"/>
    </row>
    <row r="2217" spans="38:38" x14ac:dyDescent="0.35">
      <c r="AL2217" s="86"/>
    </row>
    <row r="2218" spans="38:38" x14ac:dyDescent="0.35">
      <c r="AL2218" s="86"/>
    </row>
    <row r="2219" spans="38:38" x14ac:dyDescent="0.35">
      <c r="AL2219" s="86"/>
    </row>
    <row r="2220" spans="38:38" x14ac:dyDescent="0.35">
      <c r="AL2220" s="86"/>
    </row>
    <row r="2221" spans="38:38" x14ac:dyDescent="0.35">
      <c r="AL2221" s="86"/>
    </row>
    <row r="2222" spans="38:38" x14ac:dyDescent="0.35">
      <c r="AL2222" s="86"/>
    </row>
    <row r="2223" spans="38:38" x14ac:dyDescent="0.35">
      <c r="AL2223" s="86"/>
    </row>
    <row r="2224" spans="38:38" x14ac:dyDescent="0.35">
      <c r="AL2224" s="86"/>
    </row>
    <row r="2225" spans="38:38" x14ac:dyDescent="0.35">
      <c r="AL2225" s="86"/>
    </row>
    <row r="2226" spans="38:38" x14ac:dyDescent="0.35">
      <c r="AL2226" s="86"/>
    </row>
    <row r="2227" spans="38:38" x14ac:dyDescent="0.35">
      <c r="AL2227" s="86"/>
    </row>
    <row r="2228" spans="38:38" x14ac:dyDescent="0.35">
      <c r="AL2228" s="86"/>
    </row>
    <row r="2229" spans="38:38" x14ac:dyDescent="0.35">
      <c r="AL2229" s="86"/>
    </row>
    <row r="2230" spans="38:38" x14ac:dyDescent="0.35">
      <c r="AL2230" s="86"/>
    </row>
    <row r="2231" spans="38:38" x14ac:dyDescent="0.35">
      <c r="AL2231" s="86"/>
    </row>
    <row r="2232" spans="38:38" x14ac:dyDescent="0.35">
      <c r="AL2232" s="86"/>
    </row>
    <row r="2233" spans="38:38" x14ac:dyDescent="0.35">
      <c r="AL2233" s="86"/>
    </row>
    <row r="2234" spans="38:38" x14ac:dyDescent="0.35">
      <c r="AL2234" s="86"/>
    </row>
    <row r="2235" spans="38:38" x14ac:dyDescent="0.35">
      <c r="AL2235" s="86"/>
    </row>
    <row r="2236" spans="38:38" x14ac:dyDescent="0.35">
      <c r="AL2236" s="86"/>
    </row>
    <row r="2237" spans="38:38" x14ac:dyDescent="0.35">
      <c r="AL2237" s="86"/>
    </row>
    <row r="2238" spans="38:38" x14ac:dyDescent="0.35">
      <c r="AL2238" s="86"/>
    </row>
    <row r="2239" spans="38:38" x14ac:dyDescent="0.35">
      <c r="AL2239" s="86"/>
    </row>
    <row r="2240" spans="38:38" x14ac:dyDescent="0.35">
      <c r="AL2240" s="86"/>
    </row>
    <row r="2241" spans="38:38" x14ac:dyDescent="0.35">
      <c r="AL2241" s="86"/>
    </row>
    <row r="2242" spans="38:38" x14ac:dyDescent="0.35">
      <c r="AL2242" s="86"/>
    </row>
    <row r="2243" spans="38:38" x14ac:dyDescent="0.35">
      <c r="AL2243" s="86"/>
    </row>
    <row r="2244" spans="38:38" x14ac:dyDescent="0.35">
      <c r="AL2244" s="86"/>
    </row>
    <row r="2245" spans="38:38" x14ac:dyDescent="0.35">
      <c r="AL2245" s="86"/>
    </row>
    <row r="2246" spans="38:38" x14ac:dyDescent="0.35">
      <c r="AL2246" s="86"/>
    </row>
    <row r="2247" spans="38:38" x14ac:dyDescent="0.35">
      <c r="AL2247" s="86"/>
    </row>
    <row r="2248" spans="38:38" x14ac:dyDescent="0.35">
      <c r="AL2248" s="86"/>
    </row>
    <row r="2249" spans="38:38" x14ac:dyDescent="0.35">
      <c r="AL2249" s="86"/>
    </row>
    <row r="2250" spans="38:38" x14ac:dyDescent="0.35">
      <c r="AL2250" s="86"/>
    </row>
    <row r="2251" spans="38:38" x14ac:dyDescent="0.35">
      <c r="AL2251" s="86"/>
    </row>
    <row r="2252" spans="38:38" x14ac:dyDescent="0.35">
      <c r="AL2252" s="86"/>
    </row>
    <row r="2253" spans="38:38" x14ac:dyDescent="0.35">
      <c r="AL2253" s="86"/>
    </row>
    <row r="2254" spans="38:38" x14ac:dyDescent="0.35">
      <c r="AL2254" s="86"/>
    </row>
    <row r="2255" spans="38:38" x14ac:dyDescent="0.35">
      <c r="AL2255" s="86"/>
    </row>
    <row r="2256" spans="38:38" x14ac:dyDescent="0.35">
      <c r="AL2256" s="86"/>
    </row>
    <row r="2257" spans="38:38" x14ac:dyDescent="0.35">
      <c r="AL2257" s="86"/>
    </row>
    <row r="2258" spans="38:38" x14ac:dyDescent="0.35">
      <c r="AL2258" s="86"/>
    </row>
    <row r="2259" spans="38:38" x14ac:dyDescent="0.35">
      <c r="AL2259" s="86"/>
    </row>
    <row r="2260" spans="38:38" x14ac:dyDescent="0.35">
      <c r="AL2260" s="86"/>
    </row>
    <row r="2261" spans="38:38" x14ac:dyDescent="0.35">
      <c r="AL2261" s="86"/>
    </row>
    <row r="2262" spans="38:38" x14ac:dyDescent="0.35">
      <c r="AL2262" s="86"/>
    </row>
    <row r="2263" spans="38:38" x14ac:dyDescent="0.35">
      <c r="AL2263" s="86"/>
    </row>
    <row r="2264" spans="38:38" x14ac:dyDescent="0.35">
      <c r="AL2264" s="86"/>
    </row>
    <row r="2265" spans="38:38" x14ac:dyDescent="0.35">
      <c r="AL2265" s="86"/>
    </row>
    <row r="2266" spans="38:38" x14ac:dyDescent="0.35">
      <c r="AL2266" s="86"/>
    </row>
    <row r="2267" spans="38:38" x14ac:dyDescent="0.35">
      <c r="AL2267" s="86"/>
    </row>
    <row r="2268" spans="38:38" x14ac:dyDescent="0.35">
      <c r="AL2268" s="86"/>
    </row>
    <row r="2269" spans="38:38" x14ac:dyDescent="0.35">
      <c r="AL2269" s="86"/>
    </row>
    <row r="2270" spans="38:38" x14ac:dyDescent="0.35">
      <c r="AL2270" s="86"/>
    </row>
    <row r="2271" spans="38:38" x14ac:dyDescent="0.35">
      <c r="AL2271" s="86"/>
    </row>
    <row r="2272" spans="38:38" x14ac:dyDescent="0.35">
      <c r="AL2272" s="86"/>
    </row>
    <row r="2273" spans="38:38" x14ac:dyDescent="0.35">
      <c r="AL2273" s="86"/>
    </row>
    <row r="2274" spans="38:38" x14ac:dyDescent="0.35">
      <c r="AL2274" s="86"/>
    </row>
    <row r="2275" spans="38:38" x14ac:dyDescent="0.35">
      <c r="AL2275" s="86"/>
    </row>
    <row r="2276" spans="38:38" x14ac:dyDescent="0.35">
      <c r="AL2276" s="86"/>
    </row>
    <row r="2277" spans="38:38" x14ac:dyDescent="0.35">
      <c r="AL2277" s="86"/>
    </row>
    <row r="2278" spans="38:38" x14ac:dyDescent="0.35">
      <c r="AL2278" s="86"/>
    </row>
    <row r="2279" spans="38:38" x14ac:dyDescent="0.35">
      <c r="AL2279" s="86"/>
    </row>
    <row r="2280" spans="38:38" x14ac:dyDescent="0.35">
      <c r="AL2280" s="86"/>
    </row>
    <row r="2281" spans="38:38" x14ac:dyDescent="0.35">
      <c r="AL2281" s="86"/>
    </row>
    <row r="2282" spans="38:38" x14ac:dyDescent="0.35">
      <c r="AL2282" s="86"/>
    </row>
    <row r="2283" spans="38:38" x14ac:dyDescent="0.35">
      <c r="AL2283" s="86"/>
    </row>
    <row r="2284" spans="38:38" x14ac:dyDescent="0.35">
      <c r="AL2284" s="86"/>
    </row>
    <row r="2285" spans="38:38" x14ac:dyDescent="0.35">
      <c r="AL2285" s="86"/>
    </row>
    <row r="2286" spans="38:38" x14ac:dyDescent="0.35">
      <c r="AL2286" s="86"/>
    </row>
    <row r="2287" spans="38:38" x14ac:dyDescent="0.35">
      <c r="AL2287" s="86"/>
    </row>
    <row r="2288" spans="38:38" x14ac:dyDescent="0.35">
      <c r="AL2288" s="86"/>
    </row>
    <row r="2289" spans="38:38" x14ac:dyDescent="0.35">
      <c r="AL2289" s="86"/>
    </row>
    <row r="2290" spans="38:38" x14ac:dyDescent="0.35">
      <c r="AL2290" s="86"/>
    </row>
    <row r="2291" spans="38:38" x14ac:dyDescent="0.35">
      <c r="AL2291" s="86"/>
    </row>
    <row r="2292" spans="38:38" x14ac:dyDescent="0.35">
      <c r="AL2292" s="86"/>
    </row>
    <row r="2293" spans="38:38" x14ac:dyDescent="0.35">
      <c r="AL2293" s="86"/>
    </row>
    <row r="2294" spans="38:38" x14ac:dyDescent="0.35">
      <c r="AL2294" s="86"/>
    </row>
    <row r="2295" spans="38:38" x14ac:dyDescent="0.35">
      <c r="AL2295" s="86"/>
    </row>
    <row r="2296" spans="38:38" x14ac:dyDescent="0.35">
      <c r="AL2296" s="86"/>
    </row>
    <row r="2297" spans="38:38" x14ac:dyDescent="0.35">
      <c r="AL2297" s="86"/>
    </row>
    <row r="2298" spans="38:38" x14ac:dyDescent="0.35">
      <c r="AL2298" s="86"/>
    </row>
    <row r="2299" spans="38:38" x14ac:dyDescent="0.35">
      <c r="AL2299" s="86"/>
    </row>
    <row r="2300" spans="38:38" x14ac:dyDescent="0.35">
      <c r="AL2300" s="86"/>
    </row>
    <row r="2301" spans="38:38" x14ac:dyDescent="0.35">
      <c r="AL2301" s="86"/>
    </row>
    <row r="2302" spans="38:38" x14ac:dyDescent="0.35">
      <c r="AL2302" s="86"/>
    </row>
    <row r="2303" spans="38:38" x14ac:dyDescent="0.35">
      <c r="AL2303" s="86"/>
    </row>
    <row r="2304" spans="38:38" x14ac:dyDescent="0.35">
      <c r="AL2304" s="86"/>
    </row>
    <row r="2305" spans="38:38" x14ac:dyDescent="0.35">
      <c r="AL2305" s="86"/>
    </row>
    <row r="2306" spans="38:38" x14ac:dyDescent="0.35">
      <c r="AL2306" s="86"/>
    </row>
    <row r="2307" spans="38:38" x14ac:dyDescent="0.35">
      <c r="AL2307" s="86"/>
    </row>
    <row r="2308" spans="38:38" x14ac:dyDescent="0.35">
      <c r="AL2308" s="86"/>
    </row>
    <row r="2309" spans="38:38" x14ac:dyDescent="0.35">
      <c r="AL2309" s="86"/>
    </row>
    <row r="2310" spans="38:38" x14ac:dyDescent="0.35">
      <c r="AL2310" s="86"/>
    </row>
    <row r="2311" spans="38:38" x14ac:dyDescent="0.35">
      <c r="AL2311" s="86"/>
    </row>
    <row r="2312" spans="38:38" x14ac:dyDescent="0.35">
      <c r="AL2312" s="86"/>
    </row>
    <row r="2313" spans="38:38" x14ac:dyDescent="0.35">
      <c r="AL2313" s="86"/>
    </row>
    <row r="2314" spans="38:38" x14ac:dyDescent="0.35">
      <c r="AL2314" s="86"/>
    </row>
    <row r="2315" spans="38:38" x14ac:dyDescent="0.35">
      <c r="AL2315" s="86"/>
    </row>
    <row r="2316" spans="38:38" x14ac:dyDescent="0.35">
      <c r="AL2316" s="86"/>
    </row>
    <row r="2317" spans="38:38" x14ac:dyDescent="0.35">
      <c r="AL2317" s="86"/>
    </row>
    <row r="2318" spans="38:38" x14ac:dyDescent="0.35">
      <c r="AL2318" s="86"/>
    </row>
    <row r="2319" spans="38:38" x14ac:dyDescent="0.35">
      <c r="AL2319" s="86"/>
    </row>
    <row r="2320" spans="38:38" x14ac:dyDescent="0.35">
      <c r="AL2320" s="86"/>
    </row>
    <row r="2321" spans="38:38" x14ac:dyDescent="0.35">
      <c r="AL2321" s="86"/>
    </row>
    <row r="2322" spans="38:38" x14ac:dyDescent="0.35">
      <c r="AL2322" s="86"/>
    </row>
    <row r="2323" spans="38:38" x14ac:dyDescent="0.35">
      <c r="AL2323" s="86"/>
    </row>
    <row r="2324" spans="38:38" x14ac:dyDescent="0.35">
      <c r="AL2324" s="86"/>
    </row>
    <row r="2325" spans="38:38" x14ac:dyDescent="0.35">
      <c r="AL2325" s="86"/>
    </row>
    <row r="2326" spans="38:38" x14ac:dyDescent="0.35">
      <c r="AL2326" s="86"/>
    </row>
    <row r="2327" spans="38:38" x14ac:dyDescent="0.35">
      <c r="AL2327" s="86"/>
    </row>
    <row r="2328" spans="38:38" x14ac:dyDescent="0.35">
      <c r="AL2328" s="86"/>
    </row>
    <row r="2329" spans="38:38" x14ac:dyDescent="0.35">
      <c r="AL2329" s="86"/>
    </row>
    <row r="2330" spans="38:38" x14ac:dyDescent="0.35">
      <c r="AL2330" s="86"/>
    </row>
    <row r="2331" spans="38:38" x14ac:dyDescent="0.35">
      <c r="AL2331" s="86"/>
    </row>
    <row r="2332" spans="38:38" x14ac:dyDescent="0.35">
      <c r="AL2332" s="86"/>
    </row>
    <row r="2333" spans="38:38" x14ac:dyDescent="0.35">
      <c r="AL2333" s="86"/>
    </row>
    <row r="2334" spans="38:38" x14ac:dyDescent="0.35">
      <c r="AL2334" s="86"/>
    </row>
    <row r="2335" spans="38:38" x14ac:dyDescent="0.35">
      <c r="AL2335" s="86"/>
    </row>
    <row r="2336" spans="38:38" x14ac:dyDescent="0.35">
      <c r="AL2336" s="86"/>
    </row>
    <row r="2337" spans="38:38" x14ac:dyDescent="0.35">
      <c r="AL2337" s="86"/>
    </row>
    <row r="2338" spans="38:38" x14ac:dyDescent="0.35">
      <c r="AL2338" s="86"/>
    </row>
    <row r="2339" spans="38:38" x14ac:dyDescent="0.35">
      <c r="AL2339" s="86"/>
    </row>
    <row r="2340" spans="38:38" x14ac:dyDescent="0.35">
      <c r="AL2340" s="86"/>
    </row>
    <row r="2341" spans="38:38" x14ac:dyDescent="0.35">
      <c r="AL2341" s="86"/>
    </row>
    <row r="2342" spans="38:38" x14ac:dyDescent="0.35">
      <c r="AL2342" s="86"/>
    </row>
    <row r="2343" spans="38:38" x14ac:dyDescent="0.35">
      <c r="AL2343" s="86"/>
    </row>
    <row r="2344" spans="38:38" x14ac:dyDescent="0.35">
      <c r="AL2344" s="86"/>
    </row>
    <row r="2345" spans="38:38" x14ac:dyDescent="0.35">
      <c r="AL2345" s="86"/>
    </row>
    <row r="2346" spans="38:38" x14ac:dyDescent="0.35">
      <c r="AL2346" s="86"/>
    </row>
    <row r="2347" spans="38:38" x14ac:dyDescent="0.35">
      <c r="AL2347" s="86"/>
    </row>
    <row r="2348" spans="38:38" x14ac:dyDescent="0.35">
      <c r="AL2348" s="86"/>
    </row>
    <row r="2349" spans="38:38" x14ac:dyDescent="0.35">
      <c r="AL2349" s="86"/>
    </row>
    <row r="2350" spans="38:38" x14ac:dyDescent="0.35">
      <c r="AL2350" s="86"/>
    </row>
    <row r="2351" spans="38:38" x14ac:dyDescent="0.35">
      <c r="AL2351" s="86"/>
    </row>
    <row r="2352" spans="38:38" x14ac:dyDescent="0.35">
      <c r="AL2352" s="86"/>
    </row>
    <row r="2353" spans="38:38" x14ac:dyDescent="0.35">
      <c r="AL2353" s="86"/>
    </row>
    <row r="2354" spans="38:38" x14ac:dyDescent="0.35">
      <c r="AL2354" s="86"/>
    </row>
    <row r="2355" spans="38:38" x14ac:dyDescent="0.35">
      <c r="AL2355" s="86"/>
    </row>
    <row r="2356" spans="38:38" x14ac:dyDescent="0.35">
      <c r="AL2356" s="86"/>
    </row>
    <row r="2357" spans="38:38" x14ac:dyDescent="0.35">
      <c r="AL2357" s="86"/>
    </row>
    <row r="2358" spans="38:38" x14ac:dyDescent="0.35">
      <c r="AL2358" s="86"/>
    </row>
    <row r="2359" spans="38:38" x14ac:dyDescent="0.35">
      <c r="AL2359" s="86"/>
    </row>
    <row r="2360" spans="38:38" x14ac:dyDescent="0.35">
      <c r="AL2360" s="86"/>
    </row>
    <row r="2361" spans="38:38" x14ac:dyDescent="0.35">
      <c r="AL2361" s="86"/>
    </row>
    <row r="2362" spans="38:38" x14ac:dyDescent="0.35">
      <c r="AL2362" s="86"/>
    </row>
    <row r="2363" spans="38:38" x14ac:dyDescent="0.35">
      <c r="AL2363" s="86"/>
    </row>
    <row r="2364" spans="38:38" x14ac:dyDescent="0.35">
      <c r="AL2364" s="86"/>
    </row>
    <row r="2365" spans="38:38" x14ac:dyDescent="0.35">
      <c r="AL2365" s="86"/>
    </row>
    <row r="2366" spans="38:38" x14ac:dyDescent="0.35">
      <c r="AL2366" s="86"/>
    </row>
    <row r="2367" spans="38:38" x14ac:dyDescent="0.35">
      <c r="AL2367" s="86"/>
    </row>
    <row r="2368" spans="38:38" x14ac:dyDescent="0.35">
      <c r="AL2368" s="86"/>
    </row>
    <row r="2369" spans="38:38" x14ac:dyDescent="0.35">
      <c r="AL2369" s="86"/>
    </row>
    <row r="2370" spans="38:38" x14ac:dyDescent="0.35">
      <c r="AL2370" s="86"/>
    </row>
    <row r="2371" spans="38:38" x14ac:dyDescent="0.35">
      <c r="AL2371" s="86"/>
    </row>
    <row r="2372" spans="38:38" x14ac:dyDescent="0.35">
      <c r="AL2372" s="86"/>
    </row>
    <row r="2373" spans="38:38" x14ac:dyDescent="0.35">
      <c r="AL2373" s="86"/>
    </row>
    <row r="2374" spans="38:38" x14ac:dyDescent="0.35">
      <c r="AL2374" s="86"/>
    </row>
    <row r="2375" spans="38:38" x14ac:dyDescent="0.35">
      <c r="AL2375" s="86"/>
    </row>
    <row r="2376" spans="38:38" x14ac:dyDescent="0.35">
      <c r="AL2376" s="86"/>
    </row>
    <row r="2377" spans="38:38" x14ac:dyDescent="0.35">
      <c r="AL2377" s="86"/>
    </row>
    <row r="2378" spans="38:38" x14ac:dyDescent="0.35">
      <c r="AL2378" s="86"/>
    </row>
    <row r="2379" spans="38:38" x14ac:dyDescent="0.35">
      <c r="AL2379" s="86"/>
    </row>
    <row r="2380" spans="38:38" x14ac:dyDescent="0.35">
      <c r="AL2380" s="86"/>
    </row>
    <row r="2381" spans="38:38" x14ac:dyDescent="0.35">
      <c r="AL2381" s="86"/>
    </row>
    <row r="2382" spans="38:38" x14ac:dyDescent="0.35">
      <c r="AL2382" s="86"/>
    </row>
    <row r="2383" spans="38:38" x14ac:dyDescent="0.35">
      <c r="AL2383" s="86"/>
    </row>
    <row r="2384" spans="38:38" x14ac:dyDescent="0.35">
      <c r="AL2384" s="86"/>
    </row>
    <row r="2385" spans="38:38" x14ac:dyDescent="0.35">
      <c r="AL2385" s="86"/>
    </row>
    <row r="2386" spans="38:38" x14ac:dyDescent="0.35">
      <c r="AL2386" s="86"/>
    </row>
    <row r="2387" spans="38:38" x14ac:dyDescent="0.35">
      <c r="AL2387" s="86"/>
    </row>
    <row r="2388" spans="38:38" x14ac:dyDescent="0.35">
      <c r="AL2388" s="86"/>
    </row>
    <row r="2389" spans="38:38" x14ac:dyDescent="0.35">
      <c r="AL2389" s="86"/>
    </row>
    <row r="2390" spans="38:38" x14ac:dyDescent="0.35">
      <c r="AL2390" s="86"/>
    </row>
    <row r="2391" spans="38:38" x14ac:dyDescent="0.35">
      <c r="AL2391" s="86"/>
    </row>
    <row r="2392" spans="38:38" x14ac:dyDescent="0.35">
      <c r="AL2392" s="86"/>
    </row>
    <row r="2393" spans="38:38" x14ac:dyDescent="0.35">
      <c r="AL2393" s="86"/>
    </row>
    <row r="2394" spans="38:38" x14ac:dyDescent="0.35">
      <c r="AL2394" s="86"/>
    </row>
    <row r="2395" spans="38:38" x14ac:dyDescent="0.35">
      <c r="AL2395" s="86"/>
    </row>
    <row r="2396" spans="38:38" x14ac:dyDescent="0.35">
      <c r="AL2396" s="86"/>
    </row>
    <row r="2397" spans="38:38" x14ac:dyDescent="0.35">
      <c r="AL2397" s="86"/>
    </row>
    <row r="2398" spans="38:38" x14ac:dyDescent="0.35">
      <c r="AL2398" s="86"/>
    </row>
    <row r="2399" spans="38:38" x14ac:dyDescent="0.35">
      <c r="AL2399" s="86"/>
    </row>
    <row r="2400" spans="38:38" x14ac:dyDescent="0.35">
      <c r="AL2400" s="86"/>
    </row>
    <row r="2401" spans="38:38" x14ac:dyDescent="0.35">
      <c r="AL2401" s="86"/>
    </row>
    <row r="2402" spans="38:38" x14ac:dyDescent="0.35">
      <c r="AL2402" s="86"/>
    </row>
    <row r="2403" spans="38:38" x14ac:dyDescent="0.35">
      <c r="AL2403" s="86"/>
    </row>
    <row r="2404" spans="38:38" x14ac:dyDescent="0.35">
      <c r="AL2404" s="86"/>
    </row>
    <row r="2405" spans="38:38" x14ac:dyDescent="0.35">
      <c r="AL2405" s="86"/>
    </row>
    <row r="2406" spans="38:38" x14ac:dyDescent="0.35">
      <c r="AL2406" s="86"/>
    </row>
    <row r="2407" spans="38:38" x14ac:dyDescent="0.35">
      <c r="AL2407" s="86"/>
    </row>
    <row r="2408" spans="38:38" x14ac:dyDescent="0.35">
      <c r="AL2408" s="86"/>
    </row>
    <row r="2409" spans="38:38" x14ac:dyDescent="0.35">
      <c r="AL2409" s="86"/>
    </row>
    <row r="2410" spans="38:38" x14ac:dyDescent="0.35">
      <c r="AL2410" s="86"/>
    </row>
    <row r="2411" spans="38:38" x14ac:dyDescent="0.35">
      <c r="AL2411" s="86"/>
    </row>
    <row r="2412" spans="38:38" x14ac:dyDescent="0.35">
      <c r="AL2412" s="86"/>
    </row>
    <row r="2413" spans="38:38" x14ac:dyDescent="0.35">
      <c r="AL2413" s="86"/>
    </row>
    <row r="2414" spans="38:38" x14ac:dyDescent="0.35">
      <c r="AL2414" s="86"/>
    </row>
    <row r="2415" spans="38:38" x14ac:dyDescent="0.35">
      <c r="AL2415" s="86"/>
    </row>
    <row r="2416" spans="38:38" x14ac:dyDescent="0.35">
      <c r="AL2416" s="86"/>
    </row>
    <row r="2417" spans="38:38" x14ac:dyDescent="0.35">
      <c r="AL2417" s="86"/>
    </row>
    <row r="2418" spans="38:38" x14ac:dyDescent="0.35">
      <c r="AL2418" s="86"/>
    </row>
    <row r="2419" spans="38:38" x14ac:dyDescent="0.35">
      <c r="AL2419" s="86"/>
    </row>
    <row r="2420" spans="38:38" x14ac:dyDescent="0.35">
      <c r="AL2420" s="86"/>
    </row>
    <row r="2421" spans="38:38" x14ac:dyDescent="0.35">
      <c r="AL2421" s="86"/>
    </row>
    <row r="2422" spans="38:38" x14ac:dyDescent="0.35">
      <c r="AL2422" s="86"/>
    </row>
    <row r="2423" spans="38:38" x14ac:dyDescent="0.35">
      <c r="AL2423" s="86"/>
    </row>
    <row r="2424" spans="38:38" x14ac:dyDescent="0.35">
      <c r="AL2424" s="86"/>
    </row>
    <row r="2425" spans="38:38" x14ac:dyDescent="0.35">
      <c r="AL2425" s="86"/>
    </row>
    <row r="2426" spans="38:38" x14ac:dyDescent="0.35">
      <c r="AL2426" s="86"/>
    </row>
    <row r="2427" spans="38:38" x14ac:dyDescent="0.35">
      <c r="AL2427" s="86"/>
    </row>
    <row r="2428" spans="38:38" x14ac:dyDescent="0.35">
      <c r="AL2428" s="86"/>
    </row>
    <row r="2429" spans="38:38" x14ac:dyDescent="0.35">
      <c r="AL2429" s="86"/>
    </row>
    <row r="2430" spans="38:38" x14ac:dyDescent="0.35">
      <c r="AL2430" s="86"/>
    </row>
    <row r="2431" spans="38:38" x14ac:dyDescent="0.35">
      <c r="AL2431" s="86"/>
    </row>
    <row r="2432" spans="38:38" x14ac:dyDescent="0.35">
      <c r="AL2432" s="86"/>
    </row>
    <row r="2433" spans="38:38" x14ac:dyDescent="0.35">
      <c r="AL2433" s="86"/>
    </row>
    <row r="2434" spans="38:38" x14ac:dyDescent="0.35">
      <c r="AL2434" s="86"/>
    </row>
    <row r="2435" spans="38:38" x14ac:dyDescent="0.35">
      <c r="AL2435" s="86"/>
    </row>
    <row r="2436" spans="38:38" x14ac:dyDescent="0.35">
      <c r="AL2436" s="86"/>
    </row>
    <row r="2437" spans="38:38" x14ac:dyDescent="0.35">
      <c r="AL2437" s="86"/>
    </row>
    <row r="2438" spans="38:38" x14ac:dyDescent="0.35">
      <c r="AL2438" s="86"/>
    </row>
    <row r="2439" spans="38:38" x14ac:dyDescent="0.35">
      <c r="AL2439" s="86"/>
    </row>
    <row r="2440" spans="38:38" x14ac:dyDescent="0.35">
      <c r="AL2440" s="86"/>
    </row>
    <row r="2441" spans="38:38" x14ac:dyDescent="0.35">
      <c r="AL2441" s="86"/>
    </row>
    <row r="2442" spans="38:38" x14ac:dyDescent="0.35">
      <c r="AL2442" s="86"/>
    </row>
    <row r="2443" spans="38:38" x14ac:dyDescent="0.35">
      <c r="AL2443" s="86"/>
    </row>
    <row r="2444" spans="38:38" x14ac:dyDescent="0.35">
      <c r="AL2444" s="86"/>
    </row>
    <row r="2445" spans="38:38" x14ac:dyDescent="0.35">
      <c r="AL2445" s="86"/>
    </row>
    <row r="2446" spans="38:38" x14ac:dyDescent="0.35">
      <c r="AL2446" s="86"/>
    </row>
    <row r="2447" spans="38:38" x14ac:dyDescent="0.35">
      <c r="AL2447" s="86"/>
    </row>
    <row r="2448" spans="38:38" x14ac:dyDescent="0.35">
      <c r="AL2448" s="86"/>
    </row>
    <row r="2449" spans="38:38" x14ac:dyDescent="0.35">
      <c r="AL2449" s="86"/>
    </row>
    <row r="2450" spans="38:38" x14ac:dyDescent="0.35">
      <c r="AL2450" s="86"/>
    </row>
    <row r="2451" spans="38:38" x14ac:dyDescent="0.35">
      <c r="AL2451" s="86"/>
    </row>
    <row r="2452" spans="38:38" x14ac:dyDescent="0.35">
      <c r="AL2452" s="86"/>
    </row>
    <row r="2453" spans="38:38" x14ac:dyDescent="0.35">
      <c r="AL2453" s="86"/>
    </row>
    <row r="2454" spans="38:38" x14ac:dyDescent="0.35">
      <c r="AL2454" s="86"/>
    </row>
    <row r="2455" spans="38:38" x14ac:dyDescent="0.35">
      <c r="AL2455" s="86"/>
    </row>
    <row r="2456" spans="38:38" x14ac:dyDescent="0.35">
      <c r="AL2456" s="86"/>
    </row>
    <row r="2457" spans="38:38" x14ac:dyDescent="0.35">
      <c r="AL2457" s="86"/>
    </row>
    <row r="2458" spans="38:38" x14ac:dyDescent="0.35">
      <c r="AL2458" s="86"/>
    </row>
    <row r="2459" spans="38:38" x14ac:dyDescent="0.35">
      <c r="AL2459" s="86"/>
    </row>
    <row r="2460" spans="38:38" x14ac:dyDescent="0.35">
      <c r="AL2460" s="86"/>
    </row>
    <row r="2461" spans="38:38" x14ac:dyDescent="0.35">
      <c r="AL2461" s="86"/>
    </row>
    <row r="2462" spans="38:38" x14ac:dyDescent="0.35">
      <c r="AL2462" s="86"/>
    </row>
    <row r="2463" spans="38:38" x14ac:dyDescent="0.35">
      <c r="AL2463" s="86"/>
    </row>
    <row r="2464" spans="38:38" x14ac:dyDescent="0.35">
      <c r="AL2464" s="86"/>
    </row>
    <row r="2465" spans="38:38" x14ac:dyDescent="0.35">
      <c r="AL2465" s="86"/>
    </row>
    <row r="2466" spans="38:38" x14ac:dyDescent="0.35">
      <c r="AL2466" s="86"/>
    </row>
    <row r="2467" spans="38:38" x14ac:dyDescent="0.35">
      <c r="AL2467" s="86"/>
    </row>
    <row r="2468" spans="38:38" x14ac:dyDescent="0.35">
      <c r="AL2468" s="86"/>
    </row>
    <row r="2469" spans="38:38" x14ac:dyDescent="0.35">
      <c r="AL2469" s="86"/>
    </row>
    <row r="2470" spans="38:38" x14ac:dyDescent="0.35">
      <c r="AL2470" s="86"/>
    </row>
    <row r="2471" spans="38:38" x14ac:dyDescent="0.35">
      <c r="AL2471" s="86"/>
    </row>
    <row r="2472" spans="38:38" x14ac:dyDescent="0.35">
      <c r="AL2472" s="86"/>
    </row>
    <row r="2473" spans="38:38" x14ac:dyDescent="0.35">
      <c r="AL2473" s="86"/>
    </row>
    <row r="2474" spans="38:38" x14ac:dyDescent="0.35">
      <c r="AL2474" s="86"/>
    </row>
    <row r="2475" spans="38:38" x14ac:dyDescent="0.35">
      <c r="AL2475" s="86"/>
    </row>
    <row r="2476" spans="38:38" x14ac:dyDescent="0.35">
      <c r="AL2476" s="86"/>
    </row>
    <row r="2477" spans="38:38" x14ac:dyDescent="0.35">
      <c r="AL2477" s="86"/>
    </row>
    <row r="2478" spans="38:38" x14ac:dyDescent="0.35">
      <c r="AL2478" s="86"/>
    </row>
    <row r="2479" spans="38:38" x14ac:dyDescent="0.35">
      <c r="AL2479" s="86"/>
    </row>
    <row r="2480" spans="38:38" x14ac:dyDescent="0.35">
      <c r="AL2480" s="86"/>
    </row>
    <row r="2481" spans="38:38" x14ac:dyDescent="0.35">
      <c r="AL2481" s="86"/>
    </row>
    <row r="2482" spans="38:38" x14ac:dyDescent="0.35">
      <c r="AL2482" s="86"/>
    </row>
    <row r="2483" spans="38:38" x14ac:dyDescent="0.35">
      <c r="AL2483" s="86"/>
    </row>
    <row r="2484" spans="38:38" x14ac:dyDescent="0.35">
      <c r="AL2484" s="86"/>
    </row>
    <row r="2485" spans="38:38" x14ac:dyDescent="0.35">
      <c r="AL2485" s="86"/>
    </row>
    <row r="2486" spans="38:38" x14ac:dyDescent="0.35">
      <c r="AL2486" s="86"/>
    </row>
    <row r="2487" spans="38:38" x14ac:dyDescent="0.35">
      <c r="AL2487" s="86"/>
    </row>
    <row r="2488" spans="38:38" x14ac:dyDescent="0.35">
      <c r="AL2488" s="86"/>
    </row>
    <row r="2489" spans="38:38" x14ac:dyDescent="0.35">
      <c r="AL2489" s="86"/>
    </row>
    <row r="2490" spans="38:38" x14ac:dyDescent="0.35">
      <c r="AL2490" s="86"/>
    </row>
    <row r="2491" spans="38:38" x14ac:dyDescent="0.35">
      <c r="AL2491" s="86"/>
    </row>
    <row r="2492" spans="38:38" x14ac:dyDescent="0.35">
      <c r="AL2492" s="86"/>
    </row>
    <row r="2493" spans="38:38" x14ac:dyDescent="0.35">
      <c r="AL2493" s="86"/>
    </row>
    <row r="2494" spans="38:38" x14ac:dyDescent="0.35">
      <c r="AL2494" s="86"/>
    </row>
    <row r="2495" spans="38:38" x14ac:dyDescent="0.35">
      <c r="AL2495" s="86"/>
    </row>
    <row r="2496" spans="38:38" x14ac:dyDescent="0.35">
      <c r="AL2496" s="86"/>
    </row>
    <row r="2497" spans="38:38" x14ac:dyDescent="0.35">
      <c r="AL2497" s="86"/>
    </row>
    <row r="2498" spans="38:38" x14ac:dyDescent="0.35">
      <c r="AL2498" s="86"/>
    </row>
    <row r="2499" spans="38:38" x14ac:dyDescent="0.35">
      <c r="AL2499" s="86"/>
    </row>
    <row r="2500" spans="38:38" x14ac:dyDescent="0.35">
      <c r="AL2500" s="86"/>
    </row>
    <row r="2501" spans="38:38" x14ac:dyDescent="0.35">
      <c r="AL2501" s="86"/>
    </row>
    <row r="2502" spans="38:38" x14ac:dyDescent="0.35">
      <c r="AL2502" s="86"/>
    </row>
    <row r="2503" spans="38:38" x14ac:dyDescent="0.35">
      <c r="AL2503" s="86"/>
    </row>
    <row r="2504" spans="38:38" x14ac:dyDescent="0.35">
      <c r="AL2504" s="86"/>
    </row>
    <row r="2505" spans="38:38" x14ac:dyDescent="0.35">
      <c r="AL2505" s="86"/>
    </row>
    <row r="2506" spans="38:38" x14ac:dyDescent="0.35">
      <c r="AL2506" s="86"/>
    </row>
    <row r="2507" spans="38:38" x14ac:dyDescent="0.35">
      <c r="AL2507" s="86"/>
    </row>
    <row r="2508" spans="38:38" x14ac:dyDescent="0.35">
      <c r="AL2508" s="86"/>
    </row>
    <row r="2509" spans="38:38" x14ac:dyDescent="0.35">
      <c r="AL2509" s="86"/>
    </row>
    <row r="2510" spans="38:38" x14ac:dyDescent="0.35">
      <c r="AL2510" s="86"/>
    </row>
    <row r="2511" spans="38:38" x14ac:dyDescent="0.35">
      <c r="AL2511" s="86"/>
    </row>
    <row r="2512" spans="38:38" x14ac:dyDescent="0.35">
      <c r="AL2512" s="86"/>
    </row>
    <row r="2513" spans="38:38" x14ac:dyDescent="0.35">
      <c r="AL2513" s="86"/>
    </row>
    <row r="2514" spans="38:38" x14ac:dyDescent="0.35">
      <c r="AL2514" s="86"/>
    </row>
    <row r="2515" spans="38:38" x14ac:dyDescent="0.35">
      <c r="AL2515" s="86"/>
    </row>
    <row r="2516" spans="38:38" x14ac:dyDescent="0.35">
      <c r="AL2516" s="86"/>
    </row>
    <row r="2517" spans="38:38" x14ac:dyDescent="0.35">
      <c r="AL2517" s="86"/>
    </row>
    <row r="2518" spans="38:38" x14ac:dyDescent="0.35">
      <c r="AL2518" s="86"/>
    </row>
    <row r="2519" spans="38:38" x14ac:dyDescent="0.35">
      <c r="AL2519" s="86"/>
    </row>
    <row r="2520" spans="38:38" x14ac:dyDescent="0.35">
      <c r="AL2520" s="86"/>
    </row>
    <row r="2521" spans="38:38" x14ac:dyDescent="0.35">
      <c r="AL2521" s="86"/>
    </row>
    <row r="2522" spans="38:38" x14ac:dyDescent="0.35">
      <c r="AL2522" s="86"/>
    </row>
    <row r="2523" spans="38:38" x14ac:dyDescent="0.35">
      <c r="AL2523" s="86"/>
    </row>
    <row r="2524" spans="38:38" x14ac:dyDescent="0.35">
      <c r="AL2524" s="86"/>
    </row>
    <row r="2525" spans="38:38" x14ac:dyDescent="0.35">
      <c r="AL2525" s="86"/>
    </row>
    <row r="2526" spans="38:38" x14ac:dyDescent="0.35">
      <c r="AL2526" s="86"/>
    </row>
    <row r="2527" spans="38:38" x14ac:dyDescent="0.35">
      <c r="AL2527" s="86"/>
    </row>
    <row r="2528" spans="38:38" x14ac:dyDescent="0.35">
      <c r="AL2528" s="86"/>
    </row>
    <row r="2529" spans="38:38" x14ac:dyDescent="0.35">
      <c r="AL2529" s="86"/>
    </row>
    <row r="2530" spans="38:38" x14ac:dyDescent="0.35">
      <c r="AL2530" s="86"/>
    </row>
    <row r="2531" spans="38:38" x14ac:dyDescent="0.35">
      <c r="AL2531" s="86"/>
    </row>
    <row r="2532" spans="38:38" x14ac:dyDescent="0.35">
      <c r="AL2532" s="86"/>
    </row>
    <row r="2533" spans="38:38" x14ac:dyDescent="0.35">
      <c r="AL2533" s="86"/>
    </row>
    <row r="2534" spans="38:38" x14ac:dyDescent="0.35">
      <c r="AL2534" s="86"/>
    </row>
    <row r="2535" spans="38:38" x14ac:dyDescent="0.35">
      <c r="AL2535" s="86"/>
    </row>
    <row r="2536" spans="38:38" x14ac:dyDescent="0.35">
      <c r="AL2536" s="86"/>
    </row>
    <row r="2537" spans="38:38" x14ac:dyDescent="0.35">
      <c r="AL2537" s="86"/>
    </row>
    <row r="2538" spans="38:38" x14ac:dyDescent="0.35">
      <c r="AL2538" s="86"/>
    </row>
    <row r="2539" spans="38:38" x14ac:dyDescent="0.35">
      <c r="AL2539" s="86"/>
    </row>
    <row r="2540" spans="38:38" x14ac:dyDescent="0.35">
      <c r="AL2540" s="86"/>
    </row>
    <row r="2541" spans="38:38" x14ac:dyDescent="0.35">
      <c r="AL2541" s="86"/>
    </row>
    <row r="2542" spans="38:38" x14ac:dyDescent="0.35">
      <c r="AL2542" s="86"/>
    </row>
    <row r="2543" spans="38:38" x14ac:dyDescent="0.35">
      <c r="AL2543" s="86"/>
    </row>
    <row r="2544" spans="38:38" x14ac:dyDescent="0.35">
      <c r="AL2544" s="86"/>
    </row>
    <row r="2545" spans="38:38" x14ac:dyDescent="0.35">
      <c r="AL2545" s="86"/>
    </row>
    <row r="2546" spans="38:38" x14ac:dyDescent="0.35">
      <c r="AL2546" s="86"/>
    </row>
    <row r="2547" spans="38:38" x14ac:dyDescent="0.35">
      <c r="AL2547" s="86"/>
    </row>
    <row r="2548" spans="38:38" x14ac:dyDescent="0.35">
      <c r="AL2548" s="86"/>
    </row>
    <row r="2549" spans="38:38" x14ac:dyDescent="0.35">
      <c r="AL2549" s="86"/>
    </row>
    <row r="2550" spans="38:38" x14ac:dyDescent="0.35">
      <c r="AL2550" s="86"/>
    </row>
    <row r="2551" spans="38:38" x14ac:dyDescent="0.35">
      <c r="AL2551" s="86"/>
    </row>
    <row r="2552" spans="38:38" x14ac:dyDescent="0.35">
      <c r="AL2552" s="86"/>
    </row>
    <row r="2553" spans="38:38" x14ac:dyDescent="0.35">
      <c r="AL2553" s="86"/>
    </row>
    <row r="2554" spans="38:38" x14ac:dyDescent="0.35">
      <c r="AL2554" s="86"/>
    </row>
    <row r="2555" spans="38:38" x14ac:dyDescent="0.35">
      <c r="AL2555" s="86"/>
    </row>
    <row r="2556" spans="38:38" x14ac:dyDescent="0.35">
      <c r="AL2556" s="86"/>
    </row>
    <row r="2557" spans="38:38" x14ac:dyDescent="0.35">
      <c r="AL2557" s="86"/>
    </row>
    <row r="2558" spans="38:38" x14ac:dyDescent="0.35">
      <c r="AL2558" s="86"/>
    </row>
    <row r="2559" spans="38:38" x14ac:dyDescent="0.35">
      <c r="AL2559" s="86"/>
    </row>
    <row r="2560" spans="38:38" x14ac:dyDescent="0.35">
      <c r="AL2560" s="86"/>
    </row>
    <row r="2561" spans="38:38" x14ac:dyDescent="0.35">
      <c r="AL2561" s="86"/>
    </row>
    <row r="2562" spans="38:38" x14ac:dyDescent="0.35">
      <c r="AL2562" s="86"/>
    </row>
    <row r="2563" spans="38:38" x14ac:dyDescent="0.35">
      <c r="AL2563" s="86"/>
    </row>
    <row r="2564" spans="38:38" x14ac:dyDescent="0.35">
      <c r="AL2564" s="86"/>
    </row>
    <row r="2565" spans="38:38" x14ac:dyDescent="0.35">
      <c r="AL2565" s="86"/>
    </row>
    <row r="2566" spans="38:38" x14ac:dyDescent="0.35">
      <c r="AL2566" s="86"/>
    </row>
    <row r="2567" spans="38:38" x14ac:dyDescent="0.35">
      <c r="AL2567" s="86"/>
    </row>
    <row r="2568" spans="38:38" x14ac:dyDescent="0.35">
      <c r="AL2568" s="86"/>
    </row>
    <row r="2569" spans="38:38" x14ac:dyDescent="0.35">
      <c r="AL2569" s="86"/>
    </row>
    <row r="2570" spans="38:38" x14ac:dyDescent="0.35">
      <c r="AL2570" s="86"/>
    </row>
    <row r="2571" spans="38:38" x14ac:dyDescent="0.35">
      <c r="AL2571" s="86"/>
    </row>
    <row r="2572" spans="38:38" x14ac:dyDescent="0.35">
      <c r="AL2572" s="86"/>
    </row>
    <row r="2573" spans="38:38" x14ac:dyDescent="0.35">
      <c r="AL2573" s="86"/>
    </row>
    <row r="2574" spans="38:38" x14ac:dyDescent="0.35">
      <c r="AL2574" s="86"/>
    </row>
    <row r="2575" spans="38:38" x14ac:dyDescent="0.35">
      <c r="AL2575" s="86"/>
    </row>
    <row r="2576" spans="38:38" x14ac:dyDescent="0.35">
      <c r="AL2576" s="86"/>
    </row>
    <row r="2577" spans="38:38" x14ac:dyDescent="0.35">
      <c r="AL2577" s="86"/>
    </row>
    <row r="2578" spans="38:38" x14ac:dyDescent="0.35">
      <c r="AL2578" s="86"/>
    </row>
    <row r="2579" spans="38:38" x14ac:dyDescent="0.35">
      <c r="AL2579" s="86"/>
    </row>
    <row r="2580" spans="38:38" x14ac:dyDescent="0.35">
      <c r="AL2580" s="86"/>
    </row>
    <row r="2581" spans="38:38" x14ac:dyDescent="0.35">
      <c r="AL2581" s="86"/>
    </row>
    <row r="2582" spans="38:38" x14ac:dyDescent="0.35">
      <c r="AL2582" s="86"/>
    </row>
    <row r="2583" spans="38:38" x14ac:dyDescent="0.35">
      <c r="AL2583" s="86"/>
    </row>
    <row r="2584" spans="38:38" x14ac:dyDescent="0.35">
      <c r="AL2584" s="86"/>
    </row>
    <row r="2585" spans="38:38" x14ac:dyDescent="0.35">
      <c r="AL2585" s="86"/>
    </row>
    <row r="2586" spans="38:38" x14ac:dyDescent="0.35">
      <c r="AL2586" s="86"/>
    </row>
    <row r="2587" spans="38:38" x14ac:dyDescent="0.35">
      <c r="AL2587" s="86"/>
    </row>
    <row r="2588" spans="38:38" x14ac:dyDescent="0.35">
      <c r="AL2588" s="86"/>
    </row>
    <row r="2589" spans="38:38" x14ac:dyDescent="0.35">
      <c r="AL2589" s="86"/>
    </row>
    <row r="2590" spans="38:38" x14ac:dyDescent="0.35">
      <c r="AL2590" s="86"/>
    </row>
    <row r="2591" spans="38:38" x14ac:dyDescent="0.35">
      <c r="AL2591" s="86"/>
    </row>
    <row r="2592" spans="38:38" x14ac:dyDescent="0.35">
      <c r="AL2592" s="86"/>
    </row>
    <row r="2593" spans="38:38" x14ac:dyDescent="0.35">
      <c r="AL2593" s="86"/>
    </row>
    <row r="2594" spans="38:38" x14ac:dyDescent="0.35">
      <c r="AL2594" s="86"/>
    </row>
    <row r="2595" spans="38:38" x14ac:dyDescent="0.35">
      <c r="AL2595" s="86"/>
    </row>
    <row r="2596" spans="38:38" x14ac:dyDescent="0.35">
      <c r="AL2596" s="86"/>
    </row>
    <row r="2597" spans="38:38" x14ac:dyDescent="0.35">
      <c r="AL2597" s="86"/>
    </row>
    <row r="2598" spans="38:38" x14ac:dyDescent="0.35">
      <c r="AL2598" s="86"/>
    </row>
    <row r="2599" spans="38:38" x14ac:dyDescent="0.35">
      <c r="AL2599" s="86"/>
    </row>
    <row r="2600" spans="38:38" x14ac:dyDescent="0.35">
      <c r="AL2600" s="86"/>
    </row>
    <row r="2601" spans="38:38" x14ac:dyDescent="0.35">
      <c r="AL2601" s="86"/>
    </row>
    <row r="2602" spans="38:38" x14ac:dyDescent="0.35">
      <c r="AL2602" s="86"/>
    </row>
    <row r="2603" spans="38:38" x14ac:dyDescent="0.35">
      <c r="AL2603" s="86"/>
    </row>
    <row r="2604" spans="38:38" x14ac:dyDescent="0.35">
      <c r="AL2604" s="86"/>
    </row>
    <row r="2605" spans="38:38" x14ac:dyDescent="0.35">
      <c r="AL2605" s="86"/>
    </row>
    <row r="2606" spans="38:38" x14ac:dyDescent="0.35">
      <c r="AL2606" s="86"/>
    </row>
    <row r="2607" spans="38:38" x14ac:dyDescent="0.35">
      <c r="AL2607" s="86"/>
    </row>
    <row r="2608" spans="38:38" x14ac:dyDescent="0.35">
      <c r="AL2608" s="86"/>
    </row>
    <row r="2609" spans="38:38" x14ac:dyDescent="0.35">
      <c r="AL2609" s="86"/>
    </row>
    <row r="2610" spans="38:38" x14ac:dyDescent="0.35">
      <c r="AL2610" s="86"/>
    </row>
    <row r="2611" spans="38:38" x14ac:dyDescent="0.35">
      <c r="AL2611" s="86"/>
    </row>
    <row r="2612" spans="38:38" x14ac:dyDescent="0.35">
      <c r="AL2612" s="86"/>
    </row>
    <row r="2613" spans="38:38" x14ac:dyDescent="0.35">
      <c r="AL2613" s="86"/>
    </row>
    <row r="2614" spans="38:38" x14ac:dyDescent="0.35">
      <c r="AL2614" s="86"/>
    </row>
    <row r="2615" spans="38:38" x14ac:dyDescent="0.35">
      <c r="AL2615" s="86"/>
    </row>
    <row r="2616" spans="38:38" x14ac:dyDescent="0.35">
      <c r="AL2616" s="86"/>
    </row>
    <row r="2617" spans="38:38" x14ac:dyDescent="0.35">
      <c r="AL2617" s="86"/>
    </row>
    <row r="2618" spans="38:38" x14ac:dyDescent="0.35">
      <c r="AL2618" s="86"/>
    </row>
    <row r="2619" spans="38:38" x14ac:dyDescent="0.35">
      <c r="AL2619" s="86"/>
    </row>
    <row r="2620" spans="38:38" x14ac:dyDescent="0.35">
      <c r="AL2620" s="86"/>
    </row>
    <row r="2621" spans="38:38" x14ac:dyDescent="0.35">
      <c r="AL2621" s="86"/>
    </row>
    <row r="2622" spans="38:38" x14ac:dyDescent="0.35">
      <c r="AL2622" s="86"/>
    </row>
    <row r="2623" spans="38:38" x14ac:dyDescent="0.35">
      <c r="AL2623" s="86"/>
    </row>
    <row r="2624" spans="38:38" x14ac:dyDescent="0.35">
      <c r="AL2624" s="86"/>
    </row>
    <row r="2625" spans="38:38" x14ac:dyDescent="0.35">
      <c r="AL2625" s="86"/>
    </row>
    <row r="2626" spans="38:38" x14ac:dyDescent="0.35">
      <c r="AL2626" s="86"/>
    </row>
    <row r="2627" spans="38:38" x14ac:dyDescent="0.35">
      <c r="AL2627" s="86"/>
    </row>
    <row r="2628" spans="38:38" x14ac:dyDescent="0.35">
      <c r="AL2628" s="86"/>
    </row>
    <row r="2629" spans="38:38" x14ac:dyDescent="0.35">
      <c r="AL2629" s="86"/>
    </row>
    <row r="2630" spans="38:38" x14ac:dyDescent="0.35">
      <c r="AL2630" s="86"/>
    </row>
    <row r="2631" spans="38:38" x14ac:dyDescent="0.35">
      <c r="AL2631" s="86"/>
    </row>
    <row r="2632" spans="38:38" x14ac:dyDescent="0.35">
      <c r="AL2632" s="86"/>
    </row>
    <row r="2633" spans="38:38" x14ac:dyDescent="0.35">
      <c r="AL2633" s="86"/>
    </row>
    <row r="2634" spans="38:38" x14ac:dyDescent="0.35">
      <c r="AL2634" s="86"/>
    </row>
    <row r="2635" spans="38:38" x14ac:dyDescent="0.35">
      <c r="AL2635" s="86"/>
    </row>
    <row r="2636" spans="38:38" x14ac:dyDescent="0.35">
      <c r="AL2636" s="86"/>
    </row>
    <row r="2637" spans="38:38" x14ac:dyDescent="0.35">
      <c r="AL2637" s="86"/>
    </row>
    <row r="2638" spans="38:38" x14ac:dyDescent="0.35">
      <c r="AL2638" s="86"/>
    </row>
    <row r="2639" spans="38:38" x14ac:dyDescent="0.35">
      <c r="AL2639" s="86"/>
    </row>
    <row r="2640" spans="38:38" x14ac:dyDescent="0.35">
      <c r="AL2640" s="86"/>
    </row>
    <row r="2641" spans="38:38" x14ac:dyDescent="0.35">
      <c r="AL2641" s="86"/>
    </row>
    <row r="2642" spans="38:38" x14ac:dyDescent="0.35">
      <c r="AL2642" s="86"/>
    </row>
    <row r="2643" spans="38:38" x14ac:dyDescent="0.35">
      <c r="AL2643" s="86"/>
    </row>
    <row r="2644" spans="38:38" x14ac:dyDescent="0.35">
      <c r="AL2644" s="86"/>
    </row>
    <row r="2645" spans="38:38" x14ac:dyDescent="0.35">
      <c r="AL2645" s="86"/>
    </row>
    <row r="2646" spans="38:38" x14ac:dyDescent="0.35">
      <c r="AL2646" s="86"/>
    </row>
    <row r="2647" spans="38:38" x14ac:dyDescent="0.35">
      <c r="AL2647" s="86"/>
    </row>
    <row r="2648" spans="38:38" x14ac:dyDescent="0.35">
      <c r="AL2648" s="86"/>
    </row>
    <row r="2649" spans="38:38" x14ac:dyDescent="0.35">
      <c r="AL2649" s="86"/>
    </row>
    <row r="2650" spans="38:38" x14ac:dyDescent="0.35">
      <c r="AL2650" s="86"/>
    </row>
    <row r="2651" spans="38:38" x14ac:dyDescent="0.35">
      <c r="AL2651" s="86"/>
    </row>
    <row r="2652" spans="38:38" x14ac:dyDescent="0.35">
      <c r="AL2652" s="86"/>
    </row>
    <row r="2653" spans="38:38" x14ac:dyDescent="0.35">
      <c r="AL2653" s="86"/>
    </row>
    <row r="2654" spans="38:38" x14ac:dyDescent="0.35">
      <c r="AL2654" s="86"/>
    </row>
    <row r="2655" spans="38:38" x14ac:dyDescent="0.35">
      <c r="AL2655" s="86"/>
    </row>
    <row r="2656" spans="38:38" x14ac:dyDescent="0.35">
      <c r="AL2656" s="86"/>
    </row>
    <row r="2657" spans="38:38" x14ac:dyDescent="0.35">
      <c r="AL2657" s="86"/>
    </row>
    <row r="2658" spans="38:38" x14ac:dyDescent="0.35">
      <c r="AL2658" s="86"/>
    </row>
    <row r="2659" spans="38:38" x14ac:dyDescent="0.35">
      <c r="AL2659" s="86"/>
    </row>
    <row r="2660" spans="38:38" x14ac:dyDescent="0.35">
      <c r="AL2660" s="86"/>
    </row>
    <row r="2661" spans="38:38" x14ac:dyDescent="0.35">
      <c r="AL2661" s="86"/>
    </row>
    <row r="2662" spans="38:38" x14ac:dyDescent="0.35">
      <c r="AL2662" s="86"/>
    </row>
    <row r="2663" spans="38:38" x14ac:dyDescent="0.35">
      <c r="AL2663" s="86"/>
    </row>
    <row r="2664" spans="38:38" x14ac:dyDescent="0.35">
      <c r="AL2664" s="86"/>
    </row>
    <row r="2665" spans="38:38" x14ac:dyDescent="0.35">
      <c r="AL2665" s="86"/>
    </row>
    <row r="2666" spans="38:38" x14ac:dyDescent="0.35">
      <c r="AL2666" s="86"/>
    </row>
    <row r="2667" spans="38:38" x14ac:dyDescent="0.35">
      <c r="AL2667" s="86"/>
    </row>
    <row r="2668" spans="38:38" x14ac:dyDescent="0.35">
      <c r="AL2668" s="86"/>
    </row>
    <row r="2669" spans="38:38" x14ac:dyDescent="0.35">
      <c r="AL2669" s="86"/>
    </row>
    <row r="2670" spans="38:38" x14ac:dyDescent="0.35">
      <c r="AL2670" s="86"/>
    </row>
    <row r="2671" spans="38:38" x14ac:dyDescent="0.35">
      <c r="AL2671" s="86"/>
    </row>
    <row r="2672" spans="38:38" x14ac:dyDescent="0.35">
      <c r="AL2672" s="86"/>
    </row>
    <row r="2673" spans="38:38" x14ac:dyDescent="0.35">
      <c r="AL2673" s="86"/>
    </row>
    <row r="2674" spans="38:38" x14ac:dyDescent="0.35">
      <c r="AL2674" s="86"/>
    </row>
    <row r="2675" spans="38:38" x14ac:dyDescent="0.35">
      <c r="AL2675" s="86"/>
    </row>
    <row r="2676" spans="38:38" x14ac:dyDescent="0.35">
      <c r="AL2676" s="86"/>
    </row>
    <row r="2677" spans="38:38" x14ac:dyDescent="0.35">
      <c r="AL2677" s="86"/>
    </row>
    <row r="2678" spans="38:38" x14ac:dyDescent="0.35">
      <c r="AL2678" s="86"/>
    </row>
    <row r="2679" spans="38:38" x14ac:dyDescent="0.35">
      <c r="AL2679" s="86"/>
    </row>
    <row r="2680" spans="38:38" x14ac:dyDescent="0.35">
      <c r="AL2680" s="86"/>
    </row>
    <row r="2681" spans="38:38" x14ac:dyDescent="0.35">
      <c r="AL2681" s="86"/>
    </row>
    <row r="2682" spans="38:38" x14ac:dyDescent="0.35">
      <c r="AL2682" s="86"/>
    </row>
    <row r="2683" spans="38:38" x14ac:dyDescent="0.35">
      <c r="AL2683" s="86"/>
    </row>
    <row r="2684" spans="38:38" x14ac:dyDescent="0.35">
      <c r="AL2684" s="86"/>
    </row>
    <row r="2685" spans="38:38" x14ac:dyDescent="0.35">
      <c r="AL2685" s="86"/>
    </row>
    <row r="2686" spans="38:38" x14ac:dyDescent="0.35">
      <c r="AL2686" s="86"/>
    </row>
    <row r="2687" spans="38:38" x14ac:dyDescent="0.35">
      <c r="AL2687" s="86"/>
    </row>
    <row r="2688" spans="38:38" x14ac:dyDescent="0.35">
      <c r="AL2688" s="86"/>
    </row>
    <row r="2689" spans="38:38" x14ac:dyDescent="0.35">
      <c r="AL2689" s="86"/>
    </row>
    <row r="2690" spans="38:38" x14ac:dyDescent="0.35">
      <c r="AL2690" s="86"/>
    </row>
    <row r="2691" spans="38:38" x14ac:dyDescent="0.35">
      <c r="AL2691" s="86"/>
    </row>
    <row r="2692" spans="38:38" x14ac:dyDescent="0.35">
      <c r="AL2692" s="86"/>
    </row>
    <row r="2693" spans="38:38" x14ac:dyDescent="0.35">
      <c r="AL2693" s="86"/>
    </row>
    <row r="2694" spans="38:38" x14ac:dyDescent="0.35">
      <c r="AL2694" s="86"/>
    </row>
    <row r="2695" spans="38:38" x14ac:dyDescent="0.35">
      <c r="AL2695" s="86"/>
    </row>
    <row r="2696" spans="38:38" x14ac:dyDescent="0.35">
      <c r="AL2696" s="86"/>
    </row>
    <row r="2697" spans="38:38" x14ac:dyDescent="0.35">
      <c r="AL2697" s="86"/>
    </row>
    <row r="2698" spans="38:38" x14ac:dyDescent="0.35">
      <c r="AL2698" s="86"/>
    </row>
    <row r="2699" spans="38:38" x14ac:dyDescent="0.35">
      <c r="AL2699" s="86"/>
    </row>
    <row r="2700" spans="38:38" x14ac:dyDescent="0.35">
      <c r="AL2700" s="86"/>
    </row>
    <row r="2701" spans="38:38" x14ac:dyDescent="0.35">
      <c r="AL2701" s="86"/>
    </row>
    <row r="2702" spans="38:38" x14ac:dyDescent="0.35">
      <c r="AL2702" s="86"/>
    </row>
    <row r="2703" spans="38:38" x14ac:dyDescent="0.35">
      <c r="AL2703" s="86"/>
    </row>
    <row r="2704" spans="38:38" x14ac:dyDescent="0.35">
      <c r="AL2704" s="86"/>
    </row>
    <row r="2705" spans="38:38" x14ac:dyDescent="0.35">
      <c r="AL2705" s="86"/>
    </row>
    <row r="2706" spans="38:38" x14ac:dyDescent="0.35">
      <c r="AL2706" s="86"/>
    </row>
    <row r="2707" spans="38:38" x14ac:dyDescent="0.35">
      <c r="AL2707" s="86"/>
    </row>
    <row r="2708" spans="38:38" x14ac:dyDescent="0.35">
      <c r="AL2708" s="86"/>
    </row>
    <row r="2709" spans="38:38" x14ac:dyDescent="0.35">
      <c r="AL2709" s="86"/>
    </row>
    <row r="2710" spans="38:38" x14ac:dyDescent="0.35">
      <c r="AL2710" s="86"/>
    </row>
    <row r="2711" spans="38:38" x14ac:dyDescent="0.35">
      <c r="AL2711" s="86"/>
    </row>
    <row r="2712" spans="38:38" x14ac:dyDescent="0.35">
      <c r="AL2712" s="86"/>
    </row>
    <row r="2713" spans="38:38" x14ac:dyDescent="0.35">
      <c r="AL2713" s="86"/>
    </row>
    <row r="2714" spans="38:38" x14ac:dyDescent="0.35">
      <c r="AL2714" s="86"/>
    </row>
    <row r="2715" spans="38:38" x14ac:dyDescent="0.35">
      <c r="AL2715" s="86"/>
    </row>
    <row r="2716" spans="38:38" x14ac:dyDescent="0.35">
      <c r="AL2716" s="86"/>
    </row>
    <row r="2717" spans="38:38" x14ac:dyDescent="0.35">
      <c r="AL2717" s="86"/>
    </row>
    <row r="2718" spans="38:38" x14ac:dyDescent="0.35">
      <c r="AL2718" s="86"/>
    </row>
    <row r="2719" spans="38:38" x14ac:dyDescent="0.35">
      <c r="AL2719" s="86"/>
    </row>
    <row r="2720" spans="38:38" x14ac:dyDescent="0.35">
      <c r="AL2720" s="86"/>
    </row>
    <row r="2721" spans="38:38" x14ac:dyDescent="0.35">
      <c r="AL2721" s="86"/>
    </row>
    <row r="2722" spans="38:38" x14ac:dyDescent="0.35">
      <c r="AL2722" s="86"/>
    </row>
    <row r="2723" spans="38:38" x14ac:dyDescent="0.35">
      <c r="AL2723" s="86"/>
    </row>
    <row r="2724" spans="38:38" x14ac:dyDescent="0.35">
      <c r="AL2724" s="86"/>
    </row>
    <row r="2725" spans="38:38" x14ac:dyDescent="0.35">
      <c r="AL2725" s="86"/>
    </row>
    <row r="2726" spans="38:38" x14ac:dyDescent="0.35">
      <c r="AL2726" s="86"/>
    </row>
    <row r="2727" spans="38:38" x14ac:dyDescent="0.35">
      <c r="AL2727" s="86"/>
    </row>
    <row r="2728" spans="38:38" x14ac:dyDescent="0.35">
      <c r="AL2728" s="86"/>
    </row>
    <row r="2729" spans="38:38" x14ac:dyDescent="0.35">
      <c r="AL2729" s="86"/>
    </row>
    <row r="2730" spans="38:38" x14ac:dyDescent="0.35">
      <c r="AL2730" s="86"/>
    </row>
    <row r="2731" spans="38:38" x14ac:dyDescent="0.35">
      <c r="AL2731" s="86"/>
    </row>
    <row r="2732" spans="38:38" x14ac:dyDescent="0.35">
      <c r="AL2732" s="86"/>
    </row>
    <row r="2733" spans="38:38" x14ac:dyDescent="0.35">
      <c r="AL2733" s="86"/>
    </row>
    <row r="2734" spans="38:38" x14ac:dyDescent="0.35">
      <c r="AL2734" s="86"/>
    </row>
    <row r="2735" spans="38:38" x14ac:dyDescent="0.35">
      <c r="AL2735" s="86"/>
    </row>
    <row r="2736" spans="38:38" x14ac:dyDescent="0.35">
      <c r="AL2736" s="86"/>
    </row>
    <row r="2737" spans="38:38" x14ac:dyDescent="0.35">
      <c r="AL2737" s="86"/>
    </row>
    <row r="2738" spans="38:38" x14ac:dyDescent="0.35">
      <c r="AL2738" s="86"/>
    </row>
    <row r="2739" spans="38:38" x14ac:dyDescent="0.35">
      <c r="AL2739" s="86"/>
    </row>
    <row r="2740" spans="38:38" x14ac:dyDescent="0.35">
      <c r="AL2740" s="86"/>
    </row>
    <row r="2741" spans="38:38" x14ac:dyDescent="0.35">
      <c r="AL2741" s="86"/>
    </row>
    <row r="2742" spans="38:38" x14ac:dyDescent="0.35">
      <c r="AL2742" s="86"/>
    </row>
    <row r="2743" spans="38:38" x14ac:dyDescent="0.35">
      <c r="AL2743" s="86"/>
    </row>
    <row r="2744" spans="38:38" x14ac:dyDescent="0.35">
      <c r="AL2744" s="86"/>
    </row>
    <row r="2745" spans="38:38" x14ac:dyDescent="0.35">
      <c r="AL2745" s="86"/>
    </row>
    <row r="2746" spans="38:38" x14ac:dyDescent="0.35">
      <c r="AL2746" s="86"/>
    </row>
    <row r="2747" spans="38:38" x14ac:dyDescent="0.35">
      <c r="AL2747" s="86"/>
    </row>
    <row r="2748" spans="38:38" x14ac:dyDescent="0.35">
      <c r="AL2748" s="86"/>
    </row>
    <row r="2749" spans="38:38" x14ac:dyDescent="0.35">
      <c r="AL2749" s="86"/>
    </row>
    <row r="2750" spans="38:38" x14ac:dyDescent="0.35">
      <c r="AL2750" s="86"/>
    </row>
    <row r="2751" spans="38:38" x14ac:dyDescent="0.35">
      <c r="AL2751" s="86"/>
    </row>
    <row r="2752" spans="38:38" x14ac:dyDescent="0.35">
      <c r="AL2752" s="86"/>
    </row>
    <row r="2753" spans="38:38" x14ac:dyDescent="0.35">
      <c r="AL2753" s="86"/>
    </row>
    <row r="2754" spans="38:38" x14ac:dyDescent="0.35">
      <c r="AL2754" s="86"/>
    </row>
    <row r="2755" spans="38:38" x14ac:dyDescent="0.35">
      <c r="AL2755" s="86"/>
    </row>
    <row r="2756" spans="38:38" x14ac:dyDescent="0.35">
      <c r="AL2756" s="86"/>
    </row>
    <row r="2757" spans="38:38" x14ac:dyDescent="0.35">
      <c r="AL2757" s="86"/>
    </row>
    <row r="2758" spans="38:38" x14ac:dyDescent="0.35">
      <c r="AL2758" s="86"/>
    </row>
    <row r="2759" spans="38:38" x14ac:dyDescent="0.35">
      <c r="AL2759" s="86"/>
    </row>
    <row r="2760" spans="38:38" x14ac:dyDescent="0.35">
      <c r="AL2760" s="86"/>
    </row>
    <row r="2761" spans="38:38" x14ac:dyDescent="0.35">
      <c r="AL2761" s="86"/>
    </row>
    <row r="2762" spans="38:38" x14ac:dyDescent="0.35">
      <c r="AL2762" s="86"/>
    </row>
    <row r="2763" spans="38:38" x14ac:dyDescent="0.35">
      <c r="AL2763" s="86"/>
    </row>
    <row r="2764" spans="38:38" x14ac:dyDescent="0.35">
      <c r="AL2764" s="86"/>
    </row>
    <row r="2765" spans="38:38" x14ac:dyDescent="0.35">
      <c r="AL2765" s="86"/>
    </row>
    <row r="2766" spans="38:38" x14ac:dyDescent="0.35">
      <c r="AL2766" s="86"/>
    </row>
    <row r="2767" spans="38:38" x14ac:dyDescent="0.35">
      <c r="AL2767" s="86"/>
    </row>
    <row r="2768" spans="38:38" x14ac:dyDescent="0.35">
      <c r="AL2768" s="86"/>
    </row>
    <row r="2769" spans="38:38" x14ac:dyDescent="0.35">
      <c r="AL2769" s="86"/>
    </row>
    <row r="2770" spans="38:38" x14ac:dyDescent="0.35">
      <c r="AL2770" s="86"/>
    </row>
    <row r="2771" spans="38:38" x14ac:dyDescent="0.35">
      <c r="AL2771" s="86"/>
    </row>
    <row r="2772" spans="38:38" x14ac:dyDescent="0.35">
      <c r="AL2772" s="86"/>
    </row>
    <row r="2773" spans="38:38" x14ac:dyDescent="0.35">
      <c r="AL2773" s="86"/>
    </row>
    <row r="2774" spans="38:38" x14ac:dyDescent="0.35">
      <c r="AL2774" s="86"/>
    </row>
    <row r="2775" spans="38:38" x14ac:dyDescent="0.35">
      <c r="AL2775" s="86"/>
    </row>
    <row r="2776" spans="38:38" x14ac:dyDescent="0.35">
      <c r="AL2776" s="86"/>
    </row>
    <row r="2777" spans="38:38" x14ac:dyDescent="0.35">
      <c r="AL2777" s="86"/>
    </row>
    <row r="2778" spans="38:38" x14ac:dyDescent="0.35">
      <c r="AL2778" s="86"/>
    </row>
    <row r="2779" spans="38:38" x14ac:dyDescent="0.35">
      <c r="AL2779" s="86"/>
    </row>
    <row r="2780" spans="38:38" x14ac:dyDescent="0.35">
      <c r="AL2780" s="86"/>
    </row>
    <row r="2781" spans="38:38" x14ac:dyDescent="0.35">
      <c r="AL2781" s="86"/>
    </row>
    <row r="2782" spans="38:38" x14ac:dyDescent="0.35">
      <c r="AL2782" s="86"/>
    </row>
    <row r="2783" spans="38:38" x14ac:dyDescent="0.35">
      <c r="AL2783" s="86"/>
    </row>
    <row r="2784" spans="38:38" x14ac:dyDescent="0.35">
      <c r="AL2784" s="86"/>
    </row>
    <row r="2785" spans="38:38" x14ac:dyDescent="0.35">
      <c r="AL2785" s="86"/>
    </row>
    <row r="2786" spans="38:38" x14ac:dyDescent="0.35">
      <c r="AL2786" s="86"/>
    </row>
    <row r="2787" spans="38:38" x14ac:dyDescent="0.35">
      <c r="AL2787" s="86"/>
    </row>
    <row r="2788" spans="38:38" x14ac:dyDescent="0.35">
      <c r="AL2788" s="86"/>
    </row>
    <row r="2789" spans="38:38" x14ac:dyDescent="0.35">
      <c r="AL2789" s="86"/>
    </row>
    <row r="2790" spans="38:38" x14ac:dyDescent="0.35">
      <c r="AL2790" s="86"/>
    </row>
    <row r="2791" spans="38:38" x14ac:dyDescent="0.35">
      <c r="AL2791" s="86"/>
    </row>
    <row r="2792" spans="38:38" x14ac:dyDescent="0.35">
      <c r="AL2792" s="86"/>
    </row>
    <row r="2793" spans="38:38" x14ac:dyDescent="0.35">
      <c r="AL2793" s="86"/>
    </row>
    <row r="2794" spans="38:38" x14ac:dyDescent="0.35">
      <c r="AL2794" s="86"/>
    </row>
    <row r="2795" spans="38:38" x14ac:dyDescent="0.35">
      <c r="AL2795" s="86"/>
    </row>
    <row r="2796" spans="38:38" x14ac:dyDescent="0.35">
      <c r="AL2796" s="86"/>
    </row>
    <row r="2797" spans="38:38" x14ac:dyDescent="0.35">
      <c r="AL2797" s="86"/>
    </row>
    <row r="2798" spans="38:38" x14ac:dyDescent="0.35">
      <c r="AL2798" s="86"/>
    </row>
    <row r="2799" spans="38:38" x14ac:dyDescent="0.35">
      <c r="AL2799" s="86"/>
    </row>
    <row r="2800" spans="38:38" x14ac:dyDescent="0.35">
      <c r="AL2800" s="86"/>
    </row>
    <row r="2801" spans="38:38" x14ac:dyDescent="0.35">
      <c r="AL2801" s="86"/>
    </row>
    <row r="2802" spans="38:38" x14ac:dyDescent="0.35">
      <c r="AL2802" s="86"/>
    </row>
    <row r="2803" spans="38:38" x14ac:dyDescent="0.35">
      <c r="AL2803" s="86"/>
    </row>
    <row r="2804" spans="38:38" x14ac:dyDescent="0.35">
      <c r="AL2804" s="86"/>
    </row>
    <row r="2805" spans="38:38" x14ac:dyDescent="0.35">
      <c r="AL2805" s="86"/>
    </row>
    <row r="2806" spans="38:38" x14ac:dyDescent="0.35">
      <c r="AL2806" s="86"/>
    </row>
    <row r="2807" spans="38:38" x14ac:dyDescent="0.35">
      <c r="AL2807" s="86"/>
    </row>
    <row r="2808" spans="38:38" x14ac:dyDescent="0.35">
      <c r="AL2808" s="86"/>
    </row>
    <row r="2809" spans="38:38" x14ac:dyDescent="0.35">
      <c r="AL2809" s="86"/>
    </row>
    <row r="2810" spans="38:38" x14ac:dyDescent="0.35">
      <c r="AL2810" s="86"/>
    </row>
    <row r="2811" spans="38:38" x14ac:dyDescent="0.35">
      <c r="AL2811" s="86"/>
    </row>
    <row r="2812" spans="38:38" x14ac:dyDescent="0.35">
      <c r="AL2812" s="86"/>
    </row>
    <row r="2813" spans="38:38" x14ac:dyDescent="0.35">
      <c r="AL2813" s="86"/>
    </row>
    <row r="2814" spans="38:38" x14ac:dyDescent="0.35">
      <c r="AL2814" s="86"/>
    </row>
    <row r="2815" spans="38:38" x14ac:dyDescent="0.35">
      <c r="AL2815" s="86"/>
    </row>
    <row r="2816" spans="38:38" x14ac:dyDescent="0.35">
      <c r="AL2816" s="86"/>
    </row>
    <row r="2817" spans="38:38" x14ac:dyDescent="0.35">
      <c r="AL2817" s="86"/>
    </row>
    <row r="2818" spans="38:38" x14ac:dyDescent="0.35">
      <c r="AL2818" s="86"/>
    </row>
    <row r="2819" spans="38:38" x14ac:dyDescent="0.35">
      <c r="AL2819" s="86"/>
    </row>
    <row r="2820" spans="38:38" x14ac:dyDescent="0.35">
      <c r="AL2820" s="86"/>
    </row>
    <row r="2821" spans="38:38" x14ac:dyDescent="0.35">
      <c r="AL2821" s="86"/>
    </row>
    <row r="2822" spans="38:38" x14ac:dyDescent="0.35">
      <c r="AL2822" s="86"/>
    </row>
    <row r="2823" spans="38:38" x14ac:dyDescent="0.35">
      <c r="AL2823" s="86"/>
    </row>
    <row r="2824" spans="38:38" x14ac:dyDescent="0.35">
      <c r="AL2824" s="86"/>
    </row>
    <row r="2825" spans="38:38" x14ac:dyDescent="0.35">
      <c r="AL2825" s="86"/>
    </row>
    <row r="2826" spans="38:38" x14ac:dyDescent="0.35">
      <c r="AL2826" s="86"/>
    </row>
    <row r="2827" spans="38:38" x14ac:dyDescent="0.35">
      <c r="AL2827" s="86"/>
    </row>
    <row r="2828" spans="38:38" x14ac:dyDescent="0.35">
      <c r="AL2828" s="86"/>
    </row>
    <row r="2829" spans="38:38" x14ac:dyDescent="0.35">
      <c r="AL2829" s="86"/>
    </row>
    <row r="2830" spans="38:38" x14ac:dyDescent="0.35">
      <c r="AL2830" s="86"/>
    </row>
    <row r="2831" spans="38:38" x14ac:dyDescent="0.35">
      <c r="AL2831" s="86"/>
    </row>
    <row r="2832" spans="38:38" x14ac:dyDescent="0.35">
      <c r="AL2832" s="86"/>
    </row>
    <row r="2833" spans="38:38" x14ac:dyDescent="0.35">
      <c r="AL2833" s="86"/>
    </row>
    <row r="2834" spans="38:38" x14ac:dyDescent="0.35">
      <c r="AL2834" s="86"/>
    </row>
    <row r="2835" spans="38:38" x14ac:dyDescent="0.35">
      <c r="AL2835" s="86"/>
    </row>
    <row r="2836" spans="38:38" x14ac:dyDescent="0.35">
      <c r="AL2836" s="86"/>
    </row>
    <row r="2837" spans="38:38" x14ac:dyDescent="0.35">
      <c r="AL2837" s="86"/>
    </row>
    <row r="2838" spans="38:38" x14ac:dyDescent="0.35">
      <c r="AL2838" s="86"/>
    </row>
    <row r="2839" spans="38:38" x14ac:dyDescent="0.35">
      <c r="AL2839" s="86"/>
    </row>
    <row r="2840" spans="38:38" x14ac:dyDescent="0.35">
      <c r="AL2840" s="86"/>
    </row>
    <row r="2841" spans="38:38" x14ac:dyDescent="0.35">
      <c r="AL2841" s="86"/>
    </row>
    <row r="2842" spans="38:38" x14ac:dyDescent="0.35">
      <c r="AL2842" s="86"/>
    </row>
    <row r="2843" spans="38:38" x14ac:dyDescent="0.35">
      <c r="AL2843" s="86"/>
    </row>
    <row r="2844" spans="38:38" x14ac:dyDescent="0.35">
      <c r="AL2844" s="86"/>
    </row>
    <row r="2845" spans="38:38" x14ac:dyDescent="0.35">
      <c r="AL2845" s="86"/>
    </row>
    <row r="2846" spans="38:38" x14ac:dyDescent="0.35">
      <c r="AL2846" s="86"/>
    </row>
    <row r="2847" spans="38:38" x14ac:dyDescent="0.35">
      <c r="AL2847" s="86"/>
    </row>
    <row r="2848" spans="38:38" x14ac:dyDescent="0.35">
      <c r="AL2848" s="86"/>
    </row>
    <row r="2849" spans="38:38" x14ac:dyDescent="0.35">
      <c r="AL2849" s="86"/>
    </row>
    <row r="2850" spans="38:38" x14ac:dyDescent="0.35">
      <c r="AL2850" s="86"/>
    </row>
    <row r="2851" spans="38:38" x14ac:dyDescent="0.35">
      <c r="AL2851" s="86"/>
    </row>
    <row r="2852" spans="38:38" x14ac:dyDescent="0.35">
      <c r="AL2852" s="86"/>
    </row>
    <row r="2853" spans="38:38" x14ac:dyDescent="0.35">
      <c r="AL2853" s="86"/>
    </row>
    <row r="2854" spans="38:38" x14ac:dyDescent="0.35">
      <c r="AL2854" s="86"/>
    </row>
    <row r="2855" spans="38:38" x14ac:dyDescent="0.35">
      <c r="AL2855" s="86"/>
    </row>
    <row r="2856" spans="38:38" x14ac:dyDescent="0.35">
      <c r="AL2856" s="86"/>
    </row>
    <row r="2857" spans="38:38" x14ac:dyDescent="0.35">
      <c r="AL2857" s="86"/>
    </row>
    <row r="2858" spans="38:38" x14ac:dyDescent="0.35">
      <c r="AL2858" s="86"/>
    </row>
    <row r="2859" spans="38:38" x14ac:dyDescent="0.35">
      <c r="AL2859" s="86"/>
    </row>
    <row r="2860" spans="38:38" x14ac:dyDescent="0.35">
      <c r="AL2860" s="86"/>
    </row>
    <row r="2861" spans="38:38" x14ac:dyDescent="0.35">
      <c r="AL2861" s="86"/>
    </row>
    <row r="2862" spans="38:38" x14ac:dyDescent="0.35">
      <c r="AL2862" s="86"/>
    </row>
    <row r="2863" spans="38:38" x14ac:dyDescent="0.35">
      <c r="AL2863" s="86"/>
    </row>
    <row r="2864" spans="38:38" x14ac:dyDescent="0.35">
      <c r="AL2864" s="86"/>
    </row>
    <row r="2865" spans="38:38" x14ac:dyDescent="0.35">
      <c r="AL2865" s="86"/>
    </row>
    <row r="2866" spans="38:38" x14ac:dyDescent="0.35">
      <c r="AL2866" s="86"/>
    </row>
    <row r="2867" spans="38:38" x14ac:dyDescent="0.35">
      <c r="AL2867" s="86"/>
    </row>
    <row r="2868" spans="38:38" x14ac:dyDescent="0.35">
      <c r="AL2868" s="86"/>
    </row>
    <row r="2869" spans="38:38" x14ac:dyDescent="0.35">
      <c r="AL2869" s="86"/>
    </row>
    <row r="2870" spans="38:38" x14ac:dyDescent="0.35">
      <c r="AL2870" s="86"/>
    </row>
    <row r="2871" spans="38:38" x14ac:dyDescent="0.35">
      <c r="AL2871" s="86"/>
    </row>
    <row r="2872" spans="38:38" x14ac:dyDescent="0.35">
      <c r="AL2872" s="86"/>
    </row>
    <row r="2873" spans="38:38" x14ac:dyDescent="0.35">
      <c r="AL2873" s="86"/>
    </row>
    <row r="2874" spans="38:38" x14ac:dyDescent="0.35">
      <c r="AL2874" s="86"/>
    </row>
    <row r="2875" spans="38:38" x14ac:dyDescent="0.35">
      <c r="AL2875" s="86"/>
    </row>
    <row r="2876" spans="38:38" x14ac:dyDescent="0.35">
      <c r="AL2876" s="86"/>
    </row>
    <row r="2877" spans="38:38" x14ac:dyDescent="0.35">
      <c r="AL2877" s="86"/>
    </row>
    <row r="2878" spans="38:38" x14ac:dyDescent="0.35">
      <c r="AL2878" s="86"/>
    </row>
    <row r="2879" spans="38:38" x14ac:dyDescent="0.35">
      <c r="AL2879" s="86"/>
    </row>
    <row r="2880" spans="38:38" x14ac:dyDescent="0.35">
      <c r="AL2880" s="86"/>
    </row>
    <row r="2881" spans="38:38" x14ac:dyDescent="0.35">
      <c r="AL2881" s="86"/>
    </row>
    <row r="2882" spans="38:38" x14ac:dyDescent="0.35">
      <c r="AL2882" s="86"/>
    </row>
    <row r="2883" spans="38:38" x14ac:dyDescent="0.35">
      <c r="AL2883" s="86"/>
    </row>
    <row r="2884" spans="38:38" x14ac:dyDescent="0.35">
      <c r="AL2884" s="86"/>
    </row>
    <row r="2885" spans="38:38" x14ac:dyDescent="0.35">
      <c r="AL2885" s="86"/>
    </row>
    <row r="2886" spans="38:38" x14ac:dyDescent="0.35">
      <c r="AL2886" s="86"/>
    </row>
    <row r="2887" spans="38:38" x14ac:dyDescent="0.35">
      <c r="AL2887" s="86"/>
    </row>
    <row r="2888" spans="38:38" x14ac:dyDescent="0.35">
      <c r="AL2888" s="86"/>
    </row>
    <row r="2889" spans="38:38" x14ac:dyDescent="0.35">
      <c r="AL2889" s="86"/>
    </row>
    <row r="2890" spans="38:38" x14ac:dyDescent="0.35">
      <c r="AL2890" s="86"/>
    </row>
    <row r="2891" spans="38:38" x14ac:dyDescent="0.35">
      <c r="AL2891" s="86"/>
    </row>
    <row r="2892" spans="38:38" x14ac:dyDescent="0.35">
      <c r="AL2892" s="86"/>
    </row>
    <row r="2893" spans="38:38" x14ac:dyDescent="0.35">
      <c r="AL2893" s="86"/>
    </row>
    <row r="2894" spans="38:38" x14ac:dyDescent="0.35">
      <c r="AL2894" s="86"/>
    </row>
    <row r="2895" spans="38:38" x14ac:dyDescent="0.35">
      <c r="AL2895" s="86"/>
    </row>
    <row r="2896" spans="38:38" x14ac:dyDescent="0.35">
      <c r="AL2896" s="86"/>
    </row>
    <row r="2897" spans="38:38" x14ac:dyDescent="0.35">
      <c r="AL2897" s="86"/>
    </row>
    <row r="2898" spans="38:38" x14ac:dyDescent="0.35">
      <c r="AL2898" s="86"/>
    </row>
    <row r="2899" spans="38:38" x14ac:dyDescent="0.35">
      <c r="AL2899" s="86"/>
    </row>
    <row r="2900" spans="38:38" x14ac:dyDescent="0.35">
      <c r="AL2900" s="86"/>
    </row>
    <row r="2901" spans="38:38" x14ac:dyDescent="0.35">
      <c r="AL2901" s="86"/>
    </row>
    <row r="2902" spans="38:38" x14ac:dyDescent="0.35">
      <c r="AL2902" s="86"/>
    </row>
    <row r="2903" spans="38:38" x14ac:dyDescent="0.35">
      <c r="AL2903" s="86"/>
    </row>
    <row r="2904" spans="38:38" x14ac:dyDescent="0.35">
      <c r="AL2904" s="86"/>
    </row>
    <row r="2905" spans="38:38" x14ac:dyDescent="0.35">
      <c r="AL2905" s="86"/>
    </row>
    <row r="2906" spans="38:38" x14ac:dyDescent="0.35">
      <c r="AL2906" s="86"/>
    </row>
    <row r="2907" spans="38:38" x14ac:dyDescent="0.35">
      <c r="AL2907" s="86"/>
    </row>
    <row r="2908" spans="38:38" x14ac:dyDescent="0.35">
      <c r="AL2908" s="86"/>
    </row>
    <row r="2909" spans="38:38" x14ac:dyDescent="0.35">
      <c r="AL2909" s="86"/>
    </row>
    <row r="2910" spans="38:38" x14ac:dyDescent="0.35">
      <c r="AL2910" s="86"/>
    </row>
    <row r="2911" spans="38:38" x14ac:dyDescent="0.35">
      <c r="AL2911" s="86"/>
    </row>
    <row r="2912" spans="38:38" x14ac:dyDescent="0.35">
      <c r="AL2912" s="86"/>
    </row>
    <row r="2913" spans="38:38" x14ac:dyDescent="0.35">
      <c r="AL2913" s="86"/>
    </row>
    <row r="2914" spans="38:38" x14ac:dyDescent="0.35">
      <c r="AL2914" s="86"/>
    </row>
    <row r="2915" spans="38:38" x14ac:dyDescent="0.35">
      <c r="AL2915" s="86"/>
    </row>
    <row r="2916" spans="38:38" x14ac:dyDescent="0.35">
      <c r="AL2916" s="86"/>
    </row>
    <row r="2917" spans="38:38" x14ac:dyDescent="0.35">
      <c r="AL2917" s="86"/>
    </row>
    <row r="2918" spans="38:38" x14ac:dyDescent="0.35">
      <c r="AL2918" s="86"/>
    </row>
    <row r="2919" spans="38:38" x14ac:dyDescent="0.35">
      <c r="AL2919" s="86"/>
    </row>
    <row r="2920" spans="38:38" x14ac:dyDescent="0.35">
      <c r="AL2920" s="86"/>
    </row>
    <row r="2921" spans="38:38" x14ac:dyDescent="0.35">
      <c r="AL2921" s="86"/>
    </row>
    <row r="2922" spans="38:38" x14ac:dyDescent="0.35">
      <c r="AL2922" s="86"/>
    </row>
    <row r="2923" spans="38:38" x14ac:dyDescent="0.35">
      <c r="AL2923" s="86"/>
    </row>
    <row r="2924" spans="38:38" x14ac:dyDescent="0.35">
      <c r="AL2924" s="86"/>
    </row>
    <row r="2925" spans="38:38" x14ac:dyDescent="0.35">
      <c r="AL2925" s="86"/>
    </row>
    <row r="2926" spans="38:38" x14ac:dyDescent="0.35">
      <c r="AL2926" s="86"/>
    </row>
    <row r="2927" spans="38:38" x14ac:dyDescent="0.35">
      <c r="AL2927" s="86"/>
    </row>
    <row r="2928" spans="38:38" x14ac:dyDescent="0.35">
      <c r="AL2928" s="86"/>
    </row>
    <row r="2929" spans="38:38" x14ac:dyDescent="0.35">
      <c r="AL2929" s="86"/>
    </row>
    <row r="2930" spans="38:38" x14ac:dyDescent="0.35">
      <c r="AL2930" s="86"/>
    </row>
    <row r="2931" spans="38:38" x14ac:dyDescent="0.35">
      <c r="AL2931" s="86"/>
    </row>
    <row r="2932" spans="38:38" x14ac:dyDescent="0.35">
      <c r="AL2932" s="86"/>
    </row>
    <row r="2933" spans="38:38" x14ac:dyDescent="0.35">
      <c r="AL2933" s="86"/>
    </row>
    <row r="2934" spans="38:38" x14ac:dyDescent="0.35">
      <c r="AL2934" s="86"/>
    </row>
    <row r="2935" spans="38:38" x14ac:dyDescent="0.35">
      <c r="AL2935" s="86"/>
    </row>
    <row r="2936" spans="38:38" x14ac:dyDescent="0.35">
      <c r="AL2936" s="86"/>
    </row>
    <row r="2937" spans="38:38" x14ac:dyDescent="0.35">
      <c r="AL2937" s="86"/>
    </row>
    <row r="2938" spans="38:38" x14ac:dyDescent="0.35">
      <c r="AL2938" s="86"/>
    </row>
    <row r="2939" spans="38:38" x14ac:dyDescent="0.35">
      <c r="AL2939" s="86"/>
    </row>
    <row r="2940" spans="38:38" x14ac:dyDescent="0.35">
      <c r="AL2940" s="86"/>
    </row>
    <row r="2941" spans="38:38" x14ac:dyDescent="0.35">
      <c r="AL2941" s="86"/>
    </row>
    <row r="2942" spans="38:38" x14ac:dyDescent="0.35">
      <c r="AL2942" s="86"/>
    </row>
    <row r="2943" spans="38:38" x14ac:dyDescent="0.35">
      <c r="AL2943" s="86"/>
    </row>
    <row r="2944" spans="38:38" x14ac:dyDescent="0.35">
      <c r="AL2944" s="86"/>
    </row>
    <row r="2945" spans="38:38" x14ac:dyDescent="0.35">
      <c r="AL2945" s="86"/>
    </row>
    <row r="2946" spans="38:38" x14ac:dyDescent="0.35">
      <c r="AL2946" s="86"/>
    </row>
    <row r="2947" spans="38:38" x14ac:dyDescent="0.35">
      <c r="AL2947" s="86"/>
    </row>
    <row r="2948" spans="38:38" x14ac:dyDescent="0.35">
      <c r="AL2948" s="86"/>
    </row>
    <row r="2949" spans="38:38" x14ac:dyDescent="0.35">
      <c r="AL2949" s="86"/>
    </row>
    <row r="2950" spans="38:38" x14ac:dyDescent="0.35">
      <c r="AL2950" s="86"/>
    </row>
    <row r="2951" spans="38:38" x14ac:dyDescent="0.35">
      <c r="AL2951" s="86"/>
    </row>
    <row r="2952" spans="38:38" x14ac:dyDescent="0.35">
      <c r="AL2952" s="86"/>
    </row>
    <row r="2953" spans="38:38" x14ac:dyDescent="0.35">
      <c r="AL2953" s="86"/>
    </row>
    <row r="2954" spans="38:38" x14ac:dyDescent="0.35">
      <c r="AL2954" s="86"/>
    </row>
    <row r="2955" spans="38:38" x14ac:dyDescent="0.35">
      <c r="AL2955" s="86"/>
    </row>
    <row r="2956" spans="38:38" x14ac:dyDescent="0.35">
      <c r="AL2956" s="86"/>
    </row>
    <row r="2957" spans="38:38" x14ac:dyDescent="0.35">
      <c r="AL2957" s="86"/>
    </row>
    <row r="2958" spans="38:38" x14ac:dyDescent="0.35">
      <c r="AL2958" s="86"/>
    </row>
    <row r="2959" spans="38:38" x14ac:dyDescent="0.35">
      <c r="AL2959" s="86"/>
    </row>
    <row r="2960" spans="38:38" x14ac:dyDescent="0.35">
      <c r="AL2960" s="86"/>
    </row>
    <row r="2961" spans="38:38" x14ac:dyDescent="0.35">
      <c r="AL2961" s="86"/>
    </row>
    <row r="2962" spans="38:38" x14ac:dyDescent="0.35">
      <c r="AL2962" s="86"/>
    </row>
    <row r="2963" spans="38:38" x14ac:dyDescent="0.35">
      <c r="AL2963" s="86"/>
    </row>
    <row r="2964" spans="38:38" x14ac:dyDescent="0.35">
      <c r="AL2964" s="86"/>
    </row>
    <row r="2965" spans="38:38" x14ac:dyDescent="0.35">
      <c r="AL2965" s="86"/>
    </row>
    <row r="2966" spans="38:38" x14ac:dyDescent="0.35">
      <c r="AL2966" s="86"/>
    </row>
    <row r="2967" spans="38:38" x14ac:dyDescent="0.35">
      <c r="AL2967" s="86"/>
    </row>
    <row r="2968" spans="38:38" x14ac:dyDescent="0.35">
      <c r="AL2968" s="86"/>
    </row>
    <row r="2969" spans="38:38" x14ac:dyDescent="0.35">
      <c r="AL2969" s="86"/>
    </row>
    <row r="2970" spans="38:38" x14ac:dyDescent="0.35">
      <c r="AL2970" s="86"/>
    </row>
    <row r="2971" spans="38:38" x14ac:dyDescent="0.35">
      <c r="AL2971" s="86"/>
    </row>
    <row r="2972" spans="38:38" x14ac:dyDescent="0.35">
      <c r="AL2972" s="86"/>
    </row>
    <row r="2973" spans="38:38" x14ac:dyDescent="0.35">
      <c r="AL2973" s="86"/>
    </row>
    <row r="2974" spans="38:38" x14ac:dyDescent="0.35">
      <c r="AL2974" s="86"/>
    </row>
    <row r="2975" spans="38:38" x14ac:dyDescent="0.35">
      <c r="AL2975" s="86"/>
    </row>
    <row r="2976" spans="38:38" x14ac:dyDescent="0.35">
      <c r="AL2976" s="86"/>
    </row>
    <row r="2977" spans="38:38" x14ac:dyDescent="0.35">
      <c r="AL2977" s="86"/>
    </row>
    <row r="2978" spans="38:38" x14ac:dyDescent="0.35">
      <c r="AL2978" s="86"/>
    </row>
    <row r="2979" spans="38:38" x14ac:dyDescent="0.35">
      <c r="AL2979" s="86"/>
    </row>
    <row r="2980" spans="38:38" x14ac:dyDescent="0.35">
      <c r="AL2980" s="86"/>
    </row>
    <row r="2981" spans="38:38" x14ac:dyDescent="0.35">
      <c r="AL2981" s="86"/>
    </row>
    <row r="2982" spans="38:38" x14ac:dyDescent="0.35">
      <c r="AL2982" s="86"/>
    </row>
    <row r="2983" spans="38:38" x14ac:dyDescent="0.35">
      <c r="AL2983" s="86"/>
    </row>
    <row r="2984" spans="38:38" x14ac:dyDescent="0.35">
      <c r="AL2984" s="86"/>
    </row>
    <row r="2985" spans="38:38" x14ac:dyDescent="0.35">
      <c r="AL2985" s="86"/>
    </row>
    <row r="2986" spans="38:38" x14ac:dyDescent="0.35">
      <c r="AL2986" s="86"/>
    </row>
    <row r="2987" spans="38:38" x14ac:dyDescent="0.35">
      <c r="AL2987" s="86"/>
    </row>
    <row r="2988" spans="38:38" x14ac:dyDescent="0.35">
      <c r="AL2988" s="86"/>
    </row>
    <row r="2989" spans="38:38" x14ac:dyDescent="0.35">
      <c r="AL2989" s="86"/>
    </row>
    <row r="2990" spans="38:38" x14ac:dyDescent="0.35">
      <c r="AL2990" s="86"/>
    </row>
    <row r="2991" spans="38:38" x14ac:dyDescent="0.35">
      <c r="AL2991" s="86"/>
    </row>
    <row r="2992" spans="38:38" x14ac:dyDescent="0.35">
      <c r="AL2992" s="86"/>
    </row>
    <row r="2993" spans="38:38" x14ac:dyDescent="0.35">
      <c r="AL2993" s="86"/>
    </row>
    <row r="2994" spans="38:38" x14ac:dyDescent="0.35">
      <c r="AL2994" s="86"/>
    </row>
    <row r="2995" spans="38:38" x14ac:dyDescent="0.35">
      <c r="AL2995" s="86"/>
    </row>
    <row r="2996" spans="38:38" x14ac:dyDescent="0.35">
      <c r="AL2996" s="86"/>
    </row>
    <row r="2997" spans="38:38" x14ac:dyDescent="0.35">
      <c r="AL2997" s="86"/>
    </row>
    <row r="2998" spans="38:38" x14ac:dyDescent="0.35">
      <c r="AL2998" s="86"/>
    </row>
    <row r="2999" spans="38:38" x14ac:dyDescent="0.35">
      <c r="AL2999" s="86"/>
    </row>
    <row r="3000" spans="38:38" x14ac:dyDescent="0.35">
      <c r="AL3000" s="86"/>
    </row>
    <row r="3001" spans="38:38" x14ac:dyDescent="0.35">
      <c r="AL3001" s="86"/>
    </row>
    <row r="3002" spans="38:38" x14ac:dyDescent="0.35">
      <c r="AL3002" s="86"/>
    </row>
    <row r="3003" spans="38:38" x14ac:dyDescent="0.35">
      <c r="AL3003" s="86"/>
    </row>
    <row r="3004" spans="38:38" x14ac:dyDescent="0.35">
      <c r="AL3004" s="86"/>
    </row>
    <row r="3005" spans="38:38" x14ac:dyDescent="0.35">
      <c r="AL3005" s="86"/>
    </row>
    <row r="3006" spans="38:38" x14ac:dyDescent="0.35">
      <c r="AL3006" s="86"/>
    </row>
    <row r="3007" spans="38:38" x14ac:dyDescent="0.35">
      <c r="AL3007" s="86"/>
    </row>
    <row r="3008" spans="38:38" x14ac:dyDescent="0.35">
      <c r="AL3008" s="86"/>
    </row>
    <row r="3009" spans="38:38" x14ac:dyDescent="0.35">
      <c r="AL3009" s="86"/>
    </row>
    <row r="3010" spans="38:38" x14ac:dyDescent="0.35">
      <c r="AL3010" s="86"/>
    </row>
    <row r="3011" spans="38:38" x14ac:dyDescent="0.35">
      <c r="AL3011" s="86"/>
    </row>
    <row r="3012" spans="38:38" x14ac:dyDescent="0.35">
      <c r="AL3012" s="86"/>
    </row>
    <row r="3013" spans="38:38" x14ac:dyDescent="0.35">
      <c r="AL3013" s="86"/>
    </row>
    <row r="3014" spans="38:38" x14ac:dyDescent="0.35">
      <c r="AL3014" s="86"/>
    </row>
    <row r="3015" spans="38:38" x14ac:dyDescent="0.35">
      <c r="AL3015" s="86"/>
    </row>
    <row r="3016" spans="38:38" x14ac:dyDescent="0.35">
      <c r="AL3016" s="86"/>
    </row>
    <row r="3017" spans="38:38" x14ac:dyDescent="0.35">
      <c r="AL3017" s="86"/>
    </row>
    <row r="3018" spans="38:38" x14ac:dyDescent="0.35">
      <c r="AL3018" s="86"/>
    </row>
    <row r="3019" spans="38:38" x14ac:dyDescent="0.35">
      <c r="AL3019" s="86"/>
    </row>
    <row r="3020" spans="38:38" x14ac:dyDescent="0.35">
      <c r="AL3020" s="86"/>
    </row>
    <row r="3021" spans="38:38" x14ac:dyDescent="0.35">
      <c r="AL3021" s="86"/>
    </row>
    <row r="3022" spans="38:38" x14ac:dyDescent="0.35">
      <c r="AL3022" s="86"/>
    </row>
    <row r="3023" spans="38:38" x14ac:dyDescent="0.35">
      <c r="AL3023" s="86"/>
    </row>
    <row r="3024" spans="38:38" x14ac:dyDescent="0.35">
      <c r="AL3024" s="86"/>
    </row>
    <row r="3025" spans="38:38" x14ac:dyDescent="0.35">
      <c r="AL3025" s="86"/>
    </row>
    <row r="3026" spans="38:38" x14ac:dyDescent="0.35">
      <c r="AL3026" s="86"/>
    </row>
    <row r="3027" spans="38:38" x14ac:dyDescent="0.35">
      <c r="AL3027" s="86"/>
    </row>
    <row r="3028" spans="38:38" x14ac:dyDescent="0.35">
      <c r="AL3028" s="86"/>
    </row>
    <row r="3029" spans="38:38" x14ac:dyDescent="0.35">
      <c r="AL3029" s="86"/>
    </row>
    <row r="3030" spans="38:38" x14ac:dyDescent="0.35">
      <c r="AL3030" s="86"/>
    </row>
    <row r="3031" spans="38:38" x14ac:dyDescent="0.35">
      <c r="AL3031" s="86"/>
    </row>
    <row r="3032" spans="38:38" x14ac:dyDescent="0.35">
      <c r="AL3032" s="86"/>
    </row>
    <row r="3033" spans="38:38" x14ac:dyDescent="0.35">
      <c r="AL3033" s="86"/>
    </row>
    <row r="3034" spans="38:38" x14ac:dyDescent="0.35">
      <c r="AL3034" s="86"/>
    </row>
    <row r="3035" spans="38:38" x14ac:dyDescent="0.35">
      <c r="AL3035" s="86"/>
    </row>
    <row r="3036" spans="38:38" x14ac:dyDescent="0.35">
      <c r="AL3036" s="86"/>
    </row>
    <row r="3037" spans="38:38" x14ac:dyDescent="0.35">
      <c r="AL3037" s="86"/>
    </row>
    <row r="3038" spans="38:38" x14ac:dyDescent="0.35">
      <c r="AL3038" s="86"/>
    </row>
    <row r="3039" spans="38:38" x14ac:dyDescent="0.35">
      <c r="AL3039" s="86"/>
    </row>
    <row r="3040" spans="38:38" x14ac:dyDescent="0.35">
      <c r="AL3040" s="86"/>
    </row>
    <row r="3041" spans="38:38" x14ac:dyDescent="0.35">
      <c r="AL3041" s="86"/>
    </row>
    <row r="3042" spans="38:38" x14ac:dyDescent="0.35">
      <c r="AL3042" s="86"/>
    </row>
    <row r="3043" spans="38:38" x14ac:dyDescent="0.35">
      <c r="AL3043" s="86"/>
    </row>
    <row r="3044" spans="38:38" x14ac:dyDescent="0.35">
      <c r="AL3044" s="86"/>
    </row>
    <row r="3045" spans="38:38" x14ac:dyDescent="0.35">
      <c r="AL3045" s="86"/>
    </row>
    <row r="3046" spans="38:38" x14ac:dyDescent="0.35">
      <c r="AL3046" s="86"/>
    </row>
    <row r="3047" spans="38:38" x14ac:dyDescent="0.35">
      <c r="AL3047" s="86"/>
    </row>
    <row r="3048" spans="38:38" x14ac:dyDescent="0.35">
      <c r="AL3048" s="86"/>
    </row>
    <row r="3049" spans="38:38" x14ac:dyDescent="0.35">
      <c r="AL3049" s="86"/>
    </row>
    <row r="3050" spans="38:38" x14ac:dyDescent="0.35">
      <c r="AL3050" s="86"/>
    </row>
    <row r="3051" spans="38:38" x14ac:dyDescent="0.35">
      <c r="AL3051" s="86"/>
    </row>
    <row r="3052" spans="38:38" x14ac:dyDescent="0.35">
      <c r="AL3052" s="86"/>
    </row>
    <row r="3053" spans="38:38" x14ac:dyDescent="0.35">
      <c r="AL3053" s="86"/>
    </row>
    <row r="3054" spans="38:38" x14ac:dyDescent="0.35">
      <c r="AL3054" s="86"/>
    </row>
    <row r="3055" spans="38:38" x14ac:dyDescent="0.35">
      <c r="AL3055" s="86"/>
    </row>
    <row r="3056" spans="38:38" x14ac:dyDescent="0.35">
      <c r="AL3056" s="86"/>
    </row>
    <row r="3057" spans="38:38" x14ac:dyDescent="0.35">
      <c r="AL3057" s="86"/>
    </row>
    <row r="3058" spans="38:38" x14ac:dyDescent="0.35">
      <c r="AL3058" s="86"/>
    </row>
    <row r="3059" spans="38:38" x14ac:dyDescent="0.35">
      <c r="AL3059" s="86"/>
    </row>
    <row r="3060" spans="38:38" x14ac:dyDescent="0.35">
      <c r="AL3060" s="86"/>
    </row>
    <row r="3061" spans="38:38" x14ac:dyDescent="0.35">
      <c r="AL3061" s="86"/>
    </row>
    <row r="3062" spans="38:38" x14ac:dyDescent="0.35">
      <c r="AL3062" s="86"/>
    </row>
    <row r="3063" spans="38:38" x14ac:dyDescent="0.35">
      <c r="AL3063" s="86"/>
    </row>
    <row r="3064" spans="38:38" x14ac:dyDescent="0.35">
      <c r="AL3064" s="86"/>
    </row>
    <row r="3065" spans="38:38" x14ac:dyDescent="0.35">
      <c r="AL3065" s="86"/>
    </row>
    <row r="3066" spans="38:38" x14ac:dyDescent="0.35">
      <c r="AL3066" s="86"/>
    </row>
    <row r="3067" spans="38:38" x14ac:dyDescent="0.35">
      <c r="AL3067" s="86"/>
    </row>
    <row r="3068" spans="38:38" x14ac:dyDescent="0.35">
      <c r="AL3068" s="86"/>
    </row>
    <row r="3069" spans="38:38" x14ac:dyDescent="0.35">
      <c r="AL3069" s="86"/>
    </row>
    <row r="3070" spans="38:38" x14ac:dyDescent="0.35">
      <c r="AL3070" s="86"/>
    </row>
    <row r="3071" spans="38:38" x14ac:dyDescent="0.35">
      <c r="AL3071" s="86"/>
    </row>
    <row r="3072" spans="38:38" x14ac:dyDescent="0.35">
      <c r="AL3072" s="86"/>
    </row>
    <row r="3073" spans="38:38" x14ac:dyDescent="0.35">
      <c r="AL3073" s="86"/>
    </row>
    <row r="3074" spans="38:38" x14ac:dyDescent="0.35">
      <c r="AL3074" s="86"/>
    </row>
    <row r="3075" spans="38:38" x14ac:dyDescent="0.35">
      <c r="AL3075" s="86"/>
    </row>
    <row r="3076" spans="38:38" x14ac:dyDescent="0.35">
      <c r="AL3076" s="86"/>
    </row>
    <row r="3077" spans="38:38" x14ac:dyDescent="0.35">
      <c r="AL3077" s="86"/>
    </row>
    <row r="3078" spans="38:38" x14ac:dyDescent="0.35">
      <c r="AL3078" s="86"/>
    </row>
    <row r="3079" spans="38:38" x14ac:dyDescent="0.35">
      <c r="AL3079" s="86"/>
    </row>
    <row r="3080" spans="38:38" x14ac:dyDescent="0.35">
      <c r="AL3080" s="86"/>
    </row>
    <row r="3081" spans="38:38" x14ac:dyDescent="0.35">
      <c r="AL3081" s="86"/>
    </row>
    <row r="3082" spans="38:38" x14ac:dyDescent="0.35">
      <c r="AL3082" s="86"/>
    </row>
    <row r="3083" spans="38:38" x14ac:dyDescent="0.35">
      <c r="AL3083" s="86"/>
    </row>
    <row r="3084" spans="38:38" x14ac:dyDescent="0.35">
      <c r="AL3084" s="86"/>
    </row>
    <row r="3085" spans="38:38" x14ac:dyDescent="0.35">
      <c r="AL3085" s="86"/>
    </row>
    <row r="3086" spans="38:38" x14ac:dyDescent="0.35">
      <c r="AL3086" s="86"/>
    </row>
    <row r="3087" spans="38:38" x14ac:dyDescent="0.35">
      <c r="AL3087" s="86"/>
    </row>
    <row r="3088" spans="38:38" x14ac:dyDescent="0.35">
      <c r="AL3088" s="86"/>
    </row>
    <row r="3089" spans="38:38" x14ac:dyDescent="0.35">
      <c r="AL3089" s="86"/>
    </row>
    <row r="3090" spans="38:38" x14ac:dyDescent="0.35">
      <c r="AL3090" s="86"/>
    </row>
    <row r="3091" spans="38:38" x14ac:dyDescent="0.35">
      <c r="AL3091" s="86"/>
    </row>
    <row r="3092" spans="38:38" x14ac:dyDescent="0.35">
      <c r="AL3092" s="86"/>
    </row>
    <row r="3093" spans="38:38" x14ac:dyDescent="0.35">
      <c r="AL3093" s="86"/>
    </row>
    <row r="3094" spans="38:38" x14ac:dyDescent="0.35">
      <c r="AL3094" s="86"/>
    </row>
    <row r="3095" spans="38:38" x14ac:dyDescent="0.35">
      <c r="AL3095" s="86"/>
    </row>
    <row r="3096" spans="38:38" x14ac:dyDescent="0.35">
      <c r="AL3096" s="86"/>
    </row>
    <row r="3097" spans="38:38" x14ac:dyDescent="0.35">
      <c r="AL3097" s="86"/>
    </row>
    <row r="3098" spans="38:38" x14ac:dyDescent="0.35">
      <c r="AL3098" s="86"/>
    </row>
    <row r="3099" spans="38:38" x14ac:dyDescent="0.35">
      <c r="AL3099" s="86"/>
    </row>
    <row r="3100" spans="38:38" x14ac:dyDescent="0.35">
      <c r="AL3100" s="86"/>
    </row>
    <row r="3101" spans="38:38" x14ac:dyDescent="0.35">
      <c r="AL3101" s="86"/>
    </row>
    <row r="3102" spans="38:38" x14ac:dyDescent="0.35">
      <c r="AL3102" s="86"/>
    </row>
    <row r="3103" spans="38:38" x14ac:dyDescent="0.35">
      <c r="AL3103" s="86"/>
    </row>
    <row r="3104" spans="38:38" x14ac:dyDescent="0.35">
      <c r="AL3104" s="86"/>
    </row>
    <row r="3105" spans="38:38" x14ac:dyDescent="0.35">
      <c r="AL3105" s="86"/>
    </row>
    <row r="3106" spans="38:38" x14ac:dyDescent="0.35">
      <c r="AL3106" s="86"/>
    </row>
    <row r="3107" spans="38:38" x14ac:dyDescent="0.35">
      <c r="AL3107" s="86"/>
    </row>
    <row r="3108" spans="38:38" x14ac:dyDescent="0.35">
      <c r="AL3108" s="86"/>
    </row>
    <row r="3109" spans="38:38" x14ac:dyDescent="0.35">
      <c r="AL3109" s="86"/>
    </row>
    <row r="3110" spans="38:38" x14ac:dyDescent="0.35">
      <c r="AL3110" s="86"/>
    </row>
    <row r="3111" spans="38:38" x14ac:dyDescent="0.35">
      <c r="AL3111" s="86"/>
    </row>
    <row r="3112" spans="38:38" x14ac:dyDescent="0.35">
      <c r="AL3112" s="86"/>
    </row>
    <row r="3113" spans="38:38" x14ac:dyDescent="0.35">
      <c r="AL3113" s="86"/>
    </row>
    <row r="3114" spans="38:38" x14ac:dyDescent="0.35">
      <c r="AL3114" s="86"/>
    </row>
    <row r="3115" spans="38:38" x14ac:dyDescent="0.35">
      <c r="AL3115" s="86"/>
    </row>
    <row r="3116" spans="38:38" x14ac:dyDescent="0.35">
      <c r="AL3116" s="86"/>
    </row>
    <row r="3117" spans="38:38" x14ac:dyDescent="0.35">
      <c r="AL3117" s="86"/>
    </row>
    <row r="3118" spans="38:38" x14ac:dyDescent="0.35">
      <c r="AL3118" s="86"/>
    </row>
    <row r="3119" spans="38:38" x14ac:dyDescent="0.35">
      <c r="AL3119" s="86"/>
    </row>
    <row r="3120" spans="38:38" x14ac:dyDescent="0.35">
      <c r="AL3120" s="86"/>
    </row>
    <row r="3121" spans="38:38" x14ac:dyDescent="0.35">
      <c r="AL3121" s="86"/>
    </row>
    <row r="3122" spans="38:38" x14ac:dyDescent="0.35">
      <c r="AL3122" s="86"/>
    </row>
    <row r="3123" spans="38:38" x14ac:dyDescent="0.35">
      <c r="AL3123" s="86"/>
    </row>
    <row r="3124" spans="38:38" x14ac:dyDescent="0.35">
      <c r="AL3124" s="86"/>
    </row>
    <row r="3125" spans="38:38" x14ac:dyDescent="0.35">
      <c r="AL3125" s="86"/>
    </row>
    <row r="3126" spans="38:38" x14ac:dyDescent="0.35">
      <c r="AL3126" s="86"/>
    </row>
    <row r="3127" spans="38:38" x14ac:dyDescent="0.35">
      <c r="AL3127" s="86"/>
    </row>
    <row r="3128" spans="38:38" x14ac:dyDescent="0.35">
      <c r="AL3128" s="86"/>
    </row>
    <row r="3129" spans="38:38" x14ac:dyDescent="0.35">
      <c r="AL3129" s="86"/>
    </row>
    <row r="3130" spans="38:38" x14ac:dyDescent="0.35">
      <c r="AL3130" s="86"/>
    </row>
    <row r="3131" spans="38:38" x14ac:dyDescent="0.35">
      <c r="AL3131" s="86"/>
    </row>
    <row r="3132" spans="38:38" x14ac:dyDescent="0.35">
      <c r="AL3132" s="86"/>
    </row>
    <row r="3133" spans="38:38" x14ac:dyDescent="0.35">
      <c r="AL3133" s="86"/>
    </row>
    <row r="3134" spans="38:38" x14ac:dyDescent="0.35">
      <c r="AL3134" s="86"/>
    </row>
    <row r="3135" spans="38:38" x14ac:dyDescent="0.35">
      <c r="AL3135" s="86"/>
    </row>
    <row r="3136" spans="38:38" x14ac:dyDescent="0.35">
      <c r="AL3136" s="86"/>
    </row>
    <row r="3137" spans="38:38" x14ac:dyDescent="0.35">
      <c r="AL3137" s="86"/>
    </row>
    <row r="3138" spans="38:38" x14ac:dyDescent="0.35">
      <c r="AL3138" s="86"/>
    </row>
    <row r="3139" spans="38:38" x14ac:dyDescent="0.35">
      <c r="AL3139" s="86"/>
    </row>
    <row r="3140" spans="38:38" x14ac:dyDescent="0.35">
      <c r="AL3140" s="86"/>
    </row>
    <row r="3141" spans="38:38" x14ac:dyDescent="0.35">
      <c r="AL3141" s="86"/>
    </row>
    <row r="3142" spans="38:38" x14ac:dyDescent="0.35">
      <c r="AL3142" s="86"/>
    </row>
    <row r="3143" spans="38:38" x14ac:dyDescent="0.35">
      <c r="AL3143" s="86"/>
    </row>
    <row r="3144" spans="38:38" x14ac:dyDescent="0.35">
      <c r="AL3144" s="86"/>
    </row>
    <row r="3145" spans="38:38" x14ac:dyDescent="0.35">
      <c r="AL3145" s="86"/>
    </row>
    <row r="3146" spans="38:38" x14ac:dyDescent="0.35">
      <c r="AL3146" s="86"/>
    </row>
    <row r="3147" spans="38:38" x14ac:dyDescent="0.35">
      <c r="AL3147" s="86"/>
    </row>
    <row r="3148" spans="38:38" x14ac:dyDescent="0.35">
      <c r="AL3148" s="86"/>
    </row>
    <row r="3149" spans="38:38" x14ac:dyDescent="0.35">
      <c r="AL3149" s="86"/>
    </row>
    <row r="3150" spans="38:38" x14ac:dyDescent="0.35">
      <c r="AL3150" s="86"/>
    </row>
    <row r="3151" spans="38:38" x14ac:dyDescent="0.35">
      <c r="AL3151" s="86"/>
    </row>
    <row r="3152" spans="38:38" x14ac:dyDescent="0.35">
      <c r="AL3152" s="86"/>
    </row>
    <row r="3153" spans="38:38" x14ac:dyDescent="0.35">
      <c r="AL3153" s="86"/>
    </row>
    <row r="3154" spans="38:38" x14ac:dyDescent="0.35">
      <c r="AL3154" s="86"/>
    </row>
    <row r="3155" spans="38:38" x14ac:dyDescent="0.35">
      <c r="AL3155" s="86"/>
    </row>
    <row r="3156" spans="38:38" x14ac:dyDescent="0.35">
      <c r="AL3156" s="86"/>
    </row>
    <row r="3157" spans="38:38" x14ac:dyDescent="0.35">
      <c r="AL3157" s="86"/>
    </row>
    <row r="3158" spans="38:38" x14ac:dyDescent="0.35">
      <c r="AL3158" s="86"/>
    </row>
    <row r="3159" spans="38:38" x14ac:dyDescent="0.35">
      <c r="AL3159" s="86"/>
    </row>
    <row r="3160" spans="38:38" x14ac:dyDescent="0.35">
      <c r="AL3160" s="86"/>
    </row>
    <row r="3161" spans="38:38" x14ac:dyDescent="0.35">
      <c r="AL3161" s="86"/>
    </row>
    <row r="3162" spans="38:38" x14ac:dyDescent="0.35">
      <c r="AL3162" s="86"/>
    </row>
    <row r="3163" spans="38:38" x14ac:dyDescent="0.35">
      <c r="AL3163" s="86"/>
    </row>
    <row r="3164" spans="38:38" x14ac:dyDescent="0.35">
      <c r="AL3164" s="86"/>
    </row>
    <row r="3165" spans="38:38" x14ac:dyDescent="0.35">
      <c r="AL3165" s="86"/>
    </row>
    <row r="3166" spans="38:38" x14ac:dyDescent="0.35">
      <c r="AL3166" s="86"/>
    </row>
    <row r="3167" spans="38:38" x14ac:dyDescent="0.35">
      <c r="AL3167" s="86"/>
    </row>
    <row r="3168" spans="38:38" x14ac:dyDescent="0.35">
      <c r="AL3168" s="86"/>
    </row>
    <row r="3169" spans="38:38" x14ac:dyDescent="0.35">
      <c r="AL3169" s="86"/>
    </row>
    <row r="3170" spans="38:38" x14ac:dyDescent="0.35">
      <c r="AL3170" s="86"/>
    </row>
    <row r="3171" spans="38:38" x14ac:dyDescent="0.35">
      <c r="AL3171" s="86"/>
    </row>
    <row r="3172" spans="38:38" x14ac:dyDescent="0.35">
      <c r="AL3172" s="86"/>
    </row>
    <row r="3173" spans="38:38" x14ac:dyDescent="0.35">
      <c r="AL3173" s="86"/>
    </row>
    <row r="3174" spans="38:38" x14ac:dyDescent="0.35">
      <c r="AL3174" s="86"/>
    </row>
    <row r="3175" spans="38:38" x14ac:dyDescent="0.35">
      <c r="AL3175" s="86"/>
    </row>
    <row r="3176" spans="38:38" x14ac:dyDescent="0.35">
      <c r="AL3176" s="86"/>
    </row>
    <row r="3177" spans="38:38" x14ac:dyDescent="0.35">
      <c r="AL3177" s="86"/>
    </row>
    <row r="3178" spans="38:38" x14ac:dyDescent="0.35">
      <c r="AL3178" s="86"/>
    </row>
    <row r="3179" spans="38:38" x14ac:dyDescent="0.35">
      <c r="AL3179" s="86"/>
    </row>
    <row r="3180" spans="38:38" x14ac:dyDescent="0.35">
      <c r="AL3180" s="86"/>
    </row>
    <row r="3181" spans="38:38" x14ac:dyDescent="0.35">
      <c r="AL3181" s="86"/>
    </row>
    <row r="3182" spans="38:38" x14ac:dyDescent="0.35">
      <c r="AL3182" s="86"/>
    </row>
    <row r="3183" spans="38:38" x14ac:dyDescent="0.35">
      <c r="AL3183" s="86"/>
    </row>
    <row r="3184" spans="38:38" x14ac:dyDescent="0.35">
      <c r="AL3184" s="86"/>
    </row>
    <row r="3185" spans="38:38" x14ac:dyDescent="0.35">
      <c r="AL3185" s="86"/>
    </row>
    <row r="3186" spans="38:38" x14ac:dyDescent="0.35">
      <c r="AL3186" s="86"/>
    </row>
    <row r="3187" spans="38:38" x14ac:dyDescent="0.35">
      <c r="AL3187" s="86"/>
    </row>
    <row r="3188" spans="38:38" x14ac:dyDescent="0.35">
      <c r="AL3188" s="86"/>
    </row>
    <row r="3189" spans="38:38" x14ac:dyDescent="0.35">
      <c r="AL3189" s="86"/>
    </row>
    <row r="3190" spans="38:38" x14ac:dyDescent="0.35">
      <c r="AL3190" s="86"/>
    </row>
    <row r="3191" spans="38:38" x14ac:dyDescent="0.35">
      <c r="AL3191" s="86"/>
    </row>
    <row r="3192" spans="38:38" x14ac:dyDescent="0.35">
      <c r="AL3192" s="86"/>
    </row>
    <row r="3193" spans="38:38" x14ac:dyDescent="0.35">
      <c r="AL3193" s="86"/>
    </row>
    <row r="3194" spans="38:38" x14ac:dyDescent="0.35">
      <c r="AL3194" s="86"/>
    </row>
    <row r="3195" spans="38:38" x14ac:dyDescent="0.35">
      <c r="AL3195" s="86"/>
    </row>
    <row r="3196" spans="38:38" x14ac:dyDescent="0.35">
      <c r="AL3196" s="86"/>
    </row>
    <row r="3197" spans="38:38" x14ac:dyDescent="0.35">
      <c r="AL3197" s="86"/>
    </row>
    <row r="3198" spans="38:38" x14ac:dyDescent="0.35">
      <c r="AL3198" s="86"/>
    </row>
    <row r="3199" spans="38:38" x14ac:dyDescent="0.35">
      <c r="AL3199" s="86"/>
    </row>
    <row r="3200" spans="38:38" x14ac:dyDescent="0.35">
      <c r="AL3200" s="86"/>
    </row>
    <row r="3201" spans="38:38" x14ac:dyDescent="0.35">
      <c r="AL3201" s="86"/>
    </row>
    <row r="3202" spans="38:38" x14ac:dyDescent="0.35">
      <c r="AL3202" s="86"/>
    </row>
    <row r="3203" spans="38:38" x14ac:dyDescent="0.35">
      <c r="AL3203" s="86"/>
    </row>
    <row r="3204" spans="38:38" x14ac:dyDescent="0.35">
      <c r="AL3204" s="86"/>
    </row>
    <row r="3205" spans="38:38" x14ac:dyDescent="0.35">
      <c r="AL3205" s="86"/>
    </row>
    <row r="3206" spans="38:38" x14ac:dyDescent="0.35">
      <c r="AL3206" s="86"/>
    </row>
    <row r="3207" spans="38:38" x14ac:dyDescent="0.35">
      <c r="AL3207" s="86"/>
    </row>
    <row r="3208" spans="38:38" x14ac:dyDescent="0.35">
      <c r="AL3208" s="86"/>
    </row>
    <row r="3209" spans="38:38" x14ac:dyDescent="0.35">
      <c r="AL3209" s="86"/>
    </row>
    <row r="3210" spans="38:38" x14ac:dyDescent="0.35">
      <c r="AL3210" s="86"/>
    </row>
    <row r="3211" spans="38:38" x14ac:dyDescent="0.35">
      <c r="AL3211" s="86"/>
    </row>
    <row r="3212" spans="38:38" x14ac:dyDescent="0.35">
      <c r="AL3212" s="86"/>
    </row>
    <row r="3213" spans="38:38" x14ac:dyDescent="0.35">
      <c r="AL3213" s="86"/>
    </row>
    <row r="3214" spans="38:38" x14ac:dyDescent="0.35">
      <c r="AL3214" s="86"/>
    </row>
    <row r="3215" spans="38:38" x14ac:dyDescent="0.35">
      <c r="AL3215" s="86"/>
    </row>
    <row r="3216" spans="38:38" x14ac:dyDescent="0.35">
      <c r="AL3216" s="86"/>
    </row>
    <row r="3217" spans="38:38" x14ac:dyDescent="0.35">
      <c r="AL3217" s="86"/>
    </row>
    <row r="3218" spans="38:38" x14ac:dyDescent="0.35">
      <c r="AL3218" s="86"/>
    </row>
    <row r="3219" spans="38:38" x14ac:dyDescent="0.35">
      <c r="AL3219" s="86"/>
    </row>
    <row r="3220" spans="38:38" x14ac:dyDescent="0.35">
      <c r="AL3220" s="86"/>
    </row>
    <row r="3221" spans="38:38" x14ac:dyDescent="0.35">
      <c r="AL3221" s="86"/>
    </row>
    <row r="3222" spans="38:38" x14ac:dyDescent="0.35">
      <c r="AL3222" s="86"/>
    </row>
    <row r="3223" spans="38:38" x14ac:dyDescent="0.35">
      <c r="AL3223" s="86"/>
    </row>
    <row r="3224" spans="38:38" x14ac:dyDescent="0.35">
      <c r="AL3224" s="86"/>
    </row>
    <row r="3225" spans="38:38" x14ac:dyDescent="0.35">
      <c r="AL3225" s="86"/>
    </row>
    <row r="3226" spans="38:38" x14ac:dyDescent="0.35">
      <c r="AL3226" s="86"/>
    </row>
    <row r="3227" spans="38:38" x14ac:dyDescent="0.35">
      <c r="AL3227" s="86"/>
    </row>
    <row r="3228" spans="38:38" x14ac:dyDescent="0.35">
      <c r="AL3228" s="86"/>
    </row>
    <row r="3229" spans="38:38" x14ac:dyDescent="0.35">
      <c r="AL3229" s="86"/>
    </row>
    <row r="3230" spans="38:38" x14ac:dyDescent="0.35">
      <c r="AL3230" s="86"/>
    </row>
    <row r="3231" spans="38:38" x14ac:dyDescent="0.35">
      <c r="AL3231" s="86"/>
    </row>
    <row r="3232" spans="38:38" x14ac:dyDescent="0.35">
      <c r="AL3232" s="86"/>
    </row>
    <row r="3233" spans="38:38" x14ac:dyDescent="0.35">
      <c r="AL3233" s="86"/>
    </row>
    <row r="3234" spans="38:38" x14ac:dyDescent="0.35">
      <c r="AL3234" s="86"/>
    </row>
    <row r="3235" spans="38:38" x14ac:dyDescent="0.35">
      <c r="AL3235" s="86"/>
    </row>
    <row r="3236" spans="38:38" x14ac:dyDescent="0.35">
      <c r="AL3236" s="86"/>
    </row>
    <row r="3237" spans="38:38" x14ac:dyDescent="0.35">
      <c r="AL3237" s="86"/>
    </row>
    <row r="3238" spans="38:38" x14ac:dyDescent="0.35">
      <c r="AL3238" s="86"/>
    </row>
    <row r="3239" spans="38:38" x14ac:dyDescent="0.35">
      <c r="AL3239" s="86"/>
    </row>
    <row r="3240" spans="38:38" x14ac:dyDescent="0.35">
      <c r="AL3240" s="86"/>
    </row>
    <row r="3241" spans="38:38" x14ac:dyDescent="0.35">
      <c r="AL3241" s="86"/>
    </row>
    <row r="3242" spans="38:38" x14ac:dyDescent="0.35">
      <c r="AL3242" s="86"/>
    </row>
    <row r="3243" spans="38:38" x14ac:dyDescent="0.35">
      <c r="AL3243" s="86"/>
    </row>
    <row r="3244" spans="38:38" x14ac:dyDescent="0.35">
      <c r="AL3244" s="86"/>
    </row>
    <row r="3245" spans="38:38" x14ac:dyDescent="0.35">
      <c r="AL3245" s="86"/>
    </row>
    <row r="3246" spans="38:38" x14ac:dyDescent="0.35">
      <c r="AL3246" s="86"/>
    </row>
    <row r="3247" spans="38:38" x14ac:dyDescent="0.35">
      <c r="AL3247" s="86"/>
    </row>
    <row r="3248" spans="38:38" x14ac:dyDescent="0.35">
      <c r="AL3248" s="86"/>
    </row>
    <row r="3249" spans="38:38" x14ac:dyDescent="0.35">
      <c r="AL3249" s="86"/>
    </row>
    <row r="3250" spans="38:38" x14ac:dyDescent="0.35">
      <c r="AL3250" s="86"/>
    </row>
    <row r="3251" spans="38:38" x14ac:dyDescent="0.35">
      <c r="AL3251" s="86"/>
    </row>
    <row r="3252" spans="38:38" x14ac:dyDescent="0.35">
      <c r="AL3252" s="86"/>
    </row>
    <row r="3253" spans="38:38" x14ac:dyDescent="0.35">
      <c r="AL3253" s="86"/>
    </row>
    <row r="3254" spans="38:38" x14ac:dyDescent="0.35">
      <c r="AL3254" s="86"/>
    </row>
    <row r="3255" spans="38:38" x14ac:dyDescent="0.35">
      <c r="AL3255" s="86"/>
    </row>
    <row r="3256" spans="38:38" x14ac:dyDescent="0.35">
      <c r="AL3256" s="86"/>
    </row>
    <row r="3257" spans="38:38" x14ac:dyDescent="0.35">
      <c r="AL3257" s="86"/>
    </row>
    <row r="3258" spans="38:38" x14ac:dyDescent="0.35">
      <c r="AL3258" s="86"/>
    </row>
    <row r="3259" spans="38:38" x14ac:dyDescent="0.35">
      <c r="AL3259" s="86"/>
    </row>
    <row r="3260" spans="38:38" x14ac:dyDescent="0.35">
      <c r="AL3260" s="86"/>
    </row>
    <row r="3261" spans="38:38" x14ac:dyDescent="0.35">
      <c r="AL3261" s="86"/>
    </row>
    <row r="3262" spans="38:38" x14ac:dyDescent="0.35">
      <c r="AL3262" s="86"/>
    </row>
    <row r="3263" spans="38:38" x14ac:dyDescent="0.35">
      <c r="AL3263" s="86"/>
    </row>
    <row r="3264" spans="38:38" x14ac:dyDescent="0.35">
      <c r="AL3264" s="86"/>
    </row>
    <row r="3265" spans="38:38" x14ac:dyDescent="0.35">
      <c r="AL3265" s="86"/>
    </row>
    <row r="3266" spans="38:38" x14ac:dyDescent="0.35">
      <c r="AL3266" s="86"/>
    </row>
    <row r="3267" spans="38:38" x14ac:dyDescent="0.35">
      <c r="AL3267" s="86"/>
    </row>
    <row r="3268" spans="38:38" x14ac:dyDescent="0.35">
      <c r="AL3268" s="86"/>
    </row>
    <row r="3269" spans="38:38" x14ac:dyDescent="0.35">
      <c r="AL3269" s="86"/>
    </row>
    <row r="3270" spans="38:38" x14ac:dyDescent="0.35">
      <c r="AL3270" s="86"/>
    </row>
    <row r="3271" spans="38:38" x14ac:dyDescent="0.35">
      <c r="AL3271" s="86"/>
    </row>
    <row r="3272" spans="38:38" x14ac:dyDescent="0.35">
      <c r="AL3272" s="86"/>
    </row>
    <row r="3273" spans="38:38" x14ac:dyDescent="0.35">
      <c r="AL3273" s="86"/>
    </row>
    <row r="3274" spans="38:38" x14ac:dyDescent="0.35">
      <c r="AL3274" s="86"/>
    </row>
    <row r="3275" spans="38:38" x14ac:dyDescent="0.35">
      <c r="AL3275" s="86"/>
    </row>
    <row r="3276" spans="38:38" x14ac:dyDescent="0.35">
      <c r="AL3276" s="86"/>
    </row>
    <row r="3277" spans="38:38" x14ac:dyDescent="0.35">
      <c r="AL3277" s="86"/>
    </row>
    <row r="3278" spans="38:38" x14ac:dyDescent="0.35">
      <c r="AL3278" s="86"/>
    </row>
    <row r="3279" spans="38:38" x14ac:dyDescent="0.35">
      <c r="AL3279" s="86"/>
    </row>
    <row r="3280" spans="38:38" x14ac:dyDescent="0.35">
      <c r="AL3280" s="86"/>
    </row>
    <row r="3281" spans="38:38" x14ac:dyDescent="0.35">
      <c r="AL3281" s="86"/>
    </row>
    <row r="3282" spans="38:38" x14ac:dyDescent="0.35">
      <c r="AL3282" s="86"/>
    </row>
    <row r="3283" spans="38:38" x14ac:dyDescent="0.35">
      <c r="AL3283" s="86"/>
    </row>
    <row r="3284" spans="38:38" x14ac:dyDescent="0.35">
      <c r="AL3284" s="86"/>
    </row>
    <row r="3285" spans="38:38" x14ac:dyDescent="0.35">
      <c r="AL3285" s="86"/>
    </row>
    <row r="3286" spans="38:38" x14ac:dyDescent="0.35">
      <c r="AL3286" s="86"/>
    </row>
    <row r="3287" spans="38:38" x14ac:dyDescent="0.35">
      <c r="AL3287" s="86"/>
    </row>
    <row r="3288" spans="38:38" x14ac:dyDescent="0.35">
      <c r="AL3288" s="86"/>
    </row>
    <row r="3289" spans="38:38" x14ac:dyDescent="0.35">
      <c r="AL3289" s="86"/>
    </row>
    <row r="3290" spans="38:38" x14ac:dyDescent="0.35">
      <c r="AL3290" s="86"/>
    </row>
    <row r="3291" spans="38:38" x14ac:dyDescent="0.35">
      <c r="AL3291" s="86"/>
    </row>
    <row r="3292" spans="38:38" x14ac:dyDescent="0.35">
      <c r="AL3292" s="86"/>
    </row>
    <row r="3293" spans="38:38" x14ac:dyDescent="0.35">
      <c r="AL3293" s="86"/>
    </row>
    <row r="3294" spans="38:38" x14ac:dyDescent="0.35">
      <c r="AL3294" s="86"/>
    </row>
    <row r="3295" spans="38:38" x14ac:dyDescent="0.35">
      <c r="AL3295" s="86"/>
    </row>
    <row r="3296" spans="38:38" x14ac:dyDescent="0.35">
      <c r="AL3296" s="86"/>
    </row>
    <row r="3297" spans="38:38" x14ac:dyDescent="0.35">
      <c r="AL3297" s="86"/>
    </row>
    <row r="3298" spans="38:38" x14ac:dyDescent="0.35">
      <c r="AL3298" s="86"/>
    </row>
    <row r="3299" spans="38:38" x14ac:dyDescent="0.35">
      <c r="AL3299" s="86"/>
    </row>
    <row r="3300" spans="38:38" x14ac:dyDescent="0.35">
      <c r="AL3300" s="86"/>
    </row>
    <row r="3301" spans="38:38" x14ac:dyDescent="0.35">
      <c r="AL3301" s="86"/>
    </row>
    <row r="3302" spans="38:38" x14ac:dyDescent="0.35">
      <c r="AL3302" s="86"/>
    </row>
    <row r="3303" spans="38:38" x14ac:dyDescent="0.35">
      <c r="AL3303" s="86"/>
    </row>
    <row r="3304" spans="38:38" x14ac:dyDescent="0.35">
      <c r="AL3304" s="86"/>
    </row>
    <row r="3305" spans="38:38" x14ac:dyDescent="0.35">
      <c r="AL3305" s="86"/>
    </row>
    <row r="3306" spans="38:38" x14ac:dyDescent="0.35">
      <c r="AL3306" s="86"/>
    </row>
    <row r="3307" spans="38:38" x14ac:dyDescent="0.35">
      <c r="AL3307" s="86"/>
    </row>
    <row r="3308" spans="38:38" x14ac:dyDescent="0.35">
      <c r="AL3308" s="86"/>
    </row>
    <row r="3309" spans="38:38" x14ac:dyDescent="0.35">
      <c r="AL3309" s="86"/>
    </row>
    <row r="3310" spans="38:38" x14ac:dyDescent="0.35">
      <c r="AL3310" s="86"/>
    </row>
    <row r="3311" spans="38:38" x14ac:dyDescent="0.35">
      <c r="AL3311" s="86"/>
    </row>
    <row r="3312" spans="38:38" x14ac:dyDescent="0.35">
      <c r="AL3312" s="86"/>
    </row>
    <row r="3313" spans="38:38" x14ac:dyDescent="0.35">
      <c r="AL3313" s="86"/>
    </row>
    <row r="3314" spans="38:38" x14ac:dyDescent="0.35">
      <c r="AL3314" s="86"/>
    </row>
    <row r="3315" spans="38:38" x14ac:dyDescent="0.35">
      <c r="AL3315" s="86"/>
    </row>
    <row r="3316" spans="38:38" x14ac:dyDescent="0.35">
      <c r="AL3316" s="86"/>
    </row>
    <row r="3317" spans="38:38" x14ac:dyDescent="0.35">
      <c r="AL3317" s="86"/>
    </row>
    <row r="3318" spans="38:38" x14ac:dyDescent="0.35">
      <c r="AL3318" s="86"/>
    </row>
    <row r="3319" spans="38:38" x14ac:dyDescent="0.35">
      <c r="AL3319" s="86"/>
    </row>
    <row r="3320" spans="38:38" x14ac:dyDescent="0.35">
      <c r="AL3320" s="86"/>
    </row>
    <row r="3321" spans="38:38" x14ac:dyDescent="0.35">
      <c r="AL3321" s="86"/>
    </row>
    <row r="3322" spans="38:38" x14ac:dyDescent="0.35">
      <c r="AL3322" s="86"/>
    </row>
    <row r="3323" spans="38:38" x14ac:dyDescent="0.35">
      <c r="AL3323" s="86"/>
    </row>
    <row r="3324" spans="38:38" x14ac:dyDescent="0.35">
      <c r="AL3324" s="86"/>
    </row>
    <row r="3325" spans="38:38" x14ac:dyDescent="0.35">
      <c r="AL3325" s="86"/>
    </row>
    <row r="3326" spans="38:38" x14ac:dyDescent="0.35">
      <c r="AL3326" s="86"/>
    </row>
    <row r="3327" spans="38:38" x14ac:dyDescent="0.35">
      <c r="AL3327" s="86"/>
    </row>
    <row r="3328" spans="38:38" x14ac:dyDescent="0.35">
      <c r="AL3328" s="86"/>
    </row>
    <row r="3329" spans="38:38" x14ac:dyDescent="0.35">
      <c r="AL3329" s="86"/>
    </row>
    <row r="3330" spans="38:38" x14ac:dyDescent="0.35">
      <c r="AL3330" s="86"/>
    </row>
    <row r="3331" spans="38:38" x14ac:dyDescent="0.35">
      <c r="AL3331" s="86"/>
    </row>
    <row r="3332" spans="38:38" x14ac:dyDescent="0.35">
      <c r="AL3332" s="86"/>
    </row>
    <row r="3333" spans="38:38" x14ac:dyDescent="0.35">
      <c r="AL3333" s="86"/>
    </row>
    <row r="3334" spans="38:38" x14ac:dyDescent="0.35">
      <c r="AL3334" s="86"/>
    </row>
    <row r="3335" spans="38:38" x14ac:dyDescent="0.35">
      <c r="AL3335" s="86"/>
    </row>
    <row r="3336" spans="38:38" x14ac:dyDescent="0.35">
      <c r="AL3336" s="86"/>
    </row>
    <row r="3337" spans="38:38" x14ac:dyDescent="0.35">
      <c r="AL3337" s="86"/>
    </row>
    <row r="3338" spans="38:38" x14ac:dyDescent="0.35">
      <c r="AL3338" s="86"/>
    </row>
    <row r="3339" spans="38:38" x14ac:dyDescent="0.35">
      <c r="AL3339" s="86"/>
    </row>
    <row r="3340" spans="38:38" x14ac:dyDescent="0.35">
      <c r="AL3340" s="86"/>
    </row>
    <row r="3341" spans="38:38" x14ac:dyDescent="0.35">
      <c r="AL3341" s="86"/>
    </row>
    <row r="3342" spans="38:38" x14ac:dyDescent="0.35">
      <c r="AL3342" s="86"/>
    </row>
    <row r="3343" spans="38:38" x14ac:dyDescent="0.35">
      <c r="AL3343" s="86"/>
    </row>
    <row r="3344" spans="38:38" x14ac:dyDescent="0.35">
      <c r="AL3344" s="86"/>
    </row>
    <row r="3345" spans="38:38" x14ac:dyDescent="0.35">
      <c r="AL3345" s="86"/>
    </row>
    <row r="3346" spans="38:38" x14ac:dyDescent="0.35">
      <c r="AL3346" s="86"/>
    </row>
    <row r="3347" spans="38:38" x14ac:dyDescent="0.35">
      <c r="AL3347" s="86"/>
    </row>
    <row r="3348" spans="38:38" x14ac:dyDescent="0.35">
      <c r="AL3348" s="86"/>
    </row>
    <row r="3349" spans="38:38" x14ac:dyDescent="0.35">
      <c r="AL3349" s="86"/>
    </row>
    <row r="3350" spans="38:38" x14ac:dyDescent="0.35">
      <c r="AL3350" s="86"/>
    </row>
    <row r="3351" spans="38:38" x14ac:dyDescent="0.35">
      <c r="AL3351" s="86"/>
    </row>
    <row r="3352" spans="38:38" x14ac:dyDescent="0.35">
      <c r="AL3352" s="86"/>
    </row>
    <row r="3353" spans="38:38" x14ac:dyDescent="0.35">
      <c r="AL3353" s="86"/>
    </row>
    <row r="3354" spans="38:38" x14ac:dyDescent="0.35">
      <c r="AL3354" s="86"/>
    </row>
    <row r="3355" spans="38:38" x14ac:dyDescent="0.35">
      <c r="AL3355" s="86"/>
    </row>
    <row r="3356" spans="38:38" x14ac:dyDescent="0.35">
      <c r="AL3356" s="86"/>
    </row>
    <row r="3357" spans="38:38" x14ac:dyDescent="0.35">
      <c r="AL3357" s="86"/>
    </row>
    <row r="3358" spans="38:38" x14ac:dyDescent="0.35">
      <c r="AL3358" s="86"/>
    </row>
    <row r="3359" spans="38:38" x14ac:dyDescent="0.35">
      <c r="AL3359" s="86"/>
    </row>
    <row r="3360" spans="38:38" x14ac:dyDescent="0.35">
      <c r="AL3360" s="86"/>
    </row>
    <row r="3361" spans="38:38" x14ac:dyDescent="0.35">
      <c r="AL3361" s="86"/>
    </row>
    <row r="3362" spans="38:38" x14ac:dyDescent="0.35">
      <c r="AL3362" s="86"/>
    </row>
    <row r="3363" spans="38:38" x14ac:dyDescent="0.35">
      <c r="AL3363" s="86"/>
    </row>
    <row r="3364" spans="38:38" x14ac:dyDescent="0.35">
      <c r="AL3364" s="86"/>
    </row>
    <row r="3365" spans="38:38" x14ac:dyDescent="0.35">
      <c r="AL3365" s="86"/>
    </row>
    <row r="3366" spans="38:38" x14ac:dyDescent="0.35">
      <c r="AL3366" s="86"/>
    </row>
    <row r="3367" spans="38:38" x14ac:dyDescent="0.35">
      <c r="AL3367" s="86"/>
    </row>
    <row r="3368" spans="38:38" x14ac:dyDescent="0.35">
      <c r="AL3368" s="86"/>
    </row>
    <row r="3369" spans="38:38" x14ac:dyDescent="0.35">
      <c r="AL3369" s="86"/>
    </row>
    <row r="3370" spans="38:38" x14ac:dyDescent="0.35">
      <c r="AL3370" s="86"/>
    </row>
    <row r="3371" spans="38:38" x14ac:dyDescent="0.35">
      <c r="AL3371" s="86"/>
    </row>
    <row r="3372" spans="38:38" x14ac:dyDescent="0.35">
      <c r="AL3372" s="86"/>
    </row>
    <row r="3373" spans="38:38" x14ac:dyDescent="0.35">
      <c r="AL3373" s="86"/>
    </row>
    <row r="3374" spans="38:38" x14ac:dyDescent="0.35">
      <c r="AL3374" s="86"/>
    </row>
    <row r="3375" spans="38:38" x14ac:dyDescent="0.35">
      <c r="AL3375" s="86"/>
    </row>
    <row r="3376" spans="38:38" x14ac:dyDescent="0.35">
      <c r="AL3376" s="86"/>
    </row>
    <row r="3377" spans="38:38" x14ac:dyDescent="0.35">
      <c r="AL3377" s="86"/>
    </row>
    <row r="3378" spans="38:38" x14ac:dyDescent="0.35">
      <c r="AL3378" s="86"/>
    </row>
    <row r="3379" spans="38:38" x14ac:dyDescent="0.35">
      <c r="AL3379" s="86"/>
    </row>
    <row r="3380" spans="38:38" x14ac:dyDescent="0.35">
      <c r="AL3380" s="86"/>
    </row>
    <row r="3381" spans="38:38" x14ac:dyDescent="0.35">
      <c r="AL3381" s="86"/>
    </row>
    <row r="3382" spans="38:38" x14ac:dyDescent="0.35">
      <c r="AL3382" s="86"/>
    </row>
    <row r="3383" spans="38:38" x14ac:dyDescent="0.35">
      <c r="AL3383" s="86"/>
    </row>
    <row r="3384" spans="38:38" x14ac:dyDescent="0.35">
      <c r="AL3384" s="86"/>
    </row>
    <row r="3385" spans="38:38" x14ac:dyDescent="0.35">
      <c r="AL3385" s="86"/>
    </row>
    <row r="3386" spans="38:38" x14ac:dyDescent="0.35">
      <c r="AL3386" s="86"/>
    </row>
    <row r="3387" spans="38:38" x14ac:dyDescent="0.35">
      <c r="AL3387" s="86"/>
    </row>
    <row r="3388" spans="38:38" x14ac:dyDescent="0.35">
      <c r="AL3388" s="86"/>
    </row>
    <row r="3389" spans="38:38" x14ac:dyDescent="0.35">
      <c r="AL3389" s="86"/>
    </row>
    <row r="3390" spans="38:38" x14ac:dyDescent="0.35">
      <c r="AL3390" s="86"/>
    </row>
    <row r="3391" spans="38:38" x14ac:dyDescent="0.35">
      <c r="AL3391" s="86"/>
    </row>
    <row r="3392" spans="38:38" x14ac:dyDescent="0.35">
      <c r="AL3392" s="86"/>
    </row>
    <row r="3393" spans="38:38" x14ac:dyDescent="0.35">
      <c r="AL3393" s="86"/>
    </row>
    <row r="3394" spans="38:38" x14ac:dyDescent="0.35">
      <c r="AL3394" s="86"/>
    </row>
    <row r="3395" spans="38:38" x14ac:dyDescent="0.35">
      <c r="AL3395" s="86"/>
    </row>
    <row r="3396" spans="38:38" x14ac:dyDescent="0.35">
      <c r="AL3396" s="86"/>
    </row>
    <row r="3397" spans="38:38" x14ac:dyDescent="0.35">
      <c r="AL3397" s="86"/>
    </row>
    <row r="3398" spans="38:38" x14ac:dyDescent="0.35">
      <c r="AL3398" s="86"/>
    </row>
    <row r="3399" spans="38:38" x14ac:dyDescent="0.35">
      <c r="AL3399" s="86"/>
    </row>
    <row r="3400" spans="38:38" x14ac:dyDescent="0.35">
      <c r="AL3400" s="86"/>
    </row>
    <row r="3401" spans="38:38" x14ac:dyDescent="0.35">
      <c r="AL3401" s="86"/>
    </row>
    <row r="3402" spans="38:38" x14ac:dyDescent="0.35">
      <c r="AL3402" s="86"/>
    </row>
    <row r="3403" spans="38:38" x14ac:dyDescent="0.35">
      <c r="AL3403" s="86"/>
    </row>
    <row r="3404" spans="38:38" x14ac:dyDescent="0.35">
      <c r="AL3404" s="86"/>
    </row>
    <row r="3405" spans="38:38" x14ac:dyDescent="0.35">
      <c r="AL3405" s="86"/>
    </row>
    <row r="3406" spans="38:38" x14ac:dyDescent="0.35">
      <c r="AL3406" s="86"/>
    </row>
    <row r="3407" spans="38:38" x14ac:dyDescent="0.35">
      <c r="AL3407" s="86"/>
    </row>
    <row r="3408" spans="38:38" x14ac:dyDescent="0.35">
      <c r="AL3408" s="86"/>
    </row>
    <row r="3409" spans="38:38" x14ac:dyDescent="0.35">
      <c r="AL3409" s="86"/>
    </row>
    <row r="3410" spans="38:38" x14ac:dyDescent="0.35">
      <c r="AL3410" s="86"/>
    </row>
    <row r="3411" spans="38:38" x14ac:dyDescent="0.35">
      <c r="AL3411" s="86"/>
    </row>
    <row r="3412" spans="38:38" x14ac:dyDescent="0.35">
      <c r="AL3412" s="86"/>
    </row>
    <row r="3413" spans="38:38" x14ac:dyDescent="0.35">
      <c r="AL3413" s="86"/>
    </row>
    <row r="3414" spans="38:38" x14ac:dyDescent="0.35">
      <c r="AL3414" s="86"/>
    </row>
    <row r="3415" spans="38:38" x14ac:dyDescent="0.35">
      <c r="AL3415" s="86"/>
    </row>
    <row r="3416" spans="38:38" x14ac:dyDescent="0.35">
      <c r="AL3416" s="86"/>
    </row>
    <row r="3417" spans="38:38" x14ac:dyDescent="0.35">
      <c r="AL3417" s="86"/>
    </row>
    <row r="3418" spans="38:38" x14ac:dyDescent="0.35">
      <c r="AL3418" s="86"/>
    </row>
    <row r="3419" spans="38:38" x14ac:dyDescent="0.35">
      <c r="AL3419" s="86"/>
    </row>
    <row r="3420" spans="38:38" x14ac:dyDescent="0.35">
      <c r="AL3420" s="86"/>
    </row>
    <row r="3421" spans="38:38" x14ac:dyDescent="0.35">
      <c r="AL3421" s="86"/>
    </row>
    <row r="3422" spans="38:38" x14ac:dyDescent="0.35">
      <c r="AL3422" s="86"/>
    </row>
    <row r="3423" spans="38:38" x14ac:dyDescent="0.35">
      <c r="AL3423" s="86"/>
    </row>
    <row r="3424" spans="38:38" x14ac:dyDescent="0.35">
      <c r="AL3424" s="86"/>
    </row>
    <row r="3425" spans="38:38" x14ac:dyDescent="0.35">
      <c r="AL3425" s="86"/>
    </row>
    <row r="3426" spans="38:38" x14ac:dyDescent="0.35">
      <c r="AL3426" s="86"/>
    </row>
    <row r="3427" spans="38:38" x14ac:dyDescent="0.35">
      <c r="AL3427" s="86"/>
    </row>
    <row r="3428" spans="38:38" x14ac:dyDescent="0.35">
      <c r="AL3428" s="86"/>
    </row>
    <row r="3429" spans="38:38" x14ac:dyDescent="0.35">
      <c r="AL3429" s="86"/>
    </row>
    <row r="3430" spans="38:38" x14ac:dyDescent="0.35">
      <c r="AL3430" s="86"/>
    </row>
    <row r="3431" spans="38:38" x14ac:dyDescent="0.35">
      <c r="AL3431" s="86"/>
    </row>
    <row r="3432" spans="38:38" x14ac:dyDescent="0.35">
      <c r="AL3432" s="86"/>
    </row>
    <row r="3433" spans="38:38" x14ac:dyDescent="0.35">
      <c r="AL3433" s="86"/>
    </row>
    <row r="3434" spans="38:38" x14ac:dyDescent="0.35">
      <c r="AL3434" s="86"/>
    </row>
    <row r="3435" spans="38:38" x14ac:dyDescent="0.35">
      <c r="AL3435" s="86"/>
    </row>
    <row r="3436" spans="38:38" x14ac:dyDescent="0.35">
      <c r="AL3436" s="86"/>
    </row>
    <row r="3437" spans="38:38" x14ac:dyDescent="0.35">
      <c r="AL3437" s="86"/>
    </row>
    <row r="3438" spans="38:38" x14ac:dyDescent="0.35">
      <c r="AL3438" s="86"/>
    </row>
    <row r="3439" spans="38:38" x14ac:dyDescent="0.35">
      <c r="AL3439" s="86"/>
    </row>
    <row r="3440" spans="38:38" x14ac:dyDescent="0.35">
      <c r="AL3440" s="86"/>
    </row>
    <row r="3441" spans="38:38" x14ac:dyDescent="0.35">
      <c r="AL3441" s="86"/>
    </row>
    <row r="3442" spans="38:38" x14ac:dyDescent="0.35">
      <c r="AL3442" s="86"/>
    </row>
    <row r="3443" spans="38:38" x14ac:dyDescent="0.35">
      <c r="AL3443" s="86"/>
    </row>
    <row r="3444" spans="38:38" x14ac:dyDescent="0.35">
      <c r="AL3444" s="86"/>
    </row>
    <row r="3445" spans="38:38" x14ac:dyDescent="0.35">
      <c r="AL3445" s="86"/>
    </row>
    <row r="3446" spans="38:38" x14ac:dyDescent="0.35">
      <c r="AL3446" s="86"/>
    </row>
    <row r="3447" spans="38:38" x14ac:dyDescent="0.35">
      <c r="AL3447" s="86"/>
    </row>
    <row r="3448" spans="38:38" x14ac:dyDescent="0.35">
      <c r="AL3448" s="86"/>
    </row>
    <row r="3449" spans="38:38" x14ac:dyDescent="0.35">
      <c r="AL3449" s="86"/>
    </row>
    <row r="3450" spans="38:38" x14ac:dyDescent="0.35">
      <c r="AL3450" s="86"/>
    </row>
    <row r="3451" spans="38:38" x14ac:dyDescent="0.35">
      <c r="AL3451" s="86"/>
    </row>
    <row r="3452" spans="38:38" x14ac:dyDescent="0.35">
      <c r="AL3452" s="86"/>
    </row>
    <row r="3453" spans="38:38" x14ac:dyDescent="0.35">
      <c r="AL3453" s="86"/>
    </row>
    <row r="3454" spans="38:38" x14ac:dyDescent="0.35">
      <c r="AL3454" s="86"/>
    </row>
    <row r="3455" spans="38:38" x14ac:dyDescent="0.35">
      <c r="AL3455" s="86"/>
    </row>
    <row r="3456" spans="38:38" x14ac:dyDescent="0.35">
      <c r="AL3456" s="86"/>
    </row>
    <row r="3457" spans="38:38" x14ac:dyDescent="0.35">
      <c r="AL3457" s="86"/>
    </row>
    <row r="3458" spans="38:38" x14ac:dyDescent="0.35">
      <c r="AL3458" s="86"/>
    </row>
    <row r="3459" spans="38:38" x14ac:dyDescent="0.35">
      <c r="AL3459" s="86"/>
    </row>
    <row r="3460" spans="38:38" x14ac:dyDescent="0.35">
      <c r="AL3460" s="86"/>
    </row>
    <row r="3461" spans="38:38" x14ac:dyDescent="0.35">
      <c r="AL3461" s="86"/>
    </row>
    <row r="3462" spans="38:38" x14ac:dyDescent="0.35">
      <c r="AL3462" s="86"/>
    </row>
    <row r="3463" spans="38:38" x14ac:dyDescent="0.35">
      <c r="AL3463" s="86"/>
    </row>
    <row r="3464" spans="38:38" x14ac:dyDescent="0.35">
      <c r="AL3464" s="86"/>
    </row>
    <row r="3465" spans="38:38" x14ac:dyDescent="0.35">
      <c r="AL3465" s="86"/>
    </row>
    <row r="3466" spans="38:38" x14ac:dyDescent="0.35">
      <c r="AL3466" s="86"/>
    </row>
    <row r="3467" spans="38:38" x14ac:dyDescent="0.35">
      <c r="AL3467" s="86"/>
    </row>
    <row r="3468" spans="38:38" x14ac:dyDescent="0.35">
      <c r="AL3468" s="86"/>
    </row>
    <row r="3469" spans="38:38" x14ac:dyDescent="0.35">
      <c r="AL3469" s="86"/>
    </row>
    <row r="3470" spans="38:38" x14ac:dyDescent="0.35">
      <c r="AL3470" s="86"/>
    </row>
    <row r="3471" spans="38:38" x14ac:dyDescent="0.35">
      <c r="AL3471" s="86"/>
    </row>
    <row r="3472" spans="38:38" x14ac:dyDescent="0.35">
      <c r="AL3472" s="86"/>
    </row>
    <row r="3473" spans="38:38" x14ac:dyDescent="0.35">
      <c r="AL3473" s="86"/>
    </row>
    <row r="3474" spans="38:38" x14ac:dyDescent="0.35">
      <c r="AL3474" s="86"/>
    </row>
    <row r="3475" spans="38:38" x14ac:dyDescent="0.35">
      <c r="AL3475" s="86"/>
    </row>
    <row r="3476" spans="38:38" x14ac:dyDescent="0.35">
      <c r="AL3476" s="86"/>
    </row>
    <row r="3477" spans="38:38" x14ac:dyDescent="0.35">
      <c r="AL3477" s="86"/>
    </row>
    <row r="3478" spans="38:38" x14ac:dyDescent="0.35">
      <c r="AL3478" s="86"/>
    </row>
    <row r="3479" spans="38:38" x14ac:dyDescent="0.35">
      <c r="AL3479" s="86"/>
    </row>
    <row r="3480" spans="38:38" x14ac:dyDescent="0.35">
      <c r="AL3480" s="86"/>
    </row>
    <row r="3481" spans="38:38" x14ac:dyDescent="0.35">
      <c r="AL3481" s="86"/>
    </row>
    <row r="3482" spans="38:38" x14ac:dyDescent="0.35">
      <c r="AL3482" s="86"/>
    </row>
    <row r="3483" spans="38:38" x14ac:dyDescent="0.35">
      <c r="AL3483" s="86"/>
    </row>
    <row r="3484" spans="38:38" x14ac:dyDescent="0.35">
      <c r="AL3484" s="86"/>
    </row>
    <row r="3485" spans="38:38" x14ac:dyDescent="0.35">
      <c r="AL3485" s="86"/>
    </row>
    <row r="3486" spans="38:38" x14ac:dyDescent="0.35">
      <c r="AL3486" s="86"/>
    </row>
    <row r="3487" spans="38:38" x14ac:dyDescent="0.35">
      <c r="AL3487" s="86"/>
    </row>
    <row r="3488" spans="38:38" x14ac:dyDescent="0.35">
      <c r="AL3488" s="86"/>
    </row>
    <row r="3489" spans="38:38" x14ac:dyDescent="0.35">
      <c r="AL3489" s="86"/>
    </row>
    <row r="3490" spans="38:38" x14ac:dyDescent="0.35">
      <c r="AL3490" s="86"/>
    </row>
    <row r="3491" spans="38:38" x14ac:dyDescent="0.35">
      <c r="AL3491" s="86"/>
    </row>
    <row r="3492" spans="38:38" x14ac:dyDescent="0.35">
      <c r="AL3492" s="86"/>
    </row>
    <row r="3493" spans="38:38" x14ac:dyDescent="0.35">
      <c r="AL3493" s="86"/>
    </row>
    <row r="3494" spans="38:38" x14ac:dyDescent="0.35">
      <c r="AL3494" s="86"/>
    </row>
    <row r="3495" spans="38:38" x14ac:dyDescent="0.35">
      <c r="AL3495" s="86"/>
    </row>
    <row r="3496" spans="38:38" x14ac:dyDescent="0.35">
      <c r="AL3496" s="86"/>
    </row>
    <row r="3497" spans="38:38" x14ac:dyDescent="0.35">
      <c r="AL3497" s="86"/>
    </row>
    <row r="3498" spans="38:38" x14ac:dyDescent="0.35">
      <c r="AL3498" s="86"/>
    </row>
    <row r="3499" spans="38:38" x14ac:dyDescent="0.35">
      <c r="AL3499" s="86"/>
    </row>
    <row r="3500" spans="38:38" x14ac:dyDescent="0.35">
      <c r="AL3500" s="86"/>
    </row>
    <row r="3501" spans="38:38" x14ac:dyDescent="0.35">
      <c r="AL3501" s="86"/>
    </row>
    <row r="3502" spans="38:38" x14ac:dyDescent="0.35">
      <c r="AL3502" s="86"/>
    </row>
    <row r="3503" spans="38:38" x14ac:dyDescent="0.35">
      <c r="AL3503" s="86"/>
    </row>
    <row r="3504" spans="38:38" x14ac:dyDescent="0.35">
      <c r="AL3504" s="86"/>
    </row>
    <row r="3505" spans="38:38" x14ac:dyDescent="0.35">
      <c r="AL3505" s="86"/>
    </row>
    <row r="3506" spans="38:38" x14ac:dyDescent="0.35">
      <c r="AL3506" s="86"/>
    </row>
    <row r="3507" spans="38:38" x14ac:dyDescent="0.35">
      <c r="AL3507" s="86"/>
    </row>
    <row r="3508" spans="38:38" x14ac:dyDescent="0.35">
      <c r="AL3508" s="86"/>
    </row>
    <row r="3509" spans="38:38" x14ac:dyDescent="0.35">
      <c r="AL3509" s="86"/>
    </row>
    <row r="3510" spans="38:38" x14ac:dyDescent="0.35">
      <c r="AL3510" s="86"/>
    </row>
    <row r="3511" spans="38:38" x14ac:dyDescent="0.35">
      <c r="AL3511" s="86"/>
    </row>
    <row r="3512" spans="38:38" x14ac:dyDescent="0.35">
      <c r="AL3512" s="86"/>
    </row>
    <row r="3513" spans="38:38" x14ac:dyDescent="0.35">
      <c r="AL3513" s="86"/>
    </row>
    <row r="3514" spans="38:38" x14ac:dyDescent="0.35">
      <c r="AL3514" s="86"/>
    </row>
    <row r="3515" spans="38:38" x14ac:dyDescent="0.35">
      <c r="AL3515" s="86"/>
    </row>
    <row r="3516" spans="38:38" x14ac:dyDescent="0.35">
      <c r="AL3516" s="86"/>
    </row>
    <row r="3517" spans="38:38" x14ac:dyDescent="0.35">
      <c r="AL3517" s="86"/>
    </row>
    <row r="3518" spans="38:38" x14ac:dyDescent="0.35">
      <c r="AL3518" s="86"/>
    </row>
    <row r="3519" spans="38:38" x14ac:dyDescent="0.35">
      <c r="AL3519" s="86"/>
    </row>
    <row r="3520" spans="38:38" x14ac:dyDescent="0.35">
      <c r="AL3520" s="86"/>
    </row>
    <row r="3521" spans="38:38" x14ac:dyDescent="0.35">
      <c r="AL3521" s="86"/>
    </row>
    <row r="3522" spans="38:38" x14ac:dyDescent="0.35">
      <c r="AL3522" s="86"/>
    </row>
    <row r="3523" spans="38:38" x14ac:dyDescent="0.35">
      <c r="AL3523" s="86"/>
    </row>
    <row r="3524" spans="38:38" x14ac:dyDescent="0.35">
      <c r="AL3524" s="86"/>
    </row>
    <row r="3525" spans="38:38" x14ac:dyDescent="0.35">
      <c r="AL3525" s="86"/>
    </row>
    <row r="3526" spans="38:38" x14ac:dyDescent="0.35">
      <c r="AL3526" s="86"/>
    </row>
    <row r="3527" spans="38:38" x14ac:dyDescent="0.35">
      <c r="AL3527" s="86"/>
    </row>
    <row r="3528" spans="38:38" x14ac:dyDescent="0.35">
      <c r="AL3528" s="86"/>
    </row>
    <row r="3529" spans="38:38" x14ac:dyDescent="0.35">
      <c r="AL3529" s="86"/>
    </row>
    <row r="3530" spans="38:38" x14ac:dyDescent="0.35">
      <c r="AL3530" s="86"/>
    </row>
    <row r="3531" spans="38:38" x14ac:dyDescent="0.35">
      <c r="AL3531" s="86"/>
    </row>
    <row r="3532" spans="38:38" x14ac:dyDescent="0.35">
      <c r="AL3532" s="86"/>
    </row>
    <row r="3533" spans="38:38" x14ac:dyDescent="0.35">
      <c r="AL3533" s="86"/>
    </row>
    <row r="3534" spans="38:38" x14ac:dyDescent="0.35">
      <c r="AL3534" s="86"/>
    </row>
    <row r="3535" spans="38:38" x14ac:dyDescent="0.35">
      <c r="AL3535" s="86"/>
    </row>
    <row r="3536" spans="38:38" x14ac:dyDescent="0.35">
      <c r="AL3536" s="86"/>
    </row>
    <row r="3537" spans="38:38" x14ac:dyDescent="0.35">
      <c r="AL3537" s="86"/>
    </row>
    <row r="3538" spans="38:38" x14ac:dyDescent="0.35">
      <c r="AL3538" s="86"/>
    </row>
    <row r="3539" spans="38:38" x14ac:dyDescent="0.35">
      <c r="AL3539" s="86"/>
    </row>
    <row r="3540" spans="38:38" x14ac:dyDescent="0.35">
      <c r="AL3540" s="86"/>
    </row>
    <row r="3541" spans="38:38" x14ac:dyDescent="0.35">
      <c r="AL3541" s="86"/>
    </row>
    <row r="3542" spans="38:38" x14ac:dyDescent="0.35">
      <c r="AL3542" s="86"/>
    </row>
    <row r="3543" spans="38:38" x14ac:dyDescent="0.35">
      <c r="AL3543" s="86"/>
    </row>
    <row r="3544" spans="38:38" x14ac:dyDescent="0.35">
      <c r="AL3544" s="86"/>
    </row>
    <row r="3545" spans="38:38" x14ac:dyDescent="0.35">
      <c r="AL3545" s="86"/>
    </row>
    <row r="3546" spans="38:38" x14ac:dyDescent="0.35">
      <c r="AL3546" s="86"/>
    </row>
    <row r="3547" spans="38:38" x14ac:dyDescent="0.35">
      <c r="AL3547" s="86"/>
    </row>
    <row r="3548" spans="38:38" x14ac:dyDescent="0.35">
      <c r="AL3548" s="86"/>
    </row>
    <row r="3549" spans="38:38" x14ac:dyDescent="0.35">
      <c r="AL3549" s="86"/>
    </row>
    <row r="3550" spans="38:38" x14ac:dyDescent="0.35">
      <c r="AL3550" s="86"/>
    </row>
    <row r="3551" spans="38:38" x14ac:dyDescent="0.35">
      <c r="AL3551" s="86"/>
    </row>
    <row r="3552" spans="38:38" x14ac:dyDescent="0.35">
      <c r="AL3552" s="86"/>
    </row>
    <row r="3553" spans="38:38" x14ac:dyDescent="0.35">
      <c r="AL3553" s="86"/>
    </row>
    <row r="3554" spans="38:38" x14ac:dyDescent="0.35">
      <c r="AL3554" s="86"/>
    </row>
    <row r="3555" spans="38:38" x14ac:dyDescent="0.35">
      <c r="AL3555" s="86"/>
    </row>
    <row r="3556" spans="38:38" x14ac:dyDescent="0.35">
      <c r="AL3556" s="86"/>
    </row>
    <row r="3557" spans="38:38" x14ac:dyDescent="0.35">
      <c r="AL3557" s="86"/>
    </row>
    <row r="3558" spans="38:38" x14ac:dyDescent="0.35">
      <c r="AL3558" s="86"/>
    </row>
    <row r="3559" spans="38:38" x14ac:dyDescent="0.35">
      <c r="AL3559" s="86"/>
    </row>
    <row r="3560" spans="38:38" x14ac:dyDescent="0.35">
      <c r="AL3560" s="86"/>
    </row>
    <row r="3561" spans="38:38" x14ac:dyDescent="0.35">
      <c r="AL3561" s="86"/>
    </row>
    <row r="3562" spans="38:38" x14ac:dyDescent="0.35">
      <c r="AL3562" s="86"/>
    </row>
    <row r="3563" spans="38:38" x14ac:dyDescent="0.35">
      <c r="AL3563" s="86"/>
    </row>
    <row r="3564" spans="38:38" x14ac:dyDescent="0.35">
      <c r="AL3564" s="86"/>
    </row>
    <row r="3565" spans="38:38" x14ac:dyDescent="0.35">
      <c r="AL3565" s="86"/>
    </row>
    <row r="3566" spans="38:38" x14ac:dyDescent="0.35">
      <c r="AL3566" s="86"/>
    </row>
    <row r="3567" spans="38:38" x14ac:dyDescent="0.35">
      <c r="AL3567" s="86"/>
    </row>
    <row r="3568" spans="38:38" x14ac:dyDescent="0.35">
      <c r="AL3568" s="86"/>
    </row>
    <row r="3569" spans="38:38" x14ac:dyDescent="0.35">
      <c r="AL3569" s="86"/>
    </row>
    <row r="3570" spans="38:38" x14ac:dyDescent="0.35">
      <c r="AL3570" s="86"/>
    </row>
    <row r="3571" spans="38:38" x14ac:dyDescent="0.35">
      <c r="AL3571" s="86"/>
    </row>
    <row r="3572" spans="38:38" x14ac:dyDescent="0.35">
      <c r="AL3572" s="86"/>
    </row>
    <row r="3573" spans="38:38" x14ac:dyDescent="0.35">
      <c r="AL3573" s="86"/>
    </row>
    <row r="3574" spans="38:38" x14ac:dyDescent="0.35">
      <c r="AL3574" s="86"/>
    </row>
    <row r="3575" spans="38:38" x14ac:dyDescent="0.35">
      <c r="AL3575" s="86"/>
    </row>
    <row r="3576" spans="38:38" x14ac:dyDescent="0.35">
      <c r="AL3576" s="86"/>
    </row>
    <row r="3577" spans="38:38" x14ac:dyDescent="0.35">
      <c r="AL3577" s="86"/>
    </row>
    <row r="3578" spans="38:38" x14ac:dyDescent="0.35">
      <c r="AL3578" s="86"/>
    </row>
    <row r="3579" spans="38:38" x14ac:dyDescent="0.35">
      <c r="AL3579" s="86"/>
    </row>
    <row r="3580" spans="38:38" x14ac:dyDescent="0.35">
      <c r="AL3580" s="86"/>
    </row>
    <row r="3581" spans="38:38" x14ac:dyDescent="0.35">
      <c r="AL3581" s="86"/>
    </row>
    <row r="3582" spans="38:38" x14ac:dyDescent="0.35">
      <c r="AL3582" s="86"/>
    </row>
    <row r="3583" spans="38:38" x14ac:dyDescent="0.35">
      <c r="AL3583" s="86"/>
    </row>
    <row r="3584" spans="38:38" x14ac:dyDescent="0.35">
      <c r="AL3584" s="86"/>
    </row>
    <row r="3585" spans="38:38" x14ac:dyDescent="0.35">
      <c r="AL3585" s="86"/>
    </row>
    <row r="3586" spans="38:38" x14ac:dyDescent="0.35">
      <c r="AL3586" s="86"/>
    </row>
    <row r="3587" spans="38:38" x14ac:dyDescent="0.35">
      <c r="AL3587" s="86"/>
    </row>
    <row r="3588" spans="38:38" x14ac:dyDescent="0.35">
      <c r="AL3588" s="86"/>
    </row>
    <row r="3589" spans="38:38" x14ac:dyDescent="0.35">
      <c r="AL3589" s="86"/>
    </row>
    <row r="3590" spans="38:38" x14ac:dyDescent="0.35">
      <c r="AL3590" s="86"/>
    </row>
    <row r="3591" spans="38:38" x14ac:dyDescent="0.35">
      <c r="AL3591" s="86"/>
    </row>
    <row r="3592" spans="38:38" x14ac:dyDescent="0.35">
      <c r="AL3592" s="86"/>
    </row>
    <row r="3593" spans="38:38" x14ac:dyDescent="0.35">
      <c r="AL3593" s="86"/>
    </row>
    <row r="3594" spans="38:38" x14ac:dyDescent="0.35">
      <c r="AL3594" s="86"/>
    </row>
    <row r="3595" spans="38:38" x14ac:dyDescent="0.35">
      <c r="AL3595" s="86"/>
    </row>
    <row r="3596" spans="38:38" x14ac:dyDescent="0.35">
      <c r="AL3596" s="86"/>
    </row>
    <row r="3597" spans="38:38" x14ac:dyDescent="0.35">
      <c r="AL3597" s="86"/>
    </row>
    <row r="3598" spans="38:38" x14ac:dyDescent="0.35">
      <c r="AL3598" s="86"/>
    </row>
    <row r="3599" spans="38:38" x14ac:dyDescent="0.35">
      <c r="AL3599" s="86"/>
    </row>
    <row r="3600" spans="38:38" x14ac:dyDescent="0.35">
      <c r="AL3600" s="86"/>
    </row>
    <row r="3601" spans="38:38" x14ac:dyDescent="0.35">
      <c r="AL3601" s="86"/>
    </row>
    <row r="3602" spans="38:38" x14ac:dyDescent="0.35">
      <c r="AL3602" s="86"/>
    </row>
    <row r="3603" spans="38:38" x14ac:dyDescent="0.35">
      <c r="AL3603" s="86"/>
    </row>
    <row r="3604" spans="38:38" x14ac:dyDescent="0.35">
      <c r="AL3604" s="86"/>
    </row>
    <row r="3605" spans="38:38" x14ac:dyDescent="0.35">
      <c r="AL3605" s="86"/>
    </row>
    <row r="3606" spans="38:38" x14ac:dyDescent="0.35">
      <c r="AL3606" s="86"/>
    </row>
    <row r="3607" spans="38:38" x14ac:dyDescent="0.35">
      <c r="AL3607" s="86"/>
    </row>
    <row r="3608" spans="38:38" x14ac:dyDescent="0.35">
      <c r="AL3608" s="86"/>
    </row>
    <row r="3609" spans="38:38" x14ac:dyDescent="0.35">
      <c r="AL3609" s="86"/>
    </row>
    <row r="3610" spans="38:38" x14ac:dyDescent="0.35">
      <c r="AL3610" s="86"/>
    </row>
    <row r="3611" spans="38:38" x14ac:dyDescent="0.35">
      <c r="AL3611" s="86"/>
    </row>
    <row r="3612" spans="38:38" x14ac:dyDescent="0.35">
      <c r="AL3612" s="86"/>
    </row>
    <row r="3613" spans="38:38" x14ac:dyDescent="0.35">
      <c r="AL3613" s="86"/>
    </row>
    <row r="3614" spans="38:38" x14ac:dyDescent="0.35">
      <c r="AL3614" s="86"/>
    </row>
    <row r="3615" spans="38:38" x14ac:dyDescent="0.35">
      <c r="AL3615" s="86"/>
    </row>
    <row r="3616" spans="38:38" x14ac:dyDescent="0.35">
      <c r="AL3616" s="86"/>
    </row>
    <row r="3617" spans="38:38" x14ac:dyDescent="0.35">
      <c r="AL3617" s="86"/>
    </row>
    <row r="3618" spans="38:38" x14ac:dyDescent="0.35">
      <c r="AL3618" s="86"/>
    </row>
    <row r="3619" spans="38:38" x14ac:dyDescent="0.35">
      <c r="AL3619" s="86"/>
    </row>
    <row r="3620" spans="38:38" x14ac:dyDescent="0.35">
      <c r="AL3620" s="86"/>
    </row>
    <row r="3621" spans="38:38" x14ac:dyDescent="0.35">
      <c r="AL3621" s="86"/>
    </row>
    <row r="3622" spans="38:38" x14ac:dyDescent="0.35">
      <c r="AL3622" s="86"/>
    </row>
    <row r="3623" spans="38:38" x14ac:dyDescent="0.35">
      <c r="AL3623" s="86"/>
    </row>
    <row r="3624" spans="38:38" x14ac:dyDescent="0.35">
      <c r="AL3624" s="86"/>
    </row>
    <row r="3625" spans="38:38" x14ac:dyDescent="0.35">
      <c r="AL3625" s="86"/>
    </row>
    <row r="3626" spans="38:38" x14ac:dyDescent="0.35">
      <c r="AL3626" s="86"/>
    </row>
    <row r="3627" spans="38:38" x14ac:dyDescent="0.35">
      <c r="AL3627" s="86"/>
    </row>
    <row r="3628" spans="38:38" x14ac:dyDescent="0.35">
      <c r="AL3628" s="86"/>
    </row>
    <row r="3629" spans="38:38" x14ac:dyDescent="0.35">
      <c r="AL3629" s="86"/>
    </row>
    <row r="3630" spans="38:38" x14ac:dyDescent="0.35">
      <c r="AL3630" s="86"/>
    </row>
    <row r="3631" spans="38:38" x14ac:dyDescent="0.35">
      <c r="AL3631" s="86"/>
    </row>
    <row r="3632" spans="38:38" x14ac:dyDescent="0.35">
      <c r="AL3632" s="86"/>
    </row>
    <row r="3633" spans="38:38" x14ac:dyDescent="0.35">
      <c r="AL3633" s="86"/>
    </row>
    <row r="3634" spans="38:38" x14ac:dyDescent="0.35">
      <c r="AL3634" s="86"/>
    </row>
    <row r="3635" spans="38:38" x14ac:dyDescent="0.35">
      <c r="AL3635" s="86"/>
    </row>
    <row r="3636" spans="38:38" x14ac:dyDescent="0.35">
      <c r="AL3636" s="86"/>
    </row>
    <row r="3637" spans="38:38" x14ac:dyDescent="0.35">
      <c r="AL3637" s="86"/>
    </row>
    <row r="3638" spans="38:38" x14ac:dyDescent="0.35">
      <c r="AL3638" s="86"/>
    </row>
    <row r="3639" spans="38:38" x14ac:dyDescent="0.35">
      <c r="AL3639" s="86"/>
    </row>
    <row r="3640" spans="38:38" x14ac:dyDescent="0.35">
      <c r="AL3640" s="86"/>
    </row>
    <row r="3641" spans="38:38" x14ac:dyDescent="0.35">
      <c r="AL3641" s="86"/>
    </row>
    <row r="3642" spans="38:38" x14ac:dyDescent="0.35">
      <c r="AL3642" s="86"/>
    </row>
    <row r="3643" spans="38:38" x14ac:dyDescent="0.35">
      <c r="AL3643" s="86"/>
    </row>
    <row r="3644" spans="38:38" x14ac:dyDescent="0.35">
      <c r="AL3644" s="86"/>
    </row>
    <row r="3645" spans="38:38" x14ac:dyDescent="0.35">
      <c r="AL3645" s="86"/>
    </row>
    <row r="3646" spans="38:38" x14ac:dyDescent="0.35">
      <c r="AL3646" s="86"/>
    </row>
    <row r="3647" spans="38:38" x14ac:dyDescent="0.35">
      <c r="AL3647" s="86"/>
    </row>
    <row r="3648" spans="38:38" x14ac:dyDescent="0.35">
      <c r="AL3648" s="86"/>
    </row>
    <row r="3649" spans="38:38" x14ac:dyDescent="0.35">
      <c r="AL3649" s="86"/>
    </row>
    <row r="3650" spans="38:38" x14ac:dyDescent="0.35">
      <c r="AL3650" s="86"/>
    </row>
    <row r="3651" spans="38:38" x14ac:dyDescent="0.35">
      <c r="AL3651" s="86"/>
    </row>
    <row r="3652" spans="38:38" x14ac:dyDescent="0.35">
      <c r="AL3652" s="86"/>
    </row>
    <row r="3653" spans="38:38" x14ac:dyDescent="0.35">
      <c r="AL3653" s="86"/>
    </row>
    <row r="3654" spans="38:38" x14ac:dyDescent="0.35">
      <c r="AL3654" s="86"/>
    </row>
    <row r="3655" spans="38:38" x14ac:dyDescent="0.35">
      <c r="AL3655" s="86"/>
    </row>
    <row r="3656" spans="38:38" x14ac:dyDescent="0.35">
      <c r="AL3656" s="86"/>
    </row>
    <row r="3657" spans="38:38" x14ac:dyDescent="0.35">
      <c r="AL3657" s="86"/>
    </row>
    <row r="3658" spans="38:38" x14ac:dyDescent="0.35">
      <c r="AL3658" s="86"/>
    </row>
    <row r="3659" spans="38:38" x14ac:dyDescent="0.35">
      <c r="AL3659" s="86"/>
    </row>
    <row r="3660" spans="38:38" x14ac:dyDescent="0.35">
      <c r="AL3660" s="86"/>
    </row>
    <row r="3661" spans="38:38" x14ac:dyDescent="0.35">
      <c r="AL3661" s="86"/>
    </row>
    <row r="3662" spans="38:38" x14ac:dyDescent="0.35">
      <c r="AL3662" s="86"/>
    </row>
    <row r="3663" spans="38:38" x14ac:dyDescent="0.35">
      <c r="AL3663" s="86"/>
    </row>
    <row r="3664" spans="38:38" x14ac:dyDescent="0.35">
      <c r="AL3664" s="86"/>
    </row>
    <row r="3665" spans="38:38" x14ac:dyDescent="0.35">
      <c r="AL3665" s="86"/>
    </row>
    <row r="3666" spans="38:38" x14ac:dyDescent="0.35">
      <c r="AL3666" s="86"/>
    </row>
    <row r="3667" spans="38:38" x14ac:dyDescent="0.35">
      <c r="AL3667" s="86"/>
    </row>
    <row r="3668" spans="38:38" x14ac:dyDescent="0.35">
      <c r="AL3668" s="86"/>
    </row>
    <row r="3669" spans="38:38" x14ac:dyDescent="0.35">
      <c r="AL3669" s="86"/>
    </row>
    <row r="3670" spans="38:38" x14ac:dyDescent="0.35">
      <c r="AL3670" s="86"/>
    </row>
    <row r="3671" spans="38:38" x14ac:dyDescent="0.35">
      <c r="AL3671" s="86"/>
    </row>
    <row r="3672" spans="38:38" x14ac:dyDescent="0.35">
      <c r="AL3672" s="86"/>
    </row>
    <row r="3673" spans="38:38" x14ac:dyDescent="0.35">
      <c r="AL3673" s="86"/>
    </row>
    <row r="3674" spans="38:38" x14ac:dyDescent="0.35">
      <c r="AL3674" s="86"/>
    </row>
    <row r="3675" spans="38:38" x14ac:dyDescent="0.35">
      <c r="AL3675" s="86"/>
    </row>
    <row r="3676" spans="38:38" x14ac:dyDescent="0.35">
      <c r="AL3676" s="86"/>
    </row>
    <row r="3677" spans="38:38" x14ac:dyDescent="0.35">
      <c r="AL3677" s="86"/>
    </row>
    <row r="3678" spans="38:38" x14ac:dyDescent="0.35">
      <c r="AL3678" s="86"/>
    </row>
    <row r="3679" spans="38:38" x14ac:dyDescent="0.35">
      <c r="AL3679" s="86"/>
    </row>
    <row r="3680" spans="38:38" x14ac:dyDescent="0.35">
      <c r="AL3680" s="86"/>
    </row>
    <row r="3681" spans="38:38" x14ac:dyDescent="0.35">
      <c r="AL3681" s="86"/>
    </row>
    <row r="3682" spans="38:38" x14ac:dyDescent="0.35">
      <c r="AL3682" s="86"/>
    </row>
    <row r="3683" spans="38:38" x14ac:dyDescent="0.35">
      <c r="AL3683" s="86"/>
    </row>
    <row r="3684" spans="38:38" x14ac:dyDescent="0.35">
      <c r="AL3684" s="86"/>
    </row>
    <row r="3685" spans="38:38" x14ac:dyDescent="0.35">
      <c r="AL3685" s="86"/>
    </row>
    <row r="3686" spans="38:38" x14ac:dyDescent="0.35">
      <c r="AL3686" s="86"/>
    </row>
    <row r="3687" spans="38:38" x14ac:dyDescent="0.35">
      <c r="AL3687" s="86"/>
    </row>
    <row r="3688" spans="38:38" x14ac:dyDescent="0.35">
      <c r="AL3688" s="86"/>
    </row>
    <row r="3689" spans="38:38" x14ac:dyDescent="0.35">
      <c r="AL3689" s="86"/>
    </row>
    <row r="3690" spans="38:38" x14ac:dyDescent="0.35">
      <c r="AL3690" s="86"/>
    </row>
    <row r="3691" spans="38:38" x14ac:dyDescent="0.35">
      <c r="AL3691" s="86"/>
    </row>
    <row r="3692" spans="38:38" x14ac:dyDescent="0.35">
      <c r="AL3692" s="86"/>
    </row>
    <row r="3693" spans="38:38" x14ac:dyDescent="0.35">
      <c r="AL3693" s="86"/>
    </row>
    <row r="3694" spans="38:38" x14ac:dyDescent="0.35">
      <c r="AL3694" s="86"/>
    </row>
    <row r="3695" spans="38:38" x14ac:dyDescent="0.35">
      <c r="AL3695" s="86"/>
    </row>
    <row r="3696" spans="38:38" x14ac:dyDescent="0.35">
      <c r="AL3696" s="86"/>
    </row>
    <row r="3697" spans="38:38" x14ac:dyDescent="0.35">
      <c r="AL3697" s="86"/>
    </row>
    <row r="3698" spans="38:38" x14ac:dyDescent="0.35">
      <c r="AL3698" s="86"/>
    </row>
    <row r="3699" spans="38:38" x14ac:dyDescent="0.35">
      <c r="AL3699" s="86"/>
    </row>
    <row r="3700" spans="38:38" x14ac:dyDescent="0.35">
      <c r="AL3700" s="86"/>
    </row>
    <row r="3701" spans="38:38" x14ac:dyDescent="0.35">
      <c r="AL3701" s="86"/>
    </row>
    <row r="3702" spans="38:38" x14ac:dyDescent="0.35">
      <c r="AL3702" s="86"/>
    </row>
    <row r="3703" spans="38:38" x14ac:dyDescent="0.35">
      <c r="AL3703" s="86"/>
    </row>
    <row r="3704" spans="38:38" x14ac:dyDescent="0.35">
      <c r="AL3704" s="86"/>
    </row>
    <row r="3705" spans="38:38" x14ac:dyDescent="0.35">
      <c r="AL3705" s="86"/>
    </row>
    <row r="3706" spans="38:38" x14ac:dyDescent="0.35">
      <c r="AL3706" s="86"/>
    </row>
    <row r="3707" spans="38:38" x14ac:dyDescent="0.35">
      <c r="AL3707" s="86"/>
    </row>
    <row r="3708" spans="38:38" x14ac:dyDescent="0.35">
      <c r="AL3708" s="86"/>
    </row>
    <row r="3709" spans="38:38" x14ac:dyDescent="0.35">
      <c r="AL3709" s="86"/>
    </row>
    <row r="3710" spans="38:38" x14ac:dyDescent="0.35">
      <c r="AL3710" s="86"/>
    </row>
    <row r="3711" spans="38:38" x14ac:dyDescent="0.35">
      <c r="AL3711" s="86"/>
    </row>
    <row r="3712" spans="38:38" x14ac:dyDescent="0.35">
      <c r="AL3712" s="86"/>
    </row>
    <row r="3713" spans="38:38" x14ac:dyDescent="0.35">
      <c r="AL3713" s="86"/>
    </row>
    <row r="3714" spans="38:38" x14ac:dyDescent="0.35">
      <c r="AL3714" s="86"/>
    </row>
    <row r="3715" spans="38:38" x14ac:dyDescent="0.35">
      <c r="AL3715" s="86"/>
    </row>
    <row r="3716" spans="38:38" x14ac:dyDescent="0.35">
      <c r="AL3716" s="86"/>
    </row>
    <row r="3717" spans="38:38" x14ac:dyDescent="0.35">
      <c r="AL3717" s="86"/>
    </row>
    <row r="3718" spans="38:38" x14ac:dyDescent="0.35">
      <c r="AL3718" s="86"/>
    </row>
    <row r="3719" spans="38:38" x14ac:dyDescent="0.35">
      <c r="AL3719" s="86"/>
    </row>
    <row r="3720" spans="38:38" x14ac:dyDescent="0.35">
      <c r="AL3720" s="86"/>
    </row>
    <row r="3721" spans="38:38" x14ac:dyDescent="0.35">
      <c r="AL3721" s="86"/>
    </row>
    <row r="3722" spans="38:38" x14ac:dyDescent="0.35">
      <c r="AL3722" s="86"/>
    </row>
    <row r="3723" spans="38:38" x14ac:dyDescent="0.35">
      <c r="AL3723" s="86"/>
    </row>
    <row r="3724" spans="38:38" x14ac:dyDescent="0.35">
      <c r="AL3724" s="86"/>
    </row>
    <row r="3725" spans="38:38" x14ac:dyDescent="0.35">
      <c r="AL3725" s="86"/>
    </row>
    <row r="3726" spans="38:38" x14ac:dyDescent="0.35">
      <c r="AL3726" s="86"/>
    </row>
    <row r="3727" spans="38:38" x14ac:dyDescent="0.35">
      <c r="AL3727" s="86"/>
    </row>
    <row r="3728" spans="38:38" x14ac:dyDescent="0.35">
      <c r="AL3728" s="86"/>
    </row>
    <row r="3729" spans="38:38" x14ac:dyDescent="0.35">
      <c r="AL3729" s="86"/>
    </row>
    <row r="3730" spans="38:38" x14ac:dyDescent="0.35">
      <c r="AL3730" s="86"/>
    </row>
    <row r="3731" spans="38:38" x14ac:dyDescent="0.35">
      <c r="AL3731" s="86"/>
    </row>
    <row r="3732" spans="38:38" x14ac:dyDescent="0.35">
      <c r="AL3732" s="86"/>
    </row>
    <row r="3733" spans="38:38" x14ac:dyDescent="0.35">
      <c r="AL3733" s="86"/>
    </row>
    <row r="3734" spans="38:38" x14ac:dyDescent="0.35">
      <c r="AL3734" s="86"/>
    </row>
    <row r="3735" spans="38:38" x14ac:dyDescent="0.35">
      <c r="AL3735" s="86"/>
    </row>
    <row r="3736" spans="38:38" x14ac:dyDescent="0.35">
      <c r="AL3736" s="86"/>
    </row>
    <row r="3737" spans="38:38" x14ac:dyDescent="0.35">
      <c r="AL3737" s="86"/>
    </row>
    <row r="3738" spans="38:38" x14ac:dyDescent="0.35">
      <c r="AL3738" s="86"/>
    </row>
    <row r="3739" spans="38:38" x14ac:dyDescent="0.35">
      <c r="AL3739" s="86"/>
    </row>
    <row r="3740" spans="38:38" x14ac:dyDescent="0.35">
      <c r="AL3740" s="86"/>
    </row>
    <row r="3741" spans="38:38" x14ac:dyDescent="0.35">
      <c r="AL3741" s="86"/>
    </row>
    <row r="3742" spans="38:38" x14ac:dyDescent="0.35">
      <c r="AL3742" s="86"/>
    </row>
    <row r="3743" spans="38:38" x14ac:dyDescent="0.35">
      <c r="AL3743" s="86"/>
    </row>
    <row r="3744" spans="38:38" x14ac:dyDescent="0.35">
      <c r="AL3744" s="86"/>
    </row>
    <row r="3745" spans="38:38" x14ac:dyDescent="0.35">
      <c r="AL3745" s="86"/>
    </row>
    <row r="3746" spans="38:38" x14ac:dyDescent="0.35">
      <c r="AL3746" s="86"/>
    </row>
    <row r="3747" spans="38:38" x14ac:dyDescent="0.35">
      <c r="AL3747" s="86"/>
    </row>
    <row r="3748" spans="38:38" x14ac:dyDescent="0.35">
      <c r="AL3748" s="86"/>
    </row>
    <row r="3749" spans="38:38" x14ac:dyDescent="0.35">
      <c r="AL3749" s="86"/>
    </row>
    <row r="3750" spans="38:38" x14ac:dyDescent="0.35">
      <c r="AL3750" s="86"/>
    </row>
    <row r="3751" spans="38:38" x14ac:dyDescent="0.35">
      <c r="AL3751" s="86"/>
    </row>
    <row r="3752" spans="38:38" x14ac:dyDescent="0.35">
      <c r="AL3752" s="86"/>
    </row>
    <row r="3753" spans="38:38" x14ac:dyDescent="0.35">
      <c r="AL3753" s="86"/>
    </row>
    <row r="3754" spans="38:38" x14ac:dyDescent="0.35">
      <c r="AL3754" s="86"/>
    </row>
    <row r="3755" spans="38:38" x14ac:dyDescent="0.35">
      <c r="AL3755" s="86"/>
    </row>
    <row r="3756" spans="38:38" x14ac:dyDescent="0.35">
      <c r="AL3756" s="86"/>
    </row>
    <row r="3757" spans="38:38" x14ac:dyDescent="0.35">
      <c r="AL3757" s="86"/>
    </row>
    <row r="3758" spans="38:38" x14ac:dyDescent="0.35">
      <c r="AL3758" s="86"/>
    </row>
    <row r="3759" spans="38:38" x14ac:dyDescent="0.35">
      <c r="AL3759" s="86"/>
    </row>
    <row r="3760" spans="38:38" x14ac:dyDescent="0.35">
      <c r="AL3760" s="86"/>
    </row>
    <row r="3761" spans="38:38" x14ac:dyDescent="0.35">
      <c r="AL3761" s="86"/>
    </row>
    <row r="3762" spans="38:38" x14ac:dyDescent="0.35">
      <c r="AL3762" s="86"/>
    </row>
    <row r="3763" spans="38:38" x14ac:dyDescent="0.35">
      <c r="AL3763" s="86"/>
    </row>
    <row r="3764" spans="38:38" x14ac:dyDescent="0.35">
      <c r="AL3764" s="86"/>
    </row>
    <row r="3765" spans="38:38" x14ac:dyDescent="0.35">
      <c r="AL3765" s="86"/>
    </row>
    <row r="3766" spans="38:38" x14ac:dyDescent="0.35">
      <c r="AL3766" s="86"/>
    </row>
    <row r="3767" spans="38:38" x14ac:dyDescent="0.35">
      <c r="AL3767" s="86"/>
    </row>
    <row r="3768" spans="38:38" x14ac:dyDescent="0.35">
      <c r="AL3768" s="86"/>
    </row>
    <row r="3769" spans="38:38" x14ac:dyDescent="0.35">
      <c r="AL3769" s="86"/>
    </row>
    <row r="3770" spans="38:38" x14ac:dyDescent="0.35">
      <c r="AL3770" s="86"/>
    </row>
    <row r="3771" spans="38:38" x14ac:dyDescent="0.35">
      <c r="AL3771" s="86"/>
    </row>
    <row r="3772" spans="38:38" x14ac:dyDescent="0.35">
      <c r="AL3772" s="86"/>
    </row>
    <row r="3773" spans="38:38" x14ac:dyDescent="0.35">
      <c r="AL3773" s="86"/>
    </row>
    <row r="3774" spans="38:38" x14ac:dyDescent="0.35">
      <c r="AL3774" s="86"/>
    </row>
    <row r="3775" spans="38:38" x14ac:dyDescent="0.35">
      <c r="AL3775" s="86"/>
    </row>
    <row r="3776" spans="38:38" x14ac:dyDescent="0.35">
      <c r="AL3776" s="86"/>
    </row>
    <row r="3777" spans="38:38" x14ac:dyDescent="0.35">
      <c r="AL3777" s="86"/>
    </row>
    <row r="3778" spans="38:38" x14ac:dyDescent="0.35">
      <c r="AL3778" s="86"/>
    </row>
    <row r="3779" spans="38:38" x14ac:dyDescent="0.35">
      <c r="AL3779" s="86"/>
    </row>
    <row r="3780" spans="38:38" x14ac:dyDescent="0.35">
      <c r="AL3780" s="86"/>
    </row>
    <row r="3781" spans="38:38" x14ac:dyDescent="0.35">
      <c r="AL3781" s="86"/>
    </row>
    <row r="3782" spans="38:38" x14ac:dyDescent="0.35">
      <c r="AL3782" s="86"/>
    </row>
    <row r="3783" spans="38:38" x14ac:dyDescent="0.35">
      <c r="AL3783" s="86"/>
    </row>
    <row r="3784" spans="38:38" x14ac:dyDescent="0.35">
      <c r="AL3784" s="86"/>
    </row>
    <row r="3785" spans="38:38" x14ac:dyDescent="0.35">
      <c r="AL3785" s="86"/>
    </row>
    <row r="3786" spans="38:38" x14ac:dyDescent="0.35">
      <c r="AL3786" s="86"/>
    </row>
    <row r="3787" spans="38:38" x14ac:dyDescent="0.35">
      <c r="AL3787" s="86"/>
    </row>
    <row r="3788" spans="38:38" x14ac:dyDescent="0.35">
      <c r="AL3788" s="86"/>
    </row>
    <row r="3789" spans="38:38" x14ac:dyDescent="0.35">
      <c r="AL3789" s="86"/>
    </row>
    <row r="3790" spans="38:38" x14ac:dyDescent="0.35">
      <c r="AL3790" s="86"/>
    </row>
    <row r="3791" spans="38:38" x14ac:dyDescent="0.35">
      <c r="AL3791" s="86"/>
    </row>
    <row r="3792" spans="38:38" x14ac:dyDescent="0.35">
      <c r="AL3792" s="86"/>
    </row>
    <row r="3793" spans="38:38" x14ac:dyDescent="0.35">
      <c r="AL3793" s="86"/>
    </row>
    <row r="3794" spans="38:38" x14ac:dyDescent="0.35">
      <c r="AL3794" s="86"/>
    </row>
    <row r="3795" spans="38:38" x14ac:dyDescent="0.35">
      <c r="AL3795" s="86"/>
    </row>
    <row r="3796" spans="38:38" x14ac:dyDescent="0.35">
      <c r="AL3796" s="86"/>
    </row>
    <row r="3797" spans="38:38" x14ac:dyDescent="0.35">
      <c r="AL3797" s="86"/>
    </row>
    <row r="3798" spans="38:38" x14ac:dyDescent="0.35">
      <c r="AL3798" s="86"/>
    </row>
    <row r="3799" spans="38:38" x14ac:dyDescent="0.35">
      <c r="AL3799" s="86"/>
    </row>
    <row r="3800" spans="38:38" x14ac:dyDescent="0.35">
      <c r="AL3800" s="86"/>
    </row>
    <row r="3801" spans="38:38" x14ac:dyDescent="0.35">
      <c r="AL3801" s="86"/>
    </row>
    <row r="3802" spans="38:38" x14ac:dyDescent="0.35">
      <c r="AL3802" s="86"/>
    </row>
    <row r="3803" spans="38:38" x14ac:dyDescent="0.35">
      <c r="AL3803" s="86"/>
    </row>
    <row r="3804" spans="38:38" x14ac:dyDescent="0.35">
      <c r="AL3804" s="86"/>
    </row>
    <row r="3805" spans="38:38" x14ac:dyDescent="0.35">
      <c r="AL3805" s="86"/>
    </row>
    <row r="3806" spans="38:38" x14ac:dyDescent="0.35">
      <c r="AL3806" s="86"/>
    </row>
    <row r="3807" spans="38:38" x14ac:dyDescent="0.35">
      <c r="AL3807" s="86"/>
    </row>
    <row r="3808" spans="38:38" x14ac:dyDescent="0.35">
      <c r="AL3808" s="86"/>
    </row>
    <row r="3809" spans="38:38" x14ac:dyDescent="0.35">
      <c r="AL3809" s="86"/>
    </row>
    <row r="3810" spans="38:38" x14ac:dyDescent="0.35">
      <c r="AL3810" s="86"/>
    </row>
    <row r="3811" spans="38:38" x14ac:dyDescent="0.35">
      <c r="AL3811" s="86"/>
    </row>
    <row r="3812" spans="38:38" x14ac:dyDescent="0.35">
      <c r="AL3812" s="86"/>
    </row>
    <row r="3813" spans="38:38" x14ac:dyDescent="0.35">
      <c r="AL3813" s="86"/>
    </row>
    <row r="3814" spans="38:38" x14ac:dyDescent="0.35">
      <c r="AL3814" s="86"/>
    </row>
    <row r="3815" spans="38:38" x14ac:dyDescent="0.35">
      <c r="AL3815" s="86"/>
    </row>
    <row r="3816" spans="38:38" x14ac:dyDescent="0.35">
      <c r="AL3816" s="86"/>
    </row>
    <row r="3817" spans="38:38" x14ac:dyDescent="0.35">
      <c r="AL3817" s="86"/>
    </row>
    <row r="3818" spans="38:38" x14ac:dyDescent="0.35">
      <c r="AL3818" s="86"/>
    </row>
    <row r="3819" spans="38:38" x14ac:dyDescent="0.35">
      <c r="AL3819" s="86"/>
    </row>
    <row r="3820" spans="38:38" x14ac:dyDescent="0.35">
      <c r="AL3820" s="86"/>
    </row>
    <row r="3821" spans="38:38" x14ac:dyDescent="0.35">
      <c r="AL3821" s="86"/>
    </row>
    <row r="3822" spans="38:38" x14ac:dyDescent="0.35">
      <c r="AL3822" s="86"/>
    </row>
    <row r="3823" spans="38:38" x14ac:dyDescent="0.35">
      <c r="AL3823" s="86"/>
    </row>
    <row r="3824" spans="38:38" x14ac:dyDescent="0.35">
      <c r="AL3824" s="86"/>
    </row>
    <row r="3825" spans="38:38" x14ac:dyDescent="0.35">
      <c r="AL3825" s="86"/>
    </row>
    <row r="3826" spans="38:38" x14ac:dyDescent="0.35">
      <c r="AL3826" s="86"/>
    </row>
    <row r="3827" spans="38:38" x14ac:dyDescent="0.35">
      <c r="AL3827" s="86"/>
    </row>
    <row r="3828" spans="38:38" x14ac:dyDescent="0.35">
      <c r="AL3828" s="86"/>
    </row>
    <row r="3829" spans="38:38" x14ac:dyDescent="0.35">
      <c r="AL3829" s="86"/>
    </row>
    <row r="3830" spans="38:38" x14ac:dyDescent="0.35">
      <c r="AL3830" s="86"/>
    </row>
    <row r="3831" spans="38:38" x14ac:dyDescent="0.35">
      <c r="AL3831" s="86"/>
    </row>
    <row r="3832" spans="38:38" x14ac:dyDescent="0.35">
      <c r="AL3832" s="86"/>
    </row>
    <row r="3833" spans="38:38" x14ac:dyDescent="0.35">
      <c r="AL3833" s="86"/>
    </row>
    <row r="3834" spans="38:38" x14ac:dyDescent="0.35">
      <c r="AL3834" s="86"/>
    </row>
    <row r="3835" spans="38:38" x14ac:dyDescent="0.35">
      <c r="AL3835" s="86"/>
    </row>
    <row r="3836" spans="38:38" x14ac:dyDescent="0.35">
      <c r="AL3836" s="86"/>
    </row>
    <row r="3837" spans="38:38" x14ac:dyDescent="0.35">
      <c r="AL3837" s="86"/>
    </row>
    <row r="3838" spans="38:38" x14ac:dyDescent="0.35">
      <c r="AL3838" s="86"/>
    </row>
    <row r="3839" spans="38:38" x14ac:dyDescent="0.35">
      <c r="AL3839" s="86"/>
    </row>
    <row r="3840" spans="38:38" x14ac:dyDescent="0.35">
      <c r="AL3840" s="86"/>
    </row>
    <row r="3841" spans="38:38" x14ac:dyDescent="0.35">
      <c r="AL3841" s="86"/>
    </row>
    <row r="3842" spans="38:38" x14ac:dyDescent="0.35">
      <c r="AL3842" s="86"/>
    </row>
    <row r="3843" spans="38:38" x14ac:dyDescent="0.35">
      <c r="AL3843" s="86"/>
    </row>
    <row r="3844" spans="38:38" x14ac:dyDescent="0.35">
      <c r="AL3844" s="86"/>
    </row>
    <row r="3845" spans="38:38" x14ac:dyDescent="0.35">
      <c r="AL3845" s="86"/>
    </row>
    <row r="3846" spans="38:38" x14ac:dyDescent="0.35">
      <c r="AL3846" s="86"/>
    </row>
    <row r="3847" spans="38:38" x14ac:dyDescent="0.35">
      <c r="AL3847" s="86"/>
    </row>
    <row r="3848" spans="38:38" x14ac:dyDescent="0.35">
      <c r="AL3848" s="86"/>
    </row>
    <row r="3849" spans="38:38" x14ac:dyDescent="0.35">
      <c r="AL3849" s="86"/>
    </row>
    <row r="3850" spans="38:38" x14ac:dyDescent="0.35">
      <c r="AL3850" s="86"/>
    </row>
    <row r="3851" spans="38:38" x14ac:dyDescent="0.35">
      <c r="AL3851" s="86"/>
    </row>
    <row r="3852" spans="38:38" x14ac:dyDescent="0.35">
      <c r="AL3852" s="86"/>
    </row>
    <row r="3853" spans="38:38" x14ac:dyDescent="0.35">
      <c r="AL3853" s="86"/>
    </row>
    <row r="3854" spans="38:38" x14ac:dyDescent="0.35">
      <c r="AL3854" s="86"/>
    </row>
    <row r="3855" spans="38:38" x14ac:dyDescent="0.35">
      <c r="AL3855" s="86"/>
    </row>
    <row r="3856" spans="38:38" x14ac:dyDescent="0.35">
      <c r="AL3856" s="86"/>
    </row>
    <row r="3857" spans="38:38" x14ac:dyDescent="0.35">
      <c r="AL3857" s="86"/>
    </row>
    <row r="3858" spans="38:38" x14ac:dyDescent="0.35">
      <c r="AL3858" s="86"/>
    </row>
    <row r="3859" spans="38:38" x14ac:dyDescent="0.35">
      <c r="AL3859" s="86"/>
    </row>
    <row r="3860" spans="38:38" x14ac:dyDescent="0.35">
      <c r="AL3860" s="86"/>
    </row>
    <row r="3861" spans="38:38" x14ac:dyDescent="0.35">
      <c r="AL3861" s="86"/>
    </row>
    <row r="3862" spans="38:38" x14ac:dyDescent="0.35">
      <c r="AL3862" s="86"/>
    </row>
    <row r="3863" spans="38:38" x14ac:dyDescent="0.35">
      <c r="AL3863" s="86"/>
    </row>
    <row r="3864" spans="38:38" x14ac:dyDescent="0.35">
      <c r="AL3864" s="86"/>
    </row>
    <row r="3865" spans="38:38" x14ac:dyDescent="0.35">
      <c r="AL3865" s="86"/>
    </row>
    <row r="3866" spans="38:38" x14ac:dyDescent="0.35">
      <c r="AL3866" s="86"/>
    </row>
    <row r="3867" spans="38:38" x14ac:dyDescent="0.35">
      <c r="AL3867" s="86"/>
    </row>
    <row r="3868" spans="38:38" x14ac:dyDescent="0.35">
      <c r="AL3868" s="86"/>
    </row>
    <row r="3869" spans="38:38" x14ac:dyDescent="0.35">
      <c r="AL3869" s="86"/>
    </row>
    <row r="3870" spans="38:38" x14ac:dyDescent="0.35">
      <c r="AL3870" s="86"/>
    </row>
    <row r="3871" spans="38:38" x14ac:dyDescent="0.35">
      <c r="AL3871" s="86"/>
    </row>
    <row r="3872" spans="38:38" x14ac:dyDescent="0.35">
      <c r="AL3872" s="86"/>
    </row>
    <row r="3873" spans="38:38" x14ac:dyDescent="0.35">
      <c r="AL3873" s="86"/>
    </row>
    <row r="3874" spans="38:38" x14ac:dyDescent="0.35">
      <c r="AL3874" s="86"/>
    </row>
    <row r="3875" spans="38:38" x14ac:dyDescent="0.35">
      <c r="AL3875" s="86"/>
    </row>
    <row r="3876" spans="38:38" x14ac:dyDescent="0.35">
      <c r="AL3876" s="86"/>
    </row>
    <row r="3877" spans="38:38" x14ac:dyDescent="0.35">
      <c r="AL3877" s="86"/>
    </row>
    <row r="3878" spans="38:38" x14ac:dyDescent="0.35">
      <c r="AL3878" s="86"/>
    </row>
    <row r="3879" spans="38:38" x14ac:dyDescent="0.35">
      <c r="AL3879" s="86"/>
    </row>
    <row r="3880" spans="38:38" x14ac:dyDescent="0.35">
      <c r="AL3880" s="86"/>
    </row>
    <row r="3881" spans="38:38" x14ac:dyDescent="0.35">
      <c r="AL3881" s="86"/>
    </row>
    <row r="3882" spans="38:38" x14ac:dyDescent="0.35">
      <c r="AL3882" s="86"/>
    </row>
    <row r="3883" spans="38:38" x14ac:dyDescent="0.35">
      <c r="AL3883" s="86"/>
    </row>
    <row r="3884" spans="38:38" x14ac:dyDescent="0.35">
      <c r="AL3884" s="86"/>
    </row>
    <row r="3885" spans="38:38" x14ac:dyDescent="0.35">
      <c r="AL3885" s="86"/>
    </row>
    <row r="3886" spans="38:38" x14ac:dyDescent="0.35">
      <c r="AL3886" s="86"/>
    </row>
    <row r="3887" spans="38:38" x14ac:dyDescent="0.35">
      <c r="AL3887" s="86"/>
    </row>
    <row r="3888" spans="38:38" x14ac:dyDescent="0.35">
      <c r="AL3888" s="86"/>
    </row>
    <row r="3889" spans="38:38" x14ac:dyDescent="0.35">
      <c r="AL3889" s="86"/>
    </row>
    <row r="3890" spans="38:38" x14ac:dyDescent="0.35">
      <c r="AL3890" s="86"/>
    </row>
    <row r="3891" spans="38:38" x14ac:dyDescent="0.35">
      <c r="AL3891" s="86"/>
    </row>
    <row r="3892" spans="38:38" x14ac:dyDescent="0.35">
      <c r="AL3892" s="86"/>
    </row>
    <row r="3893" spans="38:38" x14ac:dyDescent="0.35">
      <c r="AL3893" s="86"/>
    </row>
    <row r="3894" spans="38:38" x14ac:dyDescent="0.35">
      <c r="AL3894" s="86"/>
    </row>
    <row r="3895" spans="38:38" x14ac:dyDescent="0.35">
      <c r="AL3895" s="86"/>
    </row>
    <row r="3896" spans="38:38" x14ac:dyDescent="0.35">
      <c r="AL3896" s="86"/>
    </row>
    <row r="3897" spans="38:38" x14ac:dyDescent="0.35">
      <c r="AL3897" s="86"/>
    </row>
    <row r="3898" spans="38:38" x14ac:dyDescent="0.35">
      <c r="AL3898" s="86"/>
    </row>
    <row r="3899" spans="38:38" x14ac:dyDescent="0.35">
      <c r="AL3899" s="86"/>
    </row>
    <row r="3900" spans="38:38" x14ac:dyDescent="0.35">
      <c r="AL3900" s="86"/>
    </row>
    <row r="3901" spans="38:38" x14ac:dyDescent="0.35">
      <c r="AL3901" s="86"/>
    </row>
    <row r="3902" spans="38:38" x14ac:dyDescent="0.35">
      <c r="AL3902" s="86"/>
    </row>
    <row r="3903" spans="38:38" x14ac:dyDescent="0.35">
      <c r="AL3903" s="86"/>
    </row>
    <row r="3904" spans="38:38" x14ac:dyDescent="0.35">
      <c r="AL3904" s="86"/>
    </row>
    <row r="3905" spans="38:38" x14ac:dyDescent="0.35">
      <c r="AL3905" s="86"/>
    </row>
    <row r="3906" spans="38:38" x14ac:dyDescent="0.35">
      <c r="AL3906" s="86"/>
    </row>
    <row r="3907" spans="38:38" x14ac:dyDescent="0.35">
      <c r="AL3907" s="86"/>
    </row>
    <row r="3908" spans="38:38" x14ac:dyDescent="0.35">
      <c r="AL3908" s="86"/>
    </row>
    <row r="3909" spans="38:38" x14ac:dyDescent="0.35">
      <c r="AL3909" s="86"/>
    </row>
    <row r="3910" spans="38:38" x14ac:dyDescent="0.35">
      <c r="AL3910" s="86"/>
    </row>
    <row r="3911" spans="38:38" x14ac:dyDescent="0.35">
      <c r="AL3911" s="86"/>
    </row>
    <row r="3912" spans="38:38" x14ac:dyDescent="0.35">
      <c r="AL3912" s="86"/>
    </row>
    <row r="3913" spans="38:38" x14ac:dyDescent="0.35">
      <c r="AL3913" s="86"/>
    </row>
    <row r="3914" spans="38:38" x14ac:dyDescent="0.35">
      <c r="AL3914" s="86"/>
    </row>
    <row r="3915" spans="38:38" x14ac:dyDescent="0.35">
      <c r="AL3915" s="86"/>
    </row>
    <row r="3916" spans="38:38" x14ac:dyDescent="0.35">
      <c r="AL3916" s="86"/>
    </row>
    <row r="3917" spans="38:38" x14ac:dyDescent="0.35">
      <c r="AL3917" s="86"/>
    </row>
    <row r="3918" spans="38:38" x14ac:dyDescent="0.35">
      <c r="AL3918" s="86"/>
    </row>
    <row r="3919" spans="38:38" x14ac:dyDescent="0.35">
      <c r="AL3919" s="86"/>
    </row>
    <row r="3920" spans="38:38" x14ac:dyDescent="0.35">
      <c r="AL3920" s="86"/>
    </row>
    <row r="3921" spans="38:38" x14ac:dyDescent="0.35">
      <c r="AL3921" s="86"/>
    </row>
    <row r="3922" spans="38:38" x14ac:dyDescent="0.35">
      <c r="AL3922" s="86"/>
    </row>
    <row r="3923" spans="38:38" x14ac:dyDescent="0.35">
      <c r="AL3923" s="86"/>
    </row>
    <row r="3924" spans="38:38" x14ac:dyDescent="0.35">
      <c r="AL3924" s="86"/>
    </row>
    <row r="3925" spans="38:38" x14ac:dyDescent="0.35">
      <c r="AL3925" s="86"/>
    </row>
    <row r="3926" spans="38:38" x14ac:dyDescent="0.35">
      <c r="AL3926" s="86"/>
    </row>
    <row r="3927" spans="38:38" x14ac:dyDescent="0.35">
      <c r="AL3927" s="86"/>
    </row>
    <row r="3928" spans="38:38" x14ac:dyDescent="0.35">
      <c r="AL3928" s="86"/>
    </row>
    <row r="3929" spans="38:38" x14ac:dyDescent="0.35">
      <c r="AL3929" s="86"/>
    </row>
    <row r="3930" spans="38:38" x14ac:dyDescent="0.35">
      <c r="AL3930" s="86"/>
    </row>
    <row r="3931" spans="38:38" x14ac:dyDescent="0.35">
      <c r="AL3931" s="86"/>
    </row>
    <row r="3932" spans="38:38" x14ac:dyDescent="0.35">
      <c r="AL3932" s="86"/>
    </row>
    <row r="3933" spans="38:38" x14ac:dyDescent="0.35">
      <c r="AL3933" s="86"/>
    </row>
    <row r="3934" spans="38:38" x14ac:dyDescent="0.35">
      <c r="AL3934" s="86"/>
    </row>
    <row r="3935" spans="38:38" x14ac:dyDescent="0.35">
      <c r="AL3935" s="86"/>
    </row>
    <row r="3936" spans="38:38" x14ac:dyDescent="0.35">
      <c r="AL3936" s="86"/>
    </row>
    <row r="3937" spans="38:38" x14ac:dyDescent="0.35">
      <c r="AL3937" s="86"/>
    </row>
    <row r="3938" spans="38:38" x14ac:dyDescent="0.35">
      <c r="AL3938" s="86"/>
    </row>
    <row r="3939" spans="38:38" x14ac:dyDescent="0.35">
      <c r="AL3939" s="86"/>
    </row>
    <row r="3940" spans="38:38" x14ac:dyDescent="0.35">
      <c r="AL3940" s="86"/>
    </row>
    <row r="3941" spans="38:38" x14ac:dyDescent="0.35">
      <c r="AL3941" s="86"/>
    </row>
    <row r="3942" spans="38:38" x14ac:dyDescent="0.35">
      <c r="AL3942" s="86"/>
    </row>
    <row r="3943" spans="38:38" x14ac:dyDescent="0.35">
      <c r="AL3943" s="86"/>
    </row>
    <row r="3944" spans="38:38" x14ac:dyDescent="0.35">
      <c r="AL3944" s="86"/>
    </row>
    <row r="3945" spans="38:38" x14ac:dyDescent="0.35">
      <c r="AL3945" s="86"/>
    </row>
    <row r="3946" spans="38:38" x14ac:dyDescent="0.35">
      <c r="AL3946" s="86"/>
    </row>
    <row r="3947" spans="38:38" x14ac:dyDescent="0.35">
      <c r="AL3947" s="86"/>
    </row>
    <row r="3948" spans="38:38" x14ac:dyDescent="0.35">
      <c r="AL3948" s="86"/>
    </row>
    <row r="3949" spans="38:38" x14ac:dyDescent="0.35">
      <c r="AL3949" s="86"/>
    </row>
    <row r="3950" spans="38:38" x14ac:dyDescent="0.35">
      <c r="AL3950" s="86"/>
    </row>
    <row r="3951" spans="38:38" x14ac:dyDescent="0.35">
      <c r="AL3951" s="86"/>
    </row>
    <row r="3952" spans="38:38" x14ac:dyDescent="0.35">
      <c r="AL3952" s="86"/>
    </row>
    <row r="3953" spans="38:38" x14ac:dyDescent="0.35">
      <c r="AL3953" s="86"/>
    </row>
    <row r="3954" spans="38:38" x14ac:dyDescent="0.35">
      <c r="AL3954" s="86"/>
    </row>
    <row r="3955" spans="38:38" x14ac:dyDescent="0.35">
      <c r="AL3955" s="86"/>
    </row>
    <row r="3956" spans="38:38" x14ac:dyDescent="0.35">
      <c r="AL3956" s="86"/>
    </row>
    <row r="3957" spans="38:38" x14ac:dyDescent="0.35">
      <c r="AL3957" s="86"/>
    </row>
    <row r="3958" spans="38:38" x14ac:dyDescent="0.35">
      <c r="AL3958" s="86"/>
    </row>
    <row r="3959" spans="38:38" x14ac:dyDescent="0.35">
      <c r="AL3959" s="86"/>
    </row>
    <row r="3960" spans="38:38" x14ac:dyDescent="0.35">
      <c r="AL3960" s="86"/>
    </row>
    <row r="3961" spans="38:38" x14ac:dyDescent="0.35">
      <c r="AL3961" s="86"/>
    </row>
    <row r="3962" spans="38:38" x14ac:dyDescent="0.35">
      <c r="AL3962" s="86"/>
    </row>
    <row r="3963" spans="38:38" x14ac:dyDescent="0.35">
      <c r="AL3963" s="86"/>
    </row>
    <row r="3964" spans="38:38" x14ac:dyDescent="0.35">
      <c r="AL3964" s="86"/>
    </row>
    <row r="3965" spans="38:38" x14ac:dyDescent="0.35">
      <c r="AL3965" s="86"/>
    </row>
    <row r="3966" spans="38:38" x14ac:dyDescent="0.35">
      <c r="AL3966" s="86"/>
    </row>
    <row r="3967" spans="38:38" x14ac:dyDescent="0.35">
      <c r="AL3967" s="86"/>
    </row>
    <row r="3968" spans="38:38" x14ac:dyDescent="0.35">
      <c r="AL3968" s="86"/>
    </row>
    <row r="3969" spans="38:38" x14ac:dyDescent="0.35">
      <c r="AL3969" s="86"/>
    </row>
    <row r="3970" spans="38:38" x14ac:dyDescent="0.35">
      <c r="AL3970" s="86"/>
    </row>
    <row r="3971" spans="38:38" x14ac:dyDescent="0.35">
      <c r="AL3971" s="86"/>
    </row>
    <row r="3972" spans="38:38" x14ac:dyDescent="0.35">
      <c r="AL3972" s="86"/>
    </row>
    <row r="3973" spans="38:38" x14ac:dyDescent="0.35">
      <c r="AL3973" s="86"/>
    </row>
    <row r="3974" spans="38:38" x14ac:dyDescent="0.35">
      <c r="AL3974" s="86"/>
    </row>
    <row r="3975" spans="38:38" x14ac:dyDescent="0.35">
      <c r="AL3975" s="86"/>
    </row>
    <row r="3976" spans="38:38" x14ac:dyDescent="0.35">
      <c r="AL3976" s="86"/>
    </row>
    <row r="3977" spans="38:38" x14ac:dyDescent="0.35">
      <c r="AL3977" s="86"/>
    </row>
    <row r="3978" spans="38:38" x14ac:dyDescent="0.35">
      <c r="AL3978" s="86"/>
    </row>
    <row r="3979" spans="38:38" x14ac:dyDescent="0.35">
      <c r="AL3979" s="86"/>
    </row>
    <row r="3980" spans="38:38" x14ac:dyDescent="0.35">
      <c r="AL3980" s="86"/>
    </row>
    <row r="3981" spans="38:38" x14ac:dyDescent="0.35">
      <c r="AL3981" s="86"/>
    </row>
    <row r="3982" spans="38:38" x14ac:dyDescent="0.35">
      <c r="AL3982" s="86"/>
    </row>
    <row r="3983" spans="38:38" x14ac:dyDescent="0.35">
      <c r="AL3983" s="86"/>
    </row>
    <row r="3984" spans="38:38" x14ac:dyDescent="0.35">
      <c r="AL3984" s="86"/>
    </row>
    <row r="3985" spans="38:38" x14ac:dyDescent="0.35">
      <c r="AL3985" s="86"/>
    </row>
    <row r="3986" spans="38:38" x14ac:dyDescent="0.35">
      <c r="AL3986" s="86"/>
    </row>
    <row r="3987" spans="38:38" x14ac:dyDescent="0.35">
      <c r="AL3987" s="86"/>
    </row>
    <row r="3988" spans="38:38" x14ac:dyDescent="0.35">
      <c r="AL3988" s="86"/>
    </row>
    <row r="3989" spans="38:38" x14ac:dyDescent="0.35">
      <c r="AL3989" s="86"/>
    </row>
    <row r="3990" spans="38:38" x14ac:dyDescent="0.35">
      <c r="AL3990" s="86"/>
    </row>
    <row r="3991" spans="38:38" x14ac:dyDescent="0.35">
      <c r="AL3991" s="86"/>
    </row>
    <row r="3992" spans="38:38" x14ac:dyDescent="0.35">
      <c r="AL3992" s="86"/>
    </row>
    <row r="3993" spans="38:38" x14ac:dyDescent="0.35">
      <c r="AL3993" s="86"/>
    </row>
    <row r="3994" spans="38:38" x14ac:dyDescent="0.35">
      <c r="AL3994" s="86"/>
    </row>
    <row r="3995" spans="38:38" x14ac:dyDescent="0.35">
      <c r="AL3995" s="86"/>
    </row>
    <row r="3996" spans="38:38" x14ac:dyDescent="0.35">
      <c r="AL3996" s="86"/>
    </row>
    <row r="3997" spans="38:38" x14ac:dyDescent="0.35">
      <c r="AL3997" s="86"/>
    </row>
    <row r="3998" spans="38:38" x14ac:dyDescent="0.35">
      <c r="AL3998" s="86"/>
    </row>
    <row r="3999" spans="38:38" x14ac:dyDescent="0.35">
      <c r="AL3999" s="86"/>
    </row>
    <row r="4000" spans="38:38" x14ac:dyDescent="0.35">
      <c r="AL4000" s="86"/>
    </row>
    <row r="4001" spans="38:38" x14ac:dyDescent="0.35">
      <c r="AL4001" s="86"/>
    </row>
    <row r="4002" spans="38:38" x14ac:dyDescent="0.35">
      <c r="AL4002" s="86"/>
    </row>
    <row r="4003" spans="38:38" x14ac:dyDescent="0.35">
      <c r="AL4003" s="86"/>
    </row>
    <row r="4004" spans="38:38" x14ac:dyDescent="0.35">
      <c r="AL4004" s="86"/>
    </row>
    <row r="4005" spans="38:38" x14ac:dyDescent="0.35">
      <c r="AL4005" s="86"/>
    </row>
    <row r="4006" spans="38:38" x14ac:dyDescent="0.35">
      <c r="AL4006" s="86"/>
    </row>
    <row r="4007" spans="38:38" x14ac:dyDescent="0.35">
      <c r="AL4007" s="86"/>
    </row>
    <row r="4008" spans="38:38" x14ac:dyDescent="0.35">
      <c r="AL4008" s="86"/>
    </row>
    <row r="4009" spans="38:38" x14ac:dyDescent="0.35">
      <c r="AL4009" s="86"/>
    </row>
    <row r="4010" spans="38:38" x14ac:dyDescent="0.35">
      <c r="AL4010" s="86"/>
    </row>
    <row r="4011" spans="38:38" x14ac:dyDescent="0.35">
      <c r="AL4011" s="86"/>
    </row>
    <row r="4012" spans="38:38" x14ac:dyDescent="0.35">
      <c r="AL4012" s="86"/>
    </row>
    <row r="4013" spans="38:38" x14ac:dyDescent="0.35">
      <c r="AL4013" s="86"/>
    </row>
    <row r="4014" spans="38:38" x14ac:dyDescent="0.35">
      <c r="AL4014" s="86"/>
    </row>
    <row r="4015" spans="38:38" x14ac:dyDescent="0.35">
      <c r="AL4015" s="86"/>
    </row>
    <row r="4016" spans="38:38" x14ac:dyDescent="0.35">
      <c r="AL4016" s="86"/>
    </row>
    <row r="4017" spans="38:38" x14ac:dyDescent="0.35">
      <c r="AL4017" s="86"/>
    </row>
    <row r="4018" spans="38:38" x14ac:dyDescent="0.35">
      <c r="AL4018" s="86"/>
    </row>
    <row r="4019" spans="38:38" x14ac:dyDescent="0.35">
      <c r="AL4019" s="86"/>
    </row>
    <row r="4020" spans="38:38" x14ac:dyDescent="0.35">
      <c r="AL4020" s="86"/>
    </row>
    <row r="4021" spans="38:38" x14ac:dyDescent="0.35">
      <c r="AL4021" s="86"/>
    </row>
    <row r="4022" spans="38:38" x14ac:dyDescent="0.35">
      <c r="AL4022" s="86"/>
    </row>
    <row r="4023" spans="38:38" x14ac:dyDescent="0.35">
      <c r="AL4023" s="86"/>
    </row>
    <row r="4024" spans="38:38" x14ac:dyDescent="0.35">
      <c r="AL4024" s="86"/>
    </row>
    <row r="4025" spans="38:38" x14ac:dyDescent="0.35">
      <c r="AL4025" s="86"/>
    </row>
    <row r="4026" spans="38:38" x14ac:dyDescent="0.35">
      <c r="AL4026" s="86"/>
    </row>
    <row r="4027" spans="38:38" x14ac:dyDescent="0.35">
      <c r="AL4027" s="86"/>
    </row>
    <row r="4028" spans="38:38" x14ac:dyDescent="0.35">
      <c r="AL4028" s="86"/>
    </row>
    <row r="4029" spans="38:38" x14ac:dyDescent="0.35">
      <c r="AL4029" s="86"/>
    </row>
    <row r="4030" spans="38:38" x14ac:dyDescent="0.35">
      <c r="AL4030" s="86"/>
    </row>
    <row r="4031" spans="38:38" x14ac:dyDescent="0.35">
      <c r="AL4031" s="86"/>
    </row>
    <row r="4032" spans="38:38" x14ac:dyDescent="0.35">
      <c r="AL4032" s="86"/>
    </row>
    <row r="4033" spans="38:38" x14ac:dyDescent="0.35">
      <c r="AL4033" s="86"/>
    </row>
    <row r="4034" spans="38:38" x14ac:dyDescent="0.35">
      <c r="AL4034" s="86"/>
    </row>
    <row r="4035" spans="38:38" x14ac:dyDescent="0.35">
      <c r="AL4035" s="86"/>
    </row>
    <row r="4036" spans="38:38" x14ac:dyDescent="0.35">
      <c r="AL4036" s="86"/>
    </row>
    <row r="4037" spans="38:38" x14ac:dyDescent="0.35">
      <c r="AL4037" s="86"/>
    </row>
    <row r="4038" spans="38:38" x14ac:dyDescent="0.35">
      <c r="AL4038" s="86"/>
    </row>
    <row r="4039" spans="38:38" x14ac:dyDescent="0.35">
      <c r="AL4039" s="86"/>
    </row>
    <row r="4040" spans="38:38" x14ac:dyDescent="0.35">
      <c r="AL4040" s="86"/>
    </row>
    <row r="4041" spans="38:38" x14ac:dyDescent="0.35">
      <c r="AL4041" s="86"/>
    </row>
    <row r="4042" spans="38:38" x14ac:dyDescent="0.35">
      <c r="AL4042" s="86"/>
    </row>
    <row r="4043" spans="38:38" x14ac:dyDescent="0.35">
      <c r="AL4043" s="86"/>
    </row>
    <row r="4044" spans="38:38" x14ac:dyDescent="0.35">
      <c r="AL4044" s="86"/>
    </row>
    <row r="4045" spans="38:38" x14ac:dyDescent="0.35">
      <c r="AL4045" s="86"/>
    </row>
    <row r="4046" spans="38:38" x14ac:dyDescent="0.35">
      <c r="AL4046" s="86"/>
    </row>
    <row r="4047" spans="38:38" x14ac:dyDescent="0.35">
      <c r="AL4047" s="86"/>
    </row>
    <row r="4048" spans="38:38" x14ac:dyDescent="0.35">
      <c r="AL4048" s="86"/>
    </row>
    <row r="4049" spans="38:38" x14ac:dyDescent="0.35">
      <c r="AL4049" s="86"/>
    </row>
    <row r="4050" spans="38:38" x14ac:dyDescent="0.35">
      <c r="AL4050" s="86"/>
    </row>
    <row r="4051" spans="38:38" x14ac:dyDescent="0.35">
      <c r="AL4051" s="86"/>
    </row>
    <row r="4052" spans="38:38" x14ac:dyDescent="0.35">
      <c r="AL4052" s="86"/>
    </row>
    <row r="4053" spans="38:38" x14ac:dyDescent="0.35">
      <c r="AL4053" s="86"/>
    </row>
    <row r="4054" spans="38:38" x14ac:dyDescent="0.35">
      <c r="AL4054" s="86"/>
    </row>
    <row r="4055" spans="38:38" x14ac:dyDescent="0.35">
      <c r="AL4055" s="86"/>
    </row>
    <row r="4056" spans="38:38" x14ac:dyDescent="0.35">
      <c r="AL4056" s="86"/>
    </row>
    <row r="4057" spans="38:38" x14ac:dyDescent="0.35">
      <c r="AL4057" s="86"/>
    </row>
    <row r="4058" spans="38:38" x14ac:dyDescent="0.35">
      <c r="AL4058" s="86"/>
    </row>
    <row r="4059" spans="38:38" x14ac:dyDescent="0.35">
      <c r="AL4059" s="86"/>
    </row>
    <row r="4060" spans="38:38" x14ac:dyDescent="0.35">
      <c r="AL4060" s="86"/>
    </row>
    <row r="4061" spans="38:38" x14ac:dyDescent="0.35">
      <c r="AL4061" s="86"/>
    </row>
    <row r="4062" spans="38:38" x14ac:dyDescent="0.35">
      <c r="AL4062" s="86"/>
    </row>
    <row r="4063" spans="38:38" x14ac:dyDescent="0.35">
      <c r="AL4063" s="86"/>
    </row>
    <row r="4064" spans="38:38" x14ac:dyDescent="0.35">
      <c r="AL4064" s="86"/>
    </row>
    <row r="4065" spans="38:38" x14ac:dyDescent="0.35">
      <c r="AL4065" s="86"/>
    </row>
    <row r="4066" spans="38:38" x14ac:dyDescent="0.35">
      <c r="AL4066" s="86"/>
    </row>
    <row r="4067" spans="38:38" x14ac:dyDescent="0.35">
      <c r="AL4067" s="86"/>
    </row>
    <row r="4068" spans="38:38" x14ac:dyDescent="0.35">
      <c r="AL4068" s="86"/>
    </row>
    <row r="4069" spans="38:38" x14ac:dyDescent="0.35">
      <c r="AL4069" s="86"/>
    </row>
    <row r="4070" spans="38:38" x14ac:dyDescent="0.35">
      <c r="AL4070" s="86"/>
    </row>
    <row r="4071" spans="38:38" x14ac:dyDescent="0.35">
      <c r="AL4071" s="86"/>
    </row>
    <row r="4072" spans="38:38" x14ac:dyDescent="0.35">
      <c r="AL4072" s="86"/>
    </row>
    <row r="4073" spans="38:38" x14ac:dyDescent="0.35">
      <c r="AL4073" s="86"/>
    </row>
    <row r="4074" spans="38:38" x14ac:dyDescent="0.35">
      <c r="AL4074" s="86"/>
    </row>
    <row r="4075" spans="38:38" x14ac:dyDescent="0.35">
      <c r="AL4075" s="86"/>
    </row>
    <row r="4076" spans="38:38" x14ac:dyDescent="0.35">
      <c r="AL4076" s="86"/>
    </row>
    <row r="4077" spans="38:38" x14ac:dyDescent="0.35">
      <c r="AL4077" s="86"/>
    </row>
    <row r="4078" spans="38:38" x14ac:dyDescent="0.35">
      <c r="AL4078" s="86"/>
    </row>
    <row r="4079" spans="38:38" x14ac:dyDescent="0.35">
      <c r="AL4079" s="86"/>
    </row>
    <row r="4080" spans="38:38" x14ac:dyDescent="0.35">
      <c r="AL4080" s="86"/>
    </row>
    <row r="4081" spans="38:38" x14ac:dyDescent="0.35">
      <c r="AL4081" s="86"/>
    </row>
    <row r="4082" spans="38:38" x14ac:dyDescent="0.35">
      <c r="AL4082" s="86"/>
    </row>
    <row r="4083" spans="38:38" x14ac:dyDescent="0.35">
      <c r="AL4083" s="86"/>
    </row>
    <row r="4084" spans="38:38" x14ac:dyDescent="0.35">
      <c r="AL4084" s="86"/>
    </row>
    <row r="4085" spans="38:38" x14ac:dyDescent="0.35">
      <c r="AL4085" s="86"/>
    </row>
    <row r="4086" spans="38:38" x14ac:dyDescent="0.35">
      <c r="AL4086" s="86"/>
    </row>
    <row r="4087" spans="38:38" x14ac:dyDescent="0.35">
      <c r="AL4087" s="86"/>
    </row>
    <row r="4088" spans="38:38" x14ac:dyDescent="0.35">
      <c r="AL4088" s="86"/>
    </row>
    <row r="4089" spans="38:38" x14ac:dyDescent="0.35">
      <c r="AL4089" s="86"/>
    </row>
    <row r="4090" spans="38:38" x14ac:dyDescent="0.35">
      <c r="AL4090" s="86"/>
    </row>
    <row r="4091" spans="38:38" x14ac:dyDescent="0.35">
      <c r="AL4091" s="86"/>
    </row>
    <row r="4092" spans="38:38" x14ac:dyDescent="0.35">
      <c r="AL4092" s="86"/>
    </row>
    <row r="4093" spans="38:38" x14ac:dyDescent="0.35">
      <c r="AL4093" s="86"/>
    </row>
    <row r="4094" spans="38:38" x14ac:dyDescent="0.35">
      <c r="AL4094" s="86"/>
    </row>
    <row r="4095" spans="38:38" x14ac:dyDescent="0.35">
      <c r="AL4095" s="86"/>
    </row>
    <row r="4096" spans="38:38" x14ac:dyDescent="0.35">
      <c r="AL4096" s="86"/>
    </row>
    <row r="4097" spans="38:38" x14ac:dyDescent="0.35">
      <c r="AL4097" s="86"/>
    </row>
    <row r="4098" spans="38:38" x14ac:dyDescent="0.35">
      <c r="AL4098" s="86"/>
    </row>
    <row r="4099" spans="38:38" x14ac:dyDescent="0.35">
      <c r="AL4099" s="86"/>
    </row>
    <row r="4100" spans="38:38" x14ac:dyDescent="0.35">
      <c r="AL4100" s="86"/>
    </row>
    <row r="4101" spans="38:38" x14ac:dyDescent="0.35">
      <c r="AL4101" s="86"/>
    </row>
    <row r="4102" spans="38:38" x14ac:dyDescent="0.35">
      <c r="AL4102" s="86"/>
    </row>
    <row r="4103" spans="38:38" x14ac:dyDescent="0.35">
      <c r="AL4103" s="86"/>
    </row>
    <row r="4104" spans="38:38" x14ac:dyDescent="0.35">
      <c r="AL4104" s="86"/>
    </row>
    <row r="4105" spans="38:38" x14ac:dyDescent="0.35">
      <c r="AL4105" s="86"/>
    </row>
    <row r="4106" spans="38:38" x14ac:dyDescent="0.35">
      <c r="AL4106" s="86"/>
    </row>
    <row r="4107" spans="38:38" x14ac:dyDescent="0.35">
      <c r="AL4107" s="86"/>
    </row>
    <row r="4108" spans="38:38" x14ac:dyDescent="0.35">
      <c r="AL4108" s="86"/>
    </row>
    <row r="4109" spans="38:38" x14ac:dyDescent="0.35">
      <c r="AL4109" s="86"/>
    </row>
    <row r="4110" spans="38:38" x14ac:dyDescent="0.35">
      <c r="AL4110" s="86"/>
    </row>
    <row r="4111" spans="38:38" x14ac:dyDescent="0.35">
      <c r="AL4111" s="86"/>
    </row>
    <row r="4112" spans="38:38" x14ac:dyDescent="0.35">
      <c r="AL4112" s="86"/>
    </row>
    <row r="4113" spans="38:38" x14ac:dyDescent="0.35">
      <c r="AL4113" s="86"/>
    </row>
    <row r="4114" spans="38:38" x14ac:dyDescent="0.35">
      <c r="AL4114" s="86"/>
    </row>
    <row r="4115" spans="38:38" x14ac:dyDescent="0.35">
      <c r="AL4115" s="86"/>
    </row>
    <row r="4116" spans="38:38" x14ac:dyDescent="0.35">
      <c r="AL4116" s="86"/>
    </row>
    <row r="4117" spans="38:38" x14ac:dyDescent="0.35">
      <c r="AL4117" s="86"/>
    </row>
    <row r="4118" spans="38:38" x14ac:dyDescent="0.35">
      <c r="AL4118" s="86"/>
    </row>
    <row r="4119" spans="38:38" x14ac:dyDescent="0.35">
      <c r="AL4119" s="86"/>
    </row>
    <row r="4120" spans="38:38" x14ac:dyDescent="0.35">
      <c r="AL4120" s="86"/>
    </row>
    <row r="4121" spans="38:38" x14ac:dyDescent="0.35">
      <c r="AL4121" s="86"/>
    </row>
    <row r="4122" spans="38:38" x14ac:dyDescent="0.35">
      <c r="AL4122" s="86"/>
    </row>
    <row r="4123" spans="38:38" x14ac:dyDescent="0.35">
      <c r="AL4123" s="86"/>
    </row>
    <row r="4124" spans="38:38" x14ac:dyDescent="0.35">
      <c r="AL4124" s="86"/>
    </row>
    <row r="4125" spans="38:38" x14ac:dyDescent="0.35">
      <c r="AL4125" s="86"/>
    </row>
    <row r="4126" spans="38:38" x14ac:dyDescent="0.35">
      <c r="AL4126" s="86"/>
    </row>
    <row r="4127" spans="38:38" x14ac:dyDescent="0.35">
      <c r="AL4127" s="86"/>
    </row>
    <row r="4128" spans="38:38" x14ac:dyDescent="0.35">
      <c r="AL4128" s="86"/>
    </row>
    <row r="4129" spans="38:38" x14ac:dyDescent="0.35">
      <c r="AL4129" s="86"/>
    </row>
    <row r="4130" spans="38:38" x14ac:dyDescent="0.35">
      <c r="AL4130" s="86"/>
    </row>
    <row r="4131" spans="38:38" x14ac:dyDescent="0.35">
      <c r="AL4131" s="86"/>
    </row>
    <row r="4132" spans="38:38" x14ac:dyDescent="0.35">
      <c r="AL4132" s="86"/>
    </row>
    <row r="4133" spans="38:38" x14ac:dyDescent="0.35">
      <c r="AL4133" s="86"/>
    </row>
    <row r="4134" spans="38:38" x14ac:dyDescent="0.35">
      <c r="AL4134" s="86"/>
    </row>
    <row r="4135" spans="38:38" x14ac:dyDescent="0.35">
      <c r="AL4135" s="86"/>
    </row>
    <row r="4136" spans="38:38" x14ac:dyDescent="0.35">
      <c r="AL4136" s="86"/>
    </row>
    <row r="4137" spans="38:38" x14ac:dyDescent="0.35">
      <c r="AL4137" s="86"/>
    </row>
    <row r="4138" spans="38:38" x14ac:dyDescent="0.35">
      <c r="AL4138" s="86"/>
    </row>
    <row r="4139" spans="38:38" x14ac:dyDescent="0.35">
      <c r="AL4139" s="86"/>
    </row>
    <row r="4140" spans="38:38" x14ac:dyDescent="0.35">
      <c r="AL4140" s="86"/>
    </row>
    <row r="4141" spans="38:38" x14ac:dyDescent="0.35">
      <c r="AL4141" s="86"/>
    </row>
    <row r="4142" spans="38:38" x14ac:dyDescent="0.35">
      <c r="AL4142" s="86"/>
    </row>
    <row r="4143" spans="38:38" x14ac:dyDescent="0.35">
      <c r="AL4143" s="86"/>
    </row>
    <row r="4144" spans="38:38" x14ac:dyDescent="0.35">
      <c r="AL4144" s="86"/>
    </row>
    <row r="4145" spans="38:38" x14ac:dyDescent="0.35">
      <c r="AL4145" s="86"/>
    </row>
    <row r="4146" spans="38:38" x14ac:dyDescent="0.35">
      <c r="AL4146" s="86"/>
    </row>
    <row r="4147" spans="38:38" x14ac:dyDescent="0.35">
      <c r="AL4147" s="86"/>
    </row>
    <row r="4148" spans="38:38" x14ac:dyDescent="0.35">
      <c r="AL4148" s="86"/>
    </row>
    <row r="4149" spans="38:38" x14ac:dyDescent="0.35">
      <c r="AL4149" s="86"/>
    </row>
    <row r="4150" spans="38:38" x14ac:dyDescent="0.35">
      <c r="AL4150" s="86"/>
    </row>
    <row r="4151" spans="38:38" x14ac:dyDescent="0.35">
      <c r="AL4151" s="86"/>
    </row>
    <row r="4152" spans="38:38" x14ac:dyDescent="0.35">
      <c r="AL4152" s="86"/>
    </row>
    <row r="4153" spans="38:38" x14ac:dyDescent="0.35">
      <c r="AL4153" s="86"/>
    </row>
    <row r="4154" spans="38:38" x14ac:dyDescent="0.35">
      <c r="AL4154" s="86"/>
    </row>
    <row r="4155" spans="38:38" x14ac:dyDescent="0.35">
      <c r="AL4155" s="86"/>
    </row>
    <row r="4156" spans="38:38" x14ac:dyDescent="0.35">
      <c r="AL4156" s="86"/>
    </row>
    <row r="4157" spans="38:38" x14ac:dyDescent="0.35">
      <c r="AL4157" s="86"/>
    </row>
    <row r="4158" spans="38:38" x14ac:dyDescent="0.35">
      <c r="AL4158" s="86"/>
    </row>
    <row r="4159" spans="38:38" x14ac:dyDescent="0.35">
      <c r="AL4159" s="86"/>
    </row>
    <row r="4160" spans="38:38" x14ac:dyDescent="0.35">
      <c r="AL4160" s="86"/>
    </row>
    <row r="4161" spans="38:38" x14ac:dyDescent="0.35">
      <c r="AL4161" s="86"/>
    </row>
    <row r="4162" spans="38:38" x14ac:dyDescent="0.35">
      <c r="AL4162" s="86"/>
    </row>
    <row r="4163" spans="38:38" x14ac:dyDescent="0.35">
      <c r="AL4163" s="86"/>
    </row>
    <row r="4164" spans="38:38" x14ac:dyDescent="0.35">
      <c r="AL4164" s="86"/>
    </row>
    <row r="4165" spans="38:38" x14ac:dyDescent="0.35">
      <c r="AL4165" s="86"/>
    </row>
    <row r="4166" spans="38:38" x14ac:dyDescent="0.35">
      <c r="AL4166" s="86"/>
    </row>
    <row r="4167" spans="38:38" x14ac:dyDescent="0.35">
      <c r="AL4167" s="86"/>
    </row>
    <row r="4168" spans="38:38" x14ac:dyDescent="0.35">
      <c r="AL4168" s="86"/>
    </row>
    <row r="4169" spans="38:38" x14ac:dyDescent="0.35">
      <c r="AL4169" s="86"/>
    </row>
    <row r="4170" spans="38:38" x14ac:dyDescent="0.35">
      <c r="AL4170" s="86"/>
    </row>
    <row r="4171" spans="38:38" x14ac:dyDescent="0.35">
      <c r="AL4171" s="86"/>
    </row>
    <row r="4172" spans="38:38" x14ac:dyDescent="0.35">
      <c r="AL4172" s="86"/>
    </row>
    <row r="4173" spans="38:38" x14ac:dyDescent="0.35">
      <c r="AL4173" s="86"/>
    </row>
    <row r="4174" spans="38:38" x14ac:dyDescent="0.35">
      <c r="AL4174" s="86"/>
    </row>
    <row r="4175" spans="38:38" x14ac:dyDescent="0.35">
      <c r="AL4175" s="86"/>
    </row>
    <row r="4176" spans="38:38" x14ac:dyDescent="0.35">
      <c r="AL4176" s="86"/>
    </row>
    <row r="4177" spans="38:38" x14ac:dyDescent="0.35">
      <c r="AL4177" s="86"/>
    </row>
    <row r="4178" spans="38:38" x14ac:dyDescent="0.35">
      <c r="AL4178" s="86"/>
    </row>
    <row r="4179" spans="38:38" x14ac:dyDescent="0.35">
      <c r="AL4179" s="86"/>
    </row>
    <row r="4180" spans="38:38" x14ac:dyDescent="0.35">
      <c r="AL4180" s="86"/>
    </row>
    <row r="4181" spans="38:38" x14ac:dyDescent="0.35">
      <c r="AL4181" s="86"/>
    </row>
    <row r="4182" spans="38:38" x14ac:dyDescent="0.35">
      <c r="AL4182" s="86"/>
    </row>
    <row r="4183" spans="38:38" x14ac:dyDescent="0.35">
      <c r="AL4183" s="86"/>
    </row>
    <row r="4184" spans="38:38" x14ac:dyDescent="0.35">
      <c r="AL4184" s="86"/>
    </row>
    <row r="4185" spans="38:38" x14ac:dyDescent="0.35">
      <c r="AL4185" s="86"/>
    </row>
    <row r="4186" spans="38:38" x14ac:dyDescent="0.35">
      <c r="AL4186" s="86"/>
    </row>
    <row r="4187" spans="38:38" x14ac:dyDescent="0.35">
      <c r="AL4187" s="86"/>
    </row>
    <row r="4188" spans="38:38" x14ac:dyDescent="0.35">
      <c r="AL4188" s="86"/>
    </row>
    <row r="4189" spans="38:38" x14ac:dyDescent="0.35">
      <c r="AL4189" s="86"/>
    </row>
    <row r="4190" spans="38:38" x14ac:dyDescent="0.35">
      <c r="AL4190" s="86"/>
    </row>
    <row r="4191" spans="38:38" x14ac:dyDescent="0.35">
      <c r="AL4191" s="86"/>
    </row>
    <row r="4192" spans="38:38" x14ac:dyDescent="0.35">
      <c r="AL4192" s="86"/>
    </row>
    <row r="4193" spans="38:38" x14ac:dyDescent="0.35">
      <c r="AL4193" s="86"/>
    </row>
    <row r="4194" spans="38:38" x14ac:dyDescent="0.35">
      <c r="AL4194" s="86"/>
    </row>
    <row r="4195" spans="38:38" x14ac:dyDescent="0.35">
      <c r="AL4195" s="86"/>
    </row>
    <row r="4196" spans="38:38" x14ac:dyDescent="0.35">
      <c r="AL4196" s="86"/>
    </row>
    <row r="4197" spans="38:38" x14ac:dyDescent="0.35">
      <c r="AL4197" s="86"/>
    </row>
    <row r="4198" spans="38:38" x14ac:dyDescent="0.35">
      <c r="AL4198" s="86"/>
    </row>
    <row r="4199" spans="38:38" x14ac:dyDescent="0.35">
      <c r="AL4199" s="86"/>
    </row>
    <row r="4200" spans="38:38" x14ac:dyDescent="0.35">
      <c r="AL4200" s="86"/>
    </row>
    <row r="4201" spans="38:38" x14ac:dyDescent="0.35">
      <c r="AL4201" s="86"/>
    </row>
    <row r="4202" spans="38:38" x14ac:dyDescent="0.35">
      <c r="AL4202" s="86"/>
    </row>
    <row r="4203" spans="38:38" x14ac:dyDescent="0.35">
      <c r="AL4203" s="86"/>
    </row>
    <row r="4204" spans="38:38" x14ac:dyDescent="0.35">
      <c r="AL4204" s="86"/>
    </row>
    <row r="4205" spans="38:38" x14ac:dyDescent="0.35">
      <c r="AL4205" s="86"/>
    </row>
    <row r="4206" spans="38:38" x14ac:dyDescent="0.35">
      <c r="AL4206" s="86"/>
    </row>
    <row r="4207" spans="38:38" x14ac:dyDescent="0.35">
      <c r="AL4207" s="86"/>
    </row>
    <row r="4208" spans="38:38" x14ac:dyDescent="0.35">
      <c r="AL4208" s="86"/>
    </row>
    <row r="4209" spans="38:38" x14ac:dyDescent="0.35">
      <c r="AL4209" s="86"/>
    </row>
    <row r="4210" spans="38:38" x14ac:dyDescent="0.35">
      <c r="AL4210" s="86"/>
    </row>
    <row r="4211" spans="38:38" x14ac:dyDescent="0.35">
      <c r="AL4211" s="86"/>
    </row>
    <row r="4212" spans="38:38" x14ac:dyDescent="0.35">
      <c r="AL4212" s="86"/>
    </row>
    <row r="4213" spans="38:38" x14ac:dyDescent="0.35">
      <c r="AL4213" s="86"/>
    </row>
    <row r="4214" spans="38:38" x14ac:dyDescent="0.35">
      <c r="AL4214" s="86"/>
    </row>
    <row r="4215" spans="38:38" x14ac:dyDescent="0.35">
      <c r="AL4215" s="86"/>
    </row>
    <row r="4216" spans="38:38" x14ac:dyDescent="0.35">
      <c r="AL4216" s="86"/>
    </row>
    <row r="4217" spans="38:38" x14ac:dyDescent="0.35">
      <c r="AL4217" s="86"/>
    </row>
    <row r="4218" spans="38:38" x14ac:dyDescent="0.35">
      <c r="AL4218" s="86"/>
    </row>
    <row r="4219" spans="38:38" x14ac:dyDescent="0.35">
      <c r="AL4219" s="86"/>
    </row>
    <row r="4220" spans="38:38" x14ac:dyDescent="0.35">
      <c r="AL4220" s="86"/>
    </row>
    <row r="4221" spans="38:38" x14ac:dyDescent="0.35">
      <c r="AL4221" s="86"/>
    </row>
    <row r="4222" spans="38:38" x14ac:dyDescent="0.35">
      <c r="AL4222" s="86"/>
    </row>
    <row r="4223" spans="38:38" x14ac:dyDescent="0.35">
      <c r="AL4223" s="86"/>
    </row>
    <row r="4224" spans="38:38" x14ac:dyDescent="0.35">
      <c r="AL4224" s="86"/>
    </row>
    <row r="4225" spans="38:38" x14ac:dyDescent="0.35">
      <c r="AL4225" s="86"/>
    </row>
    <row r="4226" spans="38:38" x14ac:dyDescent="0.35">
      <c r="AL4226" s="86"/>
    </row>
    <row r="4227" spans="38:38" x14ac:dyDescent="0.35">
      <c r="AL4227" s="86"/>
    </row>
    <row r="4228" spans="38:38" x14ac:dyDescent="0.35">
      <c r="AL4228" s="86"/>
    </row>
    <row r="4229" spans="38:38" x14ac:dyDescent="0.35">
      <c r="AL4229" s="86"/>
    </row>
    <row r="4230" spans="38:38" x14ac:dyDescent="0.35">
      <c r="AL4230" s="86"/>
    </row>
    <row r="4231" spans="38:38" x14ac:dyDescent="0.35">
      <c r="AL4231" s="86"/>
    </row>
    <row r="4232" spans="38:38" x14ac:dyDescent="0.35">
      <c r="AL4232" s="86"/>
    </row>
    <row r="4233" spans="38:38" x14ac:dyDescent="0.35">
      <c r="AL4233" s="86"/>
    </row>
    <row r="4234" spans="38:38" x14ac:dyDescent="0.35">
      <c r="AL4234" s="86"/>
    </row>
    <row r="4235" spans="38:38" x14ac:dyDescent="0.35">
      <c r="AL4235" s="86"/>
    </row>
    <row r="4236" spans="38:38" x14ac:dyDescent="0.35">
      <c r="AL4236" s="86"/>
    </row>
    <row r="4237" spans="38:38" x14ac:dyDescent="0.35">
      <c r="AL4237" s="86"/>
    </row>
    <row r="4238" spans="38:38" x14ac:dyDescent="0.35">
      <c r="AL4238" s="86"/>
    </row>
    <row r="4239" spans="38:38" x14ac:dyDescent="0.35">
      <c r="AL4239" s="86"/>
    </row>
    <row r="4240" spans="38:38" x14ac:dyDescent="0.35">
      <c r="AL4240" s="86"/>
    </row>
    <row r="4241" spans="38:38" x14ac:dyDescent="0.35">
      <c r="AL4241" s="86"/>
    </row>
    <row r="4242" spans="38:38" x14ac:dyDescent="0.35">
      <c r="AL4242" s="86"/>
    </row>
    <row r="4243" spans="38:38" x14ac:dyDescent="0.35">
      <c r="AL4243" s="86"/>
    </row>
    <row r="4244" spans="38:38" x14ac:dyDescent="0.35">
      <c r="AL4244" s="86"/>
    </row>
    <row r="4245" spans="38:38" x14ac:dyDescent="0.35">
      <c r="AL4245" s="86"/>
    </row>
    <row r="4246" spans="38:38" x14ac:dyDescent="0.35">
      <c r="AL4246" s="86"/>
    </row>
    <row r="4247" spans="38:38" x14ac:dyDescent="0.35">
      <c r="AL4247" s="86"/>
    </row>
    <row r="4248" spans="38:38" x14ac:dyDescent="0.35">
      <c r="AL4248" s="86"/>
    </row>
    <row r="4249" spans="38:38" x14ac:dyDescent="0.35">
      <c r="AL4249" s="86"/>
    </row>
    <row r="4250" spans="38:38" x14ac:dyDescent="0.35">
      <c r="AL4250" s="86"/>
    </row>
    <row r="4251" spans="38:38" x14ac:dyDescent="0.35">
      <c r="AL4251" s="86"/>
    </row>
    <row r="4252" spans="38:38" x14ac:dyDescent="0.35">
      <c r="AL4252" s="86"/>
    </row>
    <row r="4253" spans="38:38" x14ac:dyDescent="0.35">
      <c r="AL4253" s="86"/>
    </row>
    <row r="4254" spans="38:38" x14ac:dyDescent="0.35">
      <c r="AL4254" s="86"/>
    </row>
    <row r="4255" spans="38:38" x14ac:dyDescent="0.35">
      <c r="AL4255" s="86"/>
    </row>
    <row r="4256" spans="38:38" x14ac:dyDescent="0.35">
      <c r="AL4256" s="86"/>
    </row>
    <row r="4257" spans="38:38" x14ac:dyDescent="0.35">
      <c r="AL4257" s="86"/>
    </row>
    <row r="4258" spans="38:38" x14ac:dyDescent="0.35">
      <c r="AL4258" s="86"/>
    </row>
    <row r="4259" spans="38:38" x14ac:dyDescent="0.35">
      <c r="AL4259" s="86"/>
    </row>
    <row r="4260" spans="38:38" x14ac:dyDescent="0.35">
      <c r="AL4260" s="86"/>
    </row>
    <row r="4261" spans="38:38" x14ac:dyDescent="0.35">
      <c r="AL4261" s="86"/>
    </row>
    <row r="4262" spans="38:38" x14ac:dyDescent="0.35">
      <c r="AL4262" s="86"/>
    </row>
    <row r="4263" spans="38:38" x14ac:dyDescent="0.35">
      <c r="AL4263" s="86"/>
    </row>
    <row r="4264" spans="38:38" x14ac:dyDescent="0.35">
      <c r="AL4264" s="86"/>
    </row>
    <row r="4265" spans="38:38" x14ac:dyDescent="0.35">
      <c r="AL4265" s="86"/>
    </row>
    <row r="4266" spans="38:38" x14ac:dyDescent="0.35">
      <c r="AL4266" s="86"/>
    </row>
    <row r="4267" spans="38:38" x14ac:dyDescent="0.35">
      <c r="AL4267" s="86"/>
    </row>
    <row r="4268" spans="38:38" x14ac:dyDescent="0.35">
      <c r="AL4268" s="86"/>
    </row>
    <row r="4269" spans="38:38" x14ac:dyDescent="0.35">
      <c r="AL4269" s="86"/>
    </row>
    <row r="4270" spans="38:38" x14ac:dyDescent="0.35">
      <c r="AL4270" s="86"/>
    </row>
    <row r="4271" spans="38:38" x14ac:dyDescent="0.35">
      <c r="AL4271" s="86"/>
    </row>
    <row r="4272" spans="38:38" x14ac:dyDescent="0.35">
      <c r="AL4272" s="86"/>
    </row>
    <row r="4273" spans="38:38" x14ac:dyDescent="0.35">
      <c r="AL4273" s="86"/>
    </row>
    <row r="4274" spans="38:38" x14ac:dyDescent="0.35">
      <c r="AL4274" s="86"/>
    </row>
    <row r="4275" spans="38:38" x14ac:dyDescent="0.35">
      <c r="AL4275" s="86"/>
    </row>
    <row r="4276" spans="38:38" x14ac:dyDescent="0.35">
      <c r="AL4276" s="86"/>
    </row>
    <row r="4277" spans="38:38" x14ac:dyDescent="0.35">
      <c r="AL4277" s="86"/>
    </row>
    <row r="4278" spans="38:38" x14ac:dyDescent="0.35">
      <c r="AL4278" s="86"/>
    </row>
    <row r="4279" spans="38:38" x14ac:dyDescent="0.35">
      <c r="AL4279" s="86"/>
    </row>
    <row r="4280" spans="38:38" x14ac:dyDescent="0.35">
      <c r="AL4280" s="86"/>
    </row>
    <row r="4281" spans="38:38" x14ac:dyDescent="0.35">
      <c r="AL4281" s="86"/>
    </row>
    <row r="4282" spans="38:38" x14ac:dyDescent="0.35">
      <c r="AL4282" s="86"/>
    </row>
    <row r="4283" spans="38:38" x14ac:dyDescent="0.35">
      <c r="AL4283" s="86"/>
    </row>
    <row r="4284" spans="38:38" x14ac:dyDescent="0.35">
      <c r="AL4284" s="86"/>
    </row>
    <row r="4285" spans="38:38" x14ac:dyDescent="0.35">
      <c r="AL4285" s="86"/>
    </row>
    <row r="4286" spans="38:38" x14ac:dyDescent="0.35">
      <c r="AL4286" s="86"/>
    </row>
    <row r="4287" spans="38:38" x14ac:dyDescent="0.35">
      <c r="AL4287" s="86"/>
    </row>
    <row r="4288" spans="38:38" x14ac:dyDescent="0.35">
      <c r="AL4288" s="86"/>
    </row>
    <row r="4289" spans="38:38" x14ac:dyDescent="0.35">
      <c r="AL4289" s="86"/>
    </row>
    <row r="4290" spans="38:38" x14ac:dyDescent="0.35">
      <c r="AL4290" s="86"/>
    </row>
    <row r="4291" spans="38:38" x14ac:dyDescent="0.35">
      <c r="AL4291" s="86"/>
    </row>
    <row r="4292" spans="38:38" x14ac:dyDescent="0.35">
      <c r="AL4292" s="86"/>
    </row>
    <row r="4293" spans="38:38" x14ac:dyDescent="0.35">
      <c r="AL4293" s="86"/>
    </row>
    <row r="4294" spans="38:38" x14ac:dyDescent="0.35">
      <c r="AL4294" s="86"/>
    </row>
    <row r="4295" spans="38:38" x14ac:dyDescent="0.35">
      <c r="AL4295" s="86"/>
    </row>
    <row r="4296" spans="38:38" x14ac:dyDescent="0.35">
      <c r="AL4296" s="86"/>
    </row>
    <row r="4297" spans="38:38" x14ac:dyDescent="0.35">
      <c r="AL4297" s="86"/>
    </row>
    <row r="4298" spans="38:38" x14ac:dyDescent="0.35">
      <c r="AL4298" s="86"/>
    </row>
    <row r="4299" spans="38:38" x14ac:dyDescent="0.35">
      <c r="AL4299" s="86"/>
    </row>
    <row r="4300" spans="38:38" x14ac:dyDescent="0.35">
      <c r="AL4300" s="86"/>
    </row>
    <row r="4301" spans="38:38" x14ac:dyDescent="0.35">
      <c r="AL4301" s="86"/>
    </row>
    <row r="4302" spans="38:38" x14ac:dyDescent="0.35">
      <c r="AL4302" s="86"/>
    </row>
    <row r="4303" spans="38:38" x14ac:dyDescent="0.35">
      <c r="AL4303" s="86"/>
    </row>
    <row r="4304" spans="38:38" x14ac:dyDescent="0.35">
      <c r="AL4304" s="86"/>
    </row>
    <row r="4305" spans="38:38" x14ac:dyDescent="0.35">
      <c r="AL4305" s="86"/>
    </row>
    <row r="4306" spans="38:38" x14ac:dyDescent="0.35">
      <c r="AL4306" s="86"/>
    </row>
    <row r="4307" spans="38:38" x14ac:dyDescent="0.35">
      <c r="AL4307" s="86"/>
    </row>
    <row r="4308" spans="38:38" x14ac:dyDescent="0.35">
      <c r="AL4308" s="86"/>
    </row>
    <row r="4309" spans="38:38" x14ac:dyDescent="0.35">
      <c r="AL4309" s="86"/>
    </row>
    <row r="4310" spans="38:38" x14ac:dyDescent="0.35">
      <c r="AL4310" s="86"/>
    </row>
    <row r="4311" spans="38:38" x14ac:dyDescent="0.35">
      <c r="AL4311" s="86"/>
    </row>
    <row r="4312" spans="38:38" x14ac:dyDescent="0.35">
      <c r="AL4312" s="86"/>
    </row>
    <row r="4313" spans="38:38" x14ac:dyDescent="0.35">
      <c r="AL4313" s="86"/>
    </row>
    <row r="4314" spans="38:38" x14ac:dyDescent="0.35">
      <c r="AL4314" s="86"/>
    </row>
    <row r="4315" spans="38:38" x14ac:dyDescent="0.35">
      <c r="AL4315" s="86"/>
    </row>
    <row r="4316" spans="38:38" x14ac:dyDescent="0.35">
      <c r="AL4316" s="86"/>
    </row>
    <row r="4317" spans="38:38" x14ac:dyDescent="0.35">
      <c r="AL4317" s="86"/>
    </row>
    <row r="4318" spans="38:38" x14ac:dyDescent="0.35">
      <c r="AL4318" s="86"/>
    </row>
    <row r="4319" spans="38:38" x14ac:dyDescent="0.35">
      <c r="AL4319" s="86"/>
    </row>
    <row r="4320" spans="38:38" x14ac:dyDescent="0.35">
      <c r="AL4320" s="86"/>
    </row>
    <row r="4321" spans="38:38" x14ac:dyDescent="0.35">
      <c r="AL4321" s="86"/>
    </row>
    <row r="4322" spans="38:38" x14ac:dyDescent="0.35">
      <c r="AL4322" s="86"/>
    </row>
    <row r="4323" spans="38:38" x14ac:dyDescent="0.35">
      <c r="AL4323" s="86"/>
    </row>
    <row r="4324" spans="38:38" x14ac:dyDescent="0.35">
      <c r="AL4324" s="86"/>
    </row>
    <row r="4325" spans="38:38" x14ac:dyDescent="0.35">
      <c r="AL4325" s="86"/>
    </row>
    <row r="4326" spans="38:38" x14ac:dyDescent="0.35">
      <c r="AL4326" s="86"/>
    </row>
    <row r="4327" spans="38:38" x14ac:dyDescent="0.35">
      <c r="AL4327" s="86"/>
    </row>
    <row r="4328" spans="38:38" x14ac:dyDescent="0.35">
      <c r="AL4328" s="86"/>
    </row>
    <row r="4329" spans="38:38" x14ac:dyDescent="0.35">
      <c r="AL4329" s="86"/>
    </row>
    <row r="4330" spans="38:38" x14ac:dyDescent="0.35">
      <c r="AL4330" s="86"/>
    </row>
    <row r="4331" spans="38:38" x14ac:dyDescent="0.35">
      <c r="AL4331" s="86"/>
    </row>
    <row r="4332" spans="38:38" x14ac:dyDescent="0.35">
      <c r="AL4332" s="86"/>
    </row>
    <row r="4333" spans="38:38" x14ac:dyDescent="0.35">
      <c r="AL4333" s="86"/>
    </row>
    <row r="4334" spans="38:38" x14ac:dyDescent="0.35">
      <c r="AL4334" s="86"/>
    </row>
    <row r="4335" spans="38:38" x14ac:dyDescent="0.35">
      <c r="AL4335" s="86"/>
    </row>
    <row r="4336" spans="38:38" x14ac:dyDescent="0.35">
      <c r="AL4336" s="86"/>
    </row>
    <row r="4337" spans="38:38" x14ac:dyDescent="0.35">
      <c r="AL4337" s="86"/>
    </row>
    <row r="4338" spans="38:38" x14ac:dyDescent="0.35">
      <c r="AL4338" s="86"/>
    </row>
    <row r="4339" spans="38:38" x14ac:dyDescent="0.35">
      <c r="AL4339" s="86"/>
    </row>
    <row r="4340" spans="38:38" x14ac:dyDescent="0.35">
      <c r="AL4340" s="86"/>
    </row>
    <row r="4341" spans="38:38" x14ac:dyDescent="0.35">
      <c r="AL4341" s="86"/>
    </row>
    <row r="4342" spans="38:38" x14ac:dyDescent="0.35">
      <c r="AL4342" s="86"/>
    </row>
    <row r="4343" spans="38:38" x14ac:dyDescent="0.35">
      <c r="AL4343" s="86"/>
    </row>
    <row r="4344" spans="38:38" x14ac:dyDescent="0.35">
      <c r="AL4344" s="86"/>
    </row>
    <row r="4345" spans="38:38" x14ac:dyDescent="0.35">
      <c r="AL4345" s="86"/>
    </row>
    <row r="4346" spans="38:38" x14ac:dyDescent="0.35">
      <c r="AL4346" s="86"/>
    </row>
    <row r="4347" spans="38:38" x14ac:dyDescent="0.35">
      <c r="AL4347" s="86"/>
    </row>
    <row r="4348" spans="38:38" x14ac:dyDescent="0.35">
      <c r="AL4348" s="86"/>
    </row>
    <row r="4349" spans="38:38" x14ac:dyDescent="0.35">
      <c r="AL4349" s="86"/>
    </row>
    <row r="4350" spans="38:38" x14ac:dyDescent="0.35">
      <c r="AL4350" s="86"/>
    </row>
    <row r="4351" spans="38:38" x14ac:dyDescent="0.35">
      <c r="AL4351" s="86"/>
    </row>
    <row r="4352" spans="38:38" x14ac:dyDescent="0.35">
      <c r="AL4352" s="86"/>
    </row>
    <row r="4353" spans="38:38" x14ac:dyDescent="0.35">
      <c r="AL4353" s="86"/>
    </row>
    <row r="4354" spans="38:38" x14ac:dyDescent="0.35">
      <c r="AL4354" s="86"/>
    </row>
    <row r="4355" spans="38:38" x14ac:dyDescent="0.35">
      <c r="AL4355" s="86"/>
    </row>
    <row r="4356" spans="38:38" x14ac:dyDescent="0.35">
      <c r="AL4356" s="86"/>
    </row>
    <row r="4357" spans="38:38" x14ac:dyDescent="0.35">
      <c r="AL4357" s="86"/>
    </row>
    <row r="4358" spans="38:38" x14ac:dyDescent="0.35">
      <c r="AL4358" s="86"/>
    </row>
    <row r="4359" spans="38:38" x14ac:dyDescent="0.35">
      <c r="AL4359" s="86"/>
    </row>
    <row r="4360" spans="38:38" x14ac:dyDescent="0.35">
      <c r="AL4360" s="86"/>
    </row>
    <row r="4361" spans="38:38" x14ac:dyDescent="0.35">
      <c r="AL4361" s="86"/>
    </row>
    <row r="4362" spans="38:38" x14ac:dyDescent="0.35">
      <c r="AL4362" s="86"/>
    </row>
    <row r="4363" spans="38:38" x14ac:dyDescent="0.35">
      <c r="AL4363" s="86"/>
    </row>
    <row r="4364" spans="38:38" x14ac:dyDescent="0.35">
      <c r="AL4364" s="86"/>
    </row>
    <row r="4365" spans="38:38" x14ac:dyDescent="0.35">
      <c r="AL4365" s="86"/>
    </row>
    <row r="4366" spans="38:38" x14ac:dyDescent="0.35">
      <c r="AL4366" s="86"/>
    </row>
    <row r="4367" spans="38:38" x14ac:dyDescent="0.35">
      <c r="AL4367" s="86"/>
    </row>
    <row r="4368" spans="38:38" x14ac:dyDescent="0.35">
      <c r="AL4368" s="86"/>
    </row>
    <row r="4369" spans="38:38" x14ac:dyDescent="0.35">
      <c r="AL4369" s="86"/>
    </row>
    <row r="4370" spans="38:38" x14ac:dyDescent="0.35">
      <c r="AL4370" s="86"/>
    </row>
    <row r="4371" spans="38:38" x14ac:dyDescent="0.35">
      <c r="AL4371" s="86"/>
    </row>
    <row r="4372" spans="38:38" x14ac:dyDescent="0.35">
      <c r="AL4372" s="86"/>
    </row>
    <row r="4373" spans="38:38" x14ac:dyDescent="0.35">
      <c r="AL4373" s="86"/>
    </row>
    <row r="4374" spans="38:38" x14ac:dyDescent="0.35">
      <c r="AL4374" s="86"/>
    </row>
    <row r="4375" spans="38:38" x14ac:dyDescent="0.35">
      <c r="AL4375" s="86"/>
    </row>
    <row r="4376" spans="38:38" x14ac:dyDescent="0.35">
      <c r="AL4376" s="86"/>
    </row>
    <row r="4377" spans="38:38" x14ac:dyDescent="0.35">
      <c r="AL4377" s="86"/>
    </row>
    <row r="4378" spans="38:38" x14ac:dyDescent="0.35">
      <c r="AL4378" s="86"/>
    </row>
    <row r="4379" spans="38:38" x14ac:dyDescent="0.35">
      <c r="AL4379" s="86"/>
    </row>
    <row r="4380" spans="38:38" x14ac:dyDescent="0.35">
      <c r="AL4380" s="86"/>
    </row>
    <row r="4381" spans="38:38" x14ac:dyDescent="0.35">
      <c r="AL4381" s="86"/>
    </row>
    <row r="4382" spans="38:38" x14ac:dyDescent="0.35">
      <c r="AL4382" s="86"/>
    </row>
    <row r="4383" spans="38:38" x14ac:dyDescent="0.35">
      <c r="AL4383" s="86"/>
    </row>
    <row r="4384" spans="38:38" x14ac:dyDescent="0.35">
      <c r="AL4384" s="86"/>
    </row>
    <row r="4385" spans="38:38" x14ac:dyDescent="0.35">
      <c r="AL4385" s="86"/>
    </row>
    <row r="4386" spans="38:38" x14ac:dyDescent="0.35">
      <c r="AL4386" s="86"/>
    </row>
    <row r="4387" spans="38:38" x14ac:dyDescent="0.35">
      <c r="AL4387" s="86"/>
    </row>
    <row r="4388" spans="38:38" x14ac:dyDescent="0.35">
      <c r="AL4388" s="86"/>
    </row>
    <row r="4389" spans="38:38" x14ac:dyDescent="0.35">
      <c r="AL4389" s="86"/>
    </row>
    <row r="4390" spans="38:38" x14ac:dyDescent="0.35">
      <c r="AL4390" s="86"/>
    </row>
    <row r="4391" spans="38:38" x14ac:dyDescent="0.35">
      <c r="AL4391" s="86"/>
    </row>
    <row r="4392" spans="38:38" x14ac:dyDescent="0.35">
      <c r="AL4392" s="86"/>
    </row>
    <row r="4393" spans="38:38" x14ac:dyDescent="0.35">
      <c r="AL4393" s="86"/>
    </row>
    <row r="4394" spans="38:38" x14ac:dyDescent="0.35">
      <c r="AL4394" s="86"/>
    </row>
    <row r="4395" spans="38:38" x14ac:dyDescent="0.35">
      <c r="AL4395" s="86"/>
    </row>
    <row r="4396" spans="38:38" x14ac:dyDescent="0.35">
      <c r="AL4396" s="86"/>
    </row>
    <row r="4397" spans="38:38" x14ac:dyDescent="0.35">
      <c r="AL4397" s="86"/>
    </row>
    <row r="4398" spans="38:38" x14ac:dyDescent="0.35">
      <c r="AL4398" s="86"/>
    </row>
    <row r="4399" spans="38:38" x14ac:dyDescent="0.35">
      <c r="AL4399" s="86"/>
    </row>
    <row r="4400" spans="38:38" x14ac:dyDescent="0.35">
      <c r="AL4400" s="86"/>
    </row>
    <row r="4401" spans="38:38" x14ac:dyDescent="0.35">
      <c r="AL4401" s="86"/>
    </row>
    <row r="4402" spans="38:38" x14ac:dyDescent="0.35">
      <c r="AL4402" s="86"/>
    </row>
    <row r="4403" spans="38:38" x14ac:dyDescent="0.35">
      <c r="AL4403" s="86"/>
    </row>
    <row r="4404" spans="38:38" x14ac:dyDescent="0.35">
      <c r="AL4404" s="86"/>
    </row>
    <row r="4405" spans="38:38" x14ac:dyDescent="0.35">
      <c r="AL4405" s="86"/>
    </row>
    <row r="4406" spans="38:38" x14ac:dyDescent="0.35">
      <c r="AL4406" s="86"/>
    </row>
    <row r="4407" spans="38:38" x14ac:dyDescent="0.35">
      <c r="AL4407" s="86"/>
    </row>
    <row r="4408" spans="38:38" x14ac:dyDescent="0.35">
      <c r="AL4408" s="86"/>
    </row>
    <row r="4409" spans="38:38" x14ac:dyDescent="0.35">
      <c r="AL4409" s="86"/>
    </row>
    <row r="4410" spans="38:38" x14ac:dyDescent="0.35">
      <c r="AL4410" s="86"/>
    </row>
    <row r="4411" spans="38:38" x14ac:dyDescent="0.35">
      <c r="AL4411" s="86"/>
    </row>
    <row r="4412" spans="38:38" x14ac:dyDescent="0.35">
      <c r="AL4412" s="86"/>
    </row>
    <row r="4413" spans="38:38" x14ac:dyDescent="0.35">
      <c r="AL4413" s="86"/>
    </row>
    <row r="4414" spans="38:38" x14ac:dyDescent="0.35">
      <c r="AL4414" s="86"/>
    </row>
    <row r="4415" spans="38:38" x14ac:dyDescent="0.35">
      <c r="AL4415" s="86"/>
    </row>
    <row r="4416" spans="38:38" x14ac:dyDescent="0.35">
      <c r="AL4416" s="86"/>
    </row>
    <row r="4417" spans="38:38" x14ac:dyDescent="0.35">
      <c r="AL4417" s="86"/>
    </row>
    <row r="4418" spans="38:38" x14ac:dyDescent="0.35">
      <c r="AL4418" s="86"/>
    </row>
    <row r="4419" spans="38:38" x14ac:dyDescent="0.35">
      <c r="AL4419" s="86"/>
    </row>
    <row r="4420" spans="38:38" x14ac:dyDescent="0.35">
      <c r="AL4420" s="86"/>
    </row>
    <row r="4421" spans="38:38" x14ac:dyDescent="0.35">
      <c r="AL4421" s="86"/>
    </row>
    <row r="4422" spans="38:38" x14ac:dyDescent="0.35">
      <c r="AL4422" s="86"/>
    </row>
    <row r="4423" spans="38:38" x14ac:dyDescent="0.35">
      <c r="AL4423" s="86"/>
    </row>
    <row r="4424" spans="38:38" x14ac:dyDescent="0.35">
      <c r="AL4424" s="86"/>
    </row>
    <row r="4425" spans="38:38" x14ac:dyDescent="0.35">
      <c r="AL4425" s="86"/>
    </row>
    <row r="4426" spans="38:38" x14ac:dyDescent="0.35">
      <c r="AL4426" s="86"/>
    </row>
    <row r="4427" spans="38:38" x14ac:dyDescent="0.35">
      <c r="AL4427" s="86"/>
    </row>
    <row r="4428" spans="38:38" x14ac:dyDescent="0.35">
      <c r="AL4428" s="86"/>
    </row>
    <row r="4429" spans="38:38" x14ac:dyDescent="0.35">
      <c r="AL4429" s="86"/>
    </row>
    <row r="4430" spans="38:38" x14ac:dyDescent="0.35">
      <c r="AL4430" s="86"/>
    </row>
    <row r="4431" spans="38:38" x14ac:dyDescent="0.35">
      <c r="AL4431" s="86"/>
    </row>
    <row r="4432" spans="38:38" x14ac:dyDescent="0.35">
      <c r="AL4432" s="86"/>
    </row>
    <row r="4433" spans="38:38" x14ac:dyDescent="0.35">
      <c r="AL4433" s="86"/>
    </row>
    <row r="4434" spans="38:38" x14ac:dyDescent="0.35">
      <c r="AL4434" s="86"/>
    </row>
    <row r="4435" spans="38:38" x14ac:dyDescent="0.35">
      <c r="AL4435" s="86"/>
    </row>
    <row r="4436" spans="38:38" x14ac:dyDescent="0.35">
      <c r="AL4436" s="86"/>
    </row>
    <row r="4437" spans="38:38" x14ac:dyDescent="0.35">
      <c r="AL4437" s="86"/>
    </row>
    <row r="4438" spans="38:38" x14ac:dyDescent="0.35">
      <c r="AL4438" s="86"/>
    </row>
    <row r="4439" spans="38:38" x14ac:dyDescent="0.35">
      <c r="AL4439" s="86"/>
    </row>
    <row r="4440" spans="38:38" x14ac:dyDescent="0.35">
      <c r="AL4440" s="86"/>
    </row>
    <row r="4441" spans="38:38" x14ac:dyDescent="0.35">
      <c r="AL4441" s="86"/>
    </row>
    <row r="4442" spans="38:38" x14ac:dyDescent="0.35">
      <c r="AL4442" s="86"/>
    </row>
    <row r="4443" spans="38:38" x14ac:dyDescent="0.35">
      <c r="AL4443" s="86"/>
    </row>
    <row r="4444" spans="38:38" x14ac:dyDescent="0.35">
      <c r="AL4444" s="86"/>
    </row>
    <row r="4445" spans="38:38" x14ac:dyDescent="0.35">
      <c r="AL4445" s="86"/>
    </row>
    <row r="4446" spans="38:38" x14ac:dyDescent="0.35">
      <c r="AL4446" s="86"/>
    </row>
    <row r="4447" spans="38:38" x14ac:dyDescent="0.35">
      <c r="AL4447" s="86"/>
    </row>
    <row r="4448" spans="38:38" x14ac:dyDescent="0.35">
      <c r="AL4448" s="86"/>
    </row>
    <row r="4449" spans="38:38" x14ac:dyDescent="0.35">
      <c r="AL4449" s="86"/>
    </row>
    <row r="4450" spans="38:38" x14ac:dyDescent="0.35">
      <c r="AL4450" s="86"/>
    </row>
    <row r="4451" spans="38:38" x14ac:dyDescent="0.35">
      <c r="AL4451" s="86"/>
    </row>
    <row r="4452" spans="38:38" x14ac:dyDescent="0.35">
      <c r="AL4452" s="86"/>
    </row>
    <row r="4453" spans="38:38" x14ac:dyDescent="0.35">
      <c r="AL4453" s="86"/>
    </row>
    <row r="4454" spans="38:38" x14ac:dyDescent="0.35">
      <c r="AL4454" s="86"/>
    </row>
    <row r="4455" spans="38:38" x14ac:dyDescent="0.35">
      <c r="AL4455" s="86"/>
    </row>
    <row r="4456" spans="38:38" x14ac:dyDescent="0.35">
      <c r="AL4456" s="86"/>
    </row>
    <row r="4457" spans="38:38" x14ac:dyDescent="0.35">
      <c r="AL4457" s="86"/>
    </row>
    <row r="4458" spans="38:38" x14ac:dyDescent="0.35">
      <c r="AL4458" s="86"/>
    </row>
    <row r="4459" spans="38:38" x14ac:dyDescent="0.35">
      <c r="AL4459" s="86"/>
    </row>
    <row r="4460" spans="38:38" x14ac:dyDescent="0.35">
      <c r="AL4460" s="86"/>
    </row>
    <row r="4461" spans="38:38" x14ac:dyDescent="0.35">
      <c r="AL4461" s="86"/>
    </row>
    <row r="4462" spans="38:38" x14ac:dyDescent="0.35">
      <c r="AL4462" s="86"/>
    </row>
    <row r="4463" spans="38:38" x14ac:dyDescent="0.35">
      <c r="AL4463" s="86"/>
    </row>
    <row r="4464" spans="38:38" x14ac:dyDescent="0.35">
      <c r="AL4464" s="86"/>
    </row>
    <row r="4465" spans="38:38" x14ac:dyDescent="0.35">
      <c r="AL4465" s="86"/>
    </row>
    <row r="4466" spans="38:38" x14ac:dyDescent="0.35">
      <c r="AL4466" s="86"/>
    </row>
    <row r="4467" spans="38:38" x14ac:dyDescent="0.35">
      <c r="AL4467" s="86"/>
    </row>
    <row r="4468" spans="38:38" x14ac:dyDescent="0.35">
      <c r="AL4468" s="86"/>
    </row>
    <row r="4469" spans="38:38" x14ac:dyDescent="0.35">
      <c r="AL4469" s="86"/>
    </row>
    <row r="4470" spans="38:38" x14ac:dyDescent="0.35">
      <c r="AL4470" s="86"/>
    </row>
    <row r="4471" spans="38:38" x14ac:dyDescent="0.35">
      <c r="AL4471" s="86"/>
    </row>
    <row r="4472" spans="38:38" x14ac:dyDescent="0.35">
      <c r="AL4472" s="86"/>
    </row>
    <row r="4473" spans="38:38" x14ac:dyDescent="0.35">
      <c r="AL4473" s="86"/>
    </row>
    <row r="4474" spans="38:38" x14ac:dyDescent="0.35">
      <c r="AL4474" s="86"/>
    </row>
    <row r="4475" spans="38:38" x14ac:dyDescent="0.35">
      <c r="AL4475" s="86"/>
    </row>
    <row r="4476" spans="38:38" x14ac:dyDescent="0.35">
      <c r="AL4476" s="86"/>
    </row>
    <row r="4477" spans="38:38" x14ac:dyDescent="0.35">
      <c r="AL4477" s="86"/>
    </row>
    <row r="4478" spans="38:38" x14ac:dyDescent="0.35">
      <c r="AL4478" s="86"/>
    </row>
    <row r="4479" spans="38:38" x14ac:dyDescent="0.35">
      <c r="AL4479" s="86"/>
    </row>
    <row r="4480" spans="38:38" x14ac:dyDescent="0.35">
      <c r="AL4480" s="86"/>
    </row>
    <row r="4481" spans="38:38" x14ac:dyDescent="0.35">
      <c r="AL4481" s="86"/>
    </row>
    <row r="4482" spans="38:38" x14ac:dyDescent="0.35">
      <c r="AL4482" s="86"/>
    </row>
    <row r="4483" spans="38:38" x14ac:dyDescent="0.35">
      <c r="AL4483" s="86"/>
    </row>
    <row r="4484" spans="38:38" x14ac:dyDescent="0.35">
      <c r="AL4484" s="86"/>
    </row>
    <row r="4485" spans="38:38" x14ac:dyDescent="0.35">
      <c r="AL4485" s="86"/>
    </row>
    <row r="4486" spans="38:38" x14ac:dyDescent="0.35">
      <c r="AL4486" s="86"/>
    </row>
    <row r="4487" spans="38:38" x14ac:dyDescent="0.35">
      <c r="AL4487" s="86"/>
    </row>
    <row r="4488" spans="38:38" x14ac:dyDescent="0.35">
      <c r="AL4488" s="86"/>
    </row>
    <row r="4489" spans="38:38" x14ac:dyDescent="0.35">
      <c r="AL4489" s="86"/>
    </row>
    <row r="4490" spans="38:38" x14ac:dyDescent="0.35">
      <c r="AL4490" s="86"/>
    </row>
    <row r="4491" spans="38:38" x14ac:dyDescent="0.35">
      <c r="AL4491" s="86"/>
    </row>
    <row r="4492" spans="38:38" x14ac:dyDescent="0.35">
      <c r="AL4492" s="86"/>
    </row>
    <row r="4493" spans="38:38" x14ac:dyDescent="0.35">
      <c r="AL4493" s="86"/>
    </row>
    <row r="4494" spans="38:38" x14ac:dyDescent="0.35">
      <c r="AL4494" s="86"/>
    </row>
    <row r="4495" spans="38:38" x14ac:dyDescent="0.35">
      <c r="AL4495" s="86"/>
    </row>
    <row r="4496" spans="38:38" x14ac:dyDescent="0.35">
      <c r="AL4496" s="86"/>
    </row>
    <row r="4497" spans="38:38" x14ac:dyDescent="0.35">
      <c r="AL4497" s="86"/>
    </row>
    <row r="4498" spans="38:38" x14ac:dyDescent="0.35">
      <c r="AL4498" s="86"/>
    </row>
    <row r="4499" spans="38:38" x14ac:dyDescent="0.35">
      <c r="AL4499" s="86"/>
    </row>
    <row r="4500" spans="38:38" x14ac:dyDescent="0.35">
      <c r="AL4500" s="86"/>
    </row>
    <row r="4501" spans="38:38" x14ac:dyDescent="0.35">
      <c r="AL4501" s="86"/>
    </row>
    <row r="4502" spans="38:38" x14ac:dyDescent="0.35">
      <c r="AL4502" s="86"/>
    </row>
    <row r="4503" spans="38:38" x14ac:dyDescent="0.35">
      <c r="AL4503" s="86"/>
    </row>
    <row r="4504" spans="38:38" x14ac:dyDescent="0.35">
      <c r="AL4504" s="86"/>
    </row>
    <row r="4505" spans="38:38" x14ac:dyDescent="0.35">
      <c r="AL4505" s="86"/>
    </row>
    <row r="4506" spans="38:38" x14ac:dyDescent="0.35">
      <c r="AL4506" s="86"/>
    </row>
    <row r="4507" spans="38:38" x14ac:dyDescent="0.35">
      <c r="AL4507" s="86"/>
    </row>
    <row r="4508" spans="38:38" x14ac:dyDescent="0.35">
      <c r="AL4508" s="86"/>
    </row>
    <row r="4509" spans="38:38" x14ac:dyDescent="0.35">
      <c r="AL4509" s="86"/>
    </row>
    <row r="4510" spans="38:38" x14ac:dyDescent="0.35">
      <c r="AL4510" s="86"/>
    </row>
    <row r="4511" spans="38:38" x14ac:dyDescent="0.35">
      <c r="AL4511" s="86"/>
    </row>
    <row r="4512" spans="38:38" x14ac:dyDescent="0.35">
      <c r="AL4512" s="86"/>
    </row>
    <row r="4513" spans="38:38" x14ac:dyDescent="0.35">
      <c r="AL4513" s="86"/>
    </row>
    <row r="4514" spans="38:38" x14ac:dyDescent="0.35">
      <c r="AL4514" s="86"/>
    </row>
    <row r="4515" spans="38:38" x14ac:dyDescent="0.35">
      <c r="AL4515" s="86"/>
    </row>
    <row r="4516" spans="38:38" x14ac:dyDescent="0.35">
      <c r="AL4516" s="86"/>
    </row>
    <row r="4517" spans="38:38" x14ac:dyDescent="0.35">
      <c r="AL4517" s="86"/>
    </row>
    <row r="4518" spans="38:38" x14ac:dyDescent="0.35">
      <c r="AL4518" s="86"/>
    </row>
    <row r="4519" spans="38:38" x14ac:dyDescent="0.35">
      <c r="AL4519" s="86"/>
    </row>
    <row r="4520" spans="38:38" x14ac:dyDescent="0.35">
      <c r="AL4520" s="86"/>
    </row>
    <row r="4521" spans="38:38" x14ac:dyDescent="0.35">
      <c r="AL4521" s="86"/>
    </row>
    <row r="4522" spans="38:38" x14ac:dyDescent="0.35">
      <c r="AL4522" s="86"/>
    </row>
    <row r="4523" spans="38:38" x14ac:dyDescent="0.35">
      <c r="AL4523" s="86"/>
    </row>
    <row r="4524" spans="38:38" x14ac:dyDescent="0.35">
      <c r="AL4524" s="86"/>
    </row>
    <row r="4525" spans="38:38" x14ac:dyDescent="0.35">
      <c r="AL4525" s="86"/>
    </row>
    <row r="4526" spans="38:38" x14ac:dyDescent="0.35">
      <c r="AL4526" s="86"/>
    </row>
    <row r="4527" spans="38:38" x14ac:dyDescent="0.35">
      <c r="AL4527" s="86"/>
    </row>
    <row r="4528" spans="38:38" x14ac:dyDescent="0.35">
      <c r="AL4528" s="86"/>
    </row>
    <row r="4529" spans="38:38" x14ac:dyDescent="0.35">
      <c r="AL4529" s="86"/>
    </row>
    <row r="4530" spans="38:38" x14ac:dyDescent="0.35">
      <c r="AL4530" s="86"/>
    </row>
    <row r="4531" spans="38:38" x14ac:dyDescent="0.35">
      <c r="AL4531" s="86"/>
    </row>
    <row r="4532" spans="38:38" x14ac:dyDescent="0.35">
      <c r="AL4532" s="86"/>
    </row>
    <row r="4533" spans="38:38" x14ac:dyDescent="0.35">
      <c r="AL4533" s="86"/>
    </row>
    <row r="4534" spans="38:38" x14ac:dyDescent="0.35">
      <c r="AL4534" s="86"/>
    </row>
    <row r="4535" spans="38:38" x14ac:dyDescent="0.35">
      <c r="AL4535" s="86"/>
    </row>
    <row r="4536" spans="38:38" x14ac:dyDescent="0.35">
      <c r="AL4536" s="86"/>
    </row>
    <row r="4537" spans="38:38" x14ac:dyDescent="0.35">
      <c r="AL4537" s="86"/>
    </row>
    <row r="4538" spans="38:38" x14ac:dyDescent="0.35">
      <c r="AL4538" s="86"/>
    </row>
    <row r="4539" spans="38:38" x14ac:dyDescent="0.35">
      <c r="AL4539" s="86"/>
    </row>
    <row r="4540" spans="38:38" x14ac:dyDescent="0.35">
      <c r="AL4540" s="86"/>
    </row>
    <row r="4541" spans="38:38" x14ac:dyDescent="0.35">
      <c r="AL4541" s="86"/>
    </row>
    <row r="4542" spans="38:38" x14ac:dyDescent="0.35">
      <c r="AL4542" s="86"/>
    </row>
    <row r="4543" spans="38:38" x14ac:dyDescent="0.35">
      <c r="AL4543" s="86"/>
    </row>
    <row r="4544" spans="38:38" x14ac:dyDescent="0.35">
      <c r="AL4544" s="86"/>
    </row>
    <row r="4545" spans="38:38" x14ac:dyDescent="0.35">
      <c r="AL4545" s="86"/>
    </row>
    <row r="4546" spans="38:38" x14ac:dyDescent="0.35">
      <c r="AL4546" s="86"/>
    </row>
    <row r="4547" spans="38:38" x14ac:dyDescent="0.35">
      <c r="AL4547" s="86"/>
    </row>
    <row r="4548" spans="38:38" x14ac:dyDescent="0.35">
      <c r="AL4548" s="86"/>
    </row>
    <row r="4549" spans="38:38" x14ac:dyDescent="0.35">
      <c r="AL4549" s="86"/>
    </row>
    <row r="4550" spans="38:38" x14ac:dyDescent="0.35">
      <c r="AL4550" s="86"/>
    </row>
    <row r="4551" spans="38:38" x14ac:dyDescent="0.35">
      <c r="AL4551" s="86"/>
    </row>
    <row r="4552" spans="38:38" x14ac:dyDescent="0.35">
      <c r="AL4552" s="86"/>
    </row>
    <row r="4553" spans="38:38" x14ac:dyDescent="0.35">
      <c r="AL4553" s="86"/>
    </row>
    <row r="4554" spans="38:38" x14ac:dyDescent="0.35">
      <c r="AL4554" s="86"/>
    </row>
    <row r="4555" spans="38:38" x14ac:dyDescent="0.35">
      <c r="AL4555" s="86"/>
    </row>
    <row r="4556" spans="38:38" x14ac:dyDescent="0.35">
      <c r="AL4556" s="86"/>
    </row>
    <row r="4557" spans="38:38" x14ac:dyDescent="0.35">
      <c r="AL4557" s="86"/>
    </row>
    <row r="4558" spans="38:38" x14ac:dyDescent="0.35">
      <c r="AL4558" s="86"/>
    </row>
    <row r="4559" spans="38:38" x14ac:dyDescent="0.35">
      <c r="AL4559" s="86"/>
    </row>
    <row r="4560" spans="38:38" x14ac:dyDescent="0.35">
      <c r="AL4560" s="86"/>
    </row>
    <row r="4561" spans="38:38" x14ac:dyDescent="0.35">
      <c r="AL4561" s="86"/>
    </row>
    <row r="4562" spans="38:38" x14ac:dyDescent="0.35">
      <c r="AL4562" s="86"/>
    </row>
    <row r="4563" spans="38:38" x14ac:dyDescent="0.35">
      <c r="AL4563" s="86"/>
    </row>
    <row r="4564" spans="38:38" x14ac:dyDescent="0.35">
      <c r="AL4564" s="86"/>
    </row>
    <row r="4565" spans="38:38" x14ac:dyDescent="0.35">
      <c r="AL4565" s="86"/>
    </row>
    <row r="4566" spans="38:38" x14ac:dyDescent="0.35">
      <c r="AL4566" s="86"/>
    </row>
    <row r="4567" spans="38:38" x14ac:dyDescent="0.35">
      <c r="AL4567" s="86"/>
    </row>
    <row r="4568" spans="38:38" x14ac:dyDescent="0.35">
      <c r="AL4568" s="86"/>
    </row>
    <row r="4569" spans="38:38" x14ac:dyDescent="0.35">
      <c r="AL4569" s="86"/>
    </row>
    <row r="4570" spans="38:38" x14ac:dyDescent="0.35">
      <c r="AL4570" s="86"/>
    </row>
    <row r="4571" spans="38:38" x14ac:dyDescent="0.35">
      <c r="AL4571" s="86"/>
    </row>
    <row r="4572" spans="38:38" x14ac:dyDescent="0.35">
      <c r="AL4572" s="86"/>
    </row>
    <row r="4573" spans="38:38" x14ac:dyDescent="0.35">
      <c r="AL4573" s="86"/>
    </row>
    <row r="4574" spans="38:38" x14ac:dyDescent="0.35">
      <c r="AL4574" s="86"/>
    </row>
    <row r="4575" spans="38:38" x14ac:dyDescent="0.35">
      <c r="AL4575" s="86"/>
    </row>
    <row r="4576" spans="38:38" x14ac:dyDescent="0.35">
      <c r="AL4576" s="86"/>
    </row>
    <row r="4577" spans="38:38" x14ac:dyDescent="0.35">
      <c r="AL4577" s="86"/>
    </row>
    <row r="4578" spans="38:38" x14ac:dyDescent="0.35">
      <c r="AL4578" s="86"/>
    </row>
    <row r="4579" spans="38:38" x14ac:dyDescent="0.35">
      <c r="AL4579" s="86"/>
    </row>
    <row r="4580" spans="38:38" x14ac:dyDescent="0.35">
      <c r="AL4580" s="86"/>
    </row>
    <row r="4581" spans="38:38" x14ac:dyDescent="0.35">
      <c r="AL4581" s="86"/>
    </row>
    <row r="4582" spans="38:38" x14ac:dyDescent="0.35">
      <c r="AL4582" s="86"/>
    </row>
    <row r="4583" spans="38:38" x14ac:dyDescent="0.35">
      <c r="AL4583" s="86"/>
    </row>
    <row r="4584" spans="38:38" x14ac:dyDescent="0.35">
      <c r="AL4584" s="86"/>
    </row>
    <row r="4585" spans="38:38" x14ac:dyDescent="0.35">
      <c r="AL4585" s="86"/>
    </row>
    <row r="4586" spans="38:38" x14ac:dyDescent="0.35">
      <c r="AL4586" s="86"/>
    </row>
    <row r="4587" spans="38:38" x14ac:dyDescent="0.35">
      <c r="AL4587" s="86"/>
    </row>
    <row r="4588" spans="38:38" x14ac:dyDescent="0.35">
      <c r="AL4588" s="86"/>
    </row>
    <row r="4589" spans="38:38" x14ac:dyDescent="0.35">
      <c r="AL4589" s="86"/>
    </row>
    <row r="4590" spans="38:38" x14ac:dyDescent="0.35">
      <c r="AL4590" s="86"/>
    </row>
    <row r="4591" spans="38:38" x14ac:dyDescent="0.35">
      <c r="AL4591" s="86"/>
    </row>
    <row r="4592" spans="38:38" x14ac:dyDescent="0.35">
      <c r="AL4592" s="86"/>
    </row>
    <row r="4593" spans="38:38" x14ac:dyDescent="0.35">
      <c r="AL4593" s="86"/>
    </row>
    <row r="4594" spans="38:38" x14ac:dyDescent="0.35">
      <c r="AL4594" s="86"/>
    </row>
    <row r="4595" spans="38:38" x14ac:dyDescent="0.35">
      <c r="AL4595" s="86"/>
    </row>
    <row r="4596" spans="38:38" x14ac:dyDescent="0.35">
      <c r="AL4596" s="86"/>
    </row>
    <row r="4597" spans="38:38" x14ac:dyDescent="0.35">
      <c r="AL4597" s="86"/>
    </row>
    <row r="4598" spans="38:38" x14ac:dyDescent="0.35">
      <c r="AL4598" s="86"/>
    </row>
    <row r="4599" spans="38:38" x14ac:dyDescent="0.35">
      <c r="AL4599" s="86"/>
    </row>
    <row r="4600" spans="38:38" x14ac:dyDescent="0.35">
      <c r="AL4600" s="86"/>
    </row>
    <row r="4601" spans="38:38" x14ac:dyDescent="0.35">
      <c r="AL4601" s="86"/>
    </row>
    <row r="4602" spans="38:38" x14ac:dyDescent="0.35">
      <c r="AL4602" s="86"/>
    </row>
    <row r="4603" spans="38:38" x14ac:dyDescent="0.35">
      <c r="AL4603" s="86"/>
    </row>
    <row r="4604" spans="38:38" x14ac:dyDescent="0.35">
      <c r="AL4604" s="86"/>
    </row>
    <row r="4605" spans="38:38" x14ac:dyDescent="0.35">
      <c r="AL4605" s="86"/>
    </row>
    <row r="4606" spans="38:38" x14ac:dyDescent="0.35">
      <c r="AL4606" s="86"/>
    </row>
    <row r="4607" spans="38:38" x14ac:dyDescent="0.35">
      <c r="AL4607" s="86"/>
    </row>
    <row r="4608" spans="38:38" x14ac:dyDescent="0.35">
      <c r="AL4608" s="86"/>
    </row>
    <row r="4609" spans="38:38" x14ac:dyDescent="0.35">
      <c r="AL4609" s="86"/>
    </row>
    <row r="4610" spans="38:38" x14ac:dyDescent="0.35">
      <c r="AL4610" s="86"/>
    </row>
    <row r="4611" spans="38:38" x14ac:dyDescent="0.35">
      <c r="AL4611" s="86"/>
    </row>
    <row r="4612" spans="38:38" x14ac:dyDescent="0.35">
      <c r="AL4612" s="86"/>
    </row>
    <row r="4613" spans="38:38" x14ac:dyDescent="0.35">
      <c r="AL4613" s="86"/>
    </row>
    <row r="4614" spans="38:38" x14ac:dyDescent="0.35">
      <c r="AL4614" s="86"/>
    </row>
    <row r="4615" spans="38:38" x14ac:dyDescent="0.35">
      <c r="AL4615" s="86"/>
    </row>
    <row r="4616" spans="38:38" x14ac:dyDescent="0.35">
      <c r="AL4616" s="86"/>
    </row>
    <row r="4617" spans="38:38" x14ac:dyDescent="0.35">
      <c r="AL4617" s="86"/>
    </row>
    <row r="4618" spans="38:38" x14ac:dyDescent="0.35">
      <c r="AL4618" s="86"/>
    </row>
    <row r="4619" spans="38:38" x14ac:dyDescent="0.35">
      <c r="AL4619" s="86"/>
    </row>
    <row r="4620" spans="38:38" x14ac:dyDescent="0.35">
      <c r="AL4620" s="86"/>
    </row>
    <row r="4621" spans="38:38" x14ac:dyDescent="0.35">
      <c r="AL4621" s="86"/>
    </row>
    <row r="4622" spans="38:38" x14ac:dyDescent="0.35">
      <c r="AL4622" s="86"/>
    </row>
    <row r="4623" spans="38:38" x14ac:dyDescent="0.35">
      <c r="AL4623" s="86"/>
    </row>
    <row r="4624" spans="38:38" x14ac:dyDescent="0.35">
      <c r="AL4624" s="86"/>
    </row>
    <row r="4625" spans="38:38" x14ac:dyDescent="0.35">
      <c r="AL4625" s="86"/>
    </row>
    <row r="4626" spans="38:38" x14ac:dyDescent="0.35">
      <c r="AL4626" s="86"/>
    </row>
    <row r="4627" spans="38:38" x14ac:dyDescent="0.35">
      <c r="AL4627" s="86"/>
    </row>
    <row r="4628" spans="38:38" x14ac:dyDescent="0.35">
      <c r="AL4628" s="86"/>
    </row>
    <row r="4629" spans="38:38" x14ac:dyDescent="0.35">
      <c r="AL4629" s="86"/>
    </row>
    <row r="4630" spans="38:38" x14ac:dyDescent="0.35">
      <c r="AL4630" s="86"/>
    </row>
    <row r="4631" spans="38:38" x14ac:dyDescent="0.35">
      <c r="AL4631" s="86"/>
    </row>
    <row r="4632" spans="38:38" x14ac:dyDescent="0.35">
      <c r="AL4632" s="86"/>
    </row>
    <row r="4633" spans="38:38" x14ac:dyDescent="0.35">
      <c r="AL4633" s="86"/>
    </row>
    <row r="4634" spans="38:38" x14ac:dyDescent="0.35">
      <c r="AL4634" s="86"/>
    </row>
    <row r="4635" spans="38:38" x14ac:dyDescent="0.35">
      <c r="AL4635" s="86"/>
    </row>
    <row r="4636" spans="38:38" x14ac:dyDescent="0.35">
      <c r="AL4636" s="86"/>
    </row>
    <row r="4637" spans="38:38" x14ac:dyDescent="0.35">
      <c r="AL4637" s="86"/>
    </row>
    <row r="4638" spans="38:38" x14ac:dyDescent="0.35">
      <c r="AL4638" s="86"/>
    </row>
    <row r="4639" spans="38:38" x14ac:dyDescent="0.35">
      <c r="AL4639" s="86"/>
    </row>
    <row r="4640" spans="38:38" x14ac:dyDescent="0.35">
      <c r="AL4640" s="86"/>
    </row>
    <row r="4641" spans="38:38" x14ac:dyDescent="0.35">
      <c r="AL4641" s="86"/>
    </row>
    <row r="4642" spans="38:38" x14ac:dyDescent="0.35">
      <c r="AL4642" s="86"/>
    </row>
    <row r="4643" spans="38:38" x14ac:dyDescent="0.35">
      <c r="AL4643" s="86"/>
    </row>
    <row r="4644" spans="38:38" x14ac:dyDescent="0.35">
      <c r="AL4644" s="86"/>
    </row>
    <row r="4645" spans="38:38" x14ac:dyDescent="0.35">
      <c r="AL4645" s="86"/>
    </row>
    <row r="4646" spans="38:38" x14ac:dyDescent="0.35">
      <c r="AL4646" s="86"/>
    </row>
    <row r="4647" spans="38:38" x14ac:dyDescent="0.35">
      <c r="AL4647" s="86"/>
    </row>
    <row r="4648" spans="38:38" x14ac:dyDescent="0.35">
      <c r="AL4648" s="86"/>
    </row>
    <row r="4649" spans="38:38" x14ac:dyDescent="0.35">
      <c r="AL4649" s="86"/>
    </row>
    <row r="4650" spans="38:38" x14ac:dyDescent="0.35">
      <c r="AL4650" s="86"/>
    </row>
    <row r="4651" spans="38:38" x14ac:dyDescent="0.35">
      <c r="AL4651" s="86"/>
    </row>
    <row r="4652" spans="38:38" x14ac:dyDescent="0.35">
      <c r="AL4652" s="86"/>
    </row>
    <row r="4653" spans="38:38" x14ac:dyDescent="0.35">
      <c r="AL4653" s="86"/>
    </row>
    <row r="4654" spans="38:38" x14ac:dyDescent="0.35">
      <c r="AL4654" s="86"/>
    </row>
    <row r="4655" spans="38:38" x14ac:dyDescent="0.35">
      <c r="AL4655" s="86"/>
    </row>
    <row r="4656" spans="38:38" x14ac:dyDescent="0.35">
      <c r="AL4656" s="86"/>
    </row>
    <row r="4657" spans="38:38" x14ac:dyDescent="0.35">
      <c r="AL4657" s="86"/>
    </row>
    <row r="4658" spans="38:38" x14ac:dyDescent="0.35">
      <c r="AL4658" s="86"/>
    </row>
    <row r="4659" spans="38:38" x14ac:dyDescent="0.35">
      <c r="AL4659" s="86"/>
    </row>
    <row r="4660" spans="38:38" x14ac:dyDescent="0.35">
      <c r="AL4660" s="86"/>
    </row>
    <row r="4661" spans="38:38" x14ac:dyDescent="0.35">
      <c r="AL4661" s="86"/>
    </row>
    <row r="4662" spans="38:38" x14ac:dyDescent="0.35">
      <c r="AL4662" s="86"/>
    </row>
    <row r="4663" spans="38:38" x14ac:dyDescent="0.35">
      <c r="AL4663" s="86"/>
    </row>
    <row r="4664" spans="38:38" x14ac:dyDescent="0.35">
      <c r="AL4664" s="86"/>
    </row>
    <row r="4665" spans="38:38" x14ac:dyDescent="0.35">
      <c r="AL4665" s="86"/>
    </row>
    <row r="4666" spans="38:38" x14ac:dyDescent="0.35">
      <c r="AL4666" s="86"/>
    </row>
    <row r="4667" spans="38:38" x14ac:dyDescent="0.35">
      <c r="AL4667" s="86"/>
    </row>
    <row r="4668" spans="38:38" x14ac:dyDescent="0.35">
      <c r="AL4668" s="86"/>
    </row>
    <row r="4669" spans="38:38" x14ac:dyDescent="0.35">
      <c r="AL4669" s="86"/>
    </row>
    <row r="4670" spans="38:38" x14ac:dyDescent="0.35">
      <c r="AL4670" s="86"/>
    </row>
    <row r="4671" spans="38:38" x14ac:dyDescent="0.35">
      <c r="AL4671" s="86"/>
    </row>
    <row r="4672" spans="38:38" x14ac:dyDescent="0.35">
      <c r="AL4672" s="86"/>
    </row>
    <row r="4673" spans="38:38" x14ac:dyDescent="0.35">
      <c r="AL4673" s="86"/>
    </row>
    <row r="4674" spans="38:38" x14ac:dyDescent="0.35">
      <c r="AL4674" s="86"/>
    </row>
    <row r="4675" spans="38:38" x14ac:dyDescent="0.35">
      <c r="AL4675" s="86"/>
    </row>
    <row r="4676" spans="38:38" x14ac:dyDescent="0.35">
      <c r="AL4676" s="86"/>
    </row>
    <row r="4677" spans="38:38" x14ac:dyDescent="0.35">
      <c r="AL4677" s="86"/>
    </row>
    <row r="4678" spans="38:38" x14ac:dyDescent="0.35">
      <c r="AL4678" s="86"/>
    </row>
    <row r="4679" spans="38:38" x14ac:dyDescent="0.35">
      <c r="AL4679" s="86"/>
    </row>
    <row r="4680" spans="38:38" x14ac:dyDescent="0.35">
      <c r="AL4680" s="86"/>
    </row>
    <row r="4681" spans="38:38" x14ac:dyDescent="0.35">
      <c r="AL4681" s="86"/>
    </row>
    <row r="4682" spans="38:38" x14ac:dyDescent="0.35">
      <c r="AL4682" s="86"/>
    </row>
    <row r="4683" spans="38:38" x14ac:dyDescent="0.35">
      <c r="AL4683" s="86"/>
    </row>
    <row r="4684" spans="38:38" x14ac:dyDescent="0.35">
      <c r="AL4684" s="86"/>
    </row>
    <row r="4685" spans="38:38" x14ac:dyDescent="0.35">
      <c r="AL4685" s="86"/>
    </row>
    <row r="4686" spans="38:38" x14ac:dyDescent="0.35">
      <c r="AL4686" s="86"/>
    </row>
    <row r="4687" spans="38:38" x14ac:dyDescent="0.35">
      <c r="AL4687" s="86"/>
    </row>
    <row r="4688" spans="38:38" x14ac:dyDescent="0.35">
      <c r="AL4688" s="86"/>
    </row>
    <row r="4689" spans="38:38" x14ac:dyDescent="0.35">
      <c r="AL4689" s="86"/>
    </row>
    <row r="4690" spans="38:38" x14ac:dyDescent="0.35">
      <c r="AL4690" s="86"/>
    </row>
    <row r="4691" spans="38:38" x14ac:dyDescent="0.35">
      <c r="AL4691" s="86"/>
    </row>
    <row r="4692" spans="38:38" x14ac:dyDescent="0.35">
      <c r="AL4692" s="86"/>
    </row>
    <row r="4693" spans="38:38" x14ac:dyDescent="0.35">
      <c r="AL4693" s="86"/>
    </row>
    <row r="4694" spans="38:38" x14ac:dyDescent="0.35">
      <c r="AL4694" s="86"/>
    </row>
    <row r="4695" spans="38:38" x14ac:dyDescent="0.35">
      <c r="AL4695" s="86"/>
    </row>
    <row r="4696" spans="38:38" x14ac:dyDescent="0.35">
      <c r="AL4696" s="86"/>
    </row>
    <row r="4697" spans="38:38" x14ac:dyDescent="0.35">
      <c r="AL4697" s="86"/>
    </row>
    <row r="4698" spans="38:38" x14ac:dyDescent="0.35">
      <c r="AL4698" s="86"/>
    </row>
    <row r="4699" spans="38:38" x14ac:dyDescent="0.35">
      <c r="AL4699" s="86"/>
    </row>
    <row r="4700" spans="38:38" x14ac:dyDescent="0.35">
      <c r="AL4700" s="86"/>
    </row>
    <row r="4701" spans="38:38" x14ac:dyDescent="0.35">
      <c r="AL4701" s="86"/>
    </row>
    <row r="4702" spans="38:38" x14ac:dyDescent="0.35">
      <c r="AL4702" s="86"/>
    </row>
    <row r="4703" spans="38:38" x14ac:dyDescent="0.35">
      <c r="AL4703" s="86"/>
    </row>
    <row r="4704" spans="38:38" x14ac:dyDescent="0.35">
      <c r="AL4704" s="86"/>
    </row>
    <row r="4705" spans="38:38" x14ac:dyDescent="0.35">
      <c r="AL4705" s="86"/>
    </row>
    <row r="4706" spans="38:38" x14ac:dyDescent="0.35">
      <c r="AL4706" s="86"/>
    </row>
    <row r="4707" spans="38:38" x14ac:dyDescent="0.35">
      <c r="AL4707" s="86"/>
    </row>
    <row r="4708" spans="38:38" x14ac:dyDescent="0.35">
      <c r="AL4708" s="86"/>
    </row>
    <row r="4709" spans="38:38" x14ac:dyDescent="0.35">
      <c r="AL4709" s="86"/>
    </row>
    <row r="4710" spans="38:38" x14ac:dyDescent="0.35">
      <c r="AL4710" s="86"/>
    </row>
    <row r="4711" spans="38:38" x14ac:dyDescent="0.35">
      <c r="AL4711" s="86"/>
    </row>
    <row r="4712" spans="38:38" x14ac:dyDescent="0.35">
      <c r="AL4712" s="86"/>
    </row>
    <row r="4713" spans="38:38" x14ac:dyDescent="0.35">
      <c r="AL4713" s="86"/>
    </row>
    <row r="4714" spans="38:38" x14ac:dyDescent="0.35">
      <c r="AL4714" s="86"/>
    </row>
    <row r="4715" spans="38:38" x14ac:dyDescent="0.35">
      <c r="AL4715" s="86"/>
    </row>
    <row r="4716" spans="38:38" x14ac:dyDescent="0.35">
      <c r="AL4716" s="86"/>
    </row>
    <row r="4717" spans="38:38" x14ac:dyDescent="0.35">
      <c r="AL4717" s="86"/>
    </row>
    <row r="4718" spans="38:38" x14ac:dyDescent="0.35">
      <c r="AL4718" s="86"/>
    </row>
    <row r="4719" spans="38:38" x14ac:dyDescent="0.35">
      <c r="AL4719" s="86"/>
    </row>
    <row r="4720" spans="38:38" x14ac:dyDescent="0.35">
      <c r="AL4720" s="86"/>
    </row>
    <row r="4721" spans="38:38" x14ac:dyDescent="0.35">
      <c r="AL4721" s="86"/>
    </row>
    <row r="4722" spans="38:38" x14ac:dyDescent="0.35">
      <c r="AL4722" s="86"/>
    </row>
    <row r="4723" spans="38:38" x14ac:dyDescent="0.35">
      <c r="AL4723" s="86"/>
    </row>
    <row r="4724" spans="38:38" x14ac:dyDescent="0.35">
      <c r="AL4724" s="86"/>
    </row>
    <row r="4725" spans="38:38" x14ac:dyDescent="0.35">
      <c r="AL4725" s="86"/>
    </row>
    <row r="4726" spans="38:38" x14ac:dyDescent="0.35">
      <c r="AL4726" s="86"/>
    </row>
    <row r="4727" spans="38:38" x14ac:dyDescent="0.35">
      <c r="AL4727" s="86"/>
    </row>
    <row r="4728" spans="38:38" x14ac:dyDescent="0.35">
      <c r="AL4728" s="86"/>
    </row>
    <row r="4729" spans="38:38" x14ac:dyDescent="0.35">
      <c r="AL4729" s="86"/>
    </row>
    <row r="4730" spans="38:38" x14ac:dyDescent="0.35">
      <c r="AL4730" s="86"/>
    </row>
    <row r="4731" spans="38:38" x14ac:dyDescent="0.35">
      <c r="AL4731" s="86"/>
    </row>
    <row r="4732" spans="38:38" x14ac:dyDescent="0.35">
      <c r="AL4732" s="86"/>
    </row>
    <row r="4733" spans="38:38" x14ac:dyDescent="0.35">
      <c r="AL4733" s="86"/>
    </row>
    <row r="4734" spans="38:38" x14ac:dyDescent="0.35">
      <c r="AL4734" s="86"/>
    </row>
    <row r="4735" spans="38:38" x14ac:dyDescent="0.35">
      <c r="AL4735" s="86"/>
    </row>
    <row r="4736" spans="38:38" x14ac:dyDescent="0.35">
      <c r="AL4736" s="86"/>
    </row>
    <row r="4737" spans="38:38" x14ac:dyDescent="0.35">
      <c r="AL4737" s="86"/>
    </row>
    <row r="4738" spans="38:38" x14ac:dyDescent="0.35">
      <c r="AL4738" s="86"/>
    </row>
    <row r="4739" spans="38:38" x14ac:dyDescent="0.35">
      <c r="AL4739" s="86"/>
    </row>
    <row r="4740" spans="38:38" x14ac:dyDescent="0.35">
      <c r="AL4740" s="86"/>
    </row>
    <row r="4741" spans="38:38" x14ac:dyDescent="0.35">
      <c r="AL4741" s="86"/>
    </row>
    <row r="4742" spans="38:38" x14ac:dyDescent="0.35">
      <c r="AL4742" s="86"/>
    </row>
    <row r="4743" spans="38:38" x14ac:dyDescent="0.35">
      <c r="AL4743" s="86"/>
    </row>
    <row r="4744" spans="38:38" x14ac:dyDescent="0.35">
      <c r="AL4744" s="86"/>
    </row>
    <row r="4745" spans="38:38" x14ac:dyDescent="0.35">
      <c r="AL4745" s="86"/>
    </row>
    <row r="4746" spans="38:38" x14ac:dyDescent="0.35">
      <c r="AL4746" s="86"/>
    </row>
    <row r="4747" spans="38:38" x14ac:dyDescent="0.35">
      <c r="AL4747" s="86"/>
    </row>
    <row r="4748" spans="38:38" x14ac:dyDescent="0.35">
      <c r="AL4748" s="86"/>
    </row>
    <row r="4749" spans="38:38" x14ac:dyDescent="0.35">
      <c r="AL4749" s="86"/>
    </row>
    <row r="4750" spans="38:38" x14ac:dyDescent="0.35">
      <c r="AL4750" s="86"/>
    </row>
    <row r="4751" spans="38:38" x14ac:dyDescent="0.35">
      <c r="AL4751" s="86"/>
    </row>
    <row r="4752" spans="38:38" x14ac:dyDescent="0.35">
      <c r="AL4752" s="86"/>
    </row>
    <row r="4753" spans="38:38" x14ac:dyDescent="0.35">
      <c r="AL4753" s="86"/>
    </row>
    <row r="4754" spans="38:38" x14ac:dyDescent="0.35">
      <c r="AL4754" s="86"/>
    </row>
    <row r="4755" spans="38:38" x14ac:dyDescent="0.35">
      <c r="AL4755" s="86"/>
    </row>
    <row r="4756" spans="38:38" x14ac:dyDescent="0.35">
      <c r="AL4756" s="86"/>
    </row>
    <row r="4757" spans="38:38" x14ac:dyDescent="0.35">
      <c r="AL4757" s="86"/>
    </row>
    <row r="4758" spans="38:38" x14ac:dyDescent="0.35">
      <c r="AL4758" s="86"/>
    </row>
    <row r="4759" spans="38:38" x14ac:dyDescent="0.35">
      <c r="AL4759" s="86"/>
    </row>
    <row r="4760" spans="38:38" x14ac:dyDescent="0.35">
      <c r="AL4760" s="86"/>
    </row>
    <row r="4761" spans="38:38" x14ac:dyDescent="0.35">
      <c r="AL4761" s="86"/>
    </row>
    <row r="4762" spans="38:38" x14ac:dyDescent="0.35">
      <c r="AL4762" s="86"/>
    </row>
    <row r="4763" spans="38:38" x14ac:dyDescent="0.35">
      <c r="AL4763" s="86"/>
    </row>
    <row r="4764" spans="38:38" x14ac:dyDescent="0.35">
      <c r="AL4764" s="86"/>
    </row>
    <row r="4765" spans="38:38" x14ac:dyDescent="0.35">
      <c r="AL4765" s="86"/>
    </row>
    <row r="4766" spans="38:38" x14ac:dyDescent="0.35">
      <c r="AL4766" s="86"/>
    </row>
    <row r="4767" spans="38:38" x14ac:dyDescent="0.35">
      <c r="AL4767" s="86"/>
    </row>
    <row r="4768" spans="38:38" x14ac:dyDescent="0.35">
      <c r="AL4768" s="86"/>
    </row>
    <row r="4769" spans="38:38" x14ac:dyDescent="0.35">
      <c r="AL4769" s="86"/>
    </row>
    <row r="4770" spans="38:38" x14ac:dyDescent="0.35">
      <c r="AL4770" s="86"/>
    </row>
    <row r="4771" spans="38:38" x14ac:dyDescent="0.35">
      <c r="AL4771" s="86"/>
    </row>
    <row r="4772" spans="38:38" x14ac:dyDescent="0.35">
      <c r="AL4772" s="86"/>
    </row>
    <row r="4773" spans="38:38" x14ac:dyDescent="0.35">
      <c r="AL4773" s="86"/>
    </row>
    <row r="4774" spans="38:38" x14ac:dyDescent="0.35">
      <c r="AL4774" s="86"/>
    </row>
    <row r="4775" spans="38:38" x14ac:dyDescent="0.35">
      <c r="AL4775" s="86"/>
    </row>
    <row r="4776" spans="38:38" x14ac:dyDescent="0.35">
      <c r="AL4776" s="86"/>
    </row>
    <row r="4777" spans="38:38" x14ac:dyDescent="0.35">
      <c r="AL4777" s="86"/>
    </row>
    <row r="4778" spans="38:38" x14ac:dyDescent="0.35">
      <c r="AL4778" s="86"/>
    </row>
    <row r="4779" spans="38:38" x14ac:dyDescent="0.35">
      <c r="AL4779" s="86"/>
    </row>
    <row r="4780" spans="38:38" x14ac:dyDescent="0.35">
      <c r="AL4780" s="86"/>
    </row>
    <row r="4781" spans="38:38" x14ac:dyDescent="0.35">
      <c r="AL4781" s="86"/>
    </row>
    <row r="4782" spans="38:38" x14ac:dyDescent="0.35">
      <c r="AL4782" s="86"/>
    </row>
    <row r="4783" spans="38:38" x14ac:dyDescent="0.35">
      <c r="AL4783" s="86"/>
    </row>
    <row r="4784" spans="38:38" x14ac:dyDescent="0.35">
      <c r="AL4784" s="86"/>
    </row>
    <row r="4785" spans="38:38" x14ac:dyDescent="0.35">
      <c r="AL4785" s="86"/>
    </row>
    <row r="4786" spans="38:38" x14ac:dyDescent="0.35">
      <c r="AL4786" s="86"/>
    </row>
    <row r="4787" spans="38:38" x14ac:dyDescent="0.35">
      <c r="AL4787" s="86"/>
    </row>
    <row r="4788" spans="38:38" x14ac:dyDescent="0.35">
      <c r="AL4788" s="86"/>
    </row>
    <row r="4789" spans="38:38" x14ac:dyDescent="0.35">
      <c r="AL4789" s="86"/>
    </row>
    <row r="4790" spans="38:38" x14ac:dyDescent="0.35">
      <c r="AL4790" s="86"/>
    </row>
    <row r="4791" spans="38:38" x14ac:dyDescent="0.35">
      <c r="AL4791" s="86"/>
    </row>
    <row r="4792" spans="38:38" x14ac:dyDescent="0.35">
      <c r="AL4792" s="86"/>
    </row>
    <row r="4793" spans="38:38" x14ac:dyDescent="0.35">
      <c r="AL4793" s="86"/>
    </row>
    <row r="4794" spans="38:38" x14ac:dyDescent="0.35">
      <c r="AL4794" s="86"/>
    </row>
    <row r="4795" spans="38:38" x14ac:dyDescent="0.35">
      <c r="AL4795" s="86"/>
    </row>
    <row r="4796" spans="38:38" x14ac:dyDescent="0.35">
      <c r="AL4796" s="86"/>
    </row>
    <row r="4797" spans="38:38" x14ac:dyDescent="0.35">
      <c r="AL4797" s="86"/>
    </row>
    <row r="4798" spans="38:38" x14ac:dyDescent="0.35">
      <c r="AL4798" s="86"/>
    </row>
    <row r="4799" spans="38:38" x14ac:dyDescent="0.35">
      <c r="AL4799" s="86"/>
    </row>
    <row r="4800" spans="38:38" x14ac:dyDescent="0.35">
      <c r="AL4800" s="86"/>
    </row>
    <row r="4801" spans="38:38" x14ac:dyDescent="0.35">
      <c r="AL4801" s="86"/>
    </row>
    <row r="4802" spans="38:38" x14ac:dyDescent="0.35">
      <c r="AL4802" s="86"/>
    </row>
    <row r="4803" spans="38:38" x14ac:dyDescent="0.35">
      <c r="AL4803" s="86"/>
    </row>
    <row r="4804" spans="38:38" x14ac:dyDescent="0.35">
      <c r="AL4804" s="86"/>
    </row>
    <row r="4805" spans="38:38" x14ac:dyDescent="0.35">
      <c r="AL4805" s="86"/>
    </row>
    <row r="4806" spans="38:38" x14ac:dyDescent="0.35">
      <c r="AL4806" s="86"/>
    </row>
    <row r="4807" spans="38:38" x14ac:dyDescent="0.35">
      <c r="AL4807" s="86"/>
    </row>
    <row r="4808" spans="38:38" x14ac:dyDescent="0.35">
      <c r="AL4808" s="86"/>
    </row>
    <row r="4809" spans="38:38" x14ac:dyDescent="0.35">
      <c r="AL4809" s="86"/>
    </row>
    <row r="4810" spans="38:38" x14ac:dyDescent="0.35">
      <c r="AL4810" s="86"/>
    </row>
    <row r="4811" spans="38:38" x14ac:dyDescent="0.35">
      <c r="AL4811" s="86"/>
    </row>
    <row r="4812" spans="38:38" x14ac:dyDescent="0.35">
      <c r="AL4812" s="86"/>
    </row>
    <row r="4813" spans="38:38" x14ac:dyDescent="0.35">
      <c r="AL4813" s="86"/>
    </row>
    <row r="4814" spans="38:38" x14ac:dyDescent="0.35">
      <c r="AL4814" s="86"/>
    </row>
    <row r="4815" spans="38:38" x14ac:dyDescent="0.35">
      <c r="AL4815" s="86"/>
    </row>
    <row r="4816" spans="38:38" x14ac:dyDescent="0.35">
      <c r="AL4816" s="86"/>
    </row>
    <row r="4817" spans="38:38" x14ac:dyDescent="0.35">
      <c r="AL4817" s="86"/>
    </row>
    <row r="4818" spans="38:38" x14ac:dyDescent="0.35">
      <c r="AL4818" s="86"/>
    </row>
    <row r="4819" spans="38:38" x14ac:dyDescent="0.35">
      <c r="AL4819" s="86"/>
    </row>
    <row r="4820" spans="38:38" x14ac:dyDescent="0.35">
      <c r="AL4820" s="86"/>
    </row>
    <row r="4821" spans="38:38" x14ac:dyDescent="0.35">
      <c r="AL4821" s="86"/>
    </row>
    <row r="4822" spans="38:38" x14ac:dyDescent="0.35">
      <c r="AL4822" s="86"/>
    </row>
    <row r="4823" spans="38:38" x14ac:dyDescent="0.35">
      <c r="AL4823" s="86"/>
    </row>
    <row r="4824" spans="38:38" x14ac:dyDescent="0.35">
      <c r="AL4824" s="86"/>
    </row>
    <row r="4825" spans="38:38" x14ac:dyDescent="0.35">
      <c r="AL4825" s="86"/>
    </row>
    <row r="4826" spans="38:38" x14ac:dyDescent="0.35">
      <c r="AL4826" s="86"/>
    </row>
    <row r="4827" spans="38:38" x14ac:dyDescent="0.35">
      <c r="AL4827" s="86"/>
    </row>
    <row r="4828" spans="38:38" x14ac:dyDescent="0.35">
      <c r="AL4828" s="86"/>
    </row>
    <row r="4829" spans="38:38" x14ac:dyDescent="0.35">
      <c r="AL4829" s="86"/>
    </row>
    <row r="4830" spans="38:38" x14ac:dyDescent="0.35">
      <c r="AL4830" s="86"/>
    </row>
    <row r="4831" spans="38:38" x14ac:dyDescent="0.35">
      <c r="AL4831" s="86"/>
    </row>
    <row r="4832" spans="38:38" x14ac:dyDescent="0.35">
      <c r="AL4832" s="86"/>
    </row>
    <row r="4833" spans="38:38" x14ac:dyDescent="0.35">
      <c r="AL4833" s="86"/>
    </row>
    <row r="4834" spans="38:38" x14ac:dyDescent="0.35">
      <c r="AL4834" s="86"/>
    </row>
    <row r="4835" spans="38:38" x14ac:dyDescent="0.35">
      <c r="AL4835" s="86"/>
    </row>
    <row r="4836" spans="38:38" x14ac:dyDescent="0.35">
      <c r="AL4836" s="86"/>
    </row>
    <row r="4837" spans="38:38" x14ac:dyDescent="0.35">
      <c r="AL4837" s="86"/>
    </row>
    <row r="4838" spans="38:38" x14ac:dyDescent="0.35">
      <c r="AL4838" s="86"/>
    </row>
    <row r="4839" spans="38:38" x14ac:dyDescent="0.35">
      <c r="AL4839" s="86"/>
    </row>
    <row r="4840" spans="38:38" x14ac:dyDescent="0.35">
      <c r="AL4840" s="86"/>
    </row>
    <row r="4841" spans="38:38" x14ac:dyDescent="0.35">
      <c r="AL4841" s="86"/>
    </row>
    <row r="4842" spans="38:38" x14ac:dyDescent="0.35">
      <c r="AL4842" s="86"/>
    </row>
    <row r="4843" spans="38:38" x14ac:dyDescent="0.35">
      <c r="AL4843" s="86"/>
    </row>
    <row r="4844" spans="38:38" x14ac:dyDescent="0.35">
      <c r="AL4844" s="86"/>
    </row>
    <row r="4845" spans="38:38" x14ac:dyDescent="0.35">
      <c r="AL4845" s="86"/>
    </row>
    <row r="4846" spans="38:38" x14ac:dyDescent="0.35">
      <c r="AL4846" s="86"/>
    </row>
    <row r="4847" spans="38:38" x14ac:dyDescent="0.35">
      <c r="AL4847" s="86"/>
    </row>
    <row r="4848" spans="38:38" x14ac:dyDescent="0.35">
      <c r="AL4848" s="86"/>
    </row>
    <row r="4849" spans="38:38" x14ac:dyDescent="0.35">
      <c r="AL4849" s="86"/>
    </row>
    <row r="4850" spans="38:38" x14ac:dyDescent="0.35">
      <c r="AL4850" s="86"/>
    </row>
    <row r="4851" spans="38:38" x14ac:dyDescent="0.35">
      <c r="AL4851" s="86"/>
    </row>
    <row r="4852" spans="38:38" x14ac:dyDescent="0.35">
      <c r="AL4852" s="86"/>
    </row>
    <row r="4853" spans="38:38" x14ac:dyDescent="0.35">
      <c r="AL4853" s="86"/>
    </row>
    <row r="4854" spans="38:38" x14ac:dyDescent="0.35">
      <c r="AL4854" s="86"/>
    </row>
    <row r="4855" spans="38:38" x14ac:dyDescent="0.35">
      <c r="AL4855" s="86"/>
    </row>
    <row r="4856" spans="38:38" x14ac:dyDescent="0.35">
      <c r="AL4856" s="86"/>
    </row>
    <row r="4857" spans="38:38" x14ac:dyDescent="0.35">
      <c r="AL4857" s="86"/>
    </row>
    <row r="4858" spans="38:38" x14ac:dyDescent="0.35">
      <c r="AL4858" s="86"/>
    </row>
    <row r="4859" spans="38:38" x14ac:dyDescent="0.35">
      <c r="AL4859" s="86"/>
    </row>
    <row r="4860" spans="38:38" x14ac:dyDescent="0.35">
      <c r="AL4860" s="86"/>
    </row>
    <row r="4861" spans="38:38" x14ac:dyDescent="0.35">
      <c r="AL4861" s="86"/>
    </row>
    <row r="4862" spans="38:38" x14ac:dyDescent="0.35">
      <c r="AL4862" s="86"/>
    </row>
    <row r="4863" spans="38:38" x14ac:dyDescent="0.35">
      <c r="AL4863" s="86"/>
    </row>
    <row r="4864" spans="38:38" x14ac:dyDescent="0.35">
      <c r="AL4864" s="86"/>
    </row>
    <row r="4865" spans="38:38" x14ac:dyDescent="0.35">
      <c r="AL4865" s="86"/>
    </row>
    <row r="4866" spans="38:38" x14ac:dyDescent="0.35">
      <c r="AL4866" s="86"/>
    </row>
    <row r="4867" spans="38:38" x14ac:dyDescent="0.35">
      <c r="AL4867" s="86"/>
    </row>
    <row r="4868" spans="38:38" x14ac:dyDescent="0.35">
      <c r="AL4868" s="86"/>
    </row>
    <row r="4869" spans="38:38" x14ac:dyDescent="0.35">
      <c r="AL4869" s="86"/>
    </row>
    <row r="4870" spans="38:38" x14ac:dyDescent="0.35">
      <c r="AL4870" s="86"/>
    </row>
    <row r="4871" spans="38:38" x14ac:dyDescent="0.35">
      <c r="AL4871" s="86"/>
    </row>
    <row r="4872" spans="38:38" x14ac:dyDescent="0.35">
      <c r="AL4872" s="86"/>
    </row>
    <row r="4873" spans="38:38" x14ac:dyDescent="0.35">
      <c r="AL4873" s="86"/>
    </row>
    <row r="4874" spans="38:38" x14ac:dyDescent="0.35">
      <c r="AL4874" s="86"/>
    </row>
    <row r="4875" spans="38:38" x14ac:dyDescent="0.35">
      <c r="AL4875" s="86"/>
    </row>
    <row r="4876" spans="38:38" x14ac:dyDescent="0.35">
      <c r="AL4876" s="86"/>
    </row>
    <row r="4877" spans="38:38" x14ac:dyDescent="0.35">
      <c r="AL4877" s="86"/>
    </row>
    <row r="4878" spans="38:38" x14ac:dyDescent="0.35">
      <c r="AL4878" s="86"/>
    </row>
    <row r="4879" spans="38:38" x14ac:dyDescent="0.35">
      <c r="AL4879" s="86"/>
    </row>
    <row r="4880" spans="38:38" x14ac:dyDescent="0.35">
      <c r="AL4880" s="86"/>
    </row>
    <row r="4881" spans="38:38" x14ac:dyDescent="0.35">
      <c r="AL4881" s="86"/>
    </row>
    <row r="4882" spans="38:38" x14ac:dyDescent="0.35">
      <c r="AL4882" s="86"/>
    </row>
    <row r="4883" spans="38:38" x14ac:dyDescent="0.35">
      <c r="AL4883" s="86"/>
    </row>
    <row r="4884" spans="38:38" x14ac:dyDescent="0.35">
      <c r="AL4884" s="86"/>
    </row>
    <row r="4885" spans="38:38" x14ac:dyDescent="0.35">
      <c r="AL4885" s="86"/>
    </row>
    <row r="4886" spans="38:38" x14ac:dyDescent="0.35">
      <c r="AL4886" s="86"/>
    </row>
    <row r="4887" spans="38:38" x14ac:dyDescent="0.35">
      <c r="AL4887" s="86"/>
    </row>
    <row r="4888" spans="38:38" x14ac:dyDescent="0.35">
      <c r="AL4888" s="86"/>
    </row>
    <row r="4889" spans="38:38" x14ac:dyDescent="0.35">
      <c r="AL4889" s="86"/>
    </row>
    <row r="4890" spans="38:38" x14ac:dyDescent="0.35">
      <c r="AL4890" s="86"/>
    </row>
    <row r="4891" spans="38:38" x14ac:dyDescent="0.35">
      <c r="AL4891" s="86"/>
    </row>
    <row r="4892" spans="38:38" x14ac:dyDescent="0.35">
      <c r="AL4892" s="86"/>
    </row>
    <row r="4893" spans="38:38" x14ac:dyDescent="0.35">
      <c r="AL4893" s="86"/>
    </row>
    <row r="4894" spans="38:38" x14ac:dyDescent="0.35">
      <c r="AL4894" s="86"/>
    </row>
    <row r="4895" spans="38:38" x14ac:dyDescent="0.35">
      <c r="AL4895" s="86"/>
    </row>
    <row r="4896" spans="38:38" x14ac:dyDescent="0.35">
      <c r="AL4896" s="86"/>
    </row>
    <row r="4897" spans="38:38" x14ac:dyDescent="0.35">
      <c r="AL4897" s="86"/>
    </row>
    <row r="4898" spans="38:38" x14ac:dyDescent="0.35">
      <c r="AL4898" s="86"/>
    </row>
    <row r="4899" spans="38:38" x14ac:dyDescent="0.35">
      <c r="AL4899" s="86"/>
    </row>
    <row r="4900" spans="38:38" x14ac:dyDescent="0.35">
      <c r="AL4900" s="86"/>
    </row>
    <row r="4901" spans="38:38" x14ac:dyDescent="0.35">
      <c r="AL4901" s="86"/>
    </row>
    <row r="4902" spans="38:38" x14ac:dyDescent="0.35">
      <c r="AL4902" s="86"/>
    </row>
    <row r="4903" spans="38:38" x14ac:dyDescent="0.35">
      <c r="AL4903" s="86"/>
    </row>
    <row r="4904" spans="38:38" x14ac:dyDescent="0.35">
      <c r="AL4904" s="86"/>
    </row>
    <row r="4905" spans="38:38" x14ac:dyDescent="0.35">
      <c r="AL4905" s="86"/>
    </row>
    <row r="4906" spans="38:38" x14ac:dyDescent="0.35">
      <c r="AL4906" s="86"/>
    </row>
    <row r="4907" spans="38:38" x14ac:dyDescent="0.35">
      <c r="AL4907" s="86"/>
    </row>
    <row r="4908" spans="38:38" x14ac:dyDescent="0.35">
      <c r="AL4908" s="86"/>
    </row>
    <row r="4909" spans="38:38" x14ac:dyDescent="0.35">
      <c r="AL4909" s="86"/>
    </row>
    <row r="4910" spans="38:38" x14ac:dyDescent="0.35">
      <c r="AL4910" s="86"/>
    </row>
    <row r="4911" spans="38:38" x14ac:dyDescent="0.35">
      <c r="AL4911" s="86"/>
    </row>
    <row r="4912" spans="38:38" x14ac:dyDescent="0.35">
      <c r="AL4912" s="86"/>
    </row>
    <row r="4913" spans="38:38" x14ac:dyDescent="0.35">
      <c r="AL4913" s="86"/>
    </row>
    <row r="4914" spans="38:38" x14ac:dyDescent="0.35">
      <c r="AL4914" s="86"/>
    </row>
    <row r="4915" spans="38:38" x14ac:dyDescent="0.35">
      <c r="AL4915" s="86"/>
    </row>
    <row r="4916" spans="38:38" x14ac:dyDescent="0.35">
      <c r="AL4916" s="86"/>
    </row>
    <row r="4917" spans="38:38" x14ac:dyDescent="0.35">
      <c r="AL4917" s="86"/>
    </row>
    <row r="4918" spans="38:38" x14ac:dyDescent="0.35">
      <c r="AL4918" s="86"/>
    </row>
    <row r="4919" spans="38:38" x14ac:dyDescent="0.35">
      <c r="AL4919" s="86"/>
    </row>
    <row r="4920" spans="38:38" x14ac:dyDescent="0.35">
      <c r="AL4920" s="86"/>
    </row>
    <row r="4921" spans="38:38" x14ac:dyDescent="0.35">
      <c r="AL4921" s="86"/>
    </row>
    <row r="4922" spans="38:38" x14ac:dyDescent="0.35">
      <c r="AL4922" s="86"/>
    </row>
    <row r="4923" spans="38:38" x14ac:dyDescent="0.35">
      <c r="AL4923" s="86"/>
    </row>
    <row r="4924" spans="38:38" x14ac:dyDescent="0.35">
      <c r="AL4924" s="86"/>
    </row>
    <row r="4925" spans="38:38" x14ac:dyDescent="0.35">
      <c r="AL4925" s="86"/>
    </row>
    <row r="4926" spans="38:38" x14ac:dyDescent="0.35">
      <c r="AL4926" s="86"/>
    </row>
    <row r="4927" spans="38:38" x14ac:dyDescent="0.35">
      <c r="AL4927" s="86"/>
    </row>
    <row r="4928" spans="38:38" x14ac:dyDescent="0.35">
      <c r="AL4928" s="86"/>
    </row>
    <row r="4929" spans="38:38" x14ac:dyDescent="0.35">
      <c r="AL4929" s="86"/>
    </row>
    <row r="4930" spans="38:38" x14ac:dyDescent="0.35">
      <c r="AL4930" s="86"/>
    </row>
    <row r="4931" spans="38:38" x14ac:dyDescent="0.35">
      <c r="AL4931" s="86"/>
    </row>
    <row r="4932" spans="38:38" x14ac:dyDescent="0.35">
      <c r="AL4932" s="86"/>
    </row>
    <row r="4933" spans="38:38" x14ac:dyDescent="0.35">
      <c r="AL4933" s="86"/>
    </row>
    <row r="4934" spans="38:38" x14ac:dyDescent="0.35">
      <c r="AL4934" s="86"/>
    </row>
    <row r="4935" spans="38:38" x14ac:dyDescent="0.35">
      <c r="AL4935" s="86"/>
    </row>
    <row r="4936" spans="38:38" x14ac:dyDescent="0.35">
      <c r="AL4936" s="86"/>
    </row>
    <row r="4937" spans="38:38" x14ac:dyDescent="0.35">
      <c r="AL4937" s="86"/>
    </row>
    <row r="4938" spans="38:38" x14ac:dyDescent="0.35">
      <c r="AL4938" s="86"/>
    </row>
    <row r="4939" spans="38:38" x14ac:dyDescent="0.35">
      <c r="AL4939" s="86"/>
    </row>
    <row r="4940" spans="38:38" x14ac:dyDescent="0.35">
      <c r="AL4940" s="86"/>
    </row>
    <row r="4941" spans="38:38" x14ac:dyDescent="0.35">
      <c r="AL4941" s="86"/>
    </row>
    <row r="4942" spans="38:38" x14ac:dyDescent="0.35">
      <c r="AL4942" s="86"/>
    </row>
    <row r="4943" spans="38:38" x14ac:dyDescent="0.35">
      <c r="AL4943" s="86"/>
    </row>
    <row r="4944" spans="38:38" x14ac:dyDescent="0.35">
      <c r="AL4944" s="86"/>
    </row>
    <row r="4945" spans="38:38" x14ac:dyDescent="0.35">
      <c r="AL4945" s="86"/>
    </row>
    <row r="4946" spans="38:38" x14ac:dyDescent="0.35">
      <c r="AL4946" s="86"/>
    </row>
    <row r="4947" spans="38:38" x14ac:dyDescent="0.35">
      <c r="AL4947" s="86"/>
    </row>
    <row r="4948" spans="38:38" x14ac:dyDescent="0.35">
      <c r="AL4948" s="86"/>
    </row>
    <row r="4949" spans="38:38" x14ac:dyDescent="0.35">
      <c r="AL4949" s="86"/>
    </row>
    <row r="4950" spans="38:38" x14ac:dyDescent="0.35">
      <c r="AL4950" s="86"/>
    </row>
    <row r="4951" spans="38:38" x14ac:dyDescent="0.35">
      <c r="AL4951" s="86"/>
    </row>
    <row r="4952" spans="38:38" x14ac:dyDescent="0.35">
      <c r="AL4952" s="86"/>
    </row>
    <row r="4953" spans="38:38" x14ac:dyDescent="0.35">
      <c r="AL4953" s="86"/>
    </row>
    <row r="4954" spans="38:38" x14ac:dyDescent="0.35">
      <c r="AL4954" s="86"/>
    </row>
    <row r="4955" spans="38:38" x14ac:dyDescent="0.35">
      <c r="AL4955" s="86"/>
    </row>
    <row r="4956" spans="38:38" x14ac:dyDescent="0.35">
      <c r="AL4956" s="86"/>
    </row>
    <row r="4957" spans="38:38" x14ac:dyDescent="0.35">
      <c r="AL4957" s="86"/>
    </row>
    <row r="4958" spans="38:38" x14ac:dyDescent="0.35">
      <c r="AL4958" s="86"/>
    </row>
    <row r="4959" spans="38:38" x14ac:dyDescent="0.35">
      <c r="AL4959" s="86"/>
    </row>
    <row r="4960" spans="38:38" x14ac:dyDescent="0.35">
      <c r="AL4960" s="86"/>
    </row>
    <row r="4961" spans="38:38" x14ac:dyDescent="0.35">
      <c r="AL4961" s="86"/>
    </row>
    <row r="4962" spans="38:38" x14ac:dyDescent="0.35">
      <c r="AL4962" s="86"/>
    </row>
    <row r="4963" spans="38:38" x14ac:dyDescent="0.35">
      <c r="AL4963" s="86"/>
    </row>
    <row r="4964" spans="38:38" x14ac:dyDescent="0.35">
      <c r="AL4964" s="86"/>
    </row>
    <row r="4965" spans="38:38" x14ac:dyDescent="0.35">
      <c r="AL4965" s="86"/>
    </row>
    <row r="4966" spans="38:38" x14ac:dyDescent="0.35">
      <c r="AL4966" s="86"/>
    </row>
    <row r="4967" spans="38:38" x14ac:dyDescent="0.35">
      <c r="AL4967" s="86"/>
    </row>
    <row r="4968" spans="38:38" x14ac:dyDescent="0.35">
      <c r="AL4968" s="86"/>
    </row>
    <row r="4969" spans="38:38" x14ac:dyDescent="0.35">
      <c r="AL4969" s="86"/>
    </row>
    <row r="4970" spans="38:38" x14ac:dyDescent="0.35">
      <c r="AL4970" s="86"/>
    </row>
    <row r="4971" spans="38:38" x14ac:dyDescent="0.35">
      <c r="AL4971" s="86"/>
    </row>
    <row r="4972" spans="38:38" x14ac:dyDescent="0.35">
      <c r="AL4972" s="86"/>
    </row>
    <row r="4973" spans="38:38" x14ac:dyDescent="0.35">
      <c r="AL4973" s="86"/>
    </row>
    <row r="4974" spans="38:38" x14ac:dyDescent="0.35">
      <c r="AL4974" s="86"/>
    </row>
    <row r="4975" spans="38:38" x14ac:dyDescent="0.35">
      <c r="AL4975" s="86"/>
    </row>
    <row r="4976" spans="38:38" x14ac:dyDescent="0.35">
      <c r="AL4976" s="86"/>
    </row>
    <row r="4977" spans="38:38" x14ac:dyDescent="0.35">
      <c r="AL4977" s="86"/>
    </row>
    <row r="4978" spans="38:38" x14ac:dyDescent="0.35">
      <c r="AL4978" s="86"/>
    </row>
    <row r="4979" spans="38:38" x14ac:dyDescent="0.35">
      <c r="AL4979" s="86"/>
    </row>
    <row r="4980" spans="38:38" x14ac:dyDescent="0.35">
      <c r="AL4980" s="86"/>
    </row>
    <row r="4981" spans="38:38" x14ac:dyDescent="0.35">
      <c r="AL4981" s="86"/>
    </row>
    <row r="4982" spans="38:38" x14ac:dyDescent="0.35">
      <c r="AL4982" s="86"/>
    </row>
    <row r="4983" spans="38:38" x14ac:dyDescent="0.35">
      <c r="AL4983" s="86"/>
    </row>
    <row r="4984" spans="38:38" x14ac:dyDescent="0.35">
      <c r="AL4984" s="86"/>
    </row>
    <row r="4985" spans="38:38" x14ac:dyDescent="0.35">
      <c r="AL4985" s="86"/>
    </row>
    <row r="4986" spans="38:38" x14ac:dyDescent="0.35">
      <c r="AL4986" s="86"/>
    </row>
    <row r="4987" spans="38:38" x14ac:dyDescent="0.35">
      <c r="AL4987" s="86"/>
    </row>
    <row r="4988" spans="38:38" x14ac:dyDescent="0.35">
      <c r="AL4988" s="86"/>
    </row>
    <row r="4989" spans="38:38" x14ac:dyDescent="0.35">
      <c r="AL4989" s="86"/>
    </row>
    <row r="4990" spans="38:38" x14ac:dyDescent="0.35">
      <c r="AL4990" s="86"/>
    </row>
    <row r="4991" spans="38:38" x14ac:dyDescent="0.35">
      <c r="AL4991" s="86"/>
    </row>
    <row r="4992" spans="38:38" x14ac:dyDescent="0.35">
      <c r="AL4992" s="86"/>
    </row>
    <row r="4993" spans="38:38" x14ac:dyDescent="0.35">
      <c r="AL4993" s="86"/>
    </row>
    <row r="4994" spans="38:38" x14ac:dyDescent="0.35">
      <c r="AL4994" s="86"/>
    </row>
    <row r="4995" spans="38:38" x14ac:dyDescent="0.35">
      <c r="AL4995" s="86"/>
    </row>
    <row r="4996" spans="38:38" x14ac:dyDescent="0.35">
      <c r="AL4996" s="86"/>
    </row>
    <row r="4997" spans="38:38" x14ac:dyDescent="0.35">
      <c r="AL4997" s="86"/>
    </row>
    <row r="4998" spans="38:38" x14ac:dyDescent="0.35">
      <c r="AL4998" s="86"/>
    </row>
    <row r="4999" spans="38:38" x14ac:dyDescent="0.35">
      <c r="AL4999" s="86"/>
    </row>
    <row r="5000" spans="38:38" x14ac:dyDescent="0.35">
      <c r="AL5000" s="86"/>
    </row>
    <row r="5001" spans="38:38" x14ac:dyDescent="0.35">
      <c r="AL5001" s="86"/>
    </row>
    <row r="5002" spans="38:38" x14ac:dyDescent="0.35">
      <c r="AL5002" s="86"/>
    </row>
    <row r="5003" spans="38:38" x14ac:dyDescent="0.35">
      <c r="AL5003" s="86"/>
    </row>
    <row r="5004" spans="38:38" x14ac:dyDescent="0.35">
      <c r="AL5004" s="86"/>
    </row>
    <row r="5005" spans="38:38" x14ac:dyDescent="0.35">
      <c r="AL5005" s="86"/>
    </row>
    <row r="5006" spans="38:38" x14ac:dyDescent="0.35">
      <c r="AL5006" s="86"/>
    </row>
    <row r="5007" spans="38:38" x14ac:dyDescent="0.35">
      <c r="AL5007" s="86"/>
    </row>
    <row r="5008" spans="38:38" x14ac:dyDescent="0.35">
      <c r="AL5008" s="86"/>
    </row>
    <row r="5009" spans="38:38" x14ac:dyDescent="0.35">
      <c r="AL5009" s="86"/>
    </row>
    <row r="5010" spans="38:38" x14ac:dyDescent="0.35">
      <c r="AL5010" s="86"/>
    </row>
    <row r="5011" spans="38:38" x14ac:dyDescent="0.35">
      <c r="AL5011" s="86"/>
    </row>
    <row r="5012" spans="38:38" x14ac:dyDescent="0.35">
      <c r="AL5012" s="86"/>
    </row>
    <row r="5013" spans="38:38" x14ac:dyDescent="0.35">
      <c r="AL5013" s="86"/>
    </row>
    <row r="5014" spans="38:38" x14ac:dyDescent="0.35">
      <c r="AL5014" s="86"/>
    </row>
    <row r="5015" spans="38:38" x14ac:dyDescent="0.35">
      <c r="AL5015" s="86"/>
    </row>
    <row r="5016" spans="38:38" x14ac:dyDescent="0.35">
      <c r="AL5016" s="86"/>
    </row>
    <row r="5017" spans="38:38" x14ac:dyDescent="0.35">
      <c r="AL5017" s="86"/>
    </row>
    <row r="5018" spans="38:38" x14ac:dyDescent="0.35">
      <c r="AL5018" s="86"/>
    </row>
    <row r="5019" spans="38:38" x14ac:dyDescent="0.35">
      <c r="AL5019" s="86"/>
    </row>
    <row r="5020" spans="38:38" x14ac:dyDescent="0.35">
      <c r="AL5020" s="86"/>
    </row>
    <row r="5021" spans="38:38" x14ac:dyDescent="0.35">
      <c r="AL5021" s="86"/>
    </row>
    <row r="5022" spans="38:38" x14ac:dyDescent="0.35">
      <c r="AL5022" s="86"/>
    </row>
    <row r="5023" spans="38:38" x14ac:dyDescent="0.35">
      <c r="AL5023" s="86"/>
    </row>
    <row r="5024" spans="38:38" x14ac:dyDescent="0.35">
      <c r="AL5024" s="86"/>
    </row>
    <row r="5025" spans="38:38" x14ac:dyDescent="0.35">
      <c r="AL5025" s="86"/>
    </row>
    <row r="5026" spans="38:38" x14ac:dyDescent="0.35">
      <c r="AL5026" s="86"/>
    </row>
    <row r="5027" spans="38:38" x14ac:dyDescent="0.35">
      <c r="AL5027" s="86"/>
    </row>
    <row r="5028" spans="38:38" x14ac:dyDescent="0.35">
      <c r="AL5028" s="86"/>
    </row>
    <row r="5029" spans="38:38" x14ac:dyDescent="0.35">
      <c r="AL5029" s="86"/>
    </row>
    <row r="5030" spans="38:38" x14ac:dyDescent="0.35">
      <c r="AL5030" s="86"/>
    </row>
    <row r="5031" spans="38:38" x14ac:dyDescent="0.35">
      <c r="AL5031" s="86"/>
    </row>
    <row r="5032" spans="38:38" x14ac:dyDescent="0.35">
      <c r="AL5032" s="86"/>
    </row>
    <row r="5033" spans="38:38" x14ac:dyDescent="0.35">
      <c r="AL5033" s="86"/>
    </row>
    <row r="5034" spans="38:38" x14ac:dyDescent="0.35">
      <c r="AL5034" s="86"/>
    </row>
    <row r="5035" spans="38:38" x14ac:dyDescent="0.35">
      <c r="AL5035" s="86"/>
    </row>
    <row r="5036" spans="38:38" x14ac:dyDescent="0.35">
      <c r="AL5036" s="86"/>
    </row>
    <row r="5037" spans="38:38" x14ac:dyDescent="0.35">
      <c r="AL5037" s="86"/>
    </row>
    <row r="5038" spans="38:38" x14ac:dyDescent="0.35">
      <c r="AL5038" s="86"/>
    </row>
    <row r="5039" spans="38:38" x14ac:dyDescent="0.35">
      <c r="AL5039" s="86"/>
    </row>
    <row r="5040" spans="38:38" x14ac:dyDescent="0.35">
      <c r="AL5040" s="86"/>
    </row>
    <row r="5041" spans="38:38" x14ac:dyDescent="0.35">
      <c r="AL5041" s="86"/>
    </row>
    <row r="5042" spans="38:38" x14ac:dyDescent="0.35">
      <c r="AL5042" s="86"/>
    </row>
    <row r="5043" spans="38:38" x14ac:dyDescent="0.35">
      <c r="AL5043" s="86"/>
    </row>
    <row r="5044" spans="38:38" x14ac:dyDescent="0.35">
      <c r="AL5044" s="86"/>
    </row>
    <row r="5045" spans="38:38" x14ac:dyDescent="0.35">
      <c r="AL5045" s="86"/>
    </row>
    <row r="5046" spans="38:38" x14ac:dyDescent="0.35">
      <c r="AL5046" s="86"/>
    </row>
    <row r="5047" spans="38:38" x14ac:dyDescent="0.35">
      <c r="AL5047" s="86"/>
    </row>
    <row r="5048" spans="38:38" x14ac:dyDescent="0.35">
      <c r="AL5048" s="86"/>
    </row>
    <row r="5049" spans="38:38" x14ac:dyDescent="0.35">
      <c r="AL5049" s="86"/>
    </row>
    <row r="5050" spans="38:38" x14ac:dyDescent="0.35">
      <c r="AL5050" s="86"/>
    </row>
    <row r="5051" spans="38:38" x14ac:dyDescent="0.35">
      <c r="AL5051" s="86"/>
    </row>
    <row r="5052" spans="38:38" x14ac:dyDescent="0.35">
      <c r="AL5052" s="86"/>
    </row>
    <row r="5053" spans="38:38" x14ac:dyDescent="0.35">
      <c r="AL5053" s="86"/>
    </row>
    <row r="5054" spans="38:38" x14ac:dyDescent="0.35">
      <c r="AL5054" s="86"/>
    </row>
    <row r="5055" spans="38:38" x14ac:dyDescent="0.35">
      <c r="AL5055" s="86"/>
    </row>
    <row r="5056" spans="38:38" x14ac:dyDescent="0.35">
      <c r="AL5056" s="86"/>
    </row>
    <row r="5057" spans="38:38" x14ac:dyDescent="0.35">
      <c r="AL5057" s="86"/>
    </row>
    <row r="5058" spans="38:38" x14ac:dyDescent="0.35">
      <c r="AL5058" s="86"/>
    </row>
    <row r="5059" spans="38:38" x14ac:dyDescent="0.35">
      <c r="AL5059" s="86"/>
    </row>
    <row r="5060" spans="38:38" x14ac:dyDescent="0.35">
      <c r="AL5060" s="86"/>
    </row>
    <row r="5061" spans="38:38" x14ac:dyDescent="0.35">
      <c r="AL5061" s="86"/>
    </row>
    <row r="5062" spans="38:38" x14ac:dyDescent="0.35">
      <c r="AL5062" s="86"/>
    </row>
    <row r="5063" spans="38:38" x14ac:dyDescent="0.35">
      <c r="AL5063" s="86"/>
    </row>
    <row r="5064" spans="38:38" x14ac:dyDescent="0.35">
      <c r="AL5064" s="86"/>
    </row>
    <row r="5065" spans="38:38" x14ac:dyDescent="0.35">
      <c r="AL5065" s="86"/>
    </row>
    <row r="5066" spans="38:38" x14ac:dyDescent="0.35">
      <c r="AL5066" s="86"/>
    </row>
    <row r="5067" spans="38:38" x14ac:dyDescent="0.35">
      <c r="AL5067" s="86"/>
    </row>
    <row r="5068" spans="38:38" x14ac:dyDescent="0.35">
      <c r="AL5068" s="86"/>
    </row>
    <row r="5069" spans="38:38" x14ac:dyDescent="0.35">
      <c r="AL5069" s="86"/>
    </row>
    <row r="5070" spans="38:38" x14ac:dyDescent="0.35">
      <c r="AL5070" s="86"/>
    </row>
    <row r="5071" spans="38:38" x14ac:dyDescent="0.35">
      <c r="AL5071" s="86"/>
    </row>
    <row r="5072" spans="38:38" x14ac:dyDescent="0.35">
      <c r="AL5072" s="86"/>
    </row>
    <row r="5073" spans="38:38" x14ac:dyDescent="0.35">
      <c r="AL5073" s="86"/>
    </row>
    <row r="5074" spans="38:38" x14ac:dyDescent="0.35">
      <c r="AL5074" s="86"/>
    </row>
    <row r="5075" spans="38:38" x14ac:dyDescent="0.35">
      <c r="AL5075" s="86"/>
    </row>
    <row r="5076" spans="38:38" x14ac:dyDescent="0.35">
      <c r="AL5076" s="86"/>
    </row>
    <row r="5077" spans="38:38" x14ac:dyDescent="0.35">
      <c r="AL5077" s="86"/>
    </row>
    <row r="5078" spans="38:38" x14ac:dyDescent="0.35">
      <c r="AL5078" s="86"/>
    </row>
    <row r="5079" spans="38:38" x14ac:dyDescent="0.35">
      <c r="AL5079" s="86"/>
    </row>
    <row r="5080" spans="38:38" x14ac:dyDescent="0.35">
      <c r="AL5080" s="86"/>
    </row>
    <row r="5081" spans="38:38" x14ac:dyDescent="0.35">
      <c r="AL5081" s="86"/>
    </row>
    <row r="5082" spans="38:38" x14ac:dyDescent="0.35">
      <c r="AL5082" s="86"/>
    </row>
    <row r="5083" spans="38:38" x14ac:dyDescent="0.35">
      <c r="AL5083" s="86"/>
    </row>
    <row r="5084" spans="38:38" x14ac:dyDescent="0.35">
      <c r="AL5084" s="86"/>
    </row>
    <row r="5085" spans="38:38" x14ac:dyDescent="0.35">
      <c r="AL5085" s="86"/>
    </row>
    <row r="5086" spans="38:38" x14ac:dyDescent="0.35">
      <c r="AL5086" s="86"/>
    </row>
    <row r="5087" spans="38:38" x14ac:dyDescent="0.35">
      <c r="AL5087" s="86"/>
    </row>
    <row r="5088" spans="38:38" x14ac:dyDescent="0.35">
      <c r="AL5088" s="86"/>
    </row>
    <row r="5089" spans="38:38" x14ac:dyDescent="0.35">
      <c r="AL5089" s="86"/>
    </row>
    <row r="5090" spans="38:38" x14ac:dyDescent="0.35">
      <c r="AL5090" s="86"/>
    </row>
    <row r="5091" spans="38:38" x14ac:dyDescent="0.35">
      <c r="AL5091" s="86"/>
    </row>
    <row r="5092" spans="38:38" x14ac:dyDescent="0.35">
      <c r="AL5092" s="86"/>
    </row>
    <row r="5093" spans="38:38" x14ac:dyDescent="0.35">
      <c r="AL5093" s="86"/>
    </row>
    <row r="5094" spans="38:38" x14ac:dyDescent="0.35">
      <c r="AL5094" s="86"/>
    </row>
    <row r="5095" spans="38:38" x14ac:dyDescent="0.35">
      <c r="AL5095" s="86"/>
    </row>
    <row r="5096" spans="38:38" x14ac:dyDescent="0.35">
      <c r="AL5096" s="86"/>
    </row>
    <row r="5097" spans="38:38" x14ac:dyDescent="0.35">
      <c r="AL5097" s="86"/>
    </row>
    <row r="5098" spans="38:38" x14ac:dyDescent="0.35">
      <c r="AL5098" s="86"/>
    </row>
    <row r="5099" spans="38:38" x14ac:dyDescent="0.35">
      <c r="AL5099" s="86"/>
    </row>
    <row r="5100" spans="38:38" x14ac:dyDescent="0.35">
      <c r="AL5100" s="86"/>
    </row>
    <row r="5101" spans="38:38" x14ac:dyDescent="0.35">
      <c r="AL5101" s="86"/>
    </row>
    <row r="5102" spans="38:38" x14ac:dyDescent="0.35">
      <c r="AL5102" s="86"/>
    </row>
    <row r="5103" spans="38:38" x14ac:dyDescent="0.35">
      <c r="AL5103" s="86"/>
    </row>
    <row r="5104" spans="38:38" x14ac:dyDescent="0.35">
      <c r="AL5104" s="86"/>
    </row>
    <row r="5105" spans="38:38" x14ac:dyDescent="0.35">
      <c r="AL5105" s="86"/>
    </row>
    <row r="5106" spans="38:38" x14ac:dyDescent="0.35">
      <c r="AL5106" s="86"/>
    </row>
    <row r="5107" spans="38:38" x14ac:dyDescent="0.35">
      <c r="AL5107" s="86"/>
    </row>
    <row r="5108" spans="38:38" x14ac:dyDescent="0.35">
      <c r="AL5108" s="86"/>
    </row>
    <row r="5109" spans="38:38" x14ac:dyDescent="0.35">
      <c r="AL5109" s="86"/>
    </row>
    <row r="5110" spans="38:38" x14ac:dyDescent="0.35">
      <c r="AL5110" s="86"/>
    </row>
    <row r="5111" spans="38:38" x14ac:dyDescent="0.35">
      <c r="AL5111" s="86"/>
    </row>
    <row r="5112" spans="38:38" x14ac:dyDescent="0.35">
      <c r="AL5112" s="86"/>
    </row>
    <row r="5113" spans="38:38" x14ac:dyDescent="0.35">
      <c r="AL5113" s="86"/>
    </row>
    <row r="5114" spans="38:38" x14ac:dyDescent="0.35">
      <c r="AL5114" s="86"/>
    </row>
    <row r="5115" spans="38:38" x14ac:dyDescent="0.35">
      <c r="AL5115" s="86"/>
    </row>
    <row r="5116" spans="38:38" x14ac:dyDescent="0.35">
      <c r="AL5116" s="86"/>
    </row>
    <row r="5117" spans="38:38" x14ac:dyDescent="0.35">
      <c r="AL5117" s="86"/>
    </row>
    <row r="5118" spans="38:38" x14ac:dyDescent="0.35">
      <c r="AL5118" s="86"/>
    </row>
    <row r="5119" spans="38:38" x14ac:dyDescent="0.35">
      <c r="AL5119" s="86"/>
    </row>
    <row r="5120" spans="38:38" x14ac:dyDescent="0.35">
      <c r="AL5120" s="86"/>
    </row>
    <row r="5121" spans="38:38" x14ac:dyDescent="0.35">
      <c r="AL5121" s="86"/>
    </row>
    <row r="5122" spans="38:38" x14ac:dyDescent="0.35">
      <c r="AL5122" s="86"/>
    </row>
    <row r="5123" spans="38:38" x14ac:dyDescent="0.35">
      <c r="AL5123" s="86"/>
    </row>
    <row r="5124" spans="38:38" x14ac:dyDescent="0.35">
      <c r="AL5124" s="86"/>
    </row>
    <row r="5125" spans="38:38" x14ac:dyDescent="0.35">
      <c r="AL5125" s="86"/>
    </row>
    <row r="5126" spans="38:38" x14ac:dyDescent="0.35">
      <c r="AL5126" s="86"/>
    </row>
    <row r="5127" spans="38:38" x14ac:dyDescent="0.35">
      <c r="AL5127" s="86"/>
    </row>
    <row r="5128" spans="38:38" x14ac:dyDescent="0.35">
      <c r="AL5128" s="86"/>
    </row>
    <row r="5129" spans="38:38" x14ac:dyDescent="0.35">
      <c r="AL5129" s="86"/>
    </row>
    <row r="5130" spans="38:38" x14ac:dyDescent="0.35">
      <c r="AL5130" s="86"/>
    </row>
    <row r="5131" spans="38:38" x14ac:dyDescent="0.35">
      <c r="AL5131" s="86"/>
    </row>
    <row r="5132" spans="38:38" x14ac:dyDescent="0.35">
      <c r="AL5132" s="86"/>
    </row>
    <row r="5133" spans="38:38" x14ac:dyDescent="0.35">
      <c r="AL5133" s="86"/>
    </row>
    <row r="5134" spans="38:38" x14ac:dyDescent="0.35">
      <c r="AL5134" s="86"/>
    </row>
    <row r="5135" spans="38:38" x14ac:dyDescent="0.35">
      <c r="AL5135" s="86"/>
    </row>
    <row r="5136" spans="38:38" x14ac:dyDescent="0.35">
      <c r="AL5136" s="86"/>
    </row>
    <row r="5137" spans="38:38" x14ac:dyDescent="0.35">
      <c r="AL5137" s="86"/>
    </row>
    <row r="5138" spans="38:38" x14ac:dyDescent="0.35">
      <c r="AL5138" s="86"/>
    </row>
    <row r="5139" spans="38:38" x14ac:dyDescent="0.35">
      <c r="AL5139" s="86"/>
    </row>
    <row r="5140" spans="38:38" x14ac:dyDescent="0.35">
      <c r="AL5140" s="86"/>
    </row>
    <row r="5141" spans="38:38" x14ac:dyDescent="0.35">
      <c r="AL5141" s="86"/>
    </row>
    <row r="5142" spans="38:38" x14ac:dyDescent="0.35">
      <c r="AL5142" s="86"/>
    </row>
    <row r="5143" spans="38:38" x14ac:dyDescent="0.35">
      <c r="AL5143" s="86"/>
    </row>
    <row r="5144" spans="38:38" x14ac:dyDescent="0.35">
      <c r="AL5144" s="86"/>
    </row>
    <row r="5145" spans="38:38" x14ac:dyDescent="0.35">
      <c r="AL5145" s="86"/>
    </row>
    <row r="5146" spans="38:38" x14ac:dyDescent="0.35">
      <c r="AL5146" s="86"/>
    </row>
    <row r="5147" spans="38:38" x14ac:dyDescent="0.35">
      <c r="AL5147" s="86"/>
    </row>
    <row r="5148" spans="38:38" x14ac:dyDescent="0.35">
      <c r="AL5148" s="86"/>
    </row>
    <row r="5149" spans="38:38" x14ac:dyDescent="0.35">
      <c r="AL5149" s="86"/>
    </row>
    <row r="5150" spans="38:38" x14ac:dyDescent="0.35">
      <c r="AL5150" s="86"/>
    </row>
    <row r="5151" spans="38:38" x14ac:dyDescent="0.35">
      <c r="AL5151" s="86"/>
    </row>
    <row r="5152" spans="38:38" x14ac:dyDescent="0.35">
      <c r="AL5152" s="86"/>
    </row>
    <row r="5153" spans="38:38" x14ac:dyDescent="0.35">
      <c r="AL5153" s="86"/>
    </row>
    <row r="5154" spans="38:38" x14ac:dyDescent="0.35">
      <c r="AL5154" s="86"/>
    </row>
    <row r="5155" spans="38:38" x14ac:dyDescent="0.35">
      <c r="AL5155" s="86"/>
    </row>
    <row r="5156" spans="38:38" x14ac:dyDescent="0.35">
      <c r="AL5156" s="86"/>
    </row>
    <row r="5157" spans="38:38" x14ac:dyDescent="0.35">
      <c r="AL5157" s="86"/>
    </row>
    <row r="5158" spans="38:38" x14ac:dyDescent="0.35">
      <c r="AL5158" s="86"/>
    </row>
    <row r="5159" spans="38:38" x14ac:dyDescent="0.35">
      <c r="AL5159" s="86"/>
    </row>
    <row r="5160" spans="38:38" x14ac:dyDescent="0.35">
      <c r="AL5160" s="86"/>
    </row>
    <row r="5161" spans="38:38" x14ac:dyDescent="0.35">
      <c r="AL5161" s="86"/>
    </row>
    <row r="5162" spans="38:38" x14ac:dyDescent="0.35">
      <c r="AL5162" s="86"/>
    </row>
    <row r="5163" spans="38:38" x14ac:dyDescent="0.35">
      <c r="AL5163" s="86"/>
    </row>
    <row r="5164" spans="38:38" x14ac:dyDescent="0.35">
      <c r="AL5164" s="86"/>
    </row>
    <row r="5165" spans="38:38" x14ac:dyDescent="0.35">
      <c r="AL5165" s="86"/>
    </row>
    <row r="5166" spans="38:38" x14ac:dyDescent="0.35">
      <c r="AL5166" s="86"/>
    </row>
    <row r="5167" spans="38:38" x14ac:dyDescent="0.35">
      <c r="AL5167" s="86"/>
    </row>
    <row r="5168" spans="38:38" x14ac:dyDescent="0.35">
      <c r="AL5168" s="86"/>
    </row>
    <row r="5169" spans="38:38" x14ac:dyDescent="0.35">
      <c r="AL5169" s="86"/>
    </row>
    <row r="5170" spans="38:38" x14ac:dyDescent="0.35">
      <c r="AL5170" s="86"/>
    </row>
    <row r="5171" spans="38:38" x14ac:dyDescent="0.35">
      <c r="AL5171" s="86"/>
    </row>
    <row r="5172" spans="38:38" x14ac:dyDescent="0.35">
      <c r="AL5172" s="86"/>
    </row>
    <row r="5173" spans="38:38" x14ac:dyDescent="0.35">
      <c r="AL5173" s="86"/>
    </row>
    <row r="5174" spans="38:38" x14ac:dyDescent="0.35">
      <c r="AL5174" s="86"/>
    </row>
    <row r="5175" spans="38:38" x14ac:dyDescent="0.35">
      <c r="AL5175" s="86"/>
    </row>
    <row r="5176" spans="38:38" x14ac:dyDescent="0.35">
      <c r="AL5176" s="86"/>
    </row>
    <row r="5177" spans="38:38" x14ac:dyDescent="0.35">
      <c r="AL5177" s="86"/>
    </row>
    <row r="5178" spans="38:38" x14ac:dyDescent="0.35">
      <c r="AL5178" s="86"/>
    </row>
    <row r="5179" spans="38:38" x14ac:dyDescent="0.35">
      <c r="AL5179" s="86"/>
    </row>
    <row r="5180" spans="38:38" x14ac:dyDescent="0.35">
      <c r="AL5180" s="86"/>
    </row>
    <row r="5181" spans="38:38" x14ac:dyDescent="0.35">
      <c r="AL5181" s="86"/>
    </row>
    <row r="5182" spans="38:38" x14ac:dyDescent="0.35">
      <c r="AL5182" s="86"/>
    </row>
    <row r="5183" spans="38:38" x14ac:dyDescent="0.35">
      <c r="AL5183" s="86"/>
    </row>
    <row r="5184" spans="38:38" x14ac:dyDescent="0.35">
      <c r="AL5184" s="86"/>
    </row>
    <row r="5185" spans="38:38" x14ac:dyDescent="0.35">
      <c r="AL5185" s="86"/>
    </row>
    <row r="5186" spans="38:38" x14ac:dyDescent="0.35">
      <c r="AL5186" s="86"/>
    </row>
    <row r="5187" spans="38:38" x14ac:dyDescent="0.35">
      <c r="AL5187" s="86"/>
    </row>
    <row r="5188" spans="38:38" x14ac:dyDescent="0.35">
      <c r="AL5188" s="86"/>
    </row>
    <row r="5189" spans="38:38" x14ac:dyDescent="0.35">
      <c r="AL5189" s="86"/>
    </row>
    <row r="5190" spans="38:38" x14ac:dyDescent="0.35">
      <c r="AL5190" s="86"/>
    </row>
    <row r="5191" spans="38:38" x14ac:dyDescent="0.35">
      <c r="AL5191" s="86"/>
    </row>
    <row r="5192" spans="38:38" x14ac:dyDescent="0.35">
      <c r="AL5192" s="86"/>
    </row>
    <row r="5193" spans="38:38" x14ac:dyDescent="0.35">
      <c r="AL5193" s="86"/>
    </row>
    <row r="5194" spans="38:38" x14ac:dyDescent="0.35">
      <c r="AL5194" s="86"/>
    </row>
    <row r="5195" spans="38:38" x14ac:dyDescent="0.35">
      <c r="AL5195" s="86"/>
    </row>
    <row r="5196" spans="38:38" x14ac:dyDescent="0.35">
      <c r="AL5196" s="86"/>
    </row>
    <row r="5197" spans="38:38" x14ac:dyDescent="0.35">
      <c r="AL5197" s="86"/>
    </row>
    <row r="5198" spans="38:38" x14ac:dyDescent="0.35">
      <c r="AL5198" s="86"/>
    </row>
    <row r="5199" spans="38:38" x14ac:dyDescent="0.35">
      <c r="AL5199" s="86"/>
    </row>
    <row r="5200" spans="38:38" x14ac:dyDescent="0.35">
      <c r="AL5200" s="86"/>
    </row>
    <row r="5201" spans="38:38" x14ac:dyDescent="0.35">
      <c r="AL5201" s="86"/>
    </row>
    <row r="5202" spans="38:38" x14ac:dyDescent="0.35">
      <c r="AL5202" s="86"/>
    </row>
    <row r="5203" spans="38:38" x14ac:dyDescent="0.35">
      <c r="AL5203" s="86"/>
    </row>
    <row r="5204" spans="38:38" x14ac:dyDescent="0.35">
      <c r="AL5204" s="86"/>
    </row>
    <row r="5205" spans="38:38" x14ac:dyDescent="0.35">
      <c r="AL5205" s="86"/>
    </row>
    <row r="5206" spans="38:38" x14ac:dyDescent="0.35">
      <c r="AL5206" s="86"/>
    </row>
    <row r="5207" spans="38:38" x14ac:dyDescent="0.35">
      <c r="AL5207" s="86"/>
    </row>
    <row r="5208" spans="38:38" x14ac:dyDescent="0.35">
      <c r="AL5208" s="86"/>
    </row>
    <row r="5209" spans="38:38" x14ac:dyDescent="0.35">
      <c r="AL5209" s="86"/>
    </row>
    <row r="5210" spans="38:38" x14ac:dyDescent="0.35">
      <c r="AL5210" s="86"/>
    </row>
    <row r="5211" spans="38:38" x14ac:dyDescent="0.35">
      <c r="AL5211" s="86"/>
    </row>
    <row r="5212" spans="38:38" x14ac:dyDescent="0.35">
      <c r="AL5212" s="86"/>
    </row>
    <row r="5213" spans="38:38" x14ac:dyDescent="0.35">
      <c r="AL5213" s="86"/>
    </row>
    <row r="5214" spans="38:38" x14ac:dyDescent="0.35">
      <c r="AL5214" s="86"/>
    </row>
    <row r="5215" spans="38:38" x14ac:dyDescent="0.35">
      <c r="AL5215" s="86"/>
    </row>
    <row r="5216" spans="38:38" x14ac:dyDescent="0.35">
      <c r="AL5216" s="86"/>
    </row>
    <row r="5217" spans="38:38" x14ac:dyDescent="0.35">
      <c r="AL5217" s="86"/>
    </row>
    <row r="5218" spans="38:38" x14ac:dyDescent="0.35">
      <c r="AL5218" s="86"/>
    </row>
    <row r="5219" spans="38:38" x14ac:dyDescent="0.35">
      <c r="AL5219" s="86"/>
    </row>
    <row r="5220" spans="38:38" x14ac:dyDescent="0.35">
      <c r="AL5220" s="86"/>
    </row>
    <row r="5221" spans="38:38" x14ac:dyDescent="0.35">
      <c r="AL5221" s="86"/>
    </row>
    <row r="5222" spans="38:38" x14ac:dyDescent="0.35">
      <c r="AL5222" s="86"/>
    </row>
    <row r="5223" spans="38:38" x14ac:dyDescent="0.35">
      <c r="AL5223" s="86"/>
    </row>
    <row r="5224" spans="38:38" x14ac:dyDescent="0.35">
      <c r="AL5224" s="86"/>
    </row>
    <row r="5225" spans="38:38" x14ac:dyDescent="0.35">
      <c r="AL5225" s="86"/>
    </row>
    <row r="5226" spans="38:38" x14ac:dyDescent="0.35">
      <c r="AL5226" s="86"/>
    </row>
    <row r="5227" spans="38:38" x14ac:dyDescent="0.35">
      <c r="AL5227" s="86"/>
    </row>
    <row r="5228" spans="38:38" x14ac:dyDescent="0.35">
      <c r="AL5228" s="86"/>
    </row>
    <row r="5229" spans="38:38" x14ac:dyDescent="0.35">
      <c r="AL5229" s="86"/>
    </row>
    <row r="5230" spans="38:38" x14ac:dyDescent="0.35">
      <c r="AL5230" s="86"/>
    </row>
    <row r="5231" spans="38:38" x14ac:dyDescent="0.35">
      <c r="AL5231" s="86"/>
    </row>
    <row r="5232" spans="38:38" x14ac:dyDescent="0.35">
      <c r="AL5232" s="86"/>
    </row>
    <row r="5233" spans="38:38" x14ac:dyDescent="0.35">
      <c r="AL5233" s="86"/>
    </row>
    <row r="5234" spans="38:38" x14ac:dyDescent="0.35">
      <c r="AL5234" s="86"/>
    </row>
    <row r="5235" spans="38:38" x14ac:dyDescent="0.35">
      <c r="AL5235" s="86"/>
    </row>
    <row r="5236" spans="38:38" x14ac:dyDescent="0.35">
      <c r="AL5236" s="86"/>
    </row>
    <row r="5237" spans="38:38" x14ac:dyDescent="0.35">
      <c r="AL5237" s="86"/>
    </row>
    <row r="5238" spans="38:38" x14ac:dyDescent="0.35">
      <c r="AL5238" s="86"/>
    </row>
    <row r="5239" spans="38:38" x14ac:dyDescent="0.35">
      <c r="AL5239" s="86"/>
    </row>
    <row r="5240" spans="38:38" x14ac:dyDescent="0.35">
      <c r="AL5240" s="86"/>
    </row>
    <row r="5241" spans="38:38" x14ac:dyDescent="0.35">
      <c r="AL5241" s="86"/>
    </row>
    <row r="5242" spans="38:38" x14ac:dyDescent="0.35">
      <c r="AL5242" s="86"/>
    </row>
    <row r="5243" spans="38:38" x14ac:dyDescent="0.35">
      <c r="AL5243" s="86"/>
    </row>
    <row r="5244" spans="38:38" x14ac:dyDescent="0.35">
      <c r="AL5244" s="86"/>
    </row>
    <row r="5245" spans="38:38" x14ac:dyDescent="0.35">
      <c r="AL5245" s="86"/>
    </row>
    <row r="5246" spans="38:38" x14ac:dyDescent="0.35">
      <c r="AL5246" s="86"/>
    </row>
    <row r="5247" spans="38:38" x14ac:dyDescent="0.35">
      <c r="AL5247" s="86"/>
    </row>
    <row r="5248" spans="38:38" x14ac:dyDescent="0.35">
      <c r="AL5248" s="86"/>
    </row>
    <row r="5249" spans="38:38" x14ac:dyDescent="0.35">
      <c r="AL5249" s="86"/>
    </row>
    <row r="5250" spans="38:38" x14ac:dyDescent="0.35">
      <c r="AL5250" s="86"/>
    </row>
    <row r="5251" spans="38:38" x14ac:dyDescent="0.35">
      <c r="AL5251" s="86"/>
    </row>
    <row r="5252" spans="38:38" x14ac:dyDescent="0.35">
      <c r="AL5252" s="86"/>
    </row>
    <row r="5253" spans="38:38" x14ac:dyDescent="0.35">
      <c r="AL5253" s="86"/>
    </row>
    <row r="5254" spans="38:38" x14ac:dyDescent="0.35">
      <c r="AL5254" s="86"/>
    </row>
    <row r="5255" spans="38:38" x14ac:dyDescent="0.35">
      <c r="AL5255" s="86"/>
    </row>
    <row r="5256" spans="38:38" x14ac:dyDescent="0.35">
      <c r="AL5256" s="86"/>
    </row>
    <row r="5257" spans="38:38" x14ac:dyDescent="0.35">
      <c r="AL5257" s="86"/>
    </row>
    <row r="5258" spans="38:38" x14ac:dyDescent="0.35">
      <c r="AL5258" s="86"/>
    </row>
    <row r="5259" spans="38:38" x14ac:dyDescent="0.35">
      <c r="AL5259" s="86"/>
    </row>
    <row r="5260" spans="38:38" x14ac:dyDescent="0.35">
      <c r="AL5260" s="86"/>
    </row>
    <row r="5261" spans="38:38" x14ac:dyDescent="0.35">
      <c r="AL5261" s="86"/>
    </row>
    <row r="5262" spans="38:38" x14ac:dyDescent="0.35">
      <c r="AL5262" s="86"/>
    </row>
    <row r="5263" spans="38:38" x14ac:dyDescent="0.35">
      <c r="AL5263" s="86"/>
    </row>
    <row r="5264" spans="38:38" x14ac:dyDescent="0.35">
      <c r="AL5264" s="86"/>
    </row>
    <row r="5265" spans="38:38" x14ac:dyDescent="0.35">
      <c r="AL5265" s="86"/>
    </row>
    <row r="5266" spans="38:38" x14ac:dyDescent="0.35">
      <c r="AL5266" s="86"/>
    </row>
    <row r="5267" spans="38:38" x14ac:dyDescent="0.35">
      <c r="AL5267" s="86"/>
    </row>
    <row r="5268" spans="38:38" x14ac:dyDescent="0.35">
      <c r="AL5268" s="86"/>
    </row>
    <row r="5269" spans="38:38" x14ac:dyDescent="0.35">
      <c r="AL5269" s="86"/>
    </row>
    <row r="5270" spans="38:38" x14ac:dyDescent="0.35">
      <c r="AL5270" s="86"/>
    </row>
    <row r="5271" spans="38:38" x14ac:dyDescent="0.35">
      <c r="AL5271" s="86"/>
    </row>
    <row r="5272" spans="38:38" x14ac:dyDescent="0.35">
      <c r="AL5272" s="86"/>
    </row>
    <row r="5273" spans="38:38" x14ac:dyDescent="0.35">
      <c r="AL5273" s="86"/>
    </row>
    <row r="5274" spans="38:38" x14ac:dyDescent="0.35">
      <c r="AL5274" s="86"/>
    </row>
    <row r="5275" spans="38:38" x14ac:dyDescent="0.35">
      <c r="AL5275" s="86"/>
    </row>
    <row r="5276" spans="38:38" x14ac:dyDescent="0.35">
      <c r="AL5276" s="86"/>
    </row>
    <row r="5277" spans="38:38" x14ac:dyDescent="0.35">
      <c r="AL5277" s="86"/>
    </row>
    <row r="5278" spans="38:38" x14ac:dyDescent="0.35">
      <c r="AL5278" s="86"/>
    </row>
    <row r="5279" spans="38:38" x14ac:dyDescent="0.35">
      <c r="AL5279" s="86"/>
    </row>
    <row r="5280" spans="38:38" x14ac:dyDescent="0.35">
      <c r="AL5280" s="86"/>
    </row>
    <row r="5281" spans="38:38" x14ac:dyDescent="0.35">
      <c r="AL5281" s="86"/>
    </row>
    <row r="5282" spans="38:38" x14ac:dyDescent="0.35">
      <c r="AL5282" s="86"/>
    </row>
    <row r="5283" spans="38:38" x14ac:dyDescent="0.35">
      <c r="AL5283" s="86"/>
    </row>
    <row r="5284" spans="38:38" x14ac:dyDescent="0.35">
      <c r="AL5284" s="86"/>
    </row>
    <row r="5285" spans="38:38" x14ac:dyDescent="0.35">
      <c r="AL5285" s="86"/>
    </row>
    <row r="5286" spans="38:38" x14ac:dyDescent="0.35">
      <c r="AL5286" s="86"/>
    </row>
    <row r="5287" spans="38:38" x14ac:dyDescent="0.35">
      <c r="AL5287" s="86"/>
    </row>
    <row r="5288" spans="38:38" x14ac:dyDescent="0.35">
      <c r="AL5288" s="86"/>
    </row>
    <row r="5289" spans="38:38" x14ac:dyDescent="0.35">
      <c r="AL5289" s="86"/>
    </row>
    <row r="5290" spans="38:38" x14ac:dyDescent="0.35">
      <c r="AL5290" s="86"/>
    </row>
    <row r="5291" spans="38:38" x14ac:dyDescent="0.35">
      <c r="AL5291" s="86"/>
    </row>
    <row r="5292" spans="38:38" x14ac:dyDescent="0.35">
      <c r="AL5292" s="86"/>
    </row>
    <row r="5293" spans="38:38" x14ac:dyDescent="0.35">
      <c r="AL5293" s="86"/>
    </row>
    <row r="5294" spans="38:38" x14ac:dyDescent="0.35">
      <c r="AL5294" s="86"/>
    </row>
    <row r="5295" spans="38:38" x14ac:dyDescent="0.35">
      <c r="AL5295" s="86"/>
    </row>
    <row r="5296" spans="38:38" x14ac:dyDescent="0.35">
      <c r="AL5296" s="86"/>
    </row>
    <row r="5297" spans="38:38" x14ac:dyDescent="0.35">
      <c r="AL5297" s="86"/>
    </row>
    <row r="5298" spans="38:38" x14ac:dyDescent="0.35">
      <c r="AL5298" s="86"/>
    </row>
    <row r="5299" spans="38:38" x14ac:dyDescent="0.35">
      <c r="AL5299" s="86"/>
    </row>
    <row r="5300" spans="38:38" x14ac:dyDescent="0.35">
      <c r="AL5300" s="86"/>
    </row>
    <row r="5301" spans="38:38" x14ac:dyDescent="0.35">
      <c r="AL5301" s="86"/>
    </row>
    <row r="5302" spans="38:38" x14ac:dyDescent="0.35">
      <c r="AL5302" s="86"/>
    </row>
    <row r="5303" spans="38:38" x14ac:dyDescent="0.35">
      <c r="AL5303" s="86"/>
    </row>
    <row r="5304" spans="38:38" x14ac:dyDescent="0.35">
      <c r="AL5304" s="86"/>
    </row>
    <row r="5305" spans="38:38" x14ac:dyDescent="0.35">
      <c r="AL5305" s="86"/>
    </row>
    <row r="5306" spans="38:38" x14ac:dyDescent="0.35">
      <c r="AL5306" s="86"/>
    </row>
    <row r="5307" spans="38:38" x14ac:dyDescent="0.35">
      <c r="AL5307" s="86"/>
    </row>
    <row r="5308" spans="38:38" x14ac:dyDescent="0.35">
      <c r="AL5308" s="86"/>
    </row>
    <row r="5309" spans="38:38" x14ac:dyDescent="0.35">
      <c r="AL5309" s="86"/>
    </row>
    <row r="5310" spans="38:38" x14ac:dyDescent="0.35">
      <c r="AL5310" s="86"/>
    </row>
    <row r="5311" spans="38:38" x14ac:dyDescent="0.35">
      <c r="AL5311" s="86"/>
    </row>
    <row r="5312" spans="38:38" x14ac:dyDescent="0.35">
      <c r="AL5312" s="86"/>
    </row>
    <row r="5313" spans="38:38" x14ac:dyDescent="0.35">
      <c r="AL5313" s="86"/>
    </row>
    <row r="5314" spans="38:38" x14ac:dyDescent="0.35">
      <c r="AL5314" s="86"/>
    </row>
    <row r="5315" spans="38:38" x14ac:dyDescent="0.35">
      <c r="AL5315" s="86"/>
    </row>
    <row r="5316" spans="38:38" x14ac:dyDescent="0.35">
      <c r="AL5316" s="86"/>
    </row>
    <row r="5317" spans="38:38" x14ac:dyDescent="0.35">
      <c r="AL5317" s="86"/>
    </row>
    <row r="5318" spans="38:38" x14ac:dyDescent="0.35">
      <c r="AL5318" s="86"/>
    </row>
    <row r="5319" spans="38:38" x14ac:dyDescent="0.35">
      <c r="AL5319" s="86"/>
    </row>
    <row r="5320" spans="38:38" x14ac:dyDescent="0.35">
      <c r="AL5320" s="86"/>
    </row>
    <row r="5321" spans="38:38" x14ac:dyDescent="0.35">
      <c r="AL5321" s="86"/>
    </row>
    <row r="5322" spans="38:38" x14ac:dyDescent="0.35">
      <c r="AL5322" s="86"/>
    </row>
    <row r="5323" spans="38:38" x14ac:dyDescent="0.35">
      <c r="AL5323" s="86"/>
    </row>
    <row r="5324" spans="38:38" x14ac:dyDescent="0.35">
      <c r="AL5324" s="86"/>
    </row>
    <row r="5325" spans="38:38" x14ac:dyDescent="0.35">
      <c r="AL5325" s="86"/>
    </row>
    <row r="5326" spans="38:38" x14ac:dyDescent="0.35">
      <c r="AL5326" s="86"/>
    </row>
    <row r="5327" spans="38:38" x14ac:dyDescent="0.35">
      <c r="AL5327" s="86"/>
    </row>
    <row r="5328" spans="38:38" x14ac:dyDescent="0.35">
      <c r="AL5328" s="86"/>
    </row>
    <row r="5329" spans="38:38" x14ac:dyDescent="0.35">
      <c r="AL5329" s="86"/>
    </row>
    <row r="5330" spans="38:38" x14ac:dyDescent="0.35">
      <c r="AL5330" s="86"/>
    </row>
    <row r="5331" spans="38:38" x14ac:dyDescent="0.35">
      <c r="AL5331" s="86"/>
    </row>
    <row r="5332" spans="38:38" x14ac:dyDescent="0.35">
      <c r="AL5332" s="86"/>
    </row>
    <row r="5333" spans="38:38" x14ac:dyDescent="0.35">
      <c r="AL5333" s="86"/>
    </row>
    <row r="5334" spans="38:38" x14ac:dyDescent="0.35">
      <c r="AL5334" s="86"/>
    </row>
    <row r="5335" spans="38:38" x14ac:dyDescent="0.35">
      <c r="AL5335" s="86"/>
    </row>
    <row r="5336" spans="38:38" x14ac:dyDescent="0.35">
      <c r="AL5336" s="86"/>
    </row>
    <row r="5337" spans="38:38" x14ac:dyDescent="0.35">
      <c r="AL5337" s="86"/>
    </row>
    <row r="5338" spans="38:38" x14ac:dyDescent="0.35">
      <c r="AL5338" s="86"/>
    </row>
    <row r="5339" spans="38:38" x14ac:dyDescent="0.35">
      <c r="AL5339" s="86"/>
    </row>
    <row r="5340" spans="38:38" x14ac:dyDescent="0.35">
      <c r="AL5340" s="86"/>
    </row>
    <row r="5341" spans="38:38" x14ac:dyDescent="0.35">
      <c r="AL5341" s="86"/>
    </row>
    <row r="5342" spans="38:38" x14ac:dyDescent="0.35">
      <c r="AL5342" s="86"/>
    </row>
    <row r="5343" spans="38:38" x14ac:dyDescent="0.35">
      <c r="AL5343" s="86"/>
    </row>
    <row r="5344" spans="38:38" x14ac:dyDescent="0.35">
      <c r="AL5344" s="86"/>
    </row>
    <row r="5345" spans="38:38" x14ac:dyDescent="0.35">
      <c r="AL5345" s="86"/>
    </row>
    <row r="5346" spans="38:38" x14ac:dyDescent="0.35">
      <c r="AL5346" s="86"/>
    </row>
    <row r="5347" spans="38:38" x14ac:dyDescent="0.35">
      <c r="AL5347" s="86"/>
    </row>
    <row r="5348" spans="38:38" x14ac:dyDescent="0.35">
      <c r="AL5348" s="86"/>
    </row>
    <row r="5349" spans="38:38" x14ac:dyDescent="0.35">
      <c r="AL5349" s="86"/>
    </row>
    <row r="5350" spans="38:38" x14ac:dyDescent="0.35">
      <c r="AL5350" s="86"/>
    </row>
    <row r="5351" spans="38:38" x14ac:dyDescent="0.35">
      <c r="AL5351" s="86"/>
    </row>
    <row r="5352" spans="38:38" x14ac:dyDescent="0.35">
      <c r="AL5352" s="86"/>
    </row>
    <row r="5353" spans="38:38" x14ac:dyDescent="0.35">
      <c r="AL5353" s="86"/>
    </row>
    <row r="5354" spans="38:38" x14ac:dyDescent="0.35">
      <c r="AL5354" s="86"/>
    </row>
    <row r="5355" spans="38:38" x14ac:dyDescent="0.35">
      <c r="AL5355" s="86"/>
    </row>
    <row r="5356" spans="38:38" x14ac:dyDescent="0.35">
      <c r="AL5356" s="86"/>
    </row>
    <row r="5357" spans="38:38" x14ac:dyDescent="0.35">
      <c r="AL5357" s="86"/>
    </row>
    <row r="5358" spans="38:38" x14ac:dyDescent="0.35">
      <c r="AL5358" s="86"/>
    </row>
    <row r="5359" spans="38:38" x14ac:dyDescent="0.35">
      <c r="AL5359" s="86"/>
    </row>
    <row r="5360" spans="38:38" x14ac:dyDescent="0.35">
      <c r="AL5360" s="86"/>
    </row>
    <row r="5361" spans="38:38" x14ac:dyDescent="0.35">
      <c r="AL5361" s="86"/>
    </row>
    <row r="5362" spans="38:38" x14ac:dyDescent="0.35">
      <c r="AL5362" s="86"/>
    </row>
    <row r="5363" spans="38:38" x14ac:dyDescent="0.35">
      <c r="AL5363" s="86"/>
    </row>
    <row r="5364" spans="38:38" x14ac:dyDescent="0.35">
      <c r="AL5364" s="86"/>
    </row>
    <row r="5365" spans="38:38" x14ac:dyDescent="0.35">
      <c r="AL5365" s="86"/>
    </row>
    <row r="5366" spans="38:38" x14ac:dyDescent="0.35">
      <c r="AL5366" s="86"/>
    </row>
    <row r="5367" spans="38:38" x14ac:dyDescent="0.35">
      <c r="AL5367" s="86"/>
    </row>
    <row r="5368" spans="38:38" x14ac:dyDescent="0.35">
      <c r="AL5368" s="86"/>
    </row>
    <row r="5369" spans="38:38" x14ac:dyDescent="0.35">
      <c r="AL5369" s="86"/>
    </row>
    <row r="5370" spans="38:38" x14ac:dyDescent="0.35">
      <c r="AL5370" s="86"/>
    </row>
    <row r="5371" spans="38:38" x14ac:dyDescent="0.35">
      <c r="AL5371" s="86"/>
    </row>
    <row r="5372" spans="38:38" x14ac:dyDescent="0.35">
      <c r="AL5372" s="86"/>
    </row>
    <row r="5373" spans="38:38" x14ac:dyDescent="0.35">
      <c r="AL5373" s="86"/>
    </row>
    <row r="5374" spans="38:38" x14ac:dyDescent="0.35">
      <c r="AL5374" s="86"/>
    </row>
    <row r="5375" spans="38:38" x14ac:dyDescent="0.35">
      <c r="AL5375" s="86"/>
    </row>
    <row r="5376" spans="38:38" x14ac:dyDescent="0.35">
      <c r="AL5376" s="86"/>
    </row>
    <row r="5377" spans="38:38" x14ac:dyDescent="0.35">
      <c r="AL5377" s="86"/>
    </row>
    <row r="5378" spans="38:38" x14ac:dyDescent="0.35">
      <c r="AL5378" s="86"/>
    </row>
    <row r="5379" spans="38:38" x14ac:dyDescent="0.35">
      <c r="AL5379" s="86"/>
    </row>
    <row r="5380" spans="38:38" x14ac:dyDescent="0.35">
      <c r="AL5380" s="86"/>
    </row>
    <row r="5381" spans="38:38" x14ac:dyDescent="0.35">
      <c r="AL5381" s="86"/>
    </row>
    <row r="5382" spans="38:38" x14ac:dyDescent="0.35">
      <c r="AL5382" s="86"/>
    </row>
    <row r="5383" spans="38:38" x14ac:dyDescent="0.35">
      <c r="AL5383" s="86"/>
    </row>
    <row r="5384" spans="38:38" x14ac:dyDescent="0.35">
      <c r="AL5384" s="86"/>
    </row>
    <row r="5385" spans="38:38" x14ac:dyDescent="0.35">
      <c r="AL5385" s="86"/>
    </row>
    <row r="5386" spans="38:38" x14ac:dyDescent="0.35">
      <c r="AL5386" s="86"/>
    </row>
    <row r="5387" spans="38:38" x14ac:dyDescent="0.35">
      <c r="AL5387" s="86"/>
    </row>
    <row r="5388" spans="38:38" x14ac:dyDescent="0.35">
      <c r="AL5388" s="86"/>
    </row>
    <row r="5389" spans="38:38" x14ac:dyDescent="0.35">
      <c r="AL5389" s="86"/>
    </row>
    <row r="5390" spans="38:38" x14ac:dyDescent="0.35">
      <c r="AL5390" s="86"/>
    </row>
    <row r="5391" spans="38:38" x14ac:dyDescent="0.35">
      <c r="AL5391" s="86"/>
    </row>
    <row r="5392" spans="38:38" x14ac:dyDescent="0.35">
      <c r="AL5392" s="86"/>
    </row>
    <row r="5393" spans="38:38" x14ac:dyDescent="0.35">
      <c r="AL5393" s="86"/>
    </row>
    <row r="5394" spans="38:38" x14ac:dyDescent="0.35">
      <c r="AL5394" s="86"/>
    </row>
    <row r="5395" spans="38:38" x14ac:dyDescent="0.35">
      <c r="AL5395" s="86"/>
    </row>
    <row r="5396" spans="38:38" x14ac:dyDescent="0.35">
      <c r="AL5396" s="86"/>
    </row>
    <row r="5397" spans="38:38" x14ac:dyDescent="0.35">
      <c r="AL5397" s="86"/>
    </row>
    <row r="5398" spans="38:38" x14ac:dyDescent="0.35">
      <c r="AL5398" s="86"/>
    </row>
    <row r="5399" spans="38:38" x14ac:dyDescent="0.35">
      <c r="AL5399" s="86"/>
    </row>
    <row r="5400" spans="38:38" x14ac:dyDescent="0.35">
      <c r="AL5400" s="86"/>
    </row>
    <row r="5401" spans="38:38" x14ac:dyDescent="0.35">
      <c r="AL5401" s="86"/>
    </row>
    <row r="5402" spans="38:38" x14ac:dyDescent="0.35">
      <c r="AL5402" s="86"/>
    </row>
    <row r="5403" spans="38:38" x14ac:dyDescent="0.35">
      <c r="AL5403" s="86"/>
    </row>
    <row r="5404" spans="38:38" x14ac:dyDescent="0.35">
      <c r="AL5404" s="86"/>
    </row>
    <row r="5405" spans="38:38" x14ac:dyDescent="0.35">
      <c r="AL5405" s="86"/>
    </row>
    <row r="5406" spans="38:38" x14ac:dyDescent="0.35">
      <c r="AL5406" s="86"/>
    </row>
    <row r="5407" spans="38:38" x14ac:dyDescent="0.35">
      <c r="AL5407" s="86"/>
    </row>
    <row r="5408" spans="38:38" x14ac:dyDescent="0.35">
      <c r="AL5408" s="86"/>
    </row>
    <row r="5409" spans="38:38" x14ac:dyDescent="0.35">
      <c r="AL5409" s="86"/>
    </row>
    <row r="5410" spans="38:38" x14ac:dyDescent="0.35">
      <c r="AL5410" s="86"/>
    </row>
    <row r="5411" spans="38:38" x14ac:dyDescent="0.35">
      <c r="AL5411" s="86"/>
    </row>
    <row r="5412" spans="38:38" x14ac:dyDescent="0.35">
      <c r="AL5412" s="86"/>
    </row>
    <row r="5413" spans="38:38" x14ac:dyDescent="0.35">
      <c r="AL5413" s="86"/>
    </row>
    <row r="5414" spans="38:38" x14ac:dyDescent="0.35">
      <c r="AL5414" s="86"/>
    </row>
    <row r="5415" spans="38:38" x14ac:dyDescent="0.35">
      <c r="AL5415" s="86"/>
    </row>
    <row r="5416" spans="38:38" x14ac:dyDescent="0.35">
      <c r="AL5416" s="86"/>
    </row>
    <row r="5417" spans="38:38" x14ac:dyDescent="0.35">
      <c r="AL5417" s="86"/>
    </row>
    <row r="5418" spans="38:38" x14ac:dyDescent="0.35">
      <c r="AL5418" s="86"/>
    </row>
    <row r="5419" spans="38:38" x14ac:dyDescent="0.35">
      <c r="AL5419" s="86"/>
    </row>
    <row r="5420" spans="38:38" x14ac:dyDescent="0.35">
      <c r="AL5420" s="86"/>
    </row>
    <row r="5421" spans="38:38" x14ac:dyDescent="0.35">
      <c r="AL5421" s="86"/>
    </row>
    <row r="5422" spans="38:38" x14ac:dyDescent="0.35">
      <c r="AL5422" s="86"/>
    </row>
    <row r="5423" spans="38:38" x14ac:dyDescent="0.35">
      <c r="AL5423" s="86"/>
    </row>
    <row r="5424" spans="38:38" x14ac:dyDescent="0.35">
      <c r="AL5424" s="86"/>
    </row>
    <row r="5425" spans="38:38" x14ac:dyDescent="0.35">
      <c r="AL5425" s="86"/>
    </row>
    <row r="5426" spans="38:38" x14ac:dyDescent="0.35">
      <c r="AL5426" s="86"/>
    </row>
    <row r="5427" spans="38:38" x14ac:dyDescent="0.35">
      <c r="AL5427" s="86"/>
    </row>
    <row r="5428" spans="38:38" x14ac:dyDescent="0.35">
      <c r="AL5428" s="86"/>
    </row>
    <row r="5429" spans="38:38" x14ac:dyDescent="0.35">
      <c r="AL5429" s="86"/>
    </row>
    <row r="5430" spans="38:38" x14ac:dyDescent="0.35">
      <c r="AL5430" s="86"/>
    </row>
    <row r="5431" spans="38:38" x14ac:dyDescent="0.35">
      <c r="AL5431" s="86"/>
    </row>
    <row r="5432" spans="38:38" x14ac:dyDescent="0.35">
      <c r="AL5432" s="86"/>
    </row>
    <row r="5433" spans="38:38" x14ac:dyDescent="0.35">
      <c r="AL5433" s="86"/>
    </row>
    <row r="5434" spans="38:38" x14ac:dyDescent="0.35">
      <c r="AL5434" s="86"/>
    </row>
    <row r="5435" spans="38:38" x14ac:dyDescent="0.35">
      <c r="AL5435" s="86"/>
    </row>
    <row r="5436" spans="38:38" x14ac:dyDescent="0.35">
      <c r="AL5436" s="86"/>
    </row>
    <row r="5437" spans="38:38" x14ac:dyDescent="0.35">
      <c r="AL5437" s="86"/>
    </row>
    <row r="5438" spans="38:38" x14ac:dyDescent="0.35">
      <c r="AL5438" s="86"/>
    </row>
    <row r="5439" spans="38:38" x14ac:dyDescent="0.35">
      <c r="AL5439" s="86"/>
    </row>
    <row r="5440" spans="38:38" x14ac:dyDescent="0.35">
      <c r="AL5440" s="86"/>
    </row>
    <row r="5441" spans="38:38" x14ac:dyDescent="0.35">
      <c r="AL5441" s="86"/>
    </row>
    <row r="5442" spans="38:38" x14ac:dyDescent="0.35">
      <c r="AL5442" s="86"/>
    </row>
    <row r="5443" spans="38:38" x14ac:dyDescent="0.35">
      <c r="AL5443" s="86"/>
    </row>
    <row r="5444" spans="38:38" x14ac:dyDescent="0.35">
      <c r="AL5444" s="86"/>
    </row>
    <row r="5445" spans="38:38" x14ac:dyDescent="0.35">
      <c r="AL5445" s="86"/>
    </row>
    <row r="5446" spans="38:38" x14ac:dyDescent="0.35">
      <c r="AL5446" s="86"/>
    </row>
    <row r="5447" spans="38:38" x14ac:dyDescent="0.35">
      <c r="AL5447" s="86"/>
    </row>
    <row r="5448" spans="38:38" x14ac:dyDescent="0.35">
      <c r="AL5448" s="86"/>
    </row>
    <row r="5449" spans="38:38" x14ac:dyDescent="0.35">
      <c r="AL5449" s="86"/>
    </row>
    <row r="5450" spans="38:38" x14ac:dyDescent="0.35">
      <c r="AL5450" s="86"/>
    </row>
    <row r="5451" spans="38:38" x14ac:dyDescent="0.35">
      <c r="AL5451" s="86"/>
    </row>
    <row r="5452" spans="38:38" x14ac:dyDescent="0.35">
      <c r="AL5452" s="86"/>
    </row>
    <row r="5453" spans="38:38" x14ac:dyDescent="0.35">
      <c r="AL5453" s="86"/>
    </row>
    <row r="5454" spans="38:38" x14ac:dyDescent="0.35">
      <c r="AL5454" s="86"/>
    </row>
    <row r="5455" spans="38:38" x14ac:dyDescent="0.35">
      <c r="AL5455" s="86"/>
    </row>
    <row r="5456" spans="38:38" x14ac:dyDescent="0.35">
      <c r="AL5456" s="86"/>
    </row>
    <row r="5457" spans="38:38" x14ac:dyDescent="0.35">
      <c r="AL5457" s="86"/>
    </row>
    <row r="5458" spans="38:38" x14ac:dyDescent="0.35">
      <c r="AL5458" s="86"/>
    </row>
    <row r="5459" spans="38:38" x14ac:dyDescent="0.35">
      <c r="AL5459" s="86"/>
    </row>
    <row r="5460" spans="38:38" x14ac:dyDescent="0.35">
      <c r="AL5460" s="86"/>
    </row>
    <row r="5461" spans="38:38" x14ac:dyDescent="0.35">
      <c r="AL5461" s="86"/>
    </row>
    <row r="5462" spans="38:38" x14ac:dyDescent="0.35">
      <c r="AL5462" s="86"/>
    </row>
    <row r="5463" spans="38:38" x14ac:dyDescent="0.35">
      <c r="AL5463" s="86"/>
    </row>
    <row r="5464" spans="38:38" x14ac:dyDescent="0.35">
      <c r="AL5464" s="86"/>
    </row>
    <row r="5465" spans="38:38" x14ac:dyDescent="0.35">
      <c r="AL5465" s="86"/>
    </row>
    <row r="5466" spans="38:38" x14ac:dyDescent="0.35">
      <c r="AL5466" s="86"/>
    </row>
    <row r="5467" spans="38:38" x14ac:dyDescent="0.35">
      <c r="AL5467" s="86"/>
    </row>
    <row r="5468" spans="38:38" x14ac:dyDescent="0.35">
      <c r="AL5468" s="86"/>
    </row>
    <row r="5469" spans="38:38" x14ac:dyDescent="0.35">
      <c r="AL5469" s="86"/>
    </row>
    <row r="5470" spans="38:38" x14ac:dyDescent="0.35">
      <c r="AL5470" s="86"/>
    </row>
    <row r="5471" spans="38:38" x14ac:dyDescent="0.35">
      <c r="AL5471" s="86"/>
    </row>
    <row r="5472" spans="38:38" x14ac:dyDescent="0.35">
      <c r="AL5472" s="86"/>
    </row>
    <row r="5473" spans="38:38" x14ac:dyDescent="0.35">
      <c r="AL5473" s="86"/>
    </row>
    <row r="5474" spans="38:38" x14ac:dyDescent="0.35">
      <c r="AL5474" s="86"/>
    </row>
    <row r="5475" spans="38:38" x14ac:dyDescent="0.35">
      <c r="AL5475" s="86"/>
    </row>
    <row r="5476" spans="38:38" x14ac:dyDescent="0.35">
      <c r="AL5476" s="86"/>
    </row>
    <row r="5477" spans="38:38" x14ac:dyDescent="0.35">
      <c r="AL5477" s="86"/>
    </row>
    <row r="5478" spans="38:38" x14ac:dyDescent="0.35">
      <c r="AL5478" s="86"/>
    </row>
    <row r="5479" spans="38:38" x14ac:dyDescent="0.35">
      <c r="AL5479" s="86"/>
    </row>
    <row r="5480" spans="38:38" x14ac:dyDescent="0.35">
      <c r="AL5480" s="86"/>
    </row>
    <row r="5481" spans="38:38" x14ac:dyDescent="0.35">
      <c r="AL5481" s="86"/>
    </row>
    <row r="5482" spans="38:38" x14ac:dyDescent="0.35">
      <c r="AL5482" s="86"/>
    </row>
    <row r="5483" spans="38:38" x14ac:dyDescent="0.35">
      <c r="AL5483" s="86"/>
    </row>
    <row r="5484" spans="38:38" x14ac:dyDescent="0.35">
      <c r="AL5484" s="86"/>
    </row>
    <row r="5485" spans="38:38" x14ac:dyDescent="0.35">
      <c r="AL5485" s="86"/>
    </row>
    <row r="5486" spans="38:38" x14ac:dyDescent="0.35">
      <c r="AL5486" s="86"/>
    </row>
    <row r="5487" spans="38:38" x14ac:dyDescent="0.35">
      <c r="AL5487" s="86"/>
    </row>
    <row r="5488" spans="38:38" x14ac:dyDescent="0.35">
      <c r="AL5488" s="86"/>
    </row>
    <row r="5489" spans="38:38" x14ac:dyDescent="0.35">
      <c r="AL5489" s="86"/>
    </row>
    <row r="5490" spans="38:38" x14ac:dyDescent="0.35">
      <c r="AL5490" s="86"/>
    </row>
    <row r="5491" spans="38:38" x14ac:dyDescent="0.35">
      <c r="AL5491" s="86"/>
    </row>
    <row r="5492" spans="38:38" x14ac:dyDescent="0.35">
      <c r="AL5492" s="86"/>
    </row>
    <row r="5493" spans="38:38" x14ac:dyDescent="0.35">
      <c r="AL5493" s="86"/>
    </row>
    <row r="5494" spans="38:38" x14ac:dyDescent="0.35">
      <c r="AL5494" s="86"/>
    </row>
    <row r="5495" spans="38:38" x14ac:dyDescent="0.35">
      <c r="AL5495" s="86"/>
    </row>
    <row r="5496" spans="38:38" x14ac:dyDescent="0.35">
      <c r="AL5496" s="86"/>
    </row>
    <row r="5497" spans="38:38" x14ac:dyDescent="0.35">
      <c r="AL5497" s="86"/>
    </row>
    <row r="5498" spans="38:38" x14ac:dyDescent="0.35">
      <c r="AL5498" s="86"/>
    </row>
    <row r="5499" spans="38:38" x14ac:dyDescent="0.35">
      <c r="AL5499" s="86"/>
    </row>
    <row r="5500" spans="38:38" x14ac:dyDescent="0.35">
      <c r="AL5500" s="86"/>
    </row>
    <row r="5501" spans="38:38" x14ac:dyDescent="0.35">
      <c r="AL5501" s="86"/>
    </row>
    <row r="5502" spans="38:38" x14ac:dyDescent="0.35">
      <c r="AL5502" s="86"/>
    </row>
    <row r="5503" spans="38:38" x14ac:dyDescent="0.35">
      <c r="AL5503" s="86"/>
    </row>
    <row r="5504" spans="38:38" x14ac:dyDescent="0.35">
      <c r="AL5504" s="86"/>
    </row>
    <row r="5505" spans="38:38" x14ac:dyDescent="0.35">
      <c r="AL5505" s="86"/>
    </row>
    <row r="5506" spans="38:38" x14ac:dyDescent="0.35">
      <c r="AL5506" s="86"/>
    </row>
    <row r="5507" spans="38:38" x14ac:dyDescent="0.35">
      <c r="AL5507" s="86"/>
    </row>
    <row r="5508" spans="38:38" x14ac:dyDescent="0.35">
      <c r="AL5508" s="86"/>
    </row>
    <row r="5509" spans="38:38" x14ac:dyDescent="0.35">
      <c r="AL5509" s="86"/>
    </row>
    <row r="5510" spans="38:38" x14ac:dyDescent="0.35">
      <c r="AL5510" s="86"/>
    </row>
    <row r="5511" spans="38:38" x14ac:dyDescent="0.35">
      <c r="AL5511" s="86"/>
    </row>
    <row r="5512" spans="38:38" x14ac:dyDescent="0.35">
      <c r="AL5512" s="86"/>
    </row>
    <row r="5513" spans="38:38" x14ac:dyDescent="0.35">
      <c r="AL5513" s="86"/>
    </row>
    <row r="5514" spans="38:38" x14ac:dyDescent="0.35">
      <c r="AL5514" s="86"/>
    </row>
    <row r="5515" spans="38:38" x14ac:dyDescent="0.35">
      <c r="AL5515" s="86"/>
    </row>
    <row r="5516" spans="38:38" x14ac:dyDescent="0.35">
      <c r="AL5516" s="86"/>
    </row>
    <row r="5517" spans="38:38" x14ac:dyDescent="0.35">
      <c r="AL5517" s="86"/>
    </row>
    <row r="5518" spans="38:38" x14ac:dyDescent="0.35">
      <c r="AL5518" s="86"/>
    </row>
    <row r="5519" spans="38:38" x14ac:dyDescent="0.35">
      <c r="AL5519" s="86"/>
    </row>
    <row r="5520" spans="38:38" x14ac:dyDescent="0.35">
      <c r="AL5520" s="86"/>
    </row>
    <row r="5521" spans="38:38" x14ac:dyDescent="0.35">
      <c r="AL5521" s="86"/>
    </row>
    <row r="5522" spans="38:38" x14ac:dyDescent="0.35">
      <c r="AL5522" s="86"/>
    </row>
    <row r="5523" spans="38:38" x14ac:dyDescent="0.35">
      <c r="AL5523" s="86"/>
    </row>
    <row r="5524" spans="38:38" x14ac:dyDescent="0.35">
      <c r="AL5524" s="86"/>
    </row>
    <row r="5525" spans="38:38" x14ac:dyDescent="0.35">
      <c r="AL5525" s="86"/>
    </row>
    <row r="5526" spans="38:38" x14ac:dyDescent="0.35">
      <c r="AL5526" s="86"/>
    </row>
    <row r="5527" spans="38:38" x14ac:dyDescent="0.35">
      <c r="AL5527" s="86"/>
    </row>
    <row r="5528" spans="38:38" x14ac:dyDescent="0.35">
      <c r="AL5528" s="86"/>
    </row>
    <row r="5529" spans="38:38" x14ac:dyDescent="0.35">
      <c r="AL5529" s="86"/>
    </row>
    <row r="5530" spans="38:38" x14ac:dyDescent="0.35">
      <c r="AL5530" s="86"/>
    </row>
    <row r="5531" spans="38:38" x14ac:dyDescent="0.35">
      <c r="AL5531" s="86"/>
    </row>
    <row r="5532" spans="38:38" x14ac:dyDescent="0.35">
      <c r="AL5532" s="86"/>
    </row>
    <row r="5533" spans="38:38" x14ac:dyDescent="0.35">
      <c r="AL5533" s="86"/>
    </row>
    <row r="5534" spans="38:38" x14ac:dyDescent="0.35">
      <c r="AL5534" s="86"/>
    </row>
    <row r="5535" spans="38:38" x14ac:dyDescent="0.35">
      <c r="AL5535" s="86"/>
    </row>
    <row r="5536" spans="38:38" x14ac:dyDescent="0.35">
      <c r="AL5536" s="86"/>
    </row>
    <row r="5537" spans="38:38" x14ac:dyDescent="0.35">
      <c r="AL5537" s="86"/>
    </row>
    <row r="5538" spans="38:38" x14ac:dyDescent="0.35">
      <c r="AL5538" s="86"/>
    </row>
    <row r="5539" spans="38:38" x14ac:dyDescent="0.35">
      <c r="AL5539" s="86"/>
    </row>
    <row r="5540" spans="38:38" x14ac:dyDescent="0.35">
      <c r="AL5540" s="86"/>
    </row>
    <row r="5541" spans="38:38" x14ac:dyDescent="0.35">
      <c r="AL5541" s="86"/>
    </row>
    <row r="5542" spans="38:38" x14ac:dyDescent="0.35">
      <c r="AL5542" s="86"/>
    </row>
    <row r="5543" spans="38:38" x14ac:dyDescent="0.35">
      <c r="AL5543" s="86"/>
    </row>
    <row r="5544" spans="38:38" x14ac:dyDescent="0.35">
      <c r="AL5544" s="86"/>
    </row>
    <row r="5545" spans="38:38" x14ac:dyDescent="0.35">
      <c r="AL5545" s="86"/>
    </row>
    <row r="5546" spans="38:38" x14ac:dyDescent="0.35">
      <c r="AL5546" s="86"/>
    </row>
    <row r="5547" spans="38:38" x14ac:dyDescent="0.35">
      <c r="AL5547" s="86"/>
    </row>
    <row r="5548" spans="38:38" x14ac:dyDescent="0.35">
      <c r="AL5548" s="86"/>
    </row>
    <row r="5549" spans="38:38" x14ac:dyDescent="0.35">
      <c r="AL5549" s="86"/>
    </row>
    <row r="5550" spans="38:38" x14ac:dyDescent="0.35">
      <c r="AL5550" s="86"/>
    </row>
    <row r="5551" spans="38:38" x14ac:dyDescent="0.35">
      <c r="AL5551" s="86"/>
    </row>
    <row r="5552" spans="38:38" x14ac:dyDescent="0.35">
      <c r="AL5552" s="86"/>
    </row>
    <row r="5553" spans="38:38" x14ac:dyDescent="0.35">
      <c r="AL5553" s="86"/>
    </row>
    <row r="5554" spans="38:38" x14ac:dyDescent="0.35">
      <c r="AL5554" s="86"/>
    </row>
    <row r="5555" spans="38:38" x14ac:dyDescent="0.35">
      <c r="AL5555" s="86"/>
    </row>
    <row r="5556" spans="38:38" x14ac:dyDescent="0.35">
      <c r="AL5556" s="86"/>
    </row>
    <row r="5557" spans="38:38" x14ac:dyDescent="0.35">
      <c r="AL5557" s="86"/>
    </row>
    <row r="5558" spans="38:38" x14ac:dyDescent="0.35">
      <c r="AL5558" s="86"/>
    </row>
    <row r="5559" spans="38:38" x14ac:dyDescent="0.35">
      <c r="AL5559" s="86"/>
    </row>
    <row r="5560" spans="38:38" x14ac:dyDescent="0.35">
      <c r="AL5560" s="86"/>
    </row>
    <row r="5561" spans="38:38" x14ac:dyDescent="0.35">
      <c r="AL5561" s="86"/>
    </row>
    <row r="5562" spans="38:38" x14ac:dyDescent="0.35">
      <c r="AL5562" s="86"/>
    </row>
    <row r="5563" spans="38:38" x14ac:dyDescent="0.35">
      <c r="AL5563" s="86"/>
    </row>
    <row r="5564" spans="38:38" x14ac:dyDescent="0.35">
      <c r="AL5564" s="86"/>
    </row>
    <row r="5565" spans="38:38" x14ac:dyDescent="0.35">
      <c r="AL5565" s="86"/>
    </row>
    <row r="5566" spans="38:38" x14ac:dyDescent="0.35">
      <c r="AL5566" s="86"/>
    </row>
    <row r="5567" spans="38:38" x14ac:dyDescent="0.35">
      <c r="AL5567" s="86"/>
    </row>
    <row r="5568" spans="38:38" x14ac:dyDescent="0.35">
      <c r="AL5568" s="86"/>
    </row>
    <row r="5569" spans="38:38" x14ac:dyDescent="0.35">
      <c r="AL5569" s="86"/>
    </row>
    <row r="5570" spans="38:38" x14ac:dyDescent="0.35">
      <c r="AL5570" s="86"/>
    </row>
    <row r="5571" spans="38:38" x14ac:dyDescent="0.35">
      <c r="AL5571" s="86"/>
    </row>
    <row r="5572" spans="38:38" x14ac:dyDescent="0.35">
      <c r="AL5572" s="86"/>
    </row>
    <row r="5573" spans="38:38" x14ac:dyDescent="0.35">
      <c r="AL5573" s="86"/>
    </row>
    <row r="5574" spans="38:38" x14ac:dyDescent="0.35">
      <c r="AL5574" s="86"/>
    </row>
    <row r="5575" spans="38:38" x14ac:dyDescent="0.35">
      <c r="AL5575" s="86"/>
    </row>
    <row r="5576" spans="38:38" x14ac:dyDescent="0.35">
      <c r="AL5576" s="86"/>
    </row>
    <row r="5577" spans="38:38" x14ac:dyDescent="0.35">
      <c r="AL5577" s="86"/>
    </row>
    <row r="5578" spans="38:38" x14ac:dyDescent="0.35">
      <c r="AL5578" s="86"/>
    </row>
    <row r="5579" spans="38:38" x14ac:dyDescent="0.35">
      <c r="AL5579" s="86"/>
    </row>
    <row r="5580" spans="38:38" x14ac:dyDescent="0.35">
      <c r="AL5580" s="86"/>
    </row>
    <row r="5581" spans="38:38" x14ac:dyDescent="0.35">
      <c r="AL5581" s="86"/>
    </row>
    <row r="5582" spans="38:38" x14ac:dyDescent="0.35">
      <c r="AL5582" s="86"/>
    </row>
    <row r="5583" spans="38:38" x14ac:dyDescent="0.35">
      <c r="AL5583" s="86"/>
    </row>
    <row r="5584" spans="38:38" x14ac:dyDescent="0.35">
      <c r="AL5584" s="86"/>
    </row>
    <row r="5585" spans="38:38" x14ac:dyDescent="0.35">
      <c r="AL5585" s="86"/>
    </row>
    <row r="5586" spans="38:38" x14ac:dyDescent="0.35">
      <c r="AL5586" s="86"/>
    </row>
    <row r="5587" spans="38:38" x14ac:dyDescent="0.35">
      <c r="AL5587" s="86"/>
    </row>
    <row r="5588" spans="38:38" x14ac:dyDescent="0.35">
      <c r="AL5588" s="86"/>
    </row>
    <row r="5589" spans="38:38" x14ac:dyDescent="0.35">
      <c r="AL5589" s="86"/>
    </row>
    <row r="5590" spans="38:38" x14ac:dyDescent="0.35">
      <c r="AL5590" s="86"/>
    </row>
    <row r="5591" spans="38:38" x14ac:dyDescent="0.35">
      <c r="AL5591" s="86"/>
    </row>
    <row r="5592" spans="38:38" x14ac:dyDescent="0.35">
      <c r="AL5592" s="86"/>
    </row>
    <row r="5593" spans="38:38" x14ac:dyDescent="0.35">
      <c r="AL5593" s="86"/>
    </row>
    <row r="5594" spans="38:38" x14ac:dyDescent="0.35">
      <c r="AL5594" s="86"/>
    </row>
    <row r="5595" spans="38:38" x14ac:dyDescent="0.35">
      <c r="AL5595" s="86"/>
    </row>
    <row r="5596" spans="38:38" x14ac:dyDescent="0.35">
      <c r="AL5596" s="86"/>
    </row>
    <row r="5597" spans="38:38" x14ac:dyDescent="0.35">
      <c r="AL5597" s="86"/>
    </row>
    <row r="5598" spans="38:38" x14ac:dyDescent="0.35">
      <c r="AL5598" s="86"/>
    </row>
    <row r="5599" spans="38:38" x14ac:dyDescent="0.35">
      <c r="AL5599" s="86"/>
    </row>
    <row r="5600" spans="38:38" x14ac:dyDescent="0.35">
      <c r="AL5600" s="86"/>
    </row>
    <row r="5601" spans="38:38" x14ac:dyDescent="0.35">
      <c r="AL5601" s="86"/>
    </row>
    <row r="5602" spans="38:38" x14ac:dyDescent="0.35">
      <c r="AL5602" s="86"/>
    </row>
    <row r="5603" spans="38:38" x14ac:dyDescent="0.35">
      <c r="AL5603" s="86"/>
    </row>
    <row r="5604" spans="38:38" x14ac:dyDescent="0.35">
      <c r="AL5604" s="86"/>
    </row>
    <row r="5605" spans="38:38" x14ac:dyDescent="0.35">
      <c r="AL5605" s="86"/>
    </row>
    <row r="5606" spans="38:38" x14ac:dyDescent="0.35">
      <c r="AL5606" s="86"/>
    </row>
    <row r="5607" spans="38:38" x14ac:dyDescent="0.35">
      <c r="AL5607" s="86"/>
    </row>
    <row r="5608" spans="38:38" x14ac:dyDescent="0.35">
      <c r="AL5608" s="86"/>
    </row>
    <row r="5609" spans="38:38" x14ac:dyDescent="0.35">
      <c r="AL5609" s="86"/>
    </row>
    <row r="5610" spans="38:38" x14ac:dyDescent="0.35">
      <c r="AL5610" s="86"/>
    </row>
    <row r="5611" spans="38:38" x14ac:dyDescent="0.35">
      <c r="AL5611" s="86"/>
    </row>
    <row r="5612" spans="38:38" x14ac:dyDescent="0.35">
      <c r="AL5612" s="86"/>
    </row>
    <row r="5613" spans="38:38" x14ac:dyDescent="0.35">
      <c r="AL5613" s="86"/>
    </row>
    <row r="5614" spans="38:38" x14ac:dyDescent="0.35">
      <c r="AL5614" s="86"/>
    </row>
    <row r="5615" spans="38:38" x14ac:dyDescent="0.35">
      <c r="AL5615" s="86"/>
    </row>
    <row r="5616" spans="38:38" x14ac:dyDescent="0.35">
      <c r="AL5616" s="86"/>
    </row>
    <row r="5617" spans="38:38" x14ac:dyDescent="0.35">
      <c r="AL5617" s="86"/>
    </row>
    <row r="5618" spans="38:38" x14ac:dyDescent="0.35">
      <c r="AL5618" s="86"/>
    </row>
    <row r="5619" spans="38:38" x14ac:dyDescent="0.35">
      <c r="AL5619" s="86"/>
    </row>
    <row r="5620" spans="38:38" x14ac:dyDescent="0.35">
      <c r="AL5620" s="86"/>
    </row>
    <row r="5621" spans="38:38" x14ac:dyDescent="0.35">
      <c r="AL5621" s="86"/>
    </row>
    <row r="5622" spans="38:38" x14ac:dyDescent="0.35">
      <c r="AL5622" s="86"/>
    </row>
    <row r="5623" spans="38:38" x14ac:dyDescent="0.35">
      <c r="AL5623" s="86"/>
    </row>
    <row r="5624" spans="38:38" x14ac:dyDescent="0.35">
      <c r="AL5624" s="86"/>
    </row>
    <row r="5625" spans="38:38" x14ac:dyDescent="0.35">
      <c r="AL5625" s="86"/>
    </row>
    <row r="5626" spans="38:38" x14ac:dyDescent="0.35">
      <c r="AL5626" s="86"/>
    </row>
    <row r="5627" spans="38:38" x14ac:dyDescent="0.35">
      <c r="AL5627" s="86"/>
    </row>
    <row r="5628" spans="38:38" x14ac:dyDescent="0.35">
      <c r="AL5628" s="86"/>
    </row>
    <row r="5629" spans="38:38" x14ac:dyDescent="0.35">
      <c r="AL5629" s="86"/>
    </row>
    <row r="5630" spans="38:38" x14ac:dyDescent="0.35">
      <c r="AL5630" s="86"/>
    </row>
    <row r="5631" spans="38:38" x14ac:dyDescent="0.35">
      <c r="AL5631" s="86"/>
    </row>
    <row r="5632" spans="38:38" x14ac:dyDescent="0.35">
      <c r="AL5632" s="86"/>
    </row>
    <row r="5633" spans="38:38" x14ac:dyDescent="0.35">
      <c r="AL5633" s="86"/>
    </row>
    <row r="5634" spans="38:38" x14ac:dyDescent="0.35">
      <c r="AL5634" s="86"/>
    </row>
    <row r="5635" spans="38:38" x14ac:dyDescent="0.35">
      <c r="AL5635" s="86"/>
    </row>
    <row r="5636" spans="38:38" x14ac:dyDescent="0.35">
      <c r="AL5636" s="86"/>
    </row>
    <row r="5637" spans="38:38" x14ac:dyDescent="0.35">
      <c r="AL5637" s="86"/>
    </row>
    <row r="5638" spans="38:38" x14ac:dyDescent="0.35">
      <c r="AL5638" s="86"/>
    </row>
    <row r="5639" spans="38:38" x14ac:dyDescent="0.35">
      <c r="AL5639" s="86"/>
    </row>
    <row r="5640" spans="38:38" x14ac:dyDescent="0.35">
      <c r="AL5640" s="86"/>
    </row>
    <row r="5641" spans="38:38" x14ac:dyDescent="0.35">
      <c r="AL5641" s="86"/>
    </row>
    <row r="5642" spans="38:38" x14ac:dyDescent="0.35">
      <c r="AL5642" s="86"/>
    </row>
    <row r="5643" spans="38:38" x14ac:dyDescent="0.35">
      <c r="AL5643" s="86"/>
    </row>
    <row r="5644" spans="38:38" x14ac:dyDescent="0.35">
      <c r="AL5644" s="86"/>
    </row>
    <row r="5645" spans="38:38" x14ac:dyDescent="0.35">
      <c r="AL5645" s="86"/>
    </row>
    <row r="5646" spans="38:38" x14ac:dyDescent="0.35">
      <c r="AL5646" s="86"/>
    </row>
    <row r="5647" spans="38:38" x14ac:dyDescent="0.35">
      <c r="AL5647" s="86"/>
    </row>
    <row r="5648" spans="38:38" x14ac:dyDescent="0.35">
      <c r="AL5648" s="86"/>
    </row>
    <row r="5649" spans="38:38" x14ac:dyDescent="0.35">
      <c r="AL5649" s="86"/>
    </row>
    <row r="5650" spans="38:38" x14ac:dyDescent="0.35">
      <c r="AL5650" s="86"/>
    </row>
    <row r="5651" spans="38:38" x14ac:dyDescent="0.35">
      <c r="AL5651" s="86"/>
    </row>
    <row r="5652" spans="38:38" x14ac:dyDescent="0.35">
      <c r="AL5652" s="86"/>
    </row>
    <row r="5653" spans="38:38" x14ac:dyDescent="0.35">
      <c r="AL5653" s="86"/>
    </row>
    <row r="5654" spans="38:38" x14ac:dyDescent="0.35">
      <c r="AL5654" s="86"/>
    </row>
    <row r="5655" spans="38:38" x14ac:dyDescent="0.35">
      <c r="AL5655" s="86"/>
    </row>
    <row r="5656" spans="38:38" x14ac:dyDescent="0.35">
      <c r="AL5656" s="86"/>
    </row>
    <row r="5657" spans="38:38" x14ac:dyDescent="0.35">
      <c r="AL5657" s="86"/>
    </row>
    <row r="5658" spans="38:38" x14ac:dyDescent="0.35">
      <c r="AL5658" s="86"/>
    </row>
    <row r="5659" spans="38:38" x14ac:dyDescent="0.35">
      <c r="AL5659" s="86"/>
    </row>
    <row r="5660" spans="38:38" x14ac:dyDescent="0.35">
      <c r="AL5660" s="86"/>
    </row>
    <row r="5661" spans="38:38" x14ac:dyDescent="0.35">
      <c r="AL5661" s="86"/>
    </row>
    <row r="5662" spans="38:38" x14ac:dyDescent="0.35">
      <c r="AL5662" s="86"/>
    </row>
    <row r="5663" spans="38:38" x14ac:dyDescent="0.35">
      <c r="AL5663" s="86"/>
    </row>
    <row r="5664" spans="38:38" x14ac:dyDescent="0.35">
      <c r="AL5664" s="86"/>
    </row>
    <row r="5665" spans="38:38" x14ac:dyDescent="0.35">
      <c r="AL5665" s="86"/>
    </row>
    <row r="5666" spans="38:38" x14ac:dyDescent="0.35">
      <c r="AL5666" s="86"/>
    </row>
    <row r="5667" spans="38:38" x14ac:dyDescent="0.35">
      <c r="AL5667" s="86"/>
    </row>
    <row r="5668" spans="38:38" x14ac:dyDescent="0.35">
      <c r="AL5668" s="86"/>
    </row>
    <row r="5669" spans="38:38" x14ac:dyDescent="0.35">
      <c r="AL5669" s="86"/>
    </row>
    <row r="5670" spans="38:38" x14ac:dyDescent="0.35">
      <c r="AL5670" s="86"/>
    </row>
    <row r="5671" spans="38:38" x14ac:dyDescent="0.35">
      <c r="AL5671" s="86"/>
    </row>
    <row r="5672" spans="38:38" x14ac:dyDescent="0.35">
      <c r="AL5672" s="86"/>
    </row>
    <row r="5673" spans="38:38" x14ac:dyDescent="0.35">
      <c r="AL5673" s="86"/>
    </row>
    <row r="5674" spans="38:38" x14ac:dyDescent="0.35">
      <c r="AL5674" s="86"/>
    </row>
    <row r="5675" spans="38:38" x14ac:dyDescent="0.35">
      <c r="AL5675" s="86"/>
    </row>
    <row r="5676" spans="38:38" x14ac:dyDescent="0.35">
      <c r="AL5676" s="86"/>
    </row>
    <row r="5677" spans="38:38" x14ac:dyDescent="0.35">
      <c r="AL5677" s="86"/>
    </row>
    <row r="5678" spans="38:38" x14ac:dyDescent="0.35">
      <c r="AL5678" s="86"/>
    </row>
    <row r="5679" spans="38:38" x14ac:dyDescent="0.35">
      <c r="AL5679" s="86"/>
    </row>
    <row r="5680" spans="38:38" x14ac:dyDescent="0.35">
      <c r="AL5680" s="86"/>
    </row>
    <row r="5681" spans="38:38" x14ac:dyDescent="0.35">
      <c r="AL5681" s="86"/>
    </row>
    <row r="5682" spans="38:38" x14ac:dyDescent="0.35">
      <c r="AL5682" s="86"/>
    </row>
    <row r="5683" spans="38:38" x14ac:dyDescent="0.35">
      <c r="AL5683" s="86"/>
    </row>
    <row r="5684" spans="38:38" x14ac:dyDescent="0.35">
      <c r="AL5684" s="86"/>
    </row>
    <row r="5685" spans="38:38" x14ac:dyDescent="0.35">
      <c r="AL5685" s="86"/>
    </row>
    <row r="5686" spans="38:38" x14ac:dyDescent="0.35">
      <c r="AL5686" s="86"/>
    </row>
    <row r="5687" spans="38:38" x14ac:dyDescent="0.35">
      <c r="AL5687" s="86"/>
    </row>
    <row r="5688" spans="38:38" x14ac:dyDescent="0.35">
      <c r="AL5688" s="86"/>
    </row>
    <row r="5689" spans="38:38" x14ac:dyDescent="0.35">
      <c r="AL5689" s="86"/>
    </row>
    <row r="5690" spans="38:38" x14ac:dyDescent="0.35">
      <c r="AL5690" s="86"/>
    </row>
    <row r="5691" spans="38:38" x14ac:dyDescent="0.35">
      <c r="AL5691" s="86"/>
    </row>
    <row r="5692" spans="38:38" x14ac:dyDescent="0.35">
      <c r="AL5692" s="86"/>
    </row>
    <row r="5693" spans="38:38" x14ac:dyDescent="0.35">
      <c r="AL5693" s="86"/>
    </row>
    <row r="5694" spans="38:38" x14ac:dyDescent="0.35">
      <c r="AL5694" s="86"/>
    </row>
    <row r="5695" spans="38:38" x14ac:dyDescent="0.35">
      <c r="AL5695" s="86"/>
    </row>
    <row r="5696" spans="38:38" x14ac:dyDescent="0.35">
      <c r="AL5696" s="86"/>
    </row>
    <row r="5697" spans="38:38" x14ac:dyDescent="0.35">
      <c r="AL5697" s="86"/>
    </row>
    <row r="5698" spans="38:38" x14ac:dyDescent="0.35">
      <c r="AL5698" s="86"/>
    </row>
    <row r="5699" spans="38:38" x14ac:dyDescent="0.35">
      <c r="AL5699" s="86"/>
    </row>
    <row r="5700" spans="38:38" x14ac:dyDescent="0.35">
      <c r="AL5700" s="86"/>
    </row>
    <row r="5701" spans="38:38" x14ac:dyDescent="0.35">
      <c r="AL5701" s="86"/>
    </row>
    <row r="5702" spans="38:38" x14ac:dyDescent="0.35">
      <c r="AL5702" s="86"/>
    </row>
    <row r="5703" spans="38:38" x14ac:dyDescent="0.35">
      <c r="AL5703" s="86"/>
    </row>
    <row r="5704" spans="38:38" x14ac:dyDescent="0.35">
      <c r="AL5704" s="86"/>
    </row>
    <row r="5705" spans="38:38" x14ac:dyDescent="0.35">
      <c r="AL5705" s="86"/>
    </row>
    <row r="5706" spans="38:38" x14ac:dyDescent="0.35">
      <c r="AL5706" s="86"/>
    </row>
    <row r="5707" spans="38:38" x14ac:dyDescent="0.35">
      <c r="AL5707" s="86"/>
    </row>
    <row r="5708" spans="38:38" x14ac:dyDescent="0.35">
      <c r="AL5708" s="86"/>
    </row>
    <row r="5709" spans="38:38" x14ac:dyDescent="0.35">
      <c r="AL5709" s="86"/>
    </row>
    <row r="5710" spans="38:38" x14ac:dyDescent="0.35">
      <c r="AL5710" s="86"/>
    </row>
    <row r="5711" spans="38:38" x14ac:dyDescent="0.35">
      <c r="AL5711" s="86"/>
    </row>
    <row r="5712" spans="38:38" x14ac:dyDescent="0.35">
      <c r="AL5712" s="86"/>
    </row>
    <row r="5713" spans="38:38" x14ac:dyDescent="0.35">
      <c r="AL5713" s="86"/>
    </row>
    <row r="5714" spans="38:38" x14ac:dyDescent="0.35">
      <c r="AL5714" s="86"/>
    </row>
    <row r="5715" spans="38:38" x14ac:dyDescent="0.35">
      <c r="AL5715" s="86"/>
    </row>
    <row r="5716" spans="38:38" x14ac:dyDescent="0.35">
      <c r="AL5716" s="86"/>
    </row>
    <row r="5717" spans="38:38" x14ac:dyDescent="0.35">
      <c r="AL5717" s="86"/>
    </row>
    <row r="5718" spans="38:38" x14ac:dyDescent="0.35">
      <c r="AL5718" s="86"/>
    </row>
    <row r="5719" spans="38:38" x14ac:dyDescent="0.35">
      <c r="AL5719" s="86"/>
    </row>
    <row r="5720" spans="38:38" x14ac:dyDescent="0.35">
      <c r="AL5720" s="86"/>
    </row>
    <row r="5721" spans="38:38" x14ac:dyDescent="0.35">
      <c r="AL5721" s="86"/>
    </row>
    <row r="5722" spans="38:38" x14ac:dyDescent="0.35">
      <c r="AL5722" s="86"/>
    </row>
    <row r="5723" spans="38:38" x14ac:dyDescent="0.35">
      <c r="AL5723" s="86"/>
    </row>
    <row r="5724" spans="38:38" x14ac:dyDescent="0.35">
      <c r="AL5724" s="86"/>
    </row>
    <row r="5725" spans="38:38" x14ac:dyDescent="0.35">
      <c r="AL5725" s="86"/>
    </row>
    <row r="5726" spans="38:38" x14ac:dyDescent="0.35">
      <c r="AL5726" s="86"/>
    </row>
    <row r="5727" spans="38:38" x14ac:dyDescent="0.35">
      <c r="AL5727" s="86"/>
    </row>
    <row r="5728" spans="38:38" x14ac:dyDescent="0.35">
      <c r="AL5728" s="86"/>
    </row>
    <row r="5729" spans="38:38" x14ac:dyDescent="0.35">
      <c r="AL5729" s="86"/>
    </row>
    <row r="5730" spans="38:38" x14ac:dyDescent="0.35">
      <c r="AL5730" s="86"/>
    </row>
    <row r="5731" spans="38:38" x14ac:dyDescent="0.35">
      <c r="AL5731" s="86"/>
    </row>
    <row r="5732" spans="38:38" x14ac:dyDescent="0.35">
      <c r="AL5732" s="86"/>
    </row>
    <row r="5733" spans="38:38" x14ac:dyDescent="0.35">
      <c r="AL5733" s="86"/>
    </row>
    <row r="5734" spans="38:38" x14ac:dyDescent="0.35">
      <c r="AL5734" s="86"/>
    </row>
    <row r="5735" spans="38:38" x14ac:dyDescent="0.35">
      <c r="AL5735" s="86"/>
    </row>
    <row r="5736" spans="38:38" x14ac:dyDescent="0.35">
      <c r="AL5736" s="86"/>
    </row>
    <row r="5737" spans="38:38" x14ac:dyDescent="0.35">
      <c r="AL5737" s="86"/>
    </row>
    <row r="5738" spans="38:38" x14ac:dyDescent="0.35">
      <c r="AL5738" s="86"/>
    </row>
    <row r="5739" spans="38:38" x14ac:dyDescent="0.35">
      <c r="AL5739" s="86"/>
    </row>
    <row r="5740" spans="38:38" x14ac:dyDescent="0.35">
      <c r="AL5740" s="86"/>
    </row>
    <row r="5741" spans="38:38" x14ac:dyDescent="0.35">
      <c r="AL5741" s="86"/>
    </row>
    <row r="5742" spans="38:38" x14ac:dyDescent="0.35">
      <c r="AL5742" s="86"/>
    </row>
    <row r="5743" spans="38:38" x14ac:dyDescent="0.35">
      <c r="AL5743" s="86"/>
    </row>
    <row r="5744" spans="38:38" x14ac:dyDescent="0.35">
      <c r="AL5744" s="86"/>
    </row>
    <row r="5745" spans="38:38" x14ac:dyDescent="0.35">
      <c r="AL5745" s="86"/>
    </row>
    <row r="5746" spans="38:38" x14ac:dyDescent="0.35">
      <c r="AL5746" s="86"/>
    </row>
    <row r="5747" spans="38:38" x14ac:dyDescent="0.35">
      <c r="AL5747" s="86"/>
    </row>
    <row r="5748" spans="38:38" x14ac:dyDescent="0.35">
      <c r="AL5748" s="86"/>
    </row>
    <row r="5749" spans="38:38" x14ac:dyDescent="0.35">
      <c r="AL5749" s="86"/>
    </row>
    <row r="5750" spans="38:38" x14ac:dyDescent="0.35">
      <c r="AL5750" s="86"/>
    </row>
    <row r="5751" spans="38:38" x14ac:dyDescent="0.35">
      <c r="AL5751" s="86"/>
    </row>
    <row r="5752" spans="38:38" x14ac:dyDescent="0.35">
      <c r="AL5752" s="86"/>
    </row>
    <row r="5753" spans="38:38" x14ac:dyDescent="0.35">
      <c r="AL5753" s="86"/>
    </row>
    <row r="5754" spans="38:38" x14ac:dyDescent="0.35">
      <c r="AL5754" s="86"/>
    </row>
    <row r="5755" spans="38:38" x14ac:dyDescent="0.35">
      <c r="AL5755" s="86"/>
    </row>
    <row r="5756" spans="38:38" x14ac:dyDescent="0.35">
      <c r="AL5756" s="86"/>
    </row>
    <row r="5757" spans="38:38" x14ac:dyDescent="0.35">
      <c r="AL5757" s="86"/>
    </row>
    <row r="5758" spans="38:38" x14ac:dyDescent="0.35">
      <c r="AL5758" s="86"/>
    </row>
    <row r="5759" spans="38:38" x14ac:dyDescent="0.35">
      <c r="AL5759" s="86"/>
    </row>
    <row r="5760" spans="38:38" x14ac:dyDescent="0.35">
      <c r="AL5760" s="86"/>
    </row>
    <row r="5761" spans="38:38" x14ac:dyDescent="0.35">
      <c r="AL5761" s="86"/>
    </row>
    <row r="5762" spans="38:38" x14ac:dyDescent="0.35">
      <c r="AL5762" s="86"/>
    </row>
    <row r="5763" spans="38:38" x14ac:dyDescent="0.35">
      <c r="AL5763" s="86"/>
    </row>
    <row r="5764" spans="38:38" x14ac:dyDescent="0.35">
      <c r="AL5764" s="86"/>
    </row>
    <row r="5765" spans="38:38" x14ac:dyDescent="0.35">
      <c r="AL5765" s="86"/>
    </row>
    <row r="5766" spans="38:38" x14ac:dyDescent="0.35">
      <c r="AL5766" s="86"/>
    </row>
    <row r="5767" spans="38:38" x14ac:dyDescent="0.35">
      <c r="AL5767" s="86"/>
    </row>
    <row r="5768" spans="38:38" x14ac:dyDescent="0.35">
      <c r="AL5768" s="86"/>
    </row>
    <row r="5769" spans="38:38" x14ac:dyDescent="0.35">
      <c r="AL5769" s="86"/>
    </row>
    <row r="5770" spans="38:38" x14ac:dyDescent="0.35">
      <c r="AL5770" s="86"/>
    </row>
    <row r="5771" spans="38:38" x14ac:dyDescent="0.35">
      <c r="AL5771" s="86"/>
    </row>
    <row r="5772" spans="38:38" x14ac:dyDescent="0.35">
      <c r="AL5772" s="86"/>
    </row>
    <row r="5773" spans="38:38" x14ac:dyDescent="0.35">
      <c r="AL5773" s="86"/>
    </row>
    <row r="5774" spans="38:38" x14ac:dyDescent="0.35">
      <c r="AL5774" s="86"/>
    </row>
    <row r="5775" spans="38:38" x14ac:dyDescent="0.35">
      <c r="AL5775" s="86"/>
    </row>
    <row r="5776" spans="38:38" x14ac:dyDescent="0.35">
      <c r="AL5776" s="86"/>
    </row>
    <row r="5777" spans="38:38" x14ac:dyDescent="0.35">
      <c r="AL5777" s="86"/>
    </row>
    <row r="5778" spans="38:38" x14ac:dyDescent="0.35">
      <c r="AL5778" s="86"/>
    </row>
    <row r="5779" spans="38:38" x14ac:dyDescent="0.35">
      <c r="AL5779" s="86"/>
    </row>
    <row r="5780" spans="38:38" x14ac:dyDescent="0.35">
      <c r="AL5780" s="86"/>
    </row>
    <row r="5781" spans="38:38" x14ac:dyDescent="0.35">
      <c r="AL5781" s="86"/>
    </row>
    <row r="5782" spans="38:38" x14ac:dyDescent="0.35">
      <c r="AL5782" s="86"/>
    </row>
    <row r="5783" spans="38:38" x14ac:dyDescent="0.35">
      <c r="AL5783" s="86"/>
    </row>
    <row r="5784" spans="38:38" x14ac:dyDescent="0.35">
      <c r="AL5784" s="86"/>
    </row>
    <row r="5785" spans="38:38" x14ac:dyDescent="0.35">
      <c r="AL5785" s="86"/>
    </row>
    <row r="5786" spans="38:38" x14ac:dyDescent="0.35">
      <c r="AL5786" s="86"/>
    </row>
    <row r="5787" spans="38:38" x14ac:dyDescent="0.35">
      <c r="AL5787" s="86"/>
    </row>
    <row r="5788" spans="38:38" x14ac:dyDescent="0.35">
      <c r="AL5788" s="86"/>
    </row>
    <row r="5789" spans="38:38" x14ac:dyDescent="0.35">
      <c r="AL5789" s="86"/>
    </row>
    <row r="5790" spans="38:38" x14ac:dyDescent="0.35">
      <c r="AL5790" s="86"/>
    </row>
    <row r="5791" spans="38:38" x14ac:dyDescent="0.35">
      <c r="AL5791" s="86"/>
    </row>
    <row r="5792" spans="38:38" x14ac:dyDescent="0.35">
      <c r="AL5792" s="86"/>
    </row>
    <row r="5793" spans="38:38" x14ac:dyDescent="0.35">
      <c r="AL5793" s="86"/>
    </row>
    <row r="5794" spans="38:38" x14ac:dyDescent="0.35">
      <c r="AL5794" s="86"/>
    </row>
    <row r="5795" spans="38:38" x14ac:dyDescent="0.35">
      <c r="AL5795" s="86"/>
    </row>
    <row r="5796" spans="38:38" x14ac:dyDescent="0.35">
      <c r="AL5796" s="86"/>
    </row>
    <row r="5797" spans="38:38" x14ac:dyDescent="0.35">
      <c r="AL5797" s="86"/>
    </row>
    <row r="5798" spans="38:38" x14ac:dyDescent="0.35">
      <c r="AL5798" s="86"/>
    </row>
    <row r="5799" spans="38:38" x14ac:dyDescent="0.35">
      <c r="AL5799" s="86"/>
    </row>
    <row r="5800" spans="38:38" x14ac:dyDescent="0.35">
      <c r="AL5800" s="86"/>
    </row>
    <row r="5801" spans="38:38" x14ac:dyDescent="0.35">
      <c r="AL5801" s="86"/>
    </row>
    <row r="5802" spans="38:38" x14ac:dyDescent="0.35">
      <c r="AL5802" s="86"/>
    </row>
    <row r="5803" spans="38:38" x14ac:dyDescent="0.35">
      <c r="AL5803" s="86"/>
    </row>
    <row r="5804" spans="38:38" x14ac:dyDescent="0.35">
      <c r="AL5804" s="86"/>
    </row>
    <row r="5805" spans="38:38" x14ac:dyDescent="0.35">
      <c r="AL5805" s="86"/>
    </row>
    <row r="5806" spans="38:38" x14ac:dyDescent="0.35">
      <c r="AL5806" s="86"/>
    </row>
    <row r="5807" spans="38:38" x14ac:dyDescent="0.35">
      <c r="AL5807" s="86"/>
    </row>
    <row r="5808" spans="38:38" x14ac:dyDescent="0.35">
      <c r="AL5808" s="86"/>
    </row>
    <row r="5809" spans="38:38" x14ac:dyDescent="0.35">
      <c r="AL5809" s="86"/>
    </row>
    <row r="5810" spans="38:38" x14ac:dyDescent="0.35">
      <c r="AL5810" s="86"/>
    </row>
    <row r="5811" spans="38:38" x14ac:dyDescent="0.35">
      <c r="AL5811" s="86"/>
    </row>
    <row r="5812" spans="38:38" x14ac:dyDescent="0.35">
      <c r="AL5812" s="86"/>
    </row>
    <row r="5813" spans="38:38" x14ac:dyDescent="0.35">
      <c r="AL5813" s="86"/>
    </row>
    <row r="5814" spans="38:38" x14ac:dyDescent="0.35">
      <c r="AL5814" s="86"/>
    </row>
    <row r="5815" spans="38:38" x14ac:dyDescent="0.35">
      <c r="AL5815" s="86"/>
    </row>
    <row r="5816" spans="38:38" x14ac:dyDescent="0.35">
      <c r="AL5816" s="86"/>
    </row>
    <row r="5817" spans="38:38" x14ac:dyDescent="0.35">
      <c r="AL5817" s="86"/>
    </row>
    <row r="5818" spans="38:38" x14ac:dyDescent="0.35">
      <c r="AL5818" s="86"/>
    </row>
    <row r="5819" spans="38:38" x14ac:dyDescent="0.35">
      <c r="AL5819" s="86"/>
    </row>
    <row r="5820" spans="38:38" x14ac:dyDescent="0.35">
      <c r="AL5820" s="86"/>
    </row>
    <row r="5821" spans="38:38" x14ac:dyDescent="0.35">
      <c r="AL5821" s="86"/>
    </row>
    <row r="5822" spans="38:38" x14ac:dyDescent="0.35">
      <c r="AL5822" s="86"/>
    </row>
    <row r="5823" spans="38:38" x14ac:dyDescent="0.35">
      <c r="AL5823" s="86"/>
    </row>
    <row r="5824" spans="38:38" x14ac:dyDescent="0.35">
      <c r="AL5824" s="86"/>
    </row>
    <row r="5825" spans="38:38" x14ac:dyDescent="0.35">
      <c r="AL5825" s="86"/>
    </row>
    <row r="5826" spans="38:38" x14ac:dyDescent="0.35">
      <c r="AL5826" s="86"/>
    </row>
    <row r="5827" spans="38:38" x14ac:dyDescent="0.35">
      <c r="AL5827" s="86"/>
    </row>
    <row r="5828" spans="38:38" x14ac:dyDescent="0.35">
      <c r="AL5828" s="86"/>
    </row>
    <row r="5829" spans="38:38" x14ac:dyDescent="0.35">
      <c r="AL5829" s="86"/>
    </row>
    <row r="5830" spans="38:38" x14ac:dyDescent="0.35">
      <c r="AL5830" s="86"/>
    </row>
    <row r="5831" spans="38:38" x14ac:dyDescent="0.35">
      <c r="AL5831" s="86"/>
    </row>
    <row r="5832" spans="38:38" x14ac:dyDescent="0.35">
      <c r="AL5832" s="86"/>
    </row>
    <row r="5833" spans="38:38" x14ac:dyDescent="0.35">
      <c r="AL5833" s="86"/>
    </row>
    <row r="5834" spans="38:38" x14ac:dyDescent="0.35">
      <c r="AL5834" s="86"/>
    </row>
    <row r="5835" spans="38:38" x14ac:dyDescent="0.35">
      <c r="AL5835" s="86"/>
    </row>
    <row r="5836" spans="38:38" x14ac:dyDescent="0.35">
      <c r="AL5836" s="86"/>
    </row>
    <row r="5837" spans="38:38" x14ac:dyDescent="0.35">
      <c r="AL5837" s="86"/>
    </row>
    <row r="5838" spans="38:38" x14ac:dyDescent="0.35">
      <c r="AL5838" s="86"/>
    </row>
    <row r="5839" spans="38:38" x14ac:dyDescent="0.35">
      <c r="AL5839" s="86"/>
    </row>
    <row r="5840" spans="38:38" x14ac:dyDescent="0.35">
      <c r="AL5840" s="86"/>
    </row>
    <row r="5841" spans="38:38" x14ac:dyDescent="0.35">
      <c r="AL5841" s="86"/>
    </row>
    <row r="5842" spans="38:38" x14ac:dyDescent="0.35">
      <c r="AL5842" s="86"/>
    </row>
    <row r="5843" spans="38:38" x14ac:dyDescent="0.35">
      <c r="AL5843" s="86"/>
    </row>
    <row r="5844" spans="38:38" x14ac:dyDescent="0.35">
      <c r="AL5844" s="86"/>
    </row>
    <row r="5845" spans="38:38" x14ac:dyDescent="0.35">
      <c r="AL5845" s="86"/>
    </row>
    <row r="5846" spans="38:38" x14ac:dyDescent="0.35">
      <c r="AL5846" s="86"/>
    </row>
    <row r="5847" spans="38:38" x14ac:dyDescent="0.35">
      <c r="AL5847" s="86"/>
    </row>
    <row r="5848" spans="38:38" x14ac:dyDescent="0.35">
      <c r="AL5848" s="86"/>
    </row>
    <row r="5849" spans="38:38" x14ac:dyDescent="0.35">
      <c r="AL5849" s="86"/>
    </row>
    <row r="5850" spans="38:38" x14ac:dyDescent="0.35">
      <c r="AL5850" s="86"/>
    </row>
    <row r="5851" spans="38:38" x14ac:dyDescent="0.35">
      <c r="AL5851" s="86"/>
    </row>
    <row r="5852" spans="38:38" x14ac:dyDescent="0.35">
      <c r="AL5852" s="86"/>
    </row>
    <row r="5853" spans="38:38" x14ac:dyDescent="0.35">
      <c r="AL5853" s="86"/>
    </row>
    <row r="5854" spans="38:38" x14ac:dyDescent="0.35">
      <c r="AL5854" s="86"/>
    </row>
    <row r="5855" spans="38:38" x14ac:dyDescent="0.35">
      <c r="AL5855" s="86"/>
    </row>
    <row r="5856" spans="38:38" x14ac:dyDescent="0.35">
      <c r="AL5856" s="86"/>
    </row>
    <row r="5857" spans="38:38" x14ac:dyDescent="0.35">
      <c r="AL5857" s="86"/>
    </row>
    <row r="5858" spans="38:38" x14ac:dyDescent="0.35">
      <c r="AL5858" s="86"/>
    </row>
    <row r="5859" spans="38:38" x14ac:dyDescent="0.35">
      <c r="AL5859" s="86"/>
    </row>
    <row r="5860" spans="38:38" x14ac:dyDescent="0.35">
      <c r="AL5860" s="86"/>
    </row>
    <row r="5861" spans="38:38" x14ac:dyDescent="0.35">
      <c r="AL5861" s="86"/>
    </row>
    <row r="5862" spans="38:38" x14ac:dyDescent="0.35">
      <c r="AL5862" s="86"/>
    </row>
    <row r="5863" spans="38:38" x14ac:dyDescent="0.35">
      <c r="AL5863" s="86"/>
    </row>
    <row r="5864" spans="38:38" x14ac:dyDescent="0.35">
      <c r="AL5864" s="86"/>
    </row>
    <row r="5865" spans="38:38" x14ac:dyDescent="0.35">
      <c r="AL5865" s="86"/>
    </row>
    <row r="5866" spans="38:38" x14ac:dyDescent="0.35">
      <c r="AL5866" s="86"/>
    </row>
    <row r="5867" spans="38:38" x14ac:dyDescent="0.35">
      <c r="AL5867" s="86"/>
    </row>
    <row r="5868" spans="38:38" x14ac:dyDescent="0.35">
      <c r="AL5868" s="86"/>
    </row>
    <row r="5869" spans="38:38" x14ac:dyDescent="0.35">
      <c r="AL5869" s="86"/>
    </row>
    <row r="5870" spans="38:38" x14ac:dyDescent="0.35">
      <c r="AL5870" s="86"/>
    </row>
    <row r="5871" spans="38:38" x14ac:dyDescent="0.35">
      <c r="AL5871" s="86"/>
    </row>
    <row r="5872" spans="38:38" x14ac:dyDescent="0.35">
      <c r="AL5872" s="86"/>
    </row>
    <row r="5873" spans="38:38" x14ac:dyDescent="0.35">
      <c r="AL5873" s="86"/>
    </row>
    <row r="5874" spans="38:38" x14ac:dyDescent="0.35">
      <c r="AL5874" s="86"/>
    </row>
    <row r="5875" spans="38:38" x14ac:dyDescent="0.35">
      <c r="AL5875" s="86"/>
    </row>
    <row r="5876" spans="38:38" x14ac:dyDescent="0.35">
      <c r="AL5876" s="86"/>
    </row>
    <row r="5877" spans="38:38" x14ac:dyDescent="0.35">
      <c r="AL5877" s="86"/>
    </row>
    <row r="5878" spans="38:38" x14ac:dyDescent="0.35">
      <c r="AL5878" s="86"/>
    </row>
    <row r="5879" spans="38:38" x14ac:dyDescent="0.35">
      <c r="AL5879" s="86"/>
    </row>
    <row r="5880" spans="38:38" x14ac:dyDescent="0.35">
      <c r="AL5880" s="86"/>
    </row>
    <row r="5881" spans="38:38" x14ac:dyDescent="0.35">
      <c r="AL5881" s="86"/>
    </row>
    <row r="5882" spans="38:38" x14ac:dyDescent="0.35">
      <c r="AL5882" s="86"/>
    </row>
    <row r="5883" spans="38:38" x14ac:dyDescent="0.35">
      <c r="AL5883" s="86"/>
    </row>
    <row r="5884" spans="38:38" x14ac:dyDescent="0.35">
      <c r="AL5884" s="86"/>
    </row>
    <row r="5885" spans="38:38" x14ac:dyDescent="0.35">
      <c r="AL5885" s="86"/>
    </row>
    <row r="5886" spans="38:38" x14ac:dyDescent="0.35">
      <c r="AL5886" s="86"/>
    </row>
    <row r="5887" spans="38:38" x14ac:dyDescent="0.35">
      <c r="AL5887" s="86"/>
    </row>
    <row r="5888" spans="38:38" x14ac:dyDescent="0.35">
      <c r="AL5888" s="86"/>
    </row>
    <row r="5889" spans="38:38" x14ac:dyDescent="0.35">
      <c r="AL5889" s="86"/>
    </row>
    <row r="5890" spans="38:38" x14ac:dyDescent="0.35">
      <c r="AL5890" s="86"/>
    </row>
    <row r="5891" spans="38:38" x14ac:dyDescent="0.35">
      <c r="AL5891" s="86"/>
    </row>
    <row r="5892" spans="38:38" x14ac:dyDescent="0.35">
      <c r="AL5892" s="86"/>
    </row>
    <row r="5893" spans="38:38" x14ac:dyDescent="0.35">
      <c r="AL5893" s="86"/>
    </row>
    <row r="5894" spans="38:38" x14ac:dyDescent="0.35">
      <c r="AL5894" s="86"/>
    </row>
    <row r="5895" spans="38:38" x14ac:dyDescent="0.35">
      <c r="AL5895" s="86"/>
    </row>
    <row r="5896" spans="38:38" x14ac:dyDescent="0.35">
      <c r="AL5896" s="86"/>
    </row>
    <row r="5897" spans="38:38" x14ac:dyDescent="0.35">
      <c r="AL5897" s="86"/>
    </row>
    <row r="5898" spans="38:38" x14ac:dyDescent="0.35">
      <c r="AL5898" s="86"/>
    </row>
    <row r="5899" spans="38:38" x14ac:dyDescent="0.35">
      <c r="AL5899" s="86"/>
    </row>
    <row r="5900" spans="38:38" x14ac:dyDescent="0.35">
      <c r="AL5900" s="86"/>
    </row>
    <row r="5901" spans="38:38" x14ac:dyDescent="0.35">
      <c r="AL5901" s="86"/>
    </row>
    <row r="5902" spans="38:38" x14ac:dyDescent="0.35">
      <c r="AL5902" s="86"/>
    </row>
    <row r="5903" spans="38:38" x14ac:dyDescent="0.35">
      <c r="AL5903" s="86"/>
    </row>
    <row r="5904" spans="38:38" x14ac:dyDescent="0.35">
      <c r="AL5904" s="86"/>
    </row>
    <row r="5905" spans="38:38" x14ac:dyDescent="0.35">
      <c r="AL5905" s="86"/>
    </row>
    <row r="5906" spans="38:38" x14ac:dyDescent="0.35">
      <c r="AL5906" s="86"/>
    </row>
    <row r="5907" spans="38:38" x14ac:dyDescent="0.35">
      <c r="AL5907" s="86"/>
    </row>
    <row r="5908" spans="38:38" x14ac:dyDescent="0.35">
      <c r="AL5908" s="86"/>
    </row>
    <row r="5909" spans="38:38" x14ac:dyDescent="0.35">
      <c r="AL5909" s="86"/>
    </row>
    <row r="5910" spans="38:38" x14ac:dyDescent="0.35">
      <c r="AL5910" s="86"/>
    </row>
    <row r="5911" spans="38:38" x14ac:dyDescent="0.35">
      <c r="AL5911" s="86"/>
    </row>
    <row r="5912" spans="38:38" x14ac:dyDescent="0.35">
      <c r="AL5912" s="86"/>
    </row>
    <row r="5913" spans="38:38" x14ac:dyDescent="0.35">
      <c r="AL5913" s="86"/>
    </row>
    <row r="5914" spans="38:38" x14ac:dyDescent="0.35">
      <c r="AL5914" s="86"/>
    </row>
    <row r="5915" spans="38:38" x14ac:dyDescent="0.35">
      <c r="AL5915" s="86"/>
    </row>
    <row r="5916" spans="38:38" x14ac:dyDescent="0.35">
      <c r="AL5916" s="86"/>
    </row>
    <row r="5917" spans="38:38" x14ac:dyDescent="0.35">
      <c r="AL5917" s="86"/>
    </row>
    <row r="5918" spans="38:38" x14ac:dyDescent="0.35">
      <c r="AL5918" s="86"/>
    </row>
    <row r="5919" spans="38:38" x14ac:dyDescent="0.35">
      <c r="AL5919" s="86"/>
    </row>
    <row r="5920" spans="38:38" x14ac:dyDescent="0.35">
      <c r="AL5920" s="86"/>
    </row>
    <row r="5921" spans="38:38" x14ac:dyDescent="0.35">
      <c r="AL5921" s="86"/>
    </row>
    <row r="5922" spans="38:38" x14ac:dyDescent="0.35">
      <c r="AL5922" s="86"/>
    </row>
    <row r="5923" spans="38:38" x14ac:dyDescent="0.35">
      <c r="AL5923" s="86"/>
    </row>
    <row r="5924" spans="38:38" x14ac:dyDescent="0.35">
      <c r="AL5924" s="86"/>
    </row>
    <row r="5925" spans="38:38" x14ac:dyDescent="0.35">
      <c r="AL5925" s="86"/>
    </row>
    <row r="5926" spans="38:38" x14ac:dyDescent="0.35">
      <c r="AL5926" s="86"/>
    </row>
    <row r="5927" spans="38:38" x14ac:dyDescent="0.35">
      <c r="AL5927" s="86"/>
    </row>
    <row r="5928" spans="38:38" x14ac:dyDescent="0.35">
      <c r="AL5928" s="86"/>
    </row>
    <row r="5929" spans="38:38" x14ac:dyDescent="0.35">
      <c r="AL5929" s="86"/>
    </row>
    <row r="5930" spans="38:38" x14ac:dyDescent="0.35">
      <c r="AL5930" s="86"/>
    </row>
    <row r="5931" spans="38:38" x14ac:dyDescent="0.35">
      <c r="AL5931" s="86"/>
    </row>
    <row r="5932" spans="38:38" x14ac:dyDescent="0.35">
      <c r="AL5932" s="86"/>
    </row>
    <row r="5933" spans="38:38" x14ac:dyDescent="0.35">
      <c r="AL5933" s="86"/>
    </row>
    <row r="5934" spans="38:38" x14ac:dyDescent="0.35">
      <c r="AL5934" s="86"/>
    </row>
    <row r="5935" spans="38:38" x14ac:dyDescent="0.35">
      <c r="AL5935" s="86"/>
    </row>
    <row r="5936" spans="38:38" x14ac:dyDescent="0.35">
      <c r="AL5936" s="86"/>
    </row>
    <row r="5937" spans="38:38" x14ac:dyDescent="0.35">
      <c r="AL5937" s="86"/>
    </row>
    <row r="5938" spans="38:38" x14ac:dyDescent="0.35">
      <c r="AL5938" s="86"/>
    </row>
    <row r="5939" spans="38:38" x14ac:dyDescent="0.35">
      <c r="AL5939" s="86"/>
    </row>
    <row r="5940" spans="38:38" x14ac:dyDescent="0.35">
      <c r="AL5940" s="86"/>
    </row>
    <row r="5941" spans="38:38" x14ac:dyDescent="0.35">
      <c r="AL5941" s="86"/>
    </row>
    <row r="5942" spans="38:38" x14ac:dyDescent="0.35">
      <c r="AL5942" s="86"/>
    </row>
    <row r="5943" spans="38:38" x14ac:dyDescent="0.35">
      <c r="AL5943" s="86"/>
    </row>
    <row r="5944" spans="38:38" x14ac:dyDescent="0.35">
      <c r="AL5944" s="86"/>
    </row>
    <row r="5945" spans="38:38" x14ac:dyDescent="0.35">
      <c r="AL5945" s="86"/>
    </row>
    <row r="5946" spans="38:38" x14ac:dyDescent="0.35">
      <c r="AL5946" s="86"/>
    </row>
    <row r="5947" spans="38:38" x14ac:dyDescent="0.35">
      <c r="AL5947" s="86"/>
    </row>
    <row r="5948" spans="38:38" x14ac:dyDescent="0.35">
      <c r="AL5948" s="86"/>
    </row>
    <row r="5949" spans="38:38" x14ac:dyDescent="0.35">
      <c r="AL5949" s="86"/>
    </row>
    <row r="5950" spans="38:38" x14ac:dyDescent="0.35">
      <c r="AL5950" s="86"/>
    </row>
    <row r="5951" spans="38:38" x14ac:dyDescent="0.35">
      <c r="AL5951" s="86"/>
    </row>
    <row r="5952" spans="38:38" x14ac:dyDescent="0.35">
      <c r="AL5952" s="86"/>
    </row>
    <row r="5953" spans="38:38" x14ac:dyDescent="0.35">
      <c r="AL5953" s="86"/>
    </row>
    <row r="5954" spans="38:38" x14ac:dyDescent="0.35">
      <c r="AL5954" s="86"/>
    </row>
    <row r="5955" spans="38:38" x14ac:dyDescent="0.35">
      <c r="AL5955" s="86"/>
    </row>
    <row r="5956" spans="38:38" x14ac:dyDescent="0.35">
      <c r="AL5956" s="86"/>
    </row>
    <row r="5957" spans="38:38" x14ac:dyDescent="0.35">
      <c r="AL5957" s="86"/>
    </row>
    <row r="5958" spans="38:38" x14ac:dyDescent="0.35">
      <c r="AL5958" s="86"/>
    </row>
    <row r="5959" spans="38:38" x14ac:dyDescent="0.35">
      <c r="AL5959" s="86"/>
    </row>
    <row r="5960" spans="38:38" x14ac:dyDescent="0.35">
      <c r="AL5960" s="86"/>
    </row>
    <row r="5961" spans="38:38" x14ac:dyDescent="0.35">
      <c r="AL5961" s="86"/>
    </row>
    <row r="5962" spans="38:38" x14ac:dyDescent="0.35">
      <c r="AL5962" s="86"/>
    </row>
    <row r="5963" spans="38:38" x14ac:dyDescent="0.35">
      <c r="AL5963" s="86"/>
    </row>
    <row r="5964" spans="38:38" x14ac:dyDescent="0.35">
      <c r="AL5964" s="86"/>
    </row>
    <row r="5965" spans="38:38" x14ac:dyDescent="0.35">
      <c r="AL5965" s="86"/>
    </row>
    <row r="5966" spans="38:38" x14ac:dyDescent="0.35">
      <c r="AL5966" s="86"/>
    </row>
    <row r="5967" spans="38:38" x14ac:dyDescent="0.35">
      <c r="AL5967" s="86"/>
    </row>
    <row r="5968" spans="38:38" x14ac:dyDescent="0.35">
      <c r="AL5968" s="86"/>
    </row>
    <row r="5969" spans="38:38" x14ac:dyDescent="0.35">
      <c r="AL5969" s="86"/>
    </row>
    <row r="5970" spans="38:38" x14ac:dyDescent="0.35">
      <c r="AL5970" s="86"/>
    </row>
    <row r="5971" spans="38:38" x14ac:dyDescent="0.35">
      <c r="AL5971" s="86"/>
    </row>
    <row r="5972" spans="38:38" x14ac:dyDescent="0.35">
      <c r="AL5972" s="86"/>
    </row>
    <row r="5973" spans="38:38" x14ac:dyDescent="0.35">
      <c r="AL5973" s="86"/>
    </row>
    <row r="5974" spans="38:38" x14ac:dyDescent="0.35">
      <c r="AL5974" s="86"/>
    </row>
    <row r="5975" spans="38:38" x14ac:dyDescent="0.35">
      <c r="AL5975" s="86"/>
    </row>
    <row r="5976" spans="38:38" x14ac:dyDescent="0.35">
      <c r="AL5976" s="86"/>
    </row>
    <row r="5977" spans="38:38" x14ac:dyDescent="0.35">
      <c r="AL5977" s="86"/>
    </row>
    <row r="5978" spans="38:38" x14ac:dyDescent="0.35">
      <c r="AL5978" s="86"/>
    </row>
    <row r="5979" spans="38:38" x14ac:dyDescent="0.35">
      <c r="AL5979" s="86"/>
    </row>
    <row r="5980" spans="38:38" x14ac:dyDescent="0.35">
      <c r="AL5980" s="86"/>
    </row>
    <row r="5981" spans="38:38" x14ac:dyDescent="0.35">
      <c r="AL5981" s="86"/>
    </row>
    <row r="5982" spans="38:38" x14ac:dyDescent="0.35">
      <c r="AL5982" s="86"/>
    </row>
    <row r="5983" spans="38:38" x14ac:dyDescent="0.35">
      <c r="AL5983" s="86"/>
    </row>
    <row r="5984" spans="38:38" x14ac:dyDescent="0.35">
      <c r="AL5984" s="86"/>
    </row>
    <row r="5985" spans="38:38" x14ac:dyDescent="0.35">
      <c r="AL5985" s="86"/>
    </row>
    <row r="5986" spans="38:38" x14ac:dyDescent="0.35">
      <c r="AL5986" s="86"/>
    </row>
    <row r="5987" spans="38:38" x14ac:dyDescent="0.35">
      <c r="AL5987" s="86"/>
    </row>
    <row r="5988" spans="38:38" x14ac:dyDescent="0.35">
      <c r="AL5988" s="86"/>
    </row>
    <row r="5989" spans="38:38" x14ac:dyDescent="0.35">
      <c r="AL5989" s="86"/>
    </row>
    <row r="5990" spans="38:38" x14ac:dyDescent="0.35">
      <c r="AL5990" s="86"/>
    </row>
    <row r="5991" spans="38:38" x14ac:dyDescent="0.35">
      <c r="AL5991" s="86"/>
    </row>
    <row r="5992" spans="38:38" x14ac:dyDescent="0.35">
      <c r="AL5992" s="86"/>
    </row>
    <row r="5993" spans="38:38" x14ac:dyDescent="0.35">
      <c r="AL5993" s="86"/>
    </row>
    <row r="5994" spans="38:38" x14ac:dyDescent="0.35">
      <c r="AL5994" s="86"/>
    </row>
    <row r="5995" spans="38:38" x14ac:dyDescent="0.35">
      <c r="AL5995" s="86"/>
    </row>
    <row r="5996" spans="38:38" x14ac:dyDescent="0.35">
      <c r="AL5996" s="86"/>
    </row>
    <row r="5997" spans="38:38" x14ac:dyDescent="0.35">
      <c r="AL5997" s="86"/>
    </row>
    <row r="5998" spans="38:38" x14ac:dyDescent="0.35">
      <c r="AL5998" s="86"/>
    </row>
    <row r="5999" spans="38:38" x14ac:dyDescent="0.35">
      <c r="AL5999" s="86"/>
    </row>
    <row r="6000" spans="38:38" x14ac:dyDescent="0.35">
      <c r="AL6000" s="86"/>
    </row>
    <row r="6001" spans="38:38" x14ac:dyDescent="0.35">
      <c r="AL6001" s="86"/>
    </row>
    <row r="6002" spans="38:38" x14ac:dyDescent="0.35">
      <c r="AL6002" s="86"/>
    </row>
    <row r="6003" spans="38:38" x14ac:dyDescent="0.35">
      <c r="AL6003" s="86"/>
    </row>
    <row r="6004" spans="38:38" x14ac:dyDescent="0.35">
      <c r="AL6004" s="86"/>
    </row>
    <row r="6005" spans="38:38" x14ac:dyDescent="0.35">
      <c r="AL6005" s="86"/>
    </row>
    <row r="6006" spans="38:38" x14ac:dyDescent="0.35">
      <c r="AL6006" s="86"/>
    </row>
    <row r="6007" spans="38:38" x14ac:dyDescent="0.35">
      <c r="AL6007" s="86"/>
    </row>
    <row r="6008" spans="38:38" x14ac:dyDescent="0.35">
      <c r="AL6008" s="86"/>
    </row>
    <row r="6009" spans="38:38" x14ac:dyDescent="0.35">
      <c r="AL6009" s="86"/>
    </row>
    <row r="6010" spans="38:38" x14ac:dyDescent="0.35">
      <c r="AL6010" s="86"/>
    </row>
    <row r="6011" spans="38:38" x14ac:dyDescent="0.35">
      <c r="AL6011" s="86"/>
    </row>
    <row r="6012" spans="38:38" x14ac:dyDescent="0.35">
      <c r="AL6012" s="86"/>
    </row>
    <row r="6013" spans="38:38" x14ac:dyDescent="0.35">
      <c r="AL6013" s="86"/>
    </row>
    <row r="6014" spans="38:38" x14ac:dyDescent="0.35">
      <c r="AL6014" s="86"/>
    </row>
    <row r="6015" spans="38:38" x14ac:dyDescent="0.35">
      <c r="AL6015" s="86"/>
    </row>
    <row r="6016" spans="38:38" x14ac:dyDescent="0.35">
      <c r="AL6016" s="86"/>
    </row>
    <row r="6017" spans="38:38" x14ac:dyDescent="0.35">
      <c r="AL6017" s="86"/>
    </row>
    <row r="6018" spans="38:38" x14ac:dyDescent="0.35">
      <c r="AL6018" s="86"/>
    </row>
    <row r="6019" spans="38:38" x14ac:dyDescent="0.35">
      <c r="AL6019" s="86"/>
    </row>
    <row r="6020" spans="38:38" x14ac:dyDescent="0.35">
      <c r="AL6020" s="86"/>
    </row>
    <row r="6021" spans="38:38" x14ac:dyDescent="0.35">
      <c r="AL6021" s="86"/>
    </row>
    <row r="6022" spans="38:38" x14ac:dyDescent="0.35">
      <c r="AL6022" s="86"/>
    </row>
    <row r="6023" spans="38:38" x14ac:dyDescent="0.35">
      <c r="AL6023" s="86"/>
    </row>
    <row r="6024" spans="38:38" x14ac:dyDescent="0.35">
      <c r="AL6024" s="86"/>
    </row>
    <row r="6025" spans="38:38" x14ac:dyDescent="0.35">
      <c r="AL6025" s="86"/>
    </row>
    <row r="6026" spans="38:38" x14ac:dyDescent="0.35">
      <c r="AL6026" s="86"/>
    </row>
    <row r="6027" spans="38:38" x14ac:dyDescent="0.35">
      <c r="AL6027" s="86"/>
    </row>
    <row r="6028" spans="38:38" x14ac:dyDescent="0.35">
      <c r="AL6028" s="86"/>
    </row>
    <row r="6029" spans="38:38" x14ac:dyDescent="0.35">
      <c r="AL6029" s="86"/>
    </row>
    <row r="6030" spans="38:38" x14ac:dyDescent="0.35">
      <c r="AL6030" s="86"/>
    </row>
    <row r="6031" spans="38:38" x14ac:dyDescent="0.35">
      <c r="AL6031" s="86"/>
    </row>
    <row r="6032" spans="38:38" x14ac:dyDescent="0.35">
      <c r="AL6032" s="86"/>
    </row>
    <row r="6033" spans="38:38" x14ac:dyDescent="0.35">
      <c r="AL6033" s="86"/>
    </row>
    <row r="6034" spans="38:38" x14ac:dyDescent="0.35">
      <c r="AL6034" s="86"/>
    </row>
    <row r="6035" spans="38:38" x14ac:dyDescent="0.35">
      <c r="AL6035" s="86"/>
    </row>
    <row r="6036" spans="38:38" x14ac:dyDescent="0.35">
      <c r="AL6036" s="86"/>
    </row>
    <row r="6037" spans="38:38" x14ac:dyDescent="0.35">
      <c r="AL6037" s="86"/>
    </row>
    <row r="6038" spans="38:38" x14ac:dyDescent="0.35">
      <c r="AL6038" s="86"/>
    </row>
    <row r="6039" spans="38:38" x14ac:dyDescent="0.35">
      <c r="AL6039" s="86"/>
    </row>
    <row r="6040" spans="38:38" x14ac:dyDescent="0.35">
      <c r="AL6040" s="86"/>
    </row>
    <row r="6041" spans="38:38" x14ac:dyDescent="0.35">
      <c r="AL6041" s="86"/>
    </row>
    <row r="6042" spans="38:38" x14ac:dyDescent="0.35">
      <c r="AL6042" s="86"/>
    </row>
    <row r="6043" spans="38:38" x14ac:dyDescent="0.35">
      <c r="AL6043" s="86"/>
    </row>
    <row r="6044" spans="38:38" x14ac:dyDescent="0.35">
      <c r="AL6044" s="86"/>
    </row>
    <row r="6045" spans="38:38" x14ac:dyDescent="0.35">
      <c r="AL6045" s="86"/>
    </row>
    <row r="6046" spans="38:38" x14ac:dyDescent="0.35">
      <c r="AL6046" s="86"/>
    </row>
    <row r="6047" spans="38:38" x14ac:dyDescent="0.35">
      <c r="AL6047" s="86"/>
    </row>
    <row r="6048" spans="38:38" x14ac:dyDescent="0.35">
      <c r="AL6048" s="86"/>
    </row>
    <row r="6049" spans="38:38" x14ac:dyDescent="0.35">
      <c r="AL6049" s="86"/>
    </row>
    <row r="6050" spans="38:38" x14ac:dyDescent="0.35">
      <c r="AL6050" s="86"/>
    </row>
    <row r="6051" spans="38:38" x14ac:dyDescent="0.35">
      <c r="AL6051" s="86"/>
    </row>
    <row r="6052" spans="38:38" x14ac:dyDescent="0.35">
      <c r="AL6052" s="86"/>
    </row>
    <row r="6053" spans="38:38" x14ac:dyDescent="0.35">
      <c r="AL6053" s="86"/>
    </row>
    <row r="6054" spans="38:38" x14ac:dyDescent="0.35">
      <c r="AL6054" s="86"/>
    </row>
    <row r="6055" spans="38:38" x14ac:dyDescent="0.35">
      <c r="AL6055" s="86"/>
    </row>
    <row r="6056" spans="38:38" x14ac:dyDescent="0.35">
      <c r="AL6056" s="86"/>
    </row>
    <row r="6057" spans="38:38" x14ac:dyDescent="0.35">
      <c r="AL6057" s="86"/>
    </row>
    <row r="6058" spans="38:38" x14ac:dyDescent="0.35">
      <c r="AL6058" s="86"/>
    </row>
    <row r="6059" spans="38:38" x14ac:dyDescent="0.35">
      <c r="AL6059" s="86"/>
    </row>
    <row r="6060" spans="38:38" x14ac:dyDescent="0.35">
      <c r="AL6060" s="86"/>
    </row>
    <row r="6061" spans="38:38" x14ac:dyDescent="0.35">
      <c r="AL6061" s="86"/>
    </row>
    <row r="6062" spans="38:38" x14ac:dyDescent="0.35">
      <c r="AL6062" s="86"/>
    </row>
    <row r="6063" spans="38:38" x14ac:dyDescent="0.35">
      <c r="AL6063" s="86"/>
    </row>
    <row r="6064" spans="38:38" x14ac:dyDescent="0.35">
      <c r="AL6064" s="86"/>
    </row>
    <row r="6065" spans="38:38" x14ac:dyDescent="0.35">
      <c r="AL6065" s="86"/>
    </row>
    <row r="6066" spans="38:38" x14ac:dyDescent="0.35">
      <c r="AL6066" s="86"/>
    </row>
    <row r="6067" spans="38:38" x14ac:dyDescent="0.35">
      <c r="AL6067" s="86"/>
    </row>
    <row r="6068" spans="38:38" x14ac:dyDescent="0.35">
      <c r="AL6068" s="86"/>
    </row>
    <row r="6069" spans="38:38" x14ac:dyDescent="0.35">
      <c r="AL6069" s="86"/>
    </row>
    <row r="6070" spans="38:38" x14ac:dyDescent="0.35">
      <c r="AL6070" s="86"/>
    </row>
    <row r="6071" spans="38:38" x14ac:dyDescent="0.35">
      <c r="AL6071" s="86"/>
    </row>
    <row r="6072" spans="38:38" x14ac:dyDescent="0.35">
      <c r="AL6072" s="86"/>
    </row>
    <row r="6073" spans="38:38" x14ac:dyDescent="0.35">
      <c r="AL6073" s="86"/>
    </row>
    <row r="6074" spans="38:38" x14ac:dyDescent="0.35">
      <c r="AL6074" s="86"/>
    </row>
    <row r="6075" spans="38:38" x14ac:dyDescent="0.35">
      <c r="AL6075" s="86"/>
    </row>
    <row r="6076" spans="38:38" x14ac:dyDescent="0.35">
      <c r="AL6076" s="86"/>
    </row>
    <row r="6077" spans="38:38" x14ac:dyDescent="0.35">
      <c r="AL6077" s="86"/>
    </row>
    <row r="6078" spans="38:38" x14ac:dyDescent="0.35">
      <c r="AL6078" s="86"/>
    </row>
    <row r="6079" spans="38:38" x14ac:dyDescent="0.35">
      <c r="AL6079" s="86"/>
    </row>
    <row r="6080" spans="38:38" x14ac:dyDescent="0.35">
      <c r="AL6080" s="86"/>
    </row>
    <row r="6081" spans="38:38" x14ac:dyDescent="0.35">
      <c r="AL6081" s="86"/>
    </row>
    <row r="6082" spans="38:38" x14ac:dyDescent="0.35">
      <c r="AL6082" s="86"/>
    </row>
    <row r="6083" spans="38:38" x14ac:dyDescent="0.35">
      <c r="AL6083" s="86"/>
    </row>
    <row r="6084" spans="38:38" x14ac:dyDescent="0.35">
      <c r="AL6084" s="86"/>
    </row>
    <row r="6085" spans="38:38" x14ac:dyDescent="0.35">
      <c r="AL6085" s="86"/>
    </row>
    <row r="6086" spans="38:38" x14ac:dyDescent="0.35">
      <c r="AL6086" s="86"/>
    </row>
    <row r="6087" spans="38:38" x14ac:dyDescent="0.35">
      <c r="AL6087" s="86"/>
    </row>
    <row r="6088" spans="38:38" x14ac:dyDescent="0.35">
      <c r="AL6088" s="86"/>
    </row>
    <row r="6089" spans="38:38" x14ac:dyDescent="0.35">
      <c r="AL6089" s="86"/>
    </row>
    <row r="6090" spans="38:38" x14ac:dyDescent="0.35">
      <c r="AL6090" s="86"/>
    </row>
    <row r="6091" spans="38:38" x14ac:dyDescent="0.35">
      <c r="AL6091" s="86"/>
    </row>
    <row r="6092" spans="38:38" x14ac:dyDescent="0.35">
      <c r="AL6092" s="86"/>
    </row>
    <row r="6093" spans="38:38" x14ac:dyDescent="0.35">
      <c r="AL6093" s="86"/>
    </row>
    <row r="6094" spans="38:38" x14ac:dyDescent="0.35">
      <c r="AL6094" s="86"/>
    </row>
    <row r="6095" spans="38:38" x14ac:dyDescent="0.35">
      <c r="AL6095" s="86"/>
    </row>
    <row r="6096" spans="38:38" x14ac:dyDescent="0.35">
      <c r="AL6096" s="86"/>
    </row>
    <row r="6097" spans="38:38" x14ac:dyDescent="0.35">
      <c r="AL6097" s="86"/>
    </row>
    <row r="6098" spans="38:38" x14ac:dyDescent="0.35">
      <c r="AL6098" s="86"/>
    </row>
    <row r="6099" spans="38:38" x14ac:dyDescent="0.35">
      <c r="AL6099" s="86"/>
    </row>
    <row r="6100" spans="38:38" x14ac:dyDescent="0.35">
      <c r="AL6100" s="86"/>
    </row>
    <row r="6101" spans="38:38" x14ac:dyDescent="0.35">
      <c r="AL6101" s="86"/>
    </row>
    <row r="6102" spans="38:38" x14ac:dyDescent="0.35">
      <c r="AL6102" s="86"/>
    </row>
    <row r="6103" spans="38:38" x14ac:dyDescent="0.35">
      <c r="AL6103" s="86"/>
    </row>
    <row r="6104" spans="38:38" x14ac:dyDescent="0.35">
      <c r="AL6104" s="86"/>
    </row>
    <row r="6105" spans="38:38" x14ac:dyDescent="0.35">
      <c r="AL6105" s="86"/>
    </row>
    <row r="6106" spans="38:38" x14ac:dyDescent="0.35">
      <c r="AL6106" s="86"/>
    </row>
    <row r="6107" spans="38:38" x14ac:dyDescent="0.35">
      <c r="AL6107" s="86"/>
    </row>
    <row r="6108" spans="38:38" x14ac:dyDescent="0.35">
      <c r="AL6108" s="86"/>
    </row>
    <row r="6109" spans="38:38" x14ac:dyDescent="0.35">
      <c r="AL6109" s="86"/>
    </row>
    <row r="6110" spans="38:38" x14ac:dyDescent="0.35">
      <c r="AL6110" s="86"/>
    </row>
    <row r="6111" spans="38:38" x14ac:dyDescent="0.35">
      <c r="AL6111" s="86"/>
    </row>
    <row r="6112" spans="38:38" x14ac:dyDescent="0.35">
      <c r="AL6112" s="86"/>
    </row>
    <row r="6113" spans="38:38" x14ac:dyDescent="0.35">
      <c r="AL6113" s="86"/>
    </row>
    <row r="6114" spans="38:38" x14ac:dyDescent="0.35">
      <c r="AL6114" s="86"/>
    </row>
    <row r="6115" spans="38:38" x14ac:dyDescent="0.35">
      <c r="AL6115" s="86"/>
    </row>
    <row r="6116" spans="38:38" x14ac:dyDescent="0.35">
      <c r="AL6116" s="86"/>
    </row>
    <row r="6117" spans="38:38" x14ac:dyDescent="0.35">
      <c r="AL6117" s="86"/>
    </row>
    <row r="6118" spans="38:38" x14ac:dyDescent="0.35">
      <c r="AL6118" s="86"/>
    </row>
    <row r="6119" spans="38:38" x14ac:dyDescent="0.35">
      <c r="AL6119" s="86"/>
    </row>
    <row r="6120" spans="38:38" x14ac:dyDescent="0.35">
      <c r="AL6120" s="86"/>
    </row>
    <row r="6121" spans="38:38" x14ac:dyDescent="0.35">
      <c r="AL6121" s="86"/>
    </row>
    <row r="6122" spans="38:38" x14ac:dyDescent="0.35">
      <c r="AL6122" s="86"/>
    </row>
    <row r="6123" spans="38:38" x14ac:dyDescent="0.35">
      <c r="AL6123" s="86"/>
    </row>
    <row r="6124" spans="38:38" x14ac:dyDescent="0.35">
      <c r="AL6124" s="86"/>
    </row>
    <row r="6125" spans="38:38" x14ac:dyDescent="0.35">
      <c r="AL6125" s="86"/>
    </row>
    <row r="6126" spans="38:38" x14ac:dyDescent="0.35">
      <c r="AL6126" s="86"/>
    </row>
    <row r="6127" spans="38:38" x14ac:dyDescent="0.35">
      <c r="AL6127" s="86"/>
    </row>
    <row r="6128" spans="38:38" x14ac:dyDescent="0.35">
      <c r="AL6128" s="86"/>
    </row>
    <row r="6129" spans="38:38" x14ac:dyDescent="0.35">
      <c r="AL6129" s="86"/>
    </row>
    <row r="6130" spans="38:38" x14ac:dyDescent="0.35">
      <c r="AL6130" s="86"/>
    </row>
    <row r="6131" spans="38:38" x14ac:dyDescent="0.35">
      <c r="AL6131" s="86"/>
    </row>
    <row r="6132" spans="38:38" x14ac:dyDescent="0.35">
      <c r="AL6132" s="86"/>
    </row>
    <row r="6133" spans="38:38" x14ac:dyDescent="0.35">
      <c r="AL6133" s="86"/>
    </row>
    <row r="6134" spans="38:38" x14ac:dyDescent="0.35">
      <c r="AL6134" s="86"/>
    </row>
    <row r="6135" spans="38:38" x14ac:dyDescent="0.35">
      <c r="AL6135" s="86"/>
    </row>
    <row r="6136" spans="38:38" x14ac:dyDescent="0.35">
      <c r="AL6136" s="86"/>
    </row>
    <row r="6137" spans="38:38" x14ac:dyDescent="0.35">
      <c r="AL6137" s="86"/>
    </row>
    <row r="6138" spans="38:38" x14ac:dyDescent="0.35">
      <c r="AL6138" s="86"/>
    </row>
    <row r="6139" spans="38:38" x14ac:dyDescent="0.35">
      <c r="AL6139" s="86"/>
    </row>
    <row r="6140" spans="38:38" x14ac:dyDescent="0.35">
      <c r="AL6140" s="86"/>
    </row>
    <row r="6141" spans="38:38" x14ac:dyDescent="0.35">
      <c r="AL6141" s="86"/>
    </row>
    <row r="6142" spans="38:38" x14ac:dyDescent="0.35">
      <c r="AL6142" s="86"/>
    </row>
    <row r="6143" spans="38:38" x14ac:dyDescent="0.35">
      <c r="AL6143" s="86"/>
    </row>
    <row r="6144" spans="38:38" x14ac:dyDescent="0.35">
      <c r="AL6144" s="86"/>
    </row>
    <row r="6145" spans="38:38" x14ac:dyDescent="0.35">
      <c r="AL6145" s="86"/>
    </row>
    <row r="6146" spans="38:38" x14ac:dyDescent="0.35">
      <c r="AL6146" s="86"/>
    </row>
    <row r="6147" spans="38:38" x14ac:dyDescent="0.35">
      <c r="AL6147" s="86"/>
    </row>
    <row r="6148" spans="38:38" x14ac:dyDescent="0.35">
      <c r="AL6148" s="86"/>
    </row>
    <row r="6149" spans="38:38" x14ac:dyDescent="0.35">
      <c r="AL6149" s="86"/>
    </row>
    <row r="6150" spans="38:38" x14ac:dyDescent="0.35">
      <c r="AL6150" s="86"/>
    </row>
    <row r="6151" spans="38:38" x14ac:dyDescent="0.35">
      <c r="AL6151" s="86"/>
    </row>
    <row r="6152" spans="38:38" x14ac:dyDescent="0.35">
      <c r="AL6152" s="86"/>
    </row>
    <row r="6153" spans="38:38" x14ac:dyDescent="0.35">
      <c r="AL6153" s="86"/>
    </row>
    <row r="6154" spans="38:38" x14ac:dyDescent="0.35">
      <c r="AL6154" s="86"/>
    </row>
    <row r="6155" spans="38:38" x14ac:dyDescent="0.35">
      <c r="AL6155" s="86"/>
    </row>
    <row r="6156" spans="38:38" x14ac:dyDescent="0.35">
      <c r="AL6156" s="86"/>
    </row>
    <row r="6157" spans="38:38" x14ac:dyDescent="0.35">
      <c r="AL6157" s="86"/>
    </row>
    <row r="6158" spans="38:38" x14ac:dyDescent="0.35">
      <c r="AL6158" s="86"/>
    </row>
    <row r="6159" spans="38:38" x14ac:dyDescent="0.35">
      <c r="AL6159" s="86"/>
    </row>
    <row r="6160" spans="38:38" x14ac:dyDescent="0.35">
      <c r="AL6160" s="86"/>
    </row>
    <row r="6161" spans="38:38" x14ac:dyDescent="0.35">
      <c r="AL6161" s="86"/>
    </row>
    <row r="6162" spans="38:38" x14ac:dyDescent="0.35">
      <c r="AL6162" s="86"/>
    </row>
    <row r="6163" spans="38:38" x14ac:dyDescent="0.35">
      <c r="AL6163" s="86"/>
    </row>
    <row r="6164" spans="38:38" x14ac:dyDescent="0.35">
      <c r="AL6164" s="86"/>
    </row>
    <row r="6165" spans="38:38" x14ac:dyDescent="0.35">
      <c r="AL6165" s="86"/>
    </row>
    <row r="6166" spans="38:38" x14ac:dyDescent="0.35">
      <c r="AL6166" s="86"/>
    </row>
    <row r="6167" spans="38:38" x14ac:dyDescent="0.35">
      <c r="AL6167" s="86"/>
    </row>
    <row r="6168" spans="38:38" x14ac:dyDescent="0.35">
      <c r="AL6168" s="86"/>
    </row>
    <row r="6169" spans="38:38" x14ac:dyDescent="0.35">
      <c r="AL6169" s="86"/>
    </row>
    <row r="6170" spans="38:38" x14ac:dyDescent="0.35">
      <c r="AL6170" s="86"/>
    </row>
    <row r="6171" spans="38:38" x14ac:dyDescent="0.35">
      <c r="AL6171" s="86"/>
    </row>
    <row r="6172" spans="38:38" x14ac:dyDescent="0.35">
      <c r="AL6172" s="86"/>
    </row>
    <row r="6173" spans="38:38" x14ac:dyDescent="0.35">
      <c r="AL6173" s="86"/>
    </row>
    <row r="6174" spans="38:38" x14ac:dyDescent="0.35">
      <c r="AL6174" s="86"/>
    </row>
    <row r="6175" spans="38:38" x14ac:dyDescent="0.35">
      <c r="AL6175" s="86"/>
    </row>
    <row r="6176" spans="38:38" x14ac:dyDescent="0.35">
      <c r="AL6176" s="86"/>
    </row>
    <row r="6177" spans="38:38" x14ac:dyDescent="0.35">
      <c r="AL6177" s="86"/>
    </row>
    <row r="6178" spans="38:38" x14ac:dyDescent="0.35">
      <c r="AL6178" s="86"/>
    </row>
    <row r="6179" spans="38:38" x14ac:dyDescent="0.35">
      <c r="AL6179" s="86"/>
    </row>
    <row r="6180" spans="38:38" x14ac:dyDescent="0.35">
      <c r="AL6180" s="86"/>
    </row>
    <row r="6181" spans="38:38" x14ac:dyDescent="0.35">
      <c r="AL6181" s="86"/>
    </row>
    <row r="6182" spans="38:38" x14ac:dyDescent="0.35">
      <c r="AL6182" s="86"/>
    </row>
    <row r="6183" spans="38:38" x14ac:dyDescent="0.35">
      <c r="AL6183" s="86"/>
    </row>
    <row r="6184" spans="38:38" x14ac:dyDescent="0.35">
      <c r="AL6184" s="86"/>
    </row>
    <row r="6185" spans="38:38" x14ac:dyDescent="0.35">
      <c r="AL6185" s="86"/>
    </row>
    <row r="6186" spans="38:38" x14ac:dyDescent="0.35">
      <c r="AL6186" s="86"/>
    </row>
    <row r="6187" spans="38:38" x14ac:dyDescent="0.35">
      <c r="AL6187" s="86"/>
    </row>
    <row r="6188" spans="38:38" x14ac:dyDescent="0.35">
      <c r="AL6188" s="86"/>
    </row>
    <row r="6189" spans="38:38" x14ac:dyDescent="0.35">
      <c r="AL6189" s="86"/>
    </row>
    <row r="6190" spans="38:38" x14ac:dyDescent="0.35">
      <c r="AL6190" s="86"/>
    </row>
    <row r="6191" spans="38:38" x14ac:dyDescent="0.35">
      <c r="AL6191" s="86"/>
    </row>
    <row r="6192" spans="38:38" x14ac:dyDescent="0.35">
      <c r="AL6192" s="86"/>
    </row>
    <row r="6193" spans="38:38" x14ac:dyDescent="0.35">
      <c r="AL6193" s="86"/>
    </row>
    <row r="6194" spans="38:38" x14ac:dyDescent="0.35">
      <c r="AL6194" s="86"/>
    </row>
    <row r="6195" spans="38:38" x14ac:dyDescent="0.35">
      <c r="AL6195" s="86"/>
    </row>
    <row r="6196" spans="38:38" x14ac:dyDescent="0.35">
      <c r="AL6196" s="86"/>
    </row>
    <row r="6197" spans="38:38" x14ac:dyDescent="0.35">
      <c r="AL6197" s="86"/>
    </row>
    <row r="6198" spans="38:38" x14ac:dyDescent="0.35">
      <c r="AL6198" s="86"/>
    </row>
    <row r="6199" spans="38:38" x14ac:dyDescent="0.35">
      <c r="AL6199" s="86"/>
    </row>
    <row r="6200" spans="38:38" x14ac:dyDescent="0.35">
      <c r="AL6200" s="86"/>
    </row>
    <row r="6201" spans="38:38" x14ac:dyDescent="0.35">
      <c r="AL6201" s="86"/>
    </row>
    <row r="6202" spans="38:38" x14ac:dyDescent="0.35">
      <c r="AL6202" s="86"/>
    </row>
    <row r="6203" spans="38:38" x14ac:dyDescent="0.35">
      <c r="AL6203" s="86"/>
    </row>
    <row r="6204" spans="38:38" x14ac:dyDescent="0.35">
      <c r="AL6204" s="86"/>
    </row>
    <row r="6205" spans="38:38" x14ac:dyDescent="0.35">
      <c r="AL6205" s="86"/>
    </row>
    <row r="6206" spans="38:38" x14ac:dyDescent="0.35">
      <c r="AL6206" s="86"/>
    </row>
    <row r="6207" spans="38:38" x14ac:dyDescent="0.35">
      <c r="AL6207" s="86"/>
    </row>
    <row r="6208" spans="38:38" x14ac:dyDescent="0.35">
      <c r="AL6208" s="86"/>
    </row>
    <row r="6209" spans="38:38" x14ac:dyDescent="0.35">
      <c r="AL6209" s="86"/>
    </row>
    <row r="6210" spans="38:38" x14ac:dyDescent="0.35">
      <c r="AL6210" s="86"/>
    </row>
    <row r="6211" spans="38:38" x14ac:dyDescent="0.35">
      <c r="AL6211" s="86"/>
    </row>
    <row r="6212" spans="38:38" x14ac:dyDescent="0.35">
      <c r="AL6212" s="86"/>
    </row>
    <row r="6213" spans="38:38" x14ac:dyDescent="0.35">
      <c r="AL6213" s="86"/>
    </row>
    <row r="6214" spans="38:38" x14ac:dyDescent="0.35">
      <c r="AL6214" s="86"/>
    </row>
    <row r="6215" spans="38:38" x14ac:dyDescent="0.35">
      <c r="AL6215" s="86"/>
    </row>
    <row r="6216" spans="38:38" x14ac:dyDescent="0.35">
      <c r="AL6216" s="86"/>
    </row>
    <row r="6217" spans="38:38" x14ac:dyDescent="0.35">
      <c r="AL6217" s="86"/>
    </row>
    <row r="6218" spans="38:38" x14ac:dyDescent="0.35">
      <c r="AL6218" s="86"/>
    </row>
    <row r="6219" spans="38:38" x14ac:dyDescent="0.35">
      <c r="AL6219" s="86"/>
    </row>
    <row r="6220" spans="38:38" x14ac:dyDescent="0.35">
      <c r="AL6220" s="86"/>
    </row>
    <row r="6221" spans="38:38" x14ac:dyDescent="0.35">
      <c r="AL6221" s="86"/>
    </row>
    <row r="6222" spans="38:38" x14ac:dyDescent="0.35">
      <c r="AL6222" s="86"/>
    </row>
    <row r="6223" spans="38:38" x14ac:dyDescent="0.35">
      <c r="AL6223" s="86"/>
    </row>
    <row r="6224" spans="38:38" x14ac:dyDescent="0.35">
      <c r="AL6224" s="86"/>
    </row>
    <row r="6225" spans="38:38" x14ac:dyDescent="0.35">
      <c r="AL6225" s="86"/>
    </row>
    <row r="6226" spans="38:38" x14ac:dyDescent="0.35">
      <c r="AL6226" s="86"/>
    </row>
    <row r="6227" spans="38:38" x14ac:dyDescent="0.35">
      <c r="AL6227" s="86"/>
    </row>
    <row r="6228" spans="38:38" x14ac:dyDescent="0.35">
      <c r="AL6228" s="86"/>
    </row>
    <row r="6229" spans="38:38" x14ac:dyDescent="0.35">
      <c r="AL6229" s="86"/>
    </row>
    <row r="6230" spans="38:38" x14ac:dyDescent="0.35">
      <c r="AL6230" s="86"/>
    </row>
    <row r="6231" spans="38:38" x14ac:dyDescent="0.35">
      <c r="AL6231" s="86"/>
    </row>
    <row r="6232" spans="38:38" x14ac:dyDescent="0.35">
      <c r="AL6232" s="86"/>
    </row>
    <row r="6233" spans="38:38" x14ac:dyDescent="0.35">
      <c r="AL6233" s="86"/>
    </row>
    <row r="6234" spans="38:38" x14ac:dyDescent="0.35">
      <c r="AL6234" s="86"/>
    </row>
    <row r="6235" spans="38:38" x14ac:dyDescent="0.35">
      <c r="AL6235" s="86"/>
    </row>
    <row r="6236" spans="38:38" x14ac:dyDescent="0.35">
      <c r="AL6236" s="86"/>
    </row>
    <row r="6237" spans="38:38" x14ac:dyDescent="0.35">
      <c r="AL6237" s="86"/>
    </row>
    <row r="6238" spans="38:38" x14ac:dyDescent="0.35">
      <c r="AL6238" s="86"/>
    </row>
    <row r="6239" spans="38:38" x14ac:dyDescent="0.35">
      <c r="AL6239" s="86"/>
    </row>
    <row r="6240" spans="38:38" x14ac:dyDescent="0.35">
      <c r="AL6240" s="86"/>
    </row>
    <row r="6241" spans="38:38" x14ac:dyDescent="0.35">
      <c r="AL6241" s="86"/>
    </row>
    <row r="6242" spans="38:38" x14ac:dyDescent="0.35">
      <c r="AL6242" s="86"/>
    </row>
    <row r="6243" spans="38:38" x14ac:dyDescent="0.35">
      <c r="AL6243" s="86"/>
    </row>
    <row r="6244" spans="38:38" x14ac:dyDescent="0.35">
      <c r="AL6244" s="86"/>
    </row>
    <row r="6245" spans="38:38" x14ac:dyDescent="0.35">
      <c r="AL6245" s="86"/>
    </row>
    <row r="6246" spans="38:38" x14ac:dyDescent="0.35">
      <c r="AL6246" s="86"/>
    </row>
    <row r="6247" spans="38:38" x14ac:dyDescent="0.35">
      <c r="AL6247" s="86"/>
    </row>
    <row r="6248" spans="38:38" x14ac:dyDescent="0.35">
      <c r="AL6248" s="86"/>
    </row>
    <row r="6249" spans="38:38" x14ac:dyDescent="0.35">
      <c r="AL6249" s="86"/>
    </row>
    <row r="6250" spans="38:38" x14ac:dyDescent="0.35">
      <c r="AL6250" s="86"/>
    </row>
    <row r="6251" spans="38:38" x14ac:dyDescent="0.35">
      <c r="AL6251" s="86"/>
    </row>
    <row r="6252" spans="38:38" x14ac:dyDescent="0.35">
      <c r="AL6252" s="86"/>
    </row>
    <row r="6253" spans="38:38" x14ac:dyDescent="0.35">
      <c r="AL6253" s="86"/>
    </row>
    <row r="6254" spans="38:38" x14ac:dyDescent="0.35">
      <c r="AL6254" s="86"/>
    </row>
    <row r="6255" spans="38:38" x14ac:dyDescent="0.35">
      <c r="AL6255" s="86"/>
    </row>
    <row r="6256" spans="38:38" x14ac:dyDescent="0.35">
      <c r="AL6256" s="86"/>
    </row>
    <row r="6257" spans="38:38" x14ac:dyDescent="0.35">
      <c r="AL6257" s="86"/>
    </row>
    <row r="6258" spans="38:38" x14ac:dyDescent="0.35">
      <c r="AL6258" s="86"/>
    </row>
    <row r="6259" spans="38:38" x14ac:dyDescent="0.35">
      <c r="AL6259" s="86"/>
    </row>
    <row r="6260" spans="38:38" x14ac:dyDescent="0.35">
      <c r="AL6260" s="86"/>
    </row>
    <row r="6261" spans="38:38" x14ac:dyDescent="0.35">
      <c r="AL6261" s="86"/>
    </row>
    <row r="6262" spans="38:38" x14ac:dyDescent="0.35">
      <c r="AL6262" s="86"/>
    </row>
    <row r="6263" spans="38:38" x14ac:dyDescent="0.35">
      <c r="AL6263" s="86"/>
    </row>
    <row r="6264" spans="38:38" x14ac:dyDescent="0.35">
      <c r="AL6264" s="86"/>
    </row>
    <row r="6265" spans="38:38" x14ac:dyDescent="0.35">
      <c r="AL6265" s="86"/>
    </row>
    <row r="6266" spans="38:38" x14ac:dyDescent="0.35">
      <c r="AL6266" s="86"/>
    </row>
    <row r="6267" spans="38:38" x14ac:dyDescent="0.35">
      <c r="AL6267" s="86"/>
    </row>
    <row r="6268" spans="38:38" x14ac:dyDescent="0.35">
      <c r="AL6268" s="86"/>
    </row>
    <row r="6269" spans="38:38" x14ac:dyDescent="0.35">
      <c r="AL6269" s="86"/>
    </row>
    <row r="6270" spans="38:38" x14ac:dyDescent="0.35">
      <c r="AL6270" s="86"/>
    </row>
    <row r="6271" spans="38:38" x14ac:dyDescent="0.35">
      <c r="AL6271" s="86"/>
    </row>
    <row r="6272" spans="38:38" x14ac:dyDescent="0.35">
      <c r="AL6272" s="86"/>
    </row>
    <row r="6273" spans="38:38" x14ac:dyDescent="0.35">
      <c r="AL6273" s="86"/>
    </row>
    <row r="6274" spans="38:38" x14ac:dyDescent="0.35">
      <c r="AL6274" s="86"/>
    </row>
    <row r="6275" spans="38:38" x14ac:dyDescent="0.35">
      <c r="AL6275" s="86"/>
    </row>
    <row r="6276" spans="38:38" x14ac:dyDescent="0.35">
      <c r="AL6276" s="86"/>
    </row>
    <row r="6277" spans="38:38" x14ac:dyDescent="0.35">
      <c r="AL6277" s="86"/>
    </row>
    <row r="6278" spans="38:38" x14ac:dyDescent="0.35">
      <c r="AL6278" s="86"/>
    </row>
    <row r="6279" spans="38:38" x14ac:dyDescent="0.35">
      <c r="AL6279" s="86"/>
    </row>
    <row r="6280" spans="38:38" x14ac:dyDescent="0.35">
      <c r="AL6280" s="86"/>
    </row>
    <row r="6281" spans="38:38" x14ac:dyDescent="0.35">
      <c r="AL6281" s="86"/>
    </row>
    <row r="6282" spans="38:38" x14ac:dyDescent="0.35">
      <c r="AL6282" s="86"/>
    </row>
    <row r="6283" spans="38:38" x14ac:dyDescent="0.35">
      <c r="AL6283" s="86"/>
    </row>
    <row r="6284" spans="38:38" x14ac:dyDescent="0.35">
      <c r="AL6284" s="86"/>
    </row>
    <row r="6285" spans="38:38" x14ac:dyDescent="0.35">
      <c r="AL6285" s="86"/>
    </row>
    <row r="6286" spans="38:38" x14ac:dyDescent="0.35">
      <c r="AL6286" s="86"/>
    </row>
    <row r="6287" spans="38:38" x14ac:dyDescent="0.35">
      <c r="AL6287" s="86"/>
    </row>
    <row r="6288" spans="38:38" x14ac:dyDescent="0.35">
      <c r="AL6288" s="86"/>
    </row>
    <row r="6289" spans="38:38" x14ac:dyDescent="0.35">
      <c r="AL6289" s="86"/>
    </row>
    <row r="6290" spans="38:38" x14ac:dyDescent="0.35">
      <c r="AL6290" s="86"/>
    </row>
    <row r="6291" spans="38:38" x14ac:dyDescent="0.35">
      <c r="AL6291" s="86"/>
    </row>
    <row r="6292" spans="38:38" x14ac:dyDescent="0.35">
      <c r="AL6292" s="86"/>
    </row>
    <row r="6293" spans="38:38" x14ac:dyDescent="0.35">
      <c r="AL6293" s="86"/>
    </row>
    <row r="6294" spans="38:38" x14ac:dyDescent="0.35">
      <c r="AL6294" s="86"/>
    </row>
    <row r="6295" spans="38:38" x14ac:dyDescent="0.35">
      <c r="AL6295" s="86"/>
    </row>
    <row r="6296" spans="38:38" x14ac:dyDescent="0.35">
      <c r="AL6296" s="86"/>
    </row>
    <row r="6297" spans="38:38" x14ac:dyDescent="0.35">
      <c r="AL6297" s="86"/>
    </row>
    <row r="6298" spans="38:38" x14ac:dyDescent="0.35">
      <c r="AL6298" s="86"/>
    </row>
    <row r="6299" spans="38:38" x14ac:dyDescent="0.35">
      <c r="AL6299" s="86"/>
    </row>
    <row r="6300" spans="38:38" x14ac:dyDescent="0.35">
      <c r="AL6300" s="86"/>
    </row>
    <row r="6301" spans="38:38" x14ac:dyDescent="0.35">
      <c r="AL6301" s="86"/>
    </row>
    <row r="6302" spans="38:38" x14ac:dyDescent="0.35">
      <c r="AL6302" s="86"/>
    </row>
    <row r="6303" spans="38:38" x14ac:dyDescent="0.35">
      <c r="AL6303" s="86"/>
    </row>
    <row r="6304" spans="38:38" x14ac:dyDescent="0.35">
      <c r="AL6304" s="86"/>
    </row>
    <row r="6305" spans="38:38" x14ac:dyDescent="0.35">
      <c r="AL6305" s="86"/>
    </row>
    <row r="6306" spans="38:38" x14ac:dyDescent="0.35">
      <c r="AL6306" s="86"/>
    </row>
    <row r="6307" spans="38:38" x14ac:dyDescent="0.35">
      <c r="AL6307" s="86"/>
    </row>
    <row r="6308" spans="38:38" x14ac:dyDescent="0.35">
      <c r="AL6308" s="86"/>
    </row>
    <row r="6309" spans="38:38" x14ac:dyDescent="0.35">
      <c r="AL6309" s="86"/>
    </row>
    <row r="6310" spans="38:38" x14ac:dyDescent="0.35">
      <c r="AL6310" s="86"/>
    </row>
    <row r="6311" spans="38:38" x14ac:dyDescent="0.35">
      <c r="AL6311" s="86"/>
    </row>
    <row r="6312" spans="38:38" x14ac:dyDescent="0.35">
      <c r="AL6312" s="86"/>
    </row>
    <row r="6313" spans="38:38" x14ac:dyDescent="0.35">
      <c r="AL6313" s="86"/>
    </row>
    <row r="6314" spans="38:38" x14ac:dyDescent="0.35">
      <c r="AL6314" s="86"/>
    </row>
    <row r="6315" spans="38:38" x14ac:dyDescent="0.35">
      <c r="AL6315" s="86"/>
    </row>
    <row r="6316" spans="38:38" x14ac:dyDescent="0.35">
      <c r="AL6316" s="86"/>
    </row>
    <row r="6317" spans="38:38" x14ac:dyDescent="0.35">
      <c r="AL6317" s="86"/>
    </row>
    <row r="6318" spans="38:38" x14ac:dyDescent="0.35">
      <c r="AL6318" s="86"/>
    </row>
    <row r="6319" spans="38:38" x14ac:dyDescent="0.35">
      <c r="AL6319" s="86"/>
    </row>
    <row r="6320" spans="38:38" x14ac:dyDescent="0.35">
      <c r="AL6320" s="86"/>
    </row>
    <row r="6321" spans="38:38" x14ac:dyDescent="0.35">
      <c r="AL6321" s="86"/>
    </row>
    <row r="6322" spans="38:38" x14ac:dyDescent="0.35">
      <c r="AL6322" s="86"/>
    </row>
    <row r="6323" spans="38:38" x14ac:dyDescent="0.35">
      <c r="AL6323" s="86"/>
    </row>
    <row r="6324" spans="38:38" x14ac:dyDescent="0.35">
      <c r="AL6324" s="86"/>
    </row>
    <row r="6325" spans="38:38" x14ac:dyDescent="0.35">
      <c r="AL6325" s="86"/>
    </row>
    <row r="6326" spans="38:38" x14ac:dyDescent="0.35">
      <c r="AL6326" s="86"/>
    </row>
    <row r="6327" spans="38:38" x14ac:dyDescent="0.35">
      <c r="AL6327" s="86"/>
    </row>
    <row r="6328" spans="38:38" x14ac:dyDescent="0.35">
      <c r="AL6328" s="86"/>
    </row>
    <row r="6329" spans="38:38" x14ac:dyDescent="0.35">
      <c r="AL6329" s="86"/>
    </row>
    <row r="6330" spans="38:38" x14ac:dyDescent="0.35">
      <c r="AL6330" s="86"/>
    </row>
    <row r="6331" spans="38:38" x14ac:dyDescent="0.35">
      <c r="AL6331" s="86"/>
    </row>
    <row r="6332" spans="38:38" x14ac:dyDescent="0.35">
      <c r="AL6332" s="86"/>
    </row>
    <row r="6333" spans="38:38" x14ac:dyDescent="0.35">
      <c r="AL6333" s="86"/>
    </row>
    <row r="6334" spans="38:38" x14ac:dyDescent="0.35">
      <c r="AL6334" s="86"/>
    </row>
    <row r="6335" spans="38:38" x14ac:dyDescent="0.35">
      <c r="AL6335" s="86"/>
    </row>
    <row r="6336" spans="38:38" x14ac:dyDescent="0.35">
      <c r="AL6336" s="86"/>
    </row>
    <row r="6337" spans="38:38" x14ac:dyDescent="0.35">
      <c r="AL6337" s="86"/>
    </row>
    <row r="6338" spans="38:38" x14ac:dyDescent="0.35">
      <c r="AL6338" s="86"/>
    </row>
    <row r="6339" spans="38:38" x14ac:dyDescent="0.35">
      <c r="AL6339" s="86"/>
    </row>
    <row r="6340" spans="38:38" x14ac:dyDescent="0.35">
      <c r="AL6340" s="86"/>
    </row>
    <row r="6341" spans="38:38" x14ac:dyDescent="0.35">
      <c r="AL6341" s="86"/>
    </row>
    <row r="6342" spans="38:38" x14ac:dyDescent="0.35">
      <c r="AL6342" s="86"/>
    </row>
    <row r="6343" spans="38:38" x14ac:dyDescent="0.35">
      <c r="AL6343" s="86"/>
    </row>
    <row r="6344" spans="38:38" x14ac:dyDescent="0.35">
      <c r="AL6344" s="86"/>
    </row>
    <row r="6345" spans="38:38" x14ac:dyDescent="0.35">
      <c r="AL6345" s="86"/>
    </row>
    <row r="6346" spans="38:38" x14ac:dyDescent="0.35">
      <c r="AL6346" s="86"/>
    </row>
    <row r="6347" spans="38:38" x14ac:dyDescent="0.35">
      <c r="AL6347" s="86"/>
    </row>
    <row r="6348" spans="38:38" x14ac:dyDescent="0.35">
      <c r="AL6348" s="86"/>
    </row>
    <row r="6349" spans="38:38" x14ac:dyDescent="0.35">
      <c r="AL6349" s="86"/>
    </row>
    <row r="6350" spans="38:38" x14ac:dyDescent="0.35">
      <c r="AL6350" s="86"/>
    </row>
    <row r="6351" spans="38:38" x14ac:dyDescent="0.35">
      <c r="AL6351" s="86"/>
    </row>
    <row r="6352" spans="38:38" x14ac:dyDescent="0.35">
      <c r="AL6352" s="86"/>
    </row>
    <row r="6353" spans="38:38" x14ac:dyDescent="0.35">
      <c r="AL6353" s="86"/>
    </row>
    <row r="6354" spans="38:38" x14ac:dyDescent="0.35">
      <c r="AL6354" s="86"/>
    </row>
    <row r="6355" spans="38:38" x14ac:dyDescent="0.35">
      <c r="AL6355" s="86"/>
    </row>
    <row r="6356" spans="38:38" x14ac:dyDescent="0.35">
      <c r="AL6356" s="86"/>
    </row>
    <row r="6357" spans="38:38" x14ac:dyDescent="0.35">
      <c r="AL6357" s="86"/>
    </row>
    <row r="6358" spans="38:38" x14ac:dyDescent="0.35">
      <c r="AL6358" s="86"/>
    </row>
    <row r="6359" spans="38:38" x14ac:dyDescent="0.35">
      <c r="AL6359" s="86"/>
    </row>
    <row r="6360" spans="38:38" x14ac:dyDescent="0.35">
      <c r="AL6360" s="86"/>
    </row>
    <row r="6361" spans="38:38" x14ac:dyDescent="0.35">
      <c r="AL6361" s="86"/>
    </row>
    <row r="6362" spans="38:38" x14ac:dyDescent="0.35">
      <c r="AL6362" s="86"/>
    </row>
    <row r="6363" spans="38:38" x14ac:dyDescent="0.35">
      <c r="AL6363" s="86"/>
    </row>
    <row r="6364" spans="38:38" x14ac:dyDescent="0.35">
      <c r="AL6364" s="86"/>
    </row>
    <row r="6365" spans="38:38" x14ac:dyDescent="0.35">
      <c r="AL6365" s="86"/>
    </row>
    <row r="6366" spans="38:38" x14ac:dyDescent="0.35">
      <c r="AL6366" s="86"/>
    </row>
    <row r="6367" spans="38:38" x14ac:dyDescent="0.35">
      <c r="AL6367" s="86"/>
    </row>
    <row r="6368" spans="38:38" x14ac:dyDescent="0.35">
      <c r="AL6368" s="86"/>
    </row>
    <row r="6369" spans="38:38" x14ac:dyDescent="0.35">
      <c r="AL6369" s="86"/>
    </row>
    <row r="6370" spans="38:38" x14ac:dyDescent="0.35">
      <c r="AL6370" s="86"/>
    </row>
    <row r="6371" spans="38:38" x14ac:dyDescent="0.35">
      <c r="AL6371" s="86"/>
    </row>
    <row r="6372" spans="38:38" x14ac:dyDescent="0.35">
      <c r="AL6372" s="86"/>
    </row>
    <row r="6373" spans="38:38" x14ac:dyDescent="0.35">
      <c r="AL6373" s="86"/>
    </row>
    <row r="6374" spans="38:38" x14ac:dyDescent="0.35">
      <c r="AL6374" s="86"/>
    </row>
    <row r="6375" spans="38:38" x14ac:dyDescent="0.35">
      <c r="AL6375" s="86"/>
    </row>
    <row r="6376" spans="38:38" x14ac:dyDescent="0.35">
      <c r="AL6376" s="86"/>
    </row>
    <row r="6377" spans="38:38" x14ac:dyDescent="0.35">
      <c r="AL6377" s="86"/>
    </row>
    <row r="6378" spans="38:38" x14ac:dyDescent="0.35">
      <c r="AL6378" s="86"/>
    </row>
    <row r="6379" spans="38:38" x14ac:dyDescent="0.35">
      <c r="AL6379" s="86"/>
    </row>
    <row r="6380" spans="38:38" x14ac:dyDescent="0.35">
      <c r="AL6380" s="86"/>
    </row>
    <row r="6381" spans="38:38" x14ac:dyDescent="0.35">
      <c r="AL6381" s="86"/>
    </row>
    <row r="6382" spans="38:38" x14ac:dyDescent="0.35">
      <c r="AL6382" s="86"/>
    </row>
    <row r="6383" spans="38:38" x14ac:dyDescent="0.35">
      <c r="AL6383" s="86"/>
    </row>
    <row r="6384" spans="38:38" x14ac:dyDescent="0.35">
      <c r="AL6384" s="86"/>
    </row>
    <row r="6385" spans="38:38" x14ac:dyDescent="0.35">
      <c r="AL6385" s="86"/>
    </row>
    <row r="6386" spans="38:38" x14ac:dyDescent="0.35">
      <c r="AL6386" s="86"/>
    </row>
    <row r="6387" spans="38:38" x14ac:dyDescent="0.35">
      <c r="AL6387" s="86"/>
    </row>
    <row r="6388" spans="38:38" x14ac:dyDescent="0.35">
      <c r="AL6388" s="86"/>
    </row>
    <row r="6389" spans="38:38" x14ac:dyDescent="0.35">
      <c r="AL6389" s="86"/>
    </row>
    <row r="6390" spans="38:38" x14ac:dyDescent="0.35">
      <c r="AL6390" s="86"/>
    </row>
    <row r="6391" spans="38:38" x14ac:dyDescent="0.35">
      <c r="AL6391" s="86"/>
    </row>
    <row r="6392" spans="38:38" x14ac:dyDescent="0.35">
      <c r="AL6392" s="86"/>
    </row>
    <row r="6393" spans="38:38" x14ac:dyDescent="0.35">
      <c r="AL6393" s="86"/>
    </row>
    <row r="6394" spans="38:38" x14ac:dyDescent="0.35">
      <c r="AL6394" s="86"/>
    </row>
    <row r="6395" spans="38:38" x14ac:dyDescent="0.35">
      <c r="AL6395" s="86"/>
    </row>
    <row r="6396" spans="38:38" x14ac:dyDescent="0.35">
      <c r="AL6396" s="86"/>
    </row>
    <row r="6397" spans="38:38" x14ac:dyDescent="0.35">
      <c r="AL6397" s="86"/>
    </row>
    <row r="6398" spans="38:38" x14ac:dyDescent="0.35">
      <c r="AL6398" s="86"/>
    </row>
    <row r="6399" spans="38:38" x14ac:dyDescent="0.35">
      <c r="AL6399" s="86"/>
    </row>
    <row r="6400" spans="38:38" x14ac:dyDescent="0.35">
      <c r="AL6400" s="86"/>
    </row>
    <row r="6401" spans="38:38" x14ac:dyDescent="0.35">
      <c r="AL6401" s="86"/>
    </row>
    <row r="6402" spans="38:38" x14ac:dyDescent="0.35">
      <c r="AL6402" s="86"/>
    </row>
    <row r="6403" spans="38:38" x14ac:dyDescent="0.35">
      <c r="AL6403" s="86"/>
    </row>
    <row r="6404" spans="38:38" x14ac:dyDescent="0.35">
      <c r="AL6404" s="86"/>
    </row>
    <row r="6405" spans="38:38" x14ac:dyDescent="0.35">
      <c r="AL6405" s="86"/>
    </row>
    <row r="6406" spans="38:38" x14ac:dyDescent="0.35">
      <c r="AL6406" s="86"/>
    </row>
    <row r="6407" spans="38:38" x14ac:dyDescent="0.35">
      <c r="AL6407" s="86"/>
    </row>
    <row r="6408" spans="38:38" x14ac:dyDescent="0.35">
      <c r="AL6408" s="86"/>
    </row>
    <row r="6409" spans="38:38" x14ac:dyDescent="0.35">
      <c r="AL6409" s="86"/>
    </row>
    <row r="6410" spans="38:38" x14ac:dyDescent="0.35">
      <c r="AL6410" s="86"/>
    </row>
    <row r="6411" spans="38:38" x14ac:dyDescent="0.35">
      <c r="AL6411" s="86"/>
    </row>
    <row r="6412" spans="38:38" x14ac:dyDescent="0.35">
      <c r="AL6412" s="86"/>
    </row>
    <row r="6413" spans="38:38" x14ac:dyDescent="0.35">
      <c r="AL6413" s="86"/>
    </row>
    <row r="6414" spans="38:38" x14ac:dyDescent="0.35">
      <c r="AL6414" s="86"/>
    </row>
    <row r="6415" spans="38:38" x14ac:dyDescent="0.35">
      <c r="AL6415" s="86"/>
    </row>
    <row r="6416" spans="38:38" x14ac:dyDescent="0.35">
      <c r="AL6416" s="86"/>
    </row>
    <row r="6417" spans="38:38" x14ac:dyDescent="0.35">
      <c r="AL6417" s="86"/>
    </row>
    <row r="6418" spans="38:38" x14ac:dyDescent="0.35">
      <c r="AL6418" s="86"/>
    </row>
    <row r="6419" spans="38:38" x14ac:dyDescent="0.35">
      <c r="AL6419" s="86"/>
    </row>
    <row r="6420" spans="38:38" x14ac:dyDescent="0.35">
      <c r="AL6420" s="86"/>
    </row>
    <row r="6421" spans="38:38" x14ac:dyDescent="0.35">
      <c r="AL6421" s="86"/>
    </row>
    <row r="6422" spans="38:38" x14ac:dyDescent="0.35">
      <c r="AL6422" s="86"/>
    </row>
    <row r="6423" spans="38:38" x14ac:dyDescent="0.35">
      <c r="AL6423" s="86"/>
    </row>
    <row r="6424" spans="38:38" x14ac:dyDescent="0.35">
      <c r="AL6424" s="86"/>
    </row>
    <row r="6425" spans="38:38" x14ac:dyDescent="0.35">
      <c r="AL6425" s="86"/>
    </row>
    <row r="6426" spans="38:38" x14ac:dyDescent="0.35">
      <c r="AL6426" s="86"/>
    </row>
    <row r="6427" spans="38:38" x14ac:dyDescent="0.35">
      <c r="AL6427" s="86"/>
    </row>
    <row r="6428" spans="38:38" x14ac:dyDescent="0.35">
      <c r="AL6428" s="86"/>
    </row>
    <row r="6429" spans="38:38" x14ac:dyDescent="0.35">
      <c r="AL6429" s="86"/>
    </row>
    <row r="6430" spans="38:38" x14ac:dyDescent="0.35">
      <c r="AL6430" s="86"/>
    </row>
    <row r="6431" spans="38:38" x14ac:dyDescent="0.35">
      <c r="AL6431" s="86"/>
    </row>
    <row r="6432" spans="38:38" x14ac:dyDescent="0.35">
      <c r="AL6432" s="86"/>
    </row>
    <row r="6433" spans="38:38" x14ac:dyDescent="0.35">
      <c r="AL6433" s="86"/>
    </row>
    <row r="6434" spans="38:38" x14ac:dyDescent="0.35">
      <c r="AL6434" s="86"/>
    </row>
    <row r="6435" spans="38:38" x14ac:dyDescent="0.35">
      <c r="AL6435" s="86"/>
    </row>
    <row r="6436" spans="38:38" x14ac:dyDescent="0.35">
      <c r="AL6436" s="86"/>
    </row>
    <row r="6437" spans="38:38" x14ac:dyDescent="0.35">
      <c r="AL6437" s="86"/>
    </row>
    <row r="6438" spans="38:38" x14ac:dyDescent="0.35">
      <c r="AL6438" s="86"/>
    </row>
    <row r="6439" spans="38:38" x14ac:dyDescent="0.35">
      <c r="AL6439" s="86"/>
    </row>
    <row r="6440" spans="38:38" x14ac:dyDescent="0.35">
      <c r="AL6440" s="86"/>
    </row>
    <row r="6441" spans="38:38" x14ac:dyDescent="0.35">
      <c r="AL6441" s="86"/>
    </row>
    <row r="6442" spans="38:38" x14ac:dyDescent="0.35">
      <c r="AL6442" s="86"/>
    </row>
    <row r="6443" spans="38:38" x14ac:dyDescent="0.35">
      <c r="AL6443" s="86"/>
    </row>
    <row r="6444" spans="38:38" x14ac:dyDescent="0.35">
      <c r="AL6444" s="86"/>
    </row>
    <row r="6445" spans="38:38" x14ac:dyDescent="0.35">
      <c r="AL6445" s="86"/>
    </row>
    <row r="6446" spans="38:38" x14ac:dyDescent="0.35">
      <c r="AL6446" s="86"/>
    </row>
    <row r="6447" spans="38:38" x14ac:dyDescent="0.35">
      <c r="AL6447" s="86"/>
    </row>
    <row r="6448" spans="38:38" x14ac:dyDescent="0.35">
      <c r="AL6448" s="86"/>
    </row>
    <row r="6449" spans="38:38" x14ac:dyDescent="0.35">
      <c r="AL6449" s="86"/>
    </row>
    <row r="6450" spans="38:38" x14ac:dyDescent="0.35">
      <c r="AL6450" s="86"/>
    </row>
    <row r="6451" spans="38:38" x14ac:dyDescent="0.35">
      <c r="AL6451" s="86"/>
    </row>
    <row r="6452" spans="38:38" x14ac:dyDescent="0.35">
      <c r="AL6452" s="86"/>
    </row>
    <row r="6453" spans="38:38" x14ac:dyDescent="0.35">
      <c r="AL6453" s="86"/>
    </row>
    <row r="6454" spans="38:38" x14ac:dyDescent="0.35">
      <c r="AL6454" s="86"/>
    </row>
    <row r="6455" spans="38:38" x14ac:dyDescent="0.35">
      <c r="AL6455" s="86"/>
    </row>
    <row r="6456" spans="38:38" x14ac:dyDescent="0.35">
      <c r="AL6456" s="86"/>
    </row>
    <row r="6457" spans="38:38" x14ac:dyDescent="0.35">
      <c r="AL6457" s="86"/>
    </row>
    <row r="6458" spans="38:38" x14ac:dyDescent="0.35">
      <c r="AL6458" s="86"/>
    </row>
    <row r="6459" spans="38:38" x14ac:dyDescent="0.35">
      <c r="AL6459" s="86"/>
    </row>
    <row r="6460" spans="38:38" x14ac:dyDescent="0.35">
      <c r="AL6460" s="86"/>
    </row>
    <row r="6461" spans="38:38" x14ac:dyDescent="0.35">
      <c r="AL6461" s="86"/>
    </row>
    <row r="6462" spans="38:38" x14ac:dyDescent="0.35">
      <c r="AL6462" s="86"/>
    </row>
    <row r="6463" spans="38:38" x14ac:dyDescent="0.35">
      <c r="AL6463" s="86"/>
    </row>
    <row r="6464" spans="38:38" x14ac:dyDescent="0.35">
      <c r="AL6464" s="86"/>
    </row>
    <row r="6465" spans="38:38" x14ac:dyDescent="0.35">
      <c r="AL6465" s="86"/>
    </row>
    <row r="6466" spans="38:38" x14ac:dyDescent="0.35">
      <c r="AL6466" s="86"/>
    </row>
    <row r="6467" spans="38:38" x14ac:dyDescent="0.35">
      <c r="AL6467" s="86"/>
    </row>
    <row r="6468" spans="38:38" x14ac:dyDescent="0.35">
      <c r="AL6468" s="86"/>
    </row>
    <row r="6469" spans="38:38" x14ac:dyDescent="0.35">
      <c r="AL6469" s="86"/>
    </row>
    <row r="6470" spans="38:38" x14ac:dyDescent="0.35">
      <c r="AL6470" s="86"/>
    </row>
    <row r="6471" spans="38:38" x14ac:dyDescent="0.35">
      <c r="AL6471" s="86"/>
    </row>
    <row r="6472" spans="38:38" x14ac:dyDescent="0.35">
      <c r="AL6472" s="86"/>
    </row>
    <row r="6473" spans="38:38" x14ac:dyDescent="0.35">
      <c r="AL6473" s="86"/>
    </row>
    <row r="6474" spans="38:38" x14ac:dyDescent="0.35">
      <c r="AL6474" s="86"/>
    </row>
    <row r="6475" spans="38:38" x14ac:dyDescent="0.35">
      <c r="AL6475" s="86"/>
    </row>
    <row r="6476" spans="38:38" x14ac:dyDescent="0.35">
      <c r="AL6476" s="86"/>
    </row>
    <row r="6477" spans="38:38" x14ac:dyDescent="0.35">
      <c r="AL6477" s="86"/>
    </row>
    <row r="6478" spans="38:38" x14ac:dyDescent="0.35">
      <c r="AL6478" s="86"/>
    </row>
    <row r="6479" spans="38:38" x14ac:dyDescent="0.35">
      <c r="AL6479" s="86"/>
    </row>
    <row r="6480" spans="38:38" x14ac:dyDescent="0.35">
      <c r="AL6480" s="86"/>
    </row>
    <row r="6481" spans="38:38" x14ac:dyDescent="0.35">
      <c r="AL6481" s="86"/>
    </row>
    <row r="6482" spans="38:38" x14ac:dyDescent="0.35">
      <c r="AL6482" s="86"/>
    </row>
    <row r="6483" spans="38:38" x14ac:dyDescent="0.35">
      <c r="AL6483" s="86"/>
    </row>
    <row r="6484" spans="38:38" x14ac:dyDescent="0.35">
      <c r="AL6484" s="86"/>
    </row>
    <row r="6485" spans="38:38" x14ac:dyDescent="0.35">
      <c r="AL6485" s="86"/>
    </row>
    <row r="6486" spans="38:38" x14ac:dyDescent="0.35">
      <c r="AL6486" s="86"/>
    </row>
    <row r="6487" spans="38:38" x14ac:dyDescent="0.35">
      <c r="AL6487" s="86"/>
    </row>
    <row r="6488" spans="38:38" x14ac:dyDescent="0.35">
      <c r="AL6488" s="86"/>
    </row>
    <row r="6489" spans="38:38" x14ac:dyDescent="0.35">
      <c r="AL6489" s="86"/>
    </row>
    <row r="6490" spans="38:38" x14ac:dyDescent="0.35">
      <c r="AL6490" s="86"/>
    </row>
    <row r="6491" spans="38:38" x14ac:dyDescent="0.35">
      <c r="AL6491" s="86"/>
    </row>
    <row r="6492" spans="38:38" x14ac:dyDescent="0.35">
      <c r="AL6492" s="86"/>
    </row>
    <row r="6493" spans="38:38" x14ac:dyDescent="0.35">
      <c r="AL6493" s="86"/>
    </row>
    <row r="6494" spans="38:38" x14ac:dyDescent="0.35">
      <c r="AL6494" s="86"/>
    </row>
    <row r="6495" spans="38:38" x14ac:dyDescent="0.35">
      <c r="AL6495" s="86"/>
    </row>
    <row r="6496" spans="38:38" x14ac:dyDescent="0.35">
      <c r="AL6496" s="86"/>
    </row>
    <row r="6497" spans="38:38" x14ac:dyDescent="0.35">
      <c r="AL6497" s="86"/>
    </row>
    <row r="6498" spans="38:38" x14ac:dyDescent="0.35">
      <c r="AL6498" s="86"/>
    </row>
    <row r="6499" spans="38:38" x14ac:dyDescent="0.35">
      <c r="AL6499" s="86"/>
    </row>
    <row r="6500" spans="38:38" x14ac:dyDescent="0.35">
      <c r="AL6500" s="86"/>
    </row>
    <row r="6501" spans="38:38" x14ac:dyDescent="0.35">
      <c r="AL6501" s="86"/>
    </row>
    <row r="6502" spans="38:38" x14ac:dyDescent="0.35">
      <c r="AL6502" s="86"/>
    </row>
    <row r="6503" spans="38:38" x14ac:dyDescent="0.35">
      <c r="AL6503" s="86"/>
    </row>
    <row r="6504" spans="38:38" x14ac:dyDescent="0.35">
      <c r="AL6504" s="86"/>
    </row>
    <row r="6505" spans="38:38" x14ac:dyDescent="0.35">
      <c r="AL6505" s="86"/>
    </row>
    <row r="6506" spans="38:38" x14ac:dyDescent="0.35">
      <c r="AL6506" s="86"/>
    </row>
    <row r="6507" spans="38:38" x14ac:dyDescent="0.35">
      <c r="AL6507" s="86"/>
    </row>
    <row r="6508" spans="38:38" x14ac:dyDescent="0.35">
      <c r="AL6508" s="86"/>
    </row>
    <row r="6509" spans="38:38" x14ac:dyDescent="0.35">
      <c r="AL6509" s="86"/>
    </row>
    <row r="6510" spans="38:38" x14ac:dyDescent="0.35">
      <c r="AL6510" s="86"/>
    </row>
    <row r="6511" spans="38:38" x14ac:dyDescent="0.35">
      <c r="AL6511" s="86"/>
    </row>
    <row r="6512" spans="38:38" x14ac:dyDescent="0.35">
      <c r="AL6512" s="86"/>
    </row>
    <row r="6513" spans="38:38" x14ac:dyDescent="0.35">
      <c r="AL6513" s="86"/>
    </row>
    <row r="6514" spans="38:38" x14ac:dyDescent="0.35">
      <c r="AL6514" s="86"/>
    </row>
    <row r="6515" spans="38:38" x14ac:dyDescent="0.35">
      <c r="AL6515" s="86"/>
    </row>
    <row r="6516" spans="38:38" x14ac:dyDescent="0.35">
      <c r="AL6516" s="86"/>
    </row>
    <row r="6517" spans="38:38" x14ac:dyDescent="0.35">
      <c r="AL6517" s="86"/>
    </row>
    <row r="6518" spans="38:38" x14ac:dyDescent="0.35">
      <c r="AL6518" s="86"/>
    </row>
    <row r="6519" spans="38:38" x14ac:dyDescent="0.35">
      <c r="AL6519" s="86"/>
    </row>
    <row r="6520" spans="38:38" x14ac:dyDescent="0.35">
      <c r="AL6520" s="86"/>
    </row>
    <row r="6521" spans="38:38" x14ac:dyDescent="0.35">
      <c r="AL6521" s="86"/>
    </row>
    <row r="6522" spans="38:38" x14ac:dyDescent="0.35">
      <c r="AL6522" s="86"/>
    </row>
    <row r="6523" spans="38:38" x14ac:dyDescent="0.35">
      <c r="AL6523" s="86"/>
    </row>
    <row r="6524" spans="38:38" x14ac:dyDescent="0.35">
      <c r="AL6524" s="86"/>
    </row>
    <row r="6525" spans="38:38" x14ac:dyDescent="0.35">
      <c r="AL6525" s="86"/>
    </row>
    <row r="6526" spans="38:38" x14ac:dyDescent="0.35">
      <c r="AL6526" s="86"/>
    </row>
    <row r="6527" spans="38:38" x14ac:dyDescent="0.35">
      <c r="AL6527" s="86"/>
    </row>
    <row r="6528" spans="38:38" x14ac:dyDescent="0.35">
      <c r="AL6528" s="86"/>
    </row>
    <row r="6529" spans="38:38" x14ac:dyDescent="0.35">
      <c r="AL6529" s="86"/>
    </row>
    <row r="6530" spans="38:38" x14ac:dyDescent="0.35">
      <c r="AL6530" s="86"/>
    </row>
    <row r="6531" spans="38:38" x14ac:dyDescent="0.35">
      <c r="AL6531" s="86"/>
    </row>
    <row r="6532" spans="38:38" x14ac:dyDescent="0.35">
      <c r="AL6532" s="86"/>
    </row>
    <row r="6533" spans="38:38" x14ac:dyDescent="0.35">
      <c r="AL6533" s="86"/>
    </row>
    <row r="6534" spans="38:38" x14ac:dyDescent="0.35">
      <c r="AL6534" s="86"/>
    </row>
    <row r="6535" spans="38:38" x14ac:dyDescent="0.35">
      <c r="AL6535" s="86"/>
    </row>
    <row r="6536" spans="38:38" x14ac:dyDescent="0.35">
      <c r="AL6536" s="86"/>
    </row>
    <row r="6537" spans="38:38" x14ac:dyDescent="0.35">
      <c r="AL6537" s="86"/>
    </row>
    <row r="6538" spans="38:38" x14ac:dyDescent="0.35">
      <c r="AL6538" s="86"/>
    </row>
    <row r="6539" spans="38:38" x14ac:dyDescent="0.35">
      <c r="AL6539" s="86"/>
    </row>
    <row r="6540" spans="38:38" x14ac:dyDescent="0.35">
      <c r="AL6540" s="86"/>
    </row>
    <row r="6541" spans="38:38" x14ac:dyDescent="0.35">
      <c r="AL6541" s="86"/>
    </row>
    <row r="6542" spans="38:38" x14ac:dyDescent="0.35">
      <c r="AL6542" s="86"/>
    </row>
    <row r="6543" spans="38:38" x14ac:dyDescent="0.35">
      <c r="AL6543" s="86"/>
    </row>
    <row r="6544" spans="38:38" x14ac:dyDescent="0.35">
      <c r="AL6544" s="86"/>
    </row>
    <row r="6545" spans="38:38" x14ac:dyDescent="0.35">
      <c r="AL6545" s="86"/>
    </row>
    <row r="6546" spans="38:38" x14ac:dyDescent="0.35">
      <c r="AL6546" s="86"/>
    </row>
    <row r="6547" spans="38:38" x14ac:dyDescent="0.35">
      <c r="AL6547" s="86"/>
    </row>
    <row r="6548" spans="38:38" x14ac:dyDescent="0.35">
      <c r="AL6548" s="86"/>
    </row>
    <row r="6549" spans="38:38" x14ac:dyDescent="0.35">
      <c r="AL6549" s="86"/>
    </row>
    <row r="6550" spans="38:38" x14ac:dyDescent="0.35">
      <c r="AL6550" s="86"/>
    </row>
    <row r="6551" spans="38:38" x14ac:dyDescent="0.35">
      <c r="AL6551" s="86"/>
    </row>
    <row r="6552" spans="38:38" x14ac:dyDescent="0.35">
      <c r="AL6552" s="86"/>
    </row>
    <row r="6553" spans="38:38" x14ac:dyDescent="0.35">
      <c r="AL6553" s="86"/>
    </row>
    <row r="6554" spans="38:38" x14ac:dyDescent="0.35">
      <c r="AL6554" s="86"/>
    </row>
    <row r="6555" spans="38:38" x14ac:dyDescent="0.35">
      <c r="AL6555" s="86"/>
    </row>
    <row r="6556" spans="38:38" x14ac:dyDescent="0.35">
      <c r="AL6556" s="86"/>
    </row>
    <row r="6557" spans="38:38" x14ac:dyDescent="0.35">
      <c r="AL6557" s="86"/>
    </row>
    <row r="6558" spans="38:38" x14ac:dyDescent="0.35">
      <c r="AL6558" s="86"/>
    </row>
    <row r="6559" spans="38:38" x14ac:dyDescent="0.35">
      <c r="AL6559" s="86"/>
    </row>
    <row r="6560" spans="38:38" x14ac:dyDescent="0.35">
      <c r="AL6560" s="86"/>
    </row>
    <row r="6561" spans="38:38" x14ac:dyDescent="0.35">
      <c r="AL6561" s="86"/>
    </row>
    <row r="6562" spans="38:38" x14ac:dyDescent="0.35">
      <c r="AL6562" s="86"/>
    </row>
    <row r="6563" spans="38:38" x14ac:dyDescent="0.35">
      <c r="AL6563" s="86"/>
    </row>
    <row r="6564" spans="38:38" x14ac:dyDescent="0.35">
      <c r="AL6564" s="86"/>
    </row>
    <row r="6565" spans="38:38" x14ac:dyDescent="0.35">
      <c r="AL6565" s="86"/>
    </row>
    <row r="6566" spans="38:38" x14ac:dyDescent="0.35">
      <c r="AL6566" s="86"/>
    </row>
    <row r="6567" spans="38:38" x14ac:dyDescent="0.35">
      <c r="AL6567" s="86"/>
    </row>
    <row r="6568" spans="38:38" x14ac:dyDescent="0.35">
      <c r="AL6568" s="86"/>
    </row>
    <row r="6569" spans="38:38" x14ac:dyDescent="0.35">
      <c r="AL6569" s="86"/>
    </row>
    <row r="6570" spans="38:38" x14ac:dyDescent="0.35">
      <c r="AL6570" s="86"/>
    </row>
    <row r="6571" spans="38:38" x14ac:dyDescent="0.35">
      <c r="AL6571" s="86"/>
    </row>
    <row r="6572" spans="38:38" x14ac:dyDescent="0.35">
      <c r="AL6572" s="86"/>
    </row>
    <row r="6573" spans="38:38" x14ac:dyDescent="0.35">
      <c r="AL6573" s="86"/>
    </row>
    <row r="6574" spans="38:38" x14ac:dyDescent="0.35">
      <c r="AL6574" s="86"/>
    </row>
    <row r="6575" spans="38:38" x14ac:dyDescent="0.35">
      <c r="AL6575" s="86"/>
    </row>
    <row r="6576" spans="38:38" x14ac:dyDescent="0.35">
      <c r="AL6576" s="86"/>
    </row>
    <row r="6577" spans="38:38" x14ac:dyDescent="0.35">
      <c r="AL6577" s="86"/>
    </row>
    <row r="6578" spans="38:38" x14ac:dyDescent="0.35">
      <c r="AL6578" s="86"/>
    </row>
    <row r="6579" spans="38:38" x14ac:dyDescent="0.35">
      <c r="AL6579" s="86"/>
    </row>
    <row r="6580" spans="38:38" x14ac:dyDescent="0.35">
      <c r="AL6580" s="86"/>
    </row>
    <row r="6581" spans="38:38" x14ac:dyDescent="0.35">
      <c r="AL6581" s="86"/>
    </row>
    <row r="6582" spans="38:38" x14ac:dyDescent="0.35">
      <c r="AL6582" s="86"/>
    </row>
    <row r="6583" spans="38:38" x14ac:dyDescent="0.35">
      <c r="AL6583" s="86"/>
    </row>
    <row r="6584" spans="38:38" x14ac:dyDescent="0.35">
      <c r="AL6584" s="86"/>
    </row>
    <row r="6585" spans="38:38" x14ac:dyDescent="0.35">
      <c r="AL6585" s="86"/>
    </row>
    <row r="6586" spans="38:38" x14ac:dyDescent="0.35">
      <c r="AL6586" s="86"/>
    </row>
    <row r="6587" spans="38:38" x14ac:dyDescent="0.35">
      <c r="AL6587" s="86"/>
    </row>
    <row r="6588" spans="38:38" x14ac:dyDescent="0.35">
      <c r="AL6588" s="86"/>
    </row>
    <row r="6589" spans="38:38" x14ac:dyDescent="0.35">
      <c r="AL6589" s="86"/>
    </row>
    <row r="6590" spans="38:38" x14ac:dyDescent="0.35">
      <c r="AL6590" s="86"/>
    </row>
    <row r="6591" spans="38:38" x14ac:dyDescent="0.35">
      <c r="AL6591" s="86"/>
    </row>
    <row r="6592" spans="38:38" x14ac:dyDescent="0.35">
      <c r="AL6592" s="86"/>
    </row>
    <row r="6593" spans="38:38" x14ac:dyDescent="0.35">
      <c r="AL6593" s="86"/>
    </row>
    <row r="6594" spans="38:38" x14ac:dyDescent="0.35">
      <c r="AL6594" s="86"/>
    </row>
    <row r="6595" spans="38:38" x14ac:dyDescent="0.35">
      <c r="AL6595" s="86"/>
    </row>
    <row r="6596" spans="38:38" x14ac:dyDescent="0.35">
      <c r="AL6596" s="86"/>
    </row>
    <row r="6597" spans="38:38" x14ac:dyDescent="0.35">
      <c r="AL6597" s="86"/>
    </row>
    <row r="6598" spans="38:38" x14ac:dyDescent="0.35">
      <c r="AL6598" s="86"/>
    </row>
    <row r="6599" spans="38:38" x14ac:dyDescent="0.35">
      <c r="AL6599" s="86"/>
    </row>
    <row r="6600" spans="38:38" x14ac:dyDescent="0.35">
      <c r="AL6600" s="86"/>
    </row>
    <row r="6601" spans="38:38" x14ac:dyDescent="0.35">
      <c r="AL6601" s="86"/>
    </row>
    <row r="6602" spans="38:38" x14ac:dyDescent="0.35">
      <c r="AL6602" s="86"/>
    </row>
    <row r="6603" spans="38:38" x14ac:dyDescent="0.35">
      <c r="AL6603" s="86"/>
    </row>
    <row r="6604" spans="38:38" x14ac:dyDescent="0.35">
      <c r="AL6604" s="86"/>
    </row>
    <row r="6605" spans="38:38" x14ac:dyDescent="0.35">
      <c r="AL6605" s="86"/>
    </row>
    <row r="6606" spans="38:38" x14ac:dyDescent="0.35">
      <c r="AL6606" s="86"/>
    </row>
    <row r="6607" spans="38:38" x14ac:dyDescent="0.35">
      <c r="AL6607" s="86"/>
    </row>
    <row r="6608" spans="38:38" x14ac:dyDescent="0.35">
      <c r="AL6608" s="86"/>
    </row>
    <row r="6609" spans="38:38" x14ac:dyDescent="0.35">
      <c r="AL6609" s="86"/>
    </row>
    <row r="6610" spans="38:38" x14ac:dyDescent="0.35">
      <c r="AL6610" s="86"/>
    </row>
    <row r="6611" spans="38:38" x14ac:dyDescent="0.35">
      <c r="AL6611" s="86"/>
    </row>
    <row r="6612" spans="38:38" x14ac:dyDescent="0.35">
      <c r="AL6612" s="86"/>
    </row>
    <row r="6613" spans="38:38" x14ac:dyDescent="0.35">
      <c r="AL6613" s="86"/>
    </row>
    <row r="6614" spans="38:38" x14ac:dyDescent="0.35">
      <c r="AL6614" s="86"/>
    </row>
    <row r="6615" spans="38:38" x14ac:dyDescent="0.35">
      <c r="AL6615" s="86"/>
    </row>
    <row r="6616" spans="38:38" x14ac:dyDescent="0.35">
      <c r="AL6616" s="86"/>
    </row>
    <row r="6617" spans="38:38" x14ac:dyDescent="0.35">
      <c r="AL6617" s="86"/>
    </row>
    <row r="6618" spans="38:38" x14ac:dyDescent="0.35">
      <c r="AL6618" s="86"/>
    </row>
    <row r="6619" spans="38:38" x14ac:dyDescent="0.35">
      <c r="AL6619" s="86"/>
    </row>
    <row r="6620" spans="38:38" x14ac:dyDescent="0.35">
      <c r="AL6620" s="86"/>
    </row>
    <row r="6621" spans="38:38" x14ac:dyDescent="0.35">
      <c r="AL6621" s="86"/>
    </row>
    <row r="6622" spans="38:38" x14ac:dyDescent="0.35">
      <c r="AL6622" s="86"/>
    </row>
    <row r="6623" spans="38:38" x14ac:dyDescent="0.35">
      <c r="AL6623" s="86"/>
    </row>
    <row r="6624" spans="38:38" x14ac:dyDescent="0.35">
      <c r="AL6624" s="86"/>
    </row>
    <row r="6625" spans="38:38" x14ac:dyDescent="0.35">
      <c r="AL6625" s="86"/>
    </row>
    <row r="6626" spans="38:38" x14ac:dyDescent="0.35">
      <c r="AL6626" s="86"/>
    </row>
    <row r="6627" spans="38:38" x14ac:dyDescent="0.35">
      <c r="AL6627" s="86"/>
    </row>
    <row r="6628" spans="38:38" x14ac:dyDescent="0.35">
      <c r="AL6628" s="86"/>
    </row>
    <row r="6629" spans="38:38" x14ac:dyDescent="0.35">
      <c r="AL6629" s="86"/>
    </row>
    <row r="6630" spans="38:38" x14ac:dyDescent="0.35">
      <c r="AL6630" s="86"/>
    </row>
    <row r="6631" spans="38:38" x14ac:dyDescent="0.35">
      <c r="AL6631" s="86"/>
    </row>
    <row r="6632" spans="38:38" x14ac:dyDescent="0.35">
      <c r="AL6632" s="86"/>
    </row>
    <row r="6633" spans="38:38" x14ac:dyDescent="0.35">
      <c r="AL6633" s="86"/>
    </row>
    <row r="6634" spans="38:38" x14ac:dyDescent="0.35">
      <c r="AL6634" s="86"/>
    </row>
    <row r="6635" spans="38:38" x14ac:dyDescent="0.35">
      <c r="AL6635" s="86"/>
    </row>
    <row r="6636" spans="38:38" x14ac:dyDescent="0.35">
      <c r="AL6636" s="86"/>
    </row>
    <row r="6637" spans="38:38" x14ac:dyDescent="0.35">
      <c r="AL6637" s="86"/>
    </row>
    <row r="6638" spans="38:38" x14ac:dyDescent="0.35">
      <c r="AL6638" s="86"/>
    </row>
    <row r="6639" spans="38:38" x14ac:dyDescent="0.35">
      <c r="AL6639" s="86"/>
    </row>
    <row r="6640" spans="38:38" x14ac:dyDescent="0.35">
      <c r="AL6640" s="86"/>
    </row>
    <row r="6641" spans="38:38" x14ac:dyDescent="0.35">
      <c r="AL6641" s="86"/>
    </row>
    <row r="6642" spans="38:38" x14ac:dyDescent="0.35">
      <c r="AL6642" s="86"/>
    </row>
    <row r="6643" spans="38:38" x14ac:dyDescent="0.35">
      <c r="AL6643" s="86"/>
    </row>
    <row r="6644" spans="38:38" x14ac:dyDescent="0.35">
      <c r="AL6644" s="86"/>
    </row>
    <row r="6645" spans="38:38" x14ac:dyDescent="0.35">
      <c r="AL6645" s="86"/>
    </row>
    <row r="6646" spans="38:38" x14ac:dyDescent="0.35">
      <c r="AL6646" s="86"/>
    </row>
    <row r="6647" spans="38:38" x14ac:dyDescent="0.35">
      <c r="AL6647" s="86"/>
    </row>
    <row r="6648" spans="38:38" x14ac:dyDescent="0.35">
      <c r="AL6648" s="86"/>
    </row>
    <row r="6649" spans="38:38" x14ac:dyDescent="0.35">
      <c r="AL6649" s="86"/>
    </row>
    <row r="6650" spans="38:38" x14ac:dyDescent="0.35">
      <c r="AL6650" s="86"/>
    </row>
    <row r="6651" spans="38:38" x14ac:dyDescent="0.35">
      <c r="AL6651" s="86"/>
    </row>
    <row r="6652" spans="38:38" x14ac:dyDescent="0.35">
      <c r="AL6652" s="86"/>
    </row>
    <row r="6653" spans="38:38" x14ac:dyDescent="0.35">
      <c r="AL6653" s="86"/>
    </row>
    <row r="6654" spans="38:38" x14ac:dyDescent="0.35">
      <c r="AL6654" s="86"/>
    </row>
    <row r="6655" spans="38:38" x14ac:dyDescent="0.35">
      <c r="AL6655" s="86"/>
    </row>
    <row r="6656" spans="38:38" x14ac:dyDescent="0.35">
      <c r="AL6656" s="86"/>
    </row>
    <row r="6657" spans="38:38" x14ac:dyDescent="0.35">
      <c r="AL6657" s="86"/>
    </row>
    <row r="6658" spans="38:38" x14ac:dyDescent="0.35">
      <c r="AL6658" s="86"/>
    </row>
    <row r="6659" spans="38:38" x14ac:dyDescent="0.35">
      <c r="AL6659" s="86"/>
    </row>
    <row r="6660" spans="38:38" x14ac:dyDescent="0.35">
      <c r="AL6660" s="86"/>
    </row>
    <row r="6661" spans="38:38" x14ac:dyDescent="0.35">
      <c r="AL6661" s="86"/>
    </row>
    <row r="6662" spans="38:38" x14ac:dyDescent="0.35">
      <c r="AL6662" s="86"/>
    </row>
    <row r="6663" spans="38:38" x14ac:dyDescent="0.35">
      <c r="AL6663" s="86"/>
    </row>
    <row r="6664" spans="38:38" x14ac:dyDescent="0.35">
      <c r="AL6664" s="86"/>
    </row>
    <row r="6665" spans="38:38" x14ac:dyDescent="0.35">
      <c r="AL6665" s="86"/>
    </row>
    <row r="6666" spans="38:38" x14ac:dyDescent="0.35">
      <c r="AL6666" s="86"/>
    </row>
    <row r="6667" spans="38:38" x14ac:dyDescent="0.35">
      <c r="AL6667" s="86"/>
    </row>
    <row r="6668" spans="38:38" x14ac:dyDescent="0.35">
      <c r="AL6668" s="86"/>
    </row>
    <row r="6669" spans="38:38" x14ac:dyDescent="0.35">
      <c r="AL6669" s="86"/>
    </row>
    <row r="6670" spans="38:38" x14ac:dyDescent="0.35">
      <c r="AL6670" s="86"/>
    </row>
    <row r="6671" spans="38:38" x14ac:dyDescent="0.35">
      <c r="AL6671" s="86"/>
    </row>
    <row r="6672" spans="38:38" x14ac:dyDescent="0.35">
      <c r="AL6672" s="86"/>
    </row>
    <row r="6673" spans="38:38" x14ac:dyDescent="0.35">
      <c r="AL6673" s="86"/>
    </row>
    <row r="6674" spans="38:38" x14ac:dyDescent="0.35">
      <c r="AL6674" s="86"/>
    </row>
    <row r="6675" spans="38:38" x14ac:dyDescent="0.35">
      <c r="AL6675" s="86"/>
    </row>
    <row r="6676" spans="38:38" x14ac:dyDescent="0.35">
      <c r="AL6676" s="86"/>
    </row>
    <row r="6677" spans="38:38" x14ac:dyDescent="0.35">
      <c r="AL6677" s="86"/>
    </row>
    <row r="6678" spans="38:38" x14ac:dyDescent="0.35">
      <c r="AL6678" s="86"/>
    </row>
    <row r="6679" spans="38:38" x14ac:dyDescent="0.35">
      <c r="AL6679" s="86"/>
    </row>
    <row r="6680" spans="38:38" x14ac:dyDescent="0.35">
      <c r="AL6680" s="86"/>
    </row>
    <row r="6681" spans="38:38" x14ac:dyDescent="0.35">
      <c r="AL6681" s="86"/>
    </row>
    <row r="6682" spans="38:38" x14ac:dyDescent="0.35">
      <c r="AL6682" s="86"/>
    </row>
    <row r="6683" spans="38:38" x14ac:dyDescent="0.35">
      <c r="AL6683" s="86"/>
    </row>
    <row r="6684" spans="38:38" x14ac:dyDescent="0.35">
      <c r="AL6684" s="86"/>
    </row>
    <row r="6685" spans="38:38" x14ac:dyDescent="0.35">
      <c r="AL6685" s="86"/>
    </row>
    <row r="6686" spans="38:38" x14ac:dyDescent="0.35">
      <c r="AL6686" s="86"/>
    </row>
    <row r="6687" spans="38:38" x14ac:dyDescent="0.35">
      <c r="AL6687" s="86"/>
    </row>
    <row r="6688" spans="38:38" x14ac:dyDescent="0.35">
      <c r="AL6688" s="86"/>
    </row>
    <row r="6689" spans="38:38" x14ac:dyDescent="0.35">
      <c r="AL6689" s="86"/>
    </row>
    <row r="6690" spans="38:38" x14ac:dyDescent="0.35">
      <c r="AL6690" s="86"/>
    </row>
    <row r="6691" spans="38:38" x14ac:dyDescent="0.35">
      <c r="AL6691" s="86"/>
    </row>
    <row r="6692" spans="38:38" x14ac:dyDescent="0.35">
      <c r="AL6692" s="86"/>
    </row>
    <row r="6693" spans="38:38" x14ac:dyDescent="0.35">
      <c r="AL6693" s="86"/>
    </row>
    <row r="6694" spans="38:38" x14ac:dyDescent="0.35">
      <c r="AL6694" s="86"/>
    </row>
    <row r="6695" spans="38:38" x14ac:dyDescent="0.35">
      <c r="AL6695" s="86"/>
    </row>
    <row r="6696" spans="38:38" x14ac:dyDescent="0.35">
      <c r="AL6696" s="86"/>
    </row>
    <row r="6697" spans="38:38" x14ac:dyDescent="0.35">
      <c r="AL6697" s="86"/>
    </row>
    <row r="6698" spans="38:38" x14ac:dyDescent="0.35">
      <c r="AL6698" s="86"/>
    </row>
    <row r="6699" spans="38:38" x14ac:dyDescent="0.35">
      <c r="AL6699" s="86"/>
    </row>
    <row r="6700" spans="38:38" x14ac:dyDescent="0.35">
      <c r="AL6700" s="86"/>
    </row>
    <row r="6701" spans="38:38" x14ac:dyDescent="0.35">
      <c r="AL6701" s="86"/>
    </row>
    <row r="6702" spans="38:38" x14ac:dyDescent="0.35">
      <c r="AL6702" s="86"/>
    </row>
    <row r="6703" spans="38:38" x14ac:dyDescent="0.35">
      <c r="AL6703" s="86"/>
    </row>
    <row r="6704" spans="38:38" x14ac:dyDescent="0.35">
      <c r="AL6704" s="86"/>
    </row>
    <row r="6705" spans="38:38" x14ac:dyDescent="0.35">
      <c r="AL6705" s="86"/>
    </row>
    <row r="6706" spans="38:38" x14ac:dyDescent="0.35">
      <c r="AL6706" s="86"/>
    </row>
    <row r="6707" spans="38:38" x14ac:dyDescent="0.35">
      <c r="AL6707" s="86"/>
    </row>
    <row r="6708" spans="38:38" x14ac:dyDescent="0.35">
      <c r="AL6708" s="86"/>
    </row>
    <row r="6709" spans="38:38" x14ac:dyDescent="0.35">
      <c r="AL6709" s="86"/>
    </row>
    <row r="6710" spans="38:38" x14ac:dyDescent="0.35">
      <c r="AL6710" s="86"/>
    </row>
    <row r="6711" spans="38:38" x14ac:dyDescent="0.35">
      <c r="AL6711" s="86"/>
    </row>
    <row r="6712" spans="38:38" x14ac:dyDescent="0.35">
      <c r="AL6712" s="86"/>
    </row>
    <row r="6713" spans="38:38" x14ac:dyDescent="0.35">
      <c r="AL6713" s="86"/>
    </row>
    <row r="6714" spans="38:38" x14ac:dyDescent="0.35">
      <c r="AL6714" s="86"/>
    </row>
    <row r="6715" spans="38:38" x14ac:dyDescent="0.35">
      <c r="AL6715" s="86"/>
    </row>
    <row r="6716" spans="38:38" x14ac:dyDescent="0.35">
      <c r="AL6716" s="86"/>
    </row>
    <row r="6717" spans="38:38" x14ac:dyDescent="0.35">
      <c r="AL6717" s="86"/>
    </row>
    <row r="6718" spans="38:38" x14ac:dyDescent="0.35">
      <c r="AL6718" s="86"/>
    </row>
    <row r="6719" spans="38:38" x14ac:dyDescent="0.35">
      <c r="AL6719" s="86"/>
    </row>
    <row r="6720" spans="38:38" x14ac:dyDescent="0.35">
      <c r="AL6720" s="86"/>
    </row>
    <row r="6721" spans="38:38" x14ac:dyDescent="0.35">
      <c r="AL6721" s="86"/>
    </row>
    <row r="6722" spans="38:38" x14ac:dyDescent="0.35">
      <c r="AL6722" s="86"/>
    </row>
    <row r="6723" spans="38:38" x14ac:dyDescent="0.35">
      <c r="AL6723" s="86"/>
    </row>
    <row r="6724" spans="38:38" x14ac:dyDescent="0.35">
      <c r="AL6724" s="86"/>
    </row>
    <row r="6725" spans="38:38" x14ac:dyDescent="0.35">
      <c r="AL6725" s="86"/>
    </row>
    <row r="6726" spans="38:38" x14ac:dyDescent="0.35">
      <c r="AL6726" s="86"/>
    </row>
    <row r="6727" spans="38:38" x14ac:dyDescent="0.35">
      <c r="AL6727" s="86"/>
    </row>
    <row r="6728" spans="38:38" x14ac:dyDescent="0.35">
      <c r="AL6728" s="86"/>
    </row>
    <row r="6729" spans="38:38" x14ac:dyDescent="0.35">
      <c r="AL6729" s="86"/>
    </row>
    <row r="6730" spans="38:38" x14ac:dyDescent="0.35">
      <c r="AL6730" s="86"/>
    </row>
    <row r="6731" spans="38:38" x14ac:dyDescent="0.35">
      <c r="AL6731" s="86"/>
    </row>
    <row r="6732" spans="38:38" x14ac:dyDescent="0.35">
      <c r="AL6732" s="86"/>
    </row>
    <row r="6733" spans="38:38" x14ac:dyDescent="0.35">
      <c r="AL6733" s="86"/>
    </row>
    <row r="6734" spans="38:38" x14ac:dyDescent="0.35">
      <c r="AL6734" s="86"/>
    </row>
    <row r="6735" spans="38:38" x14ac:dyDescent="0.35">
      <c r="AL6735" s="86"/>
    </row>
    <row r="6736" spans="38:38" x14ac:dyDescent="0.35">
      <c r="AL6736" s="86"/>
    </row>
    <row r="6737" spans="38:38" x14ac:dyDescent="0.35">
      <c r="AL6737" s="86"/>
    </row>
    <row r="6738" spans="38:38" x14ac:dyDescent="0.35">
      <c r="AL6738" s="86"/>
    </row>
    <row r="6739" spans="38:38" x14ac:dyDescent="0.35">
      <c r="AL6739" s="86"/>
    </row>
    <row r="6740" spans="38:38" x14ac:dyDescent="0.35">
      <c r="AL6740" s="86"/>
    </row>
    <row r="6741" spans="38:38" x14ac:dyDescent="0.35">
      <c r="AL6741" s="86"/>
    </row>
    <row r="6742" spans="38:38" x14ac:dyDescent="0.35">
      <c r="AL6742" s="86"/>
    </row>
    <row r="6743" spans="38:38" x14ac:dyDescent="0.35">
      <c r="AL6743" s="86"/>
    </row>
    <row r="6744" spans="38:38" x14ac:dyDescent="0.35">
      <c r="AL6744" s="86"/>
    </row>
    <row r="6745" spans="38:38" x14ac:dyDescent="0.35">
      <c r="AL6745" s="86"/>
    </row>
    <row r="6746" spans="38:38" x14ac:dyDescent="0.35">
      <c r="AL6746" s="86"/>
    </row>
    <row r="6747" spans="38:38" x14ac:dyDescent="0.35">
      <c r="AL6747" s="86"/>
    </row>
    <row r="6748" spans="38:38" x14ac:dyDescent="0.35">
      <c r="AL6748" s="86"/>
    </row>
    <row r="6749" spans="38:38" x14ac:dyDescent="0.35">
      <c r="AL6749" s="86"/>
    </row>
    <row r="6750" spans="38:38" x14ac:dyDescent="0.35">
      <c r="AL6750" s="86"/>
    </row>
    <row r="6751" spans="38:38" x14ac:dyDescent="0.35">
      <c r="AL6751" s="86"/>
    </row>
    <row r="6752" spans="38:38" x14ac:dyDescent="0.35">
      <c r="AL6752" s="86"/>
    </row>
    <row r="6753" spans="38:38" x14ac:dyDescent="0.35">
      <c r="AL6753" s="86"/>
    </row>
    <row r="6754" spans="38:38" x14ac:dyDescent="0.35">
      <c r="AL6754" s="86"/>
    </row>
    <row r="6755" spans="38:38" x14ac:dyDescent="0.35">
      <c r="AL6755" s="86"/>
    </row>
    <row r="6756" spans="38:38" x14ac:dyDescent="0.35">
      <c r="AL6756" s="86"/>
    </row>
    <row r="6757" spans="38:38" x14ac:dyDescent="0.35">
      <c r="AL6757" s="86"/>
    </row>
    <row r="6758" spans="38:38" x14ac:dyDescent="0.35">
      <c r="AL6758" s="86"/>
    </row>
    <row r="6759" spans="38:38" x14ac:dyDescent="0.35">
      <c r="AL6759" s="86"/>
    </row>
    <row r="6760" spans="38:38" x14ac:dyDescent="0.35">
      <c r="AL6760" s="86"/>
    </row>
    <row r="6761" spans="38:38" x14ac:dyDescent="0.35">
      <c r="AL6761" s="86"/>
    </row>
    <row r="6762" spans="38:38" x14ac:dyDescent="0.35">
      <c r="AL6762" s="86"/>
    </row>
    <row r="6763" spans="38:38" x14ac:dyDescent="0.35">
      <c r="AL6763" s="86"/>
    </row>
    <row r="6764" spans="38:38" x14ac:dyDescent="0.35">
      <c r="AL6764" s="86"/>
    </row>
    <row r="6765" spans="38:38" x14ac:dyDescent="0.35">
      <c r="AL6765" s="86"/>
    </row>
    <row r="6766" spans="38:38" x14ac:dyDescent="0.35">
      <c r="AL6766" s="86"/>
    </row>
    <row r="6767" spans="38:38" x14ac:dyDescent="0.35">
      <c r="AL6767" s="86"/>
    </row>
    <row r="6768" spans="38:38" x14ac:dyDescent="0.35">
      <c r="AL6768" s="86"/>
    </row>
    <row r="6769" spans="38:38" x14ac:dyDescent="0.35">
      <c r="AL6769" s="86"/>
    </row>
    <row r="6770" spans="38:38" x14ac:dyDescent="0.35">
      <c r="AL6770" s="86"/>
    </row>
    <row r="6771" spans="38:38" x14ac:dyDescent="0.35">
      <c r="AL6771" s="86"/>
    </row>
    <row r="6772" spans="38:38" x14ac:dyDescent="0.35">
      <c r="AL6772" s="86"/>
    </row>
    <row r="6773" spans="38:38" x14ac:dyDescent="0.35">
      <c r="AL6773" s="86"/>
    </row>
    <row r="6774" spans="38:38" x14ac:dyDescent="0.35">
      <c r="AL6774" s="86"/>
    </row>
    <row r="6775" spans="38:38" x14ac:dyDescent="0.35">
      <c r="AL6775" s="86"/>
    </row>
    <row r="6776" spans="38:38" x14ac:dyDescent="0.35">
      <c r="AL6776" s="86"/>
    </row>
    <row r="6777" spans="38:38" x14ac:dyDescent="0.35">
      <c r="AL6777" s="86"/>
    </row>
    <row r="6778" spans="38:38" x14ac:dyDescent="0.35">
      <c r="AL6778" s="86"/>
    </row>
    <row r="6779" spans="38:38" x14ac:dyDescent="0.35">
      <c r="AL6779" s="86"/>
    </row>
    <row r="6780" spans="38:38" x14ac:dyDescent="0.35">
      <c r="AL6780" s="86"/>
    </row>
    <row r="6781" spans="38:38" x14ac:dyDescent="0.35">
      <c r="AL6781" s="86"/>
    </row>
    <row r="6782" spans="38:38" x14ac:dyDescent="0.35">
      <c r="AL6782" s="86"/>
    </row>
    <row r="6783" spans="38:38" x14ac:dyDescent="0.35">
      <c r="AL6783" s="86"/>
    </row>
    <row r="6784" spans="38:38" x14ac:dyDescent="0.35">
      <c r="AL6784" s="86"/>
    </row>
    <row r="6785" spans="38:38" x14ac:dyDescent="0.35">
      <c r="AL6785" s="86"/>
    </row>
    <row r="6786" spans="38:38" x14ac:dyDescent="0.35">
      <c r="AL6786" s="86"/>
    </row>
    <row r="6787" spans="38:38" x14ac:dyDescent="0.35">
      <c r="AL6787" s="86"/>
    </row>
    <row r="6788" spans="38:38" x14ac:dyDescent="0.35">
      <c r="AL6788" s="86"/>
    </row>
    <row r="6789" spans="38:38" x14ac:dyDescent="0.35">
      <c r="AL6789" s="86"/>
    </row>
    <row r="6790" spans="38:38" x14ac:dyDescent="0.35">
      <c r="AL6790" s="86"/>
    </row>
    <row r="6791" spans="38:38" x14ac:dyDescent="0.35">
      <c r="AL6791" s="86"/>
    </row>
    <row r="6792" spans="38:38" x14ac:dyDescent="0.35">
      <c r="AL6792" s="86"/>
    </row>
    <row r="6793" spans="38:38" x14ac:dyDescent="0.35">
      <c r="AL6793" s="86"/>
    </row>
    <row r="6794" spans="38:38" x14ac:dyDescent="0.35">
      <c r="AL6794" s="86"/>
    </row>
    <row r="6795" spans="38:38" x14ac:dyDescent="0.35">
      <c r="AL6795" s="86"/>
    </row>
    <row r="6796" spans="38:38" x14ac:dyDescent="0.35">
      <c r="AL6796" s="86"/>
    </row>
    <row r="6797" spans="38:38" x14ac:dyDescent="0.35">
      <c r="AL6797" s="86"/>
    </row>
    <row r="6798" spans="38:38" x14ac:dyDescent="0.35">
      <c r="AL6798" s="86"/>
    </row>
    <row r="6799" spans="38:38" x14ac:dyDescent="0.35">
      <c r="AL6799" s="86"/>
    </row>
    <row r="6800" spans="38:38" x14ac:dyDescent="0.35">
      <c r="AL6800" s="86"/>
    </row>
    <row r="6801" spans="38:38" x14ac:dyDescent="0.35">
      <c r="AL6801" s="86"/>
    </row>
    <row r="6802" spans="38:38" x14ac:dyDescent="0.35">
      <c r="AL6802" s="86"/>
    </row>
    <row r="6803" spans="38:38" x14ac:dyDescent="0.35">
      <c r="AL6803" s="86"/>
    </row>
    <row r="6804" spans="38:38" x14ac:dyDescent="0.35">
      <c r="AL6804" s="86"/>
    </row>
    <row r="6805" spans="38:38" x14ac:dyDescent="0.35">
      <c r="AL6805" s="86"/>
    </row>
    <row r="6806" spans="38:38" x14ac:dyDescent="0.35">
      <c r="AL6806" s="86"/>
    </row>
    <row r="6807" spans="38:38" x14ac:dyDescent="0.35">
      <c r="AL6807" s="86"/>
    </row>
    <row r="6808" spans="38:38" x14ac:dyDescent="0.35">
      <c r="AL6808" s="86"/>
    </row>
    <row r="6809" spans="38:38" x14ac:dyDescent="0.35">
      <c r="AL6809" s="86"/>
    </row>
    <row r="6810" spans="38:38" x14ac:dyDescent="0.35">
      <c r="AL6810" s="86"/>
    </row>
    <row r="6811" spans="38:38" x14ac:dyDescent="0.35">
      <c r="AL6811" s="86"/>
    </row>
    <row r="6812" spans="38:38" x14ac:dyDescent="0.35">
      <c r="AL6812" s="86"/>
    </row>
    <row r="6813" spans="38:38" x14ac:dyDescent="0.35">
      <c r="AL6813" s="86"/>
    </row>
    <row r="6814" spans="38:38" x14ac:dyDescent="0.35">
      <c r="AL6814" s="86"/>
    </row>
    <row r="6815" spans="38:38" x14ac:dyDescent="0.35">
      <c r="AL6815" s="86"/>
    </row>
    <row r="6816" spans="38:38" x14ac:dyDescent="0.35">
      <c r="AL6816" s="86"/>
    </row>
    <row r="6817" spans="38:38" x14ac:dyDescent="0.35">
      <c r="AL6817" s="86"/>
    </row>
    <row r="6818" spans="38:38" x14ac:dyDescent="0.35">
      <c r="AL6818" s="86"/>
    </row>
    <row r="6819" spans="38:38" x14ac:dyDescent="0.35">
      <c r="AL6819" s="86"/>
    </row>
    <row r="6820" spans="38:38" x14ac:dyDescent="0.35">
      <c r="AL6820" s="86"/>
    </row>
    <row r="6821" spans="38:38" x14ac:dyDescent="0.35">
      <c r="AL6821" s="86"/>
    </row>
    <row r="6822" spans="38:38" x14ac:dyDescent="0.35">
      <c r="AL6822" s="86"/>
    </row>
    <row r="6823" spans="38:38" x14ac:dyDescent="0.35">
      <c r="AL6823" s="86"/>
    </row>
    <row r="6824" spans="38:38" x14ac:dyDescent="0.35">
      <c r="AL6824" s="86"/>
    </row>
    <row r="6825" spans="38:38" x14ac:dyDescent="0.35">
      <c r="AL6825" s="86"/>
    </row>
    <row r="6826" spans="38:38" x14ac:dyDescent="0.35">
      <c r="AL6826" s="86"/>
    </row>
    <row r="6827" spans="38:38" x14ac:dyDescent="0.35">
      <c r="AL6827" s="86"/>
    </row>
    <row r="6828" spans="38:38" x14ac:dyDescent="0.35">
      <c r="AL6828" s="86"/>
    </row>
    <row r="6829" spans="38:38" x14ac:dyDescent="0.35">
      <c r="AL6829" s="86"/>
    </row>
    <row r="6830" spans="38:38" x14ac:dyDescent="0.35">
      <c r="AL6830" s="86"/>
    </row>
    <row r="6831" spans="38:38" x14ac:dyDescent="0.35">
      <c r="AL6831" s="86"/>
    </row>
    <row r="6832" spans="38:38" x14ac:dyDescent="0.35">
      <c r="AL6832" s="86"/>
    </row>
    <row r="6833" spans="38:38" x14ac:dyDescent="0.35">
      <c r="AL6833" s="86"/>
    </row>
    <row r="6834" spans="38:38" x14ac:dyDescent="0.35">
      <c r="AL6834" s="86"/>
    </row>
    <row r="6835" spans="38:38" x14ac:dyDescent="0.35">
      <c r="AL6835" s="86"/>
    </row>
    <row r="6836" spans="38:38" x14ac:dyDescent="0.35">
      <c r="AL6836" s="86"/>
    </row>
    <row r="6837" spans="38:38" x14ac:dyDescent="0.35">
      <c r="AL6837" s="86"/>
    </row>
    <row r="6838" spans="38:38" x14ac:dyDescent="0.35">
      <c r="AL6838" s="86"/>
    </row>
    <row r="6839" spans="38:38" x14ac:dyDescent="0.35">
      <c r="AL6839" s="86"/>
    </row>
    <row r="6840" spans="38:38" x14ac:dyDescent="0.35">
      <c r="AL6840" s="86"/>
    </row>
    <row r="6841" spans="38:38" x14ac:dyDescent="0.35">
      <c r="AL6841" s="86"/>
    </row>
    <row r="6842" spans="38:38" x14ac:dyDescent="0.35">
      <c r="AL6842" s="86"/>
    </row>
    <row r="6843" spans="38:38" x14ac:dyDescent="0.35">
      <c r="AL6843" s="86"/>
    </row>
    <row r="6844" spans="38:38" x14ac:dyDescent="0.35">
      <c r="AL6844" s="86"/>
    </row>
    <row r="6845" spans="38:38" x14ac:dyDescent="0.35">
      <c r="AL6845" s="86"/>
    </row>
    <row r="6846" spans="38:38" x14ac:dyDescent="0.35">
      <c r="AL6846" s="86"/>
    </row>
    <row r="6847" spans="38:38" x14ac:dyDescent="0.35">
      <c r="AL6847" s="86"/>
    </row>
    <row r="6848" spans="38:38" x14ac:dyDescent="0.35">
      <c r="AL6848" s="86"/>
    </row>
    <row r="6849" spans="38:38" x14ac:dyDescent="0.35">
      <c r="AL6849" s="86"/>
    </row>
    <row r="6850" spans="38:38" x14ac:dyDescent="0.35">
      <c r="AL6850" s="86"/>
    </row>
    <row r="6851" spans="38:38" x14ac:dyDescent="0.35">
      <c r="AL6851" s="86"/>
    </row>
    <row r="6852" spans="38:38" x14ac:dyDescent="0.35">
      <c r="AL6852" s="86"/>
    </row>
    <row r="6853" spans="38:38" x14ac:dyDescent="0.35">
      <c r="AL6853" s="86"/>
    </row>
    <row r="6854" spans="38:38" x14ac:dyDescent="0.35">
      <c r="AL6854" s="86"/>
    </row>
    <row r="6855" spans="38:38" x14ac:dyDescent="0.35">
      <c r="AL6855" s="86"/>
    </row>
    <row r="6856" spans="38:38" x14ac:dyDescent="0.35">
      <c r="AL6856" s="86"/>
    </row>
    <row r="6857" spans="38:38" x14ac:dyDescent="0.35">
      <c r="AL6857" s="86"/>
    </row>
    <row r="6858" spans="38:38" x14ac:dyDescent="0.35">
      <c r="AL6858" s="86"/>
    </row>
    <row r="6859" spans="38:38" x14ac:dyDescent="0.35">
      <c r="AL6859" s="86"/>
    </row>
    <row r="6860" spans="38:38" x14ac:dyDescent="0.35">
      <c r="AL6860" s="86"/>
    </row>
    <row r="6861" spans="38:38" x14ac:dyDescent="0.35">
      <c r="AL6861" s="86"/>
    </row>
    <row r="6862" spans="38:38" x14ac:dyDescent="0.35">
      <c r="AL6862" s="86"/>
    </row>
    <row r="6863" spans="38:38" x14ac:dyDescent="0.35">
      <c r="AL6863" s="86"/>
    </row>
    <row r="6864" spans="38:38" x14ac:dyDescent="0.35">
      <c r="AL6864" s="86"/>
    </row>
    <row r="6865" spans="38:38" x14ac:dyDescent="0.35">
      <c r="AL6865" s="86"/>
    </row>
    <row r="6866" spans="38:38" x14ac:dyDescent="0.35">
      <c r="AL6866" s="86"/>
    </row>
    <row r="6867" spans="38:38" x14ac:dyDescent="0.35">
      <c r="AL6867" s="86"/>
    </row>
    <row r="6868" spans="38:38" x14ac:dyDescent="0.35">
      <c r="AL6868" s="86"/>
    </row>
    <row r="6869" spans="38:38" x14ac:dyDescent="0.35">
      <c r="AL6869" s="86"/>
    </row>
    <row r="6870" spans="38:38" x14ac:dyDescent="0.35">
      <c r="AL6870" s="86"/>
    </row>
    <row r="6871" spans="38:38" x14ac:dyDescent="0.35">
      <c r="AL6871" s="86"/>
    </row>
    <row r="6872" spans="38:38" x14ac:dyDescent="0.35">
      <c r="AL6872" s="86"/>
    </row>
    <row r="6873" spans="38:38" x14ac:dyDescent="0.35">
      <c r="AL6873" s="86"/>
    </row>
    <row r="6874" spans="38:38" x14ac:dyDescent="0.35">
      <c r="AL6874" s="86"/>
    </row>
    <row r="6875" spans="38:38" x14ac:dyDescent="0.35">
      <c r="AL6875" s="86"/>
    </row>
    <row r="6876" spans="38:38" x14ac:dyDescent="0.35">
      <c r="AL6876" s="86"/>
    </row>
    <row r="6877" spans="38:38" x14ac:dyDescent="0.35">
      <c r="AL6877" s="86"/>
    </row>
    <row r="6878" spans="38:38" x14ac:dyDescent="0.35">
      <c r="AL6878" s="86"/>
    </row>
    <row r="6879" spans="38:38" x14ac:dyDescent="0.35">
      <c r="AL6879" s="86"/>
    </row>
    <row r="6880" spans="38:38" x14ac:dyDescent="0.35">
      <c r="AL6880" s="86"/>
    </row>
    <row r="6881" spans="38:38" x14ac:dyDescent="0.35">
      <c r="AL6881" s="86"/>
    </row>
    <row r="6882" spans="38:38" x14ac:dyDescent="0.35">
      <c r="AL6882" s="86"/>
    </row>
    <row r="6883" spans="38:38" x14ac:dyDescent="0.35">
      <c r="AL6883" s="86"/>
    </row>
    <row r="6884" spans="38:38" x14ac:dyDescent="0.35">
      <c r="AL6884" s="86"/>
    </row>
    <row r="6885" spans="38:38" x14ac:dyDescent="0.35">
      <c r="AL6885" s="86"/>
    </row>
    <row r="6886" spans="38:38" x14ac:dyDescent="0.35">
      <c r="AL6886" s="86"/>
    </row>
    <row r="6887" spans="38:38" x14ac:dyDescent="0.35">
      <c r="AL6887" s="86"/>
    </row>
    <row r="6888" spans="38:38" x14ac:dyDescent="0.35">
      <c r="AL6888" s="86"/>
    </row>
    <row r="6889" spans="38:38" x14ac:dyDescent="0.35">
      <c r="AL6889" s="86"/>
    </row>
    <row r="6890" spans="38:38" x14ac:dyDescent="0.35">
      <c r="AL6890" s="86"/>
    </row>
    <row r="6891" spans="38:38" x14ac:dyDescent="0.35">
      <c r="AL6891" s="86"/>
    </row>
    <row r="6892" spans="38:38" x14ac:dyDescent="0.35">
      <c r="AL6892" s="86"/>
    </row>
    <row r="6893" spans="38:38" x14ac:dyDescent="0.35">
      <c r="AL6893" s="86"/>
    </row>
    <row r="6894" spans="38:38" x14ac:dyDescent="0.35">
      <c r="AL6894" s="86"/>
    </row>
    <row r="6895" spans="38:38" x14ac:dyDescent="0.35">
      <c r="AL6895" s="86"/>
    </row>
    <row r="6896" spans="38:38" x14ac:dyDescent="0.35">
      <c r="AL6896" s="86"/>
    </row>
    <row r="6897" spans="38:38" x14ac:dyDescent="0.35">
      <c r="AL6897" s="86"/>
    </row>
    <row r="6898" spans="38:38" x14ac:dyDescent="0.35">
      <c r="AL6898" s="86"/>
    </row>
    <row r="6899" spans="38:38" x14ac:dyDescent="0.35">
      <c r="AL6899" s="86"/>
    </row>
    <row r="6900" spans="38:38" x14ac:dyDescent="0.35">
      <c r="AL6900" s="86"/>
    </row>
    <row r="6901" spans="38:38" x14ac:dyDescent="0.35">
      <c r="AL6901" s="86"/>
    </row>
    <row r="6902" spans="38:38" x14ac:dyDescent="0.35">
      <c r="AL6902" s="86"/>
    </row>
    <row r="6903" spans="38:38" x14ac:dyDescent="0.35">
      <c r="AL6903" s="86"/>
    </row>
    <row r="6904" spans="38:38" x14ac:dyDescent="0.35">
      <c r="AL6904" s="86"/>
    </row>
    <row r="6905" spans="38:38" x14ac:dyDescent="0.35">
      <c r="AL6905" s="86"/>
    </row>
    <row r="6906" spans="38:38" x14ac:dyDescent="0.35">
      <c r="AL6906" s="86"/>
    </row>
    <row r="6907" spans="38:38" x14ac:dyDescent="0.35">
      <c r="AL6907" s="86"/>
    </row>
    <row r="6908" spans="38:38" x14ac:dyDescent="0.35">
      <c r="AL6908" s="86"/>
    </row>
    <row r="6909" spans="38:38" x14ac:dyDescent="0.35">
      <c r="AL6909" s="86"/>
    </row>
    <row r="6910" spans="38:38" x14ac:dyDescent="0.35">
      <c r="AL6910" s="86"/>
    </row>
    <row r="6911" spans="38:38" x14ac:dyDescent="0.35">
      <c r="AL6911" s="86"/>
    </row>
    <row r="6912" spans="38:38" x14ac:dyDescent="0.35">
      <c r="AL6912" s="86"/>
    </row>
    <row r="6913" spans="38:38" x14ac:dyDescent="0.35">
      <c r="AL6913" s="86"/>
    </row>
    <row r="6914" spans="38:38" x14ac:dyDescent="0.35">
      <c r="AL6914" s="86"/>
    </row>
    <row r="6915" spans="38:38" x14ac:dyDescent="0.35">
      <c r="AL6915" s="86"/>
    </row>
    <row r="6916" spans="38:38" x14ac:dyDescent="0.35">
      <c r="AL6916" s="86"/>
    </row>
    <row r="6917" spans="38:38" x14ac:dyDescent="0.35">
      <c r="AL6917" s="86"/>
    </row>
    <row r="6918" spans="38:38" x14ac:dyDescent="0.35">
      <c r="AL6918" s="86"/>
    </row>
    <row r="6919" spans="38:38" x14ac:dyDescent="0.35">
      <c r="AL6919" s="86"/>
    </row>
    <row r="6920" spans="38:38" x14ac:dyDescent="0.35">
      <c r="AL6920" s="86"/>
    </row>
    <row r="6921" spans="38:38" x14ac:dyDescent="0.35">
      <c r="AL6921" s="86"/>
    </row>
    <row r="6922" spans="38:38" x14ac:dyDescent="0.35">
      <c r="AL6922" s="86"/>
    </row>
    <row r="6923" spans="38:38" x14ac:dyDescent="0.35">
      <c r="AL6923" s="86"/>
    </row>
    <row r="6924" spans="38:38" x14ac:dyDescent="0.35">
      <c r="AL6924" s="86"/>
    </row>
    <row r="6925" spans="38:38" x14ac:dyDescent="0.35">
      <c r="AL6925" s="86"/>
    </row>
    <row r="6926" spans="38:38" x14ac:dyDescent="0.35">
      <c r="AL6926" s="86"/>
    </row>
    <row r="6927" spans="38:38" x14ac:dyDescent="0.35">
      <c r="AL6927" s="86"/>
    </row>
    <row r="6928" spans="38:38" x14ac:dyDescent="0.35">
      <c r="AL6928" s="86"/>
    </row>
    <row r="6929" spans="38:38" x14ac:dyDescent="0.35">
      <c r="AL6929" s="86"/>
    </row>
    <row r="6930" spans="38:38" x14ac:dyDescent="0.35">
      <c r="AL6930" s="86"/>
    </row>
    <row r="6931" spans="38:38" x14ac:dyDescent="0.35">
      <c r="AL6931" s="86"/>
    </row>
    <row r="6932" spans="38:38" x14ac:dyDescent="0.35">
      <c r="AL6932" s="86"/>
    </row>
    <row r="6933" spans="38:38" x14ac:dyDescent="0.35">
      <c r="AL6933" s="86"/>
    </row>
    <row r="6934" spans="38:38" x14ac:dyDescent="0.35">
      <c r="AL6934" s="86"/>
    </row>
    <row r="6935" spans="38:38" x14ac:dyDescent="0.35">
      <c r="AL6935" s="86"/>
    </row>
    <row r="6936" spans="38:38" x14ac:dyDescent="0.35">
      <c r="AL6936" s="86"/>
    </row>
    <row r="6937" spans="38:38" x14ac:dyDescent="0.35">
      <c r="AL6937" s="86"/>
    </row>
    <row r="6938" spans="38:38" x14ac:dyDescent="0.35">
      <c r="AL6938" s="86"/>
    </row>
    <row r="6939" spans="38:38" x14ac:dyDescent="0.35">
      <c r="AL6939" s="86"/>
    </row>
    <row r="6940" spans="38:38" x14ac:dyDescent="0.35">
      <c r="AL6940" s="86"/>
    </row>
    <row r="6941" spans="38:38" x14ac:dyDescent="0.35">
      <c r="AL6941" s="86"/>
    </row>
    <row r="6942" spans="38:38" x14ac:dyDescent="0.35">
      <c r="AL6942" s="86"/>
    </row>
    <row r="6943" spans="38:38" x14ac:dyDescent="0.35">
      <c r="AL6943" s="86"/>
    </row>
    <row r="6944" spans="38:38" x14ac:dyDescent="0.35">
      <c r="AL6944" s="86"/>
    </row>
    <row r="6945" spans="38:38" x14ac:dyDescent="0.35">
      <c r="AL6945" s="86"/>
    </row>
    <row r="6946" spans="38:38" x14ac:dyDescent="0.35">
      <c r="AL6946" s="86"/>
    </row>
    <row r="6947" spans="38:38" x14ac:dyDescent="0.35">
      <c r="AL6947" s="86"/>
    </row>
    <row r="6948" spans="38:38" x14ac:dyDescent="0.35">
      <c r="AL6948" s="86"/>
    </row>
    <row r="6949" spans="38:38" x14ac:dyDescent="0.35">
      <c r="AL6949" s="86"/>
    </row>
    <row r="6950" spans="38:38" x14ac:dyDescent="0.35">
      <c r="AL6950" s="86"/>
    </row>
    <row r="6951" spans="38:38" x14ac:dyDescent="0.35">
      <c r="AL6951" s="86"/>
    </row>
    <row r="6952" spans="38:38" x14ac:dyDescent="0.35">
      <c r="AL6952" s="86"/>
    </row>
    <row r="6953" spans="38:38" x14ac:dyDescent="0.35">
      <c r="AL6953" s="86"/>
    </row>
    <row r="6954" spans="38:38" x14ac:dyDescent="0.35">
      <c r="AL6954" s="86"/>
    </row>
    <row r="6955" spans="38:38" x14ac:dyDescent="0.35">
      <c r="AL6955" s="86"/>
    </row>
    <row r="6956" spans="38:38" x14ac:dyDescent="0.35">
      <c r="AL6956" s="86"/>
    </row>
    <row r="6957" spans="38:38" x14ac:dyDescent="0.35">
      <c r="AL6957" s="86"/>
    </row>
    <row r="6958" spans="38:38" x14ac:dyDescent="0.35">
      <c r="AL6958" s="86"/>
    </row>
    <row r="6959" spans="38:38" x14ac:dyDescent="0.35">
      <c r="AL6959" s="86"/>
    </row>
    <row r="6960" spans="38:38" x14ac:dyDescent="0.35">
      <c r="AL6960" s="86"/>
    </row>
    <row r="6961" spans="38:38" x14ac:dyDescent="0.35">
      <c r="AL6961" s="86"/>
    </row>
    <row r="6962" spans="38:38" x14ac:dyDescent="0.35">
      <c r="AL6962" s="86"/>
    </row>
    <row r="6963" spans="38:38" x14ac:dyDescent="0.35">
      <c r="AL6963" s="86"/>
    </row>
    <row r="6964" spans="38:38" x14ac:dyDescent="0.35">
      <c r="AL6964" s="86"/>
    </row>
    <row r="6965" spans="38:38" x14ac:dyDescent="0.35">
      <c r="AL6965" s="86"/>
    </row>
    <row r="6966" spans="38:38" x14ac:dyDescent="0.35">
      <c r="AL6966" s="86"/>
    </row>
    <row r="6967" spans="38:38" x14ac:dyDescent="0.35">
      <c r="AL6967" s="86"/>
    </row>
    <row r="6968" spans="38:38" x14ac:dyDescent="0.35">
      <c r="AL6968" s="86"/>
    </row>
    <row r="6969" spans="38:38" x14ac:dyDescent="0.35">
      <c r="AL6969" s="86"/>
    </row>
    <row r="6970" spans="38:38" x14ac:dyDescent="0.35">
      <c r="AL6970" s="86"/>
    </row>
    <row r="6971" spans="38:38" x14ac:dyDescent="0.35">
      <c r="AL6971" s="86"/>
    </row>
    <row r="6972" spans="38:38" x14ac:dyDescent="0.35">
      <c r="AL6972" s="86"/>
    </row>
    <row r="6973" spans="38:38" x14ac:dyDescent="0.35">
      <c r="AL6973" s="86"/>
    </row>
    <row r="6974" spans="38:38" x14ac:dyDescent="0.35">
      <c r="AL6974" s="86"/>
    </row>
    <row r="6975" spans="38:38" x14ac:dyDescent="0.35">
      <c r="AL6975" s="86"/>
    </row>
    <row r="6976" spans="38:38" x14ac:dyDescent="0.35">
      <c r="AL6976" s="86"/>
    </row>
    <row r="6977" spans="38:38" x14ac:dyDescent="0.35">
      <c r="AL6977" s="86"/>
    </row>
    <row r="6978" spans="38:38" x14ac:dyDescent="0.35">
      <c r="AL6978" s="86"/>
    </row>
    <row r="6979" spans="38:38" x14ac:dyDescent="0.35">
      <c r="AL6979" s="86"/>
    </row>
    <row r="6980" spans="38:38" x14ac:dyDescent="0.35">
      <c r="AL6980" s="86"/>
    </row>
    <row r="6981" spans="38:38" x14ac:dyDescent="0.35">
      <c r="AL6981" s="86"/>
    </row>
    <row r="6982" spans="38:38" x14ac:dyDescent="0.35">
      <c r="AL6982" s="86"/>
    </row>
    <row r="6983" spans="38:38" x14ac:dyDescent="0.35">
      <c r="AL6983" s="86"/>
    </row>
    <row r="6984" spans="38:38" x14ac:dyDescent="0.35">
      <c r="AL6984" s="86"/>
    </row>
    <row r="6985" spans="38:38" x14ac:dyDescent="0.35">
      <c r="AL6985" s="86"/>
    </row>
    <row r="6986" spans="38:38" x14ac:dyDescent="0.35">
      <c r="AL6986" s="86"/>
    </row>
    <row r="6987" spans="38:38" x14ac:dyDescent="0.35">
      <c r="AL6987" s="86"/>
    </row>
    <row r="6988" spans="38:38" x14ac:dyDescent="0.35">
      <c r="AL6988" s="86"/>
    </row>
    <row r="6989" spans="38:38" x14ac:dyDescent="0.35">
      <c r="AL6989" s="86"/>
    </row>
    <row r="6990" spans="38:38" x14ac:dyDescent="0.35">
      <c r="AL6990" s="86"/>
    </row>
    <row r="6991" spans="38:38" x14ac:dyDescent="0.35">
      <c r="AL6991" s="86"/>
    </row>
    <row r="6992" spans="38:38" x14ac:dyDescent="0.35">
      <c r="AL6992" s="86"/>
    </row>
    <row r="6993" spans="38:38" x14ac:dyDescent="0.35">
      <c r="AL6993" s="86"/>
    </row>
    <row r="6994" spans="38:38" x14ac:dyDescent="0.35">
      <c r="AL6994" s="86"/>
    </row>
    <row r="6995" spans="38:38" x14ac:dyDescent="0.35">
      <c r="AL6995" s="86"/>
    </row>
    <row r="6996" spans="38:38" x14ac:dyDescent="0.35">
      <c r="AL6996" s="86"/>
    </row>
    <row r="6997" spans="38:38" x14ac:dyDescent="0.35">
      <c r="AL6997" s="86"/>
    </row>
    <row r="6998" spans="38:38" x14ac:dyDescent="0.35">
      <c r="AL6998" s="86"/>
    </row>
    <row r="6999" spans="38:38" x14ac:dyDescent="0.35">
      <c r="AL6999" s="86"/>
    </row>
    <row r="7000" spans="38:38" x14ac:dyDescent="0.35">
      <c r="AL7000" s="86"/>
    </row>
    <row r="7001" spans="38:38" x14ac:dyDescent="0.35">
      <c r="AL7001" s="86"/>
    </row>
    <row r="7002" spans="38:38" x14ac:dyDescent="0.35">
      <c r="AL7002" s="86"/>
    </row>
    <row r="7003" spans="38:38" x14ac:dyDescent="0.35">
      <c r="AL7003" s="86"/>
    </row>
    <row r="7004" spans="38:38" x14ac:dyDescent="0.35">
      <c r="AL7004" s="86"/>
    </row>
    <row r="7005" spans="38:38" x14ac:dyDescent="0.35">
      <c r="AL7005" s="86"/>
    </row>
    <row r="7006" spans="38:38" x14ac:dyDescent="0.35">
      <c r="AL7006" s="86"/>
    </row>
    <row r="7007" spans="38:38" x14ac:dyDescent="0.35">
      <c r="AL7007" s="86"/>
    </row>
    <row r="7008" spans="38:38" x14ac:dyDescent="0.35">
      <c r="AL7008" s="86"/>
    </row>
    <row r="7009" spans="38:38" x14ac:dyDescent="0.35">
      <c r="AL7009" s="86"/>
    </row>
    <row r="7010" spans="38:38" x14ac:dyDescent="0.35">
      <c r="AL7010" s="86"/>
    </row>
    <row r="7011" spans="38:38" x14ac:dyDescent="0.35">
      <c r="AL7011" s="86"/>
    </row>
    <row r="7012" spans="38:38" x14ac:dyDescent="0.35">
      <c r="AL7012" s="86"/>
    </row>
    <row r="7013" spans="38:38" x14ac:dyDescent="0.35">
      <c r="AL7013" s="86"/>
    </row>
    <row r="7014" spans="38:38" x14ac:dyDescent="0.35">
      <c r="AL7014" s="86"/>
    </row>
    <row r="7015" spans="38:38" x14ac:dyDescent="0.35">
      <c r="AL7015" s="86"/>
    </row>
    <row r="7016" spans="38:38" x14ac:dyDescent="0.35">
      <c r="AL7016" s="86"/>
    </row>
    <row r="7017" spans="38:38" x14ac:dyDescent="0.35">
      <c r="AL7017" s="86"/>
    </row>
    <row r="7018" spans="38:38" x14ac:dyDescent="0.35">
      <c r="AL7018" s="86"/>
    </row>
    <row r="7019" spans="38:38" x14ac:dyDescent="0.35">
      <c r="AL7019" s="86"/>
    </row>
    <row r="7020" spans="38:38" x14ac:dyDescent="0.35">
      <c r="AL7020" s="86"/>
    </row>
    <row r="7021" spans="38:38" x14ac:dyDescent="0.35">
      <c r="AL7021" s="86"/>
    </row>
    <row r="7022" spans="38:38" x14ac:dyDescent="0.35">
      <c r="AL7022" s="86"/>
    </row>
    <row r="7023" spans="38:38" x14ac:dyDescent="0.35">
      <c r="AL7023" s="86"/>
    </row>
    <row r="7024" spans="38:38" x14ac:dyDescent="0.35">
      <c r="AL7024" s="86"/>
    </row>
    <row r="7025" spans="38:38" x14ac:dyDescent="0.35">
      <c r="AL7025" s="86"/>
    </row>
    <row r="7026" spans="38:38" x14ac:dyDescent="0.35">
      <c r="AL7026" s="86"/>
    </row>
    <row r="7027" spans="38:38" x14ac:dyDescent="0.35">
      <c r="AL7027" s="86"/>
    </row>
    <row r="7028" spans="38:38" x14ac:dyDescent="0.35">
      <c r="AL7028" s="86"/>
    </row>
    <row r="7029" spans="38:38" x14ac:dyDescent="0.35">
      <c r="AL7029" s="86"/>
    </row>
    <row r="7030" spans="38:38" x14ac:dyDescent="0.35">
      <c r="AL7030" s="86"/>
    </row>
    <row r="7031" spans="38:38" x14ac:dyDescent="0.35">
      <c r="AL7031" s="86"/>
    </row>
    <row r="7032" spans="38:38" x14ac:dyDescent="0.35">
      <c r="AL7032" s="86"/>
    </row>
    <row r="7033" spans="38:38" x14ac:dyDescent="0.35">
      <c r="AL7033" s="86"/>
    </row>
    <row r="7034" spans="38:38" x14ac:dyDescent="0.35">
      <c r="AL7034" s="86"/>
    </row>
    <row r="7035" spans="38:38" x14ac:dyDescent="0.35">
      <c r="AL7035" s="86"/>
    </row>
    <row r="7036" spans="38:38" x14ac:dyDescent="0.35">
      <c r="AL7036" s="86"/>
    </row>
    <row r="7037" spans="38:38" x14ac:dyDescent="0.35">
      <c r="AL7037" s="86"/>
    </row>
    <row r="7038" spans="38:38" x14ac:dyDescent="0.35">
      <c r="AL7038" s="86"/>
    </row>
    <row r="7039" spans="38:38" x14ac:dyDescent="0.35">
      <c r="AL7039" s="86"/>
    </row>
    <row r="7040" spans="38:38" x14ac:dyDescent="0.35">
      <c r="AL7040" s="86"/>
    </row>
    <row r="7041" spans="38:38" x14ac:dyDescent="0.35">
      <c r="AL7041" s="86"/>
    </row>
    <row r="7042" spans="38:38" x14ac:dyDescent="0.35">
      <c r="AL7042" s="86"/>
    </row>
    <row r="7043" spans="38:38" x14ac:dyDescent="0.35">
      <c r="AL7043" s="86"/>
    </row>
    <row r="7044" spans="38:38" x14ac:dyDescent="0.35">
      <c r="AL7044" s="86"/>
    </row>
    <row r="7045" spans="38:38" x14ac:dyDescent="0.35">
      <c r="AL7045" s="86"/>
    </row>
    <row r="7046" spans="38:38" x14ac:dyDescent="0.35">
      <c r="AL7046" s="86"/>
    </row>
    <row r="7047" spans="38:38" x14ac:dyDescent="0.35">
      <c r="AL7047" s="86"/>
    </row>
    <row r="7048" spans="38:38" x14ac:dyDescent="0.35">
      <c r="AL7048" s="86"/>
    </row>
    <row r="7049" spans="38:38" x14ac:dyDescent="0.35">
      <c r="AL7049" s="86"/>
    </row>
    <row r="7050" spans="38:38" x14ac:dyDescent="0.35">
      <c r="AL7050" s="86"/>
    </row>
    <row r="7051" spans="38:38" x14ac:dyDescent="0.35">
      <c r="AL7051" s="86"/>
    </row>
    <row r="7052" spans="38:38" x14ac:dyDescent="0.35">
      <c r="AL7052" s="86"/>
    </row>
    <row r="7053" spans="38:38" x14ac:dyDescent="0.35">
      <c r="AL7053" s="86"/>
    </row>
    <row r="7054" spans="38:38" x14ac:dyDescent="0.35">
      <c r="AL7054" s="86"/>
    </row>
    <row r="7055" spans="38:38" x14ac:dyDescent="0.35">
      <c r="AL7055" s="86"/>
    </row>
    <row r="7056" spans="38:38" x14ac:dyDescent="0.35">
      <c r="AL7056" s="86"/>
    </row>
    <row r="7057" spans="38:38" x14ac:dyDescent="0.35">
      <c r="AL7057" s="86"/>
    </row>
    <row r="7058" spans="38:38" x14ac:dyDescent="0.35">
      <c r="AL7058" s="86"/>
    </row>
    <row r="7059" spans="38:38" x14ac:dyDescent="0.35">
      <c r="AL7059" s="86"/>
    </row>
    <row r="7060" spans="38:38" x14ac:dyDescent="0.35">
      <c r="AL7060" s="86"/>
    </row>
    <row r="7061" spans="38:38" x14ac:dyDescent="0.35">
      <c r="AL7061" s="86"/>
    </row>
    <row r="7062" spans="38:38" x14ac:dyDescent="0.35">
      <c r="AL7062" s="86"/>
    </row>
    <row r="7063" spans="38:38" x14ac:dyDescent="0.35">
      <c r="AL7063" s="86"/>
    </row>
    <row r="7064" spans="38:38" x14ac:dyDescent="0.35">
      <c r="AL7064" s="86"/>
    </row>
    <row r="7065" spans="38:38" x14ac:dyDescent="0.35">
      <c r="AL7065" s="86"/>
    </row>
    <row r="7066" spans="38:38" x14ac:dyDescent="0.35">
      <c r="AL7066" s="86"/>
    </row>
    <row r="7067" spans="38:38" x14ac:dyDescent="0.35">
      <c r="AL7067" s="86"/>
    </row>
    <row r="7068" spans="38:38" x14ac:dyDescent="0.35">
      <c r="AL7068" s="86"/>
    </row>
    <row r="7069" spans="38:38" x14ac:dyDescent="0.35">
      <c r="AL7069" s="86"/>
    </row>
    <row r="7070" spans="38:38" x14ac:dyDescent="0.35">
      <c r="AL7070" s="86"/>
    </row>
    <row r="7071" spans="38:38" x14ac:dyDescent="0.35">
      <c r="AL7071" s="86"/>
    </row>
    <row r="7072" spans="38:38" x14ac:dyDescent="0.35">
      <c r="AL7072" s="86"/>
    </row>
    <row r="7073" spans="38:38" x14ac:dyDescent="0.35">
      <c r="AL7073" s="86"/>
    </row>
    <row r="7074" spans="38:38" x14ac:dyDescent="0.35">
      <c r="AL7074" s="86"/>
    </row>
    <row r="7075" spans="38:38" x14ac:dyDescent="0.35">
      <c r="AL7075" s="86"/>
    </row>
    <row r="7076" spans="38:38" x14ac:dyDescent="0.35">
      <c r="AL7076" s="86"/>
    </row>
    <row r="7077" spans="38:38" x14ac:dyDescent="0.35">
      <c r="AL7077" s="86"/>
    </row>
    <row r="7078" spans="38:38" x14ac:dyDescent="0.35">
      <c r="AL7078" s="86"/>
    </row>
    <row r="7079" spans="38:38" x14ac:dyDescent="0.35">
      <c r="AL7079" s="86"/>
    </row>
    <row r="7080" spans="38:38" x14ac:dyDescent="0.35">
      <c r="AL7080" s="86"/>
    </row>
    <row r="7081" spans="38:38" x14ac:dyDescent="0.35">
      <c r="AL7081" s="86"/>
    </row>
    <row r="7082" spans="38:38" x14ac:dyDescent="0.35">
      <c r="AL7082" s="86"/>
    </row>
    <row r="7083" spans="38:38" x14ac:dyDescent="0.35">
      <c r="AL7083" s="86"/>
    </row>
    <row r="7084" spans="38:38" x14ac:dyDescent="0.35">
      <c r="AL7084" s="86"/>
    </row>
    <row r="7085" spans="38:38" x14ac:dyDescent="0.35">
      <c r="AL7085" s="86"/>
    </row>
    <row r="7086" spans="38:38" x14ac:dyDescent="0.35">
      <c r="AL7086" s="86"/>
    </row>
    <row r="7087" spans="38:38" x14ac:dyDescent="0.35">
      <c r="AL7087" s="86"/>
    </row>
    <row r="7088" spans="38:38" x14ac:dyDescent="0.35">
      <c r="AL7088" s="86"/>
    </row>
    <row r="7089" spans="38:38" x14ac:dyDescent="0.35">
      <c r="AL7089" s="86"/>
    </row>
    <row r="7090" spans="38:38" x14ac:dyDescent="0.35">
      <c r="AL7090" s="86"/>
    </row>
    <row r="7091" spans="38:38" x14ac:dyDescent="0.35">
      <c r="AL7091" s="86"/>
    </row>
    <row r="7092" spans="38:38" x14ac:dyDescent="0.35">
      <c r="AL7092" s="86"/>
    </row>
    <row r="7093" spans="38:38" x14ac:dyDescent="0.35">
      <c r="AL7093" s="86"/>
    </row>
    <row r="7094" spans="38:38" x14ac:dyDescent="0.35">
      <c r="AL7094" s="86"/>
    </row>
    <row r="7095" spans="38:38" x14ac:dyDescent="0.35">
      <c r="AL7095" s="86"/>
    </row>
    <row r="7096" spans="38:38" x14ac:dyDescent="0.35">
      <c r="AL7096" s="86"/>
    </row>
    <row r="7097" spans="38:38" x14ac:dyDescent="0.35">
      <c r="AL7097" s="86"/>
    </row>
    <row r="7098" spans="38:38" x14ac:dyDescent="0.35">
      <c r="AL7098" s="86"/>
    </row>
    <row r="7099" spans="38:38" x14ac:dyDescent="0.35">
      <c r="AL7099" s="86"/>
    </row>
    <row r="7100" spans="38:38" x14ac:dyDescent="0.35">
      <c r="AL7100" s="86"/>
    </row>
    <row r="7101" spans="38:38" x14ac:dyDescent="0.35">
      <c r="AL7101" s="86"/>
    </row>
    <row r="7102" spans="38:38" x14ac:dyDescent="0.35">
      <c r="AL7102" s="86"/>
    </row>
    <row r="7103" spans="38:38" x14ac:dyDescent="0.35">
      <c r="AL7103" s="86"/>
    </row>
    <row r="7104" spans="38:38" x14ac:dyDescent="0.35">
      <c r="AL7104" s="86"/>
    </row>
    <row r="7105" spans="38:38" x14ac:dyDescent="0.35">
      <c r="AL7105" s="86"/>
    </row>
    <row r="7106" spans="38:38" x14ac:dyDescent="0.35">
      <c r="AL7106" s="86"/>
    </row>
    <row r="7107" spans="38:38" x14ac:dyDescent="0.35">
      <c r="AL7107" s="86"/>
    </row>
    <row r="7108" spans="38:38" x14ac:dyDescent="0.35">
      <c r="AL7108" s="86"/>
    </row>
    <row r="7109" spans="38:38" x14ac:dyDescent="0.35">
      <c r="AL7109" s="86"/>
    </row>
    <row r="7110" spans="38:38" x14ac:dyDescent="0.35">
      <c r="AL7110" s="86"/>
    </row>
    <row r="7111" spans="38:38" x14ac:dyDescent="0.35">
      <c r="AL7111" s="86"/>
    </row>
    <row r="7112" spans="38:38" x14ac:dyDescent="0.35">
      <c r="AL7112" s="86"/>
    </row>
    <row r="7113" spans="38:38" x14ac:dyDescent="0.35">
      <c r="AL7113" s="86"/>
    </row>
    <row r="7114" spans="38:38" x14ac:dyDescent="0.35">
      <c r="AL7114" s="86"/>
    </row>
    <row r="7115" spans="38:38" x14ac:dyDescent="0.35">
      <c r="AL7115" s="86"/>
    </row>
    <row r="7116" spans="38:38" x14ac:dyDescent="0.35">
      <c r="AL7116" s="86"/>
    </row>
    <row r="7117" spans="38:38" x14ac:dyDescent="0.35">
      <c r="AL7117" s="86"/>
    </row>
    <row r="7118" spans="38:38" x14ac:dyDescent="0.35">
      <c r="AL7118" s="86"/>
    </row>
    <row r="7119" spans="38:38" x14ac:dyDescent="0.35">
      <c r="AL7119" s="86"/>
    </row>
    <row r="7120" spans="38:38" x14ac:dyDescent="0.35">
      <c r="AL7120" s="86"/>
    </row>
    <row r="7121" spans="38:38" x14ac:dyDescent="0.35">
      <c r="AL7121" s="86"/>
    </row>
    <row r="7122" spans="38:38" x14ac:dyDescent="0.35">
      <c r="AL7122" s="86"/>
    </row>
    <row r="7123" spans="38:38" x14ac:dyDescent="0.35">
      <c r="AL7123" s="86"/>
    </row>
    <row r="7124" spans="38:38" x14ac:dyDescent="0.35">
      <c r="AL7124" s="86"/>
    </row>
    <row r="7125" spans="38:38" x14ac:dyDescent="0.35">
      <c r="AL7125" s="86"/>
    </row>
    <row r="7126" spans="38:38" x14ac:dyDescent="0.35">
      <c r="AL7126" s="86"/>
    </row>
    <row r="7127" spans="38:38" x14ac:dyDescent="0.35">
      <c r="AL7127" s="86"/>
    </row>
    <row r="7128" spans="38:38" x14ac:dyDescent="0.35">
      <c r="AL7128" s="86"/>
    </row>
    <row r="7129" spans="38:38" x14ac:dyDescent="0.35">
      <c r="AL7129" s="86"/>
    </row>
    <row r="7130" spans="38:38" x14ac:dyDescent="0.35">
      <c r="AL7130" s="86"/>
    </row>
    <row r="7131" spans="38:38" x14ac:dyDescent="0.35">
      <c r="AL7131" s="86"/>
    </row>
    <row r="7132" spans="38:38" x14ac:dyDescent="0.35">
      <c r="AL7132" s="86"/>
    </row>
    <row r="7133" spans="38:38" x14ac:dyDescent="0.35">
      <c r="AL7133" s="86"/>
    </row>
    <row r="7134" spans="38:38" x14ac:dyDescent="0.35">
      <c r="AL7134" s="86"/>
    </row>
    <row r="7135" spans="38:38" x14ac:dyDescent="0.35">
      <c r="AL7135" s="86"/>
    </row>
    <row r="7136" spans="38:38" x14ac:dyDescent="0.35">
      <c r="AL7136" s="86"/>
    </row>
    <row r="7137" spans="38:38" x14ac:dyDescent="0.35">
      <c r="AL7137" s="86"/>
    </row>
    <row r="7138" spans="38:38" x14ac:dyDescent="0.35">
      <c r="AL7138" s="86"/>
    </row>
    <row r="7139" spans="38:38" x14ac:dyDescent="0.35">
      <c r="AL7139" s="86"/>
    </row>
    <row r="7140" spans="38:38" x14ac:dyDescent="0.35">
      <c r="AL7140" s="86"/>
    </row>
    <row r="7141" spans="38:38" x14ac:dyDescent="0.35">
      <c r="AL7141" s="86"/>
    </row>
    <row r="7142" spans="38:38" x14ac:dyDescent="0.35">
      <c r="AL7142" s="86"/>
    </row>
    <row r="7143" spans="38:38" x14ac:dyDescent="0.35">
      <c r="AL7143" s="86"/>
    </row>
    <row r="7144" spans="38:38" x14ac:dyDescent="0.35">
      <c r="AL7144" s="86"/>
    </row>
    <row r="7145" spans="38:38" x14ac:dyDescent="0.35">
      <c r="AL7145" s="86"/>
    </row>
    <row r="7146" spans="38:38" x14ac:dyDescent="0.35">
      <c r="AL7146" s="86"/>
    </row>
    <row r="7147" spans="38:38" x14ac:dyDescent="0.35">
      <c r="AL7147" s="86"/>
    </row>
    <row r="7148" spans="38:38" x14ac:dyDescent="0.35">
      <c r="AL7148" s="86"/>
    </row>
    <row r="7149" spans="38:38" x14ac:dyDescent="0.35">
      <c r="AL7149" s="86"/>
    </row>
    <row r="7150" spans="38:38" x14ac:dyDescent="0.35">
      <c r="AL7150" s="86"/>
    </row>
    <row r="7151" spans="38:38" x14ac:dyDescent="0.35">
      <c r="AL7151" s="86"/>
    </row>
    <row r="7152" spans="38:38" x14ac:dyDescent="0.35">
      <c r="AL7152" s="86"/>
    </row>
    <row r="7153" spans="38:38" x14ac:dyDescent="0.35">
      <c r="AL7153" s="86"/>
    </row>
    <row r="7154" spans="38:38" x14ac:dyDescent="0.35">
      <c r="AL7154" s="86"/>
    </row>
    <row r="7155" spans="38:38" x14ac:dyDescent="0.35">
      <c r="AL7155" s="86"/>
    </row>
    <row r="7156" spans="38:38" x14ac:dyDescent="0.35">
      <c r="AL7156" s="86"/>
    </row>
    <row r="7157" spans="38:38" x14ac:dyDescent="0.35">
      <c r="AL7157" s="86"/>
    </row>
    <row r="7158" spans="38:38" x14ac:dyDescent="0.35">
      <c r="AL7158" s="86"/>
    </row>
    <row r="7159" spans="38:38" x14ac:dyDescent="0.35">
      <c r="AL7159" s="86"/>
    </row>
    <row r="7160" spans="38:38" x14ac:dyDescent="0.35">
      <c r="AL7160" s="86"/>
    </row>
    <row r="7161" spans="38:38" x14ac:dyDescent="0.35">
      <c r="AL7161" s="86"/>
    </row>
    <row r="7162" spans="38:38" x14ac:dyDescent="0.35">
      <c r="AL7162" s="86"/>
    </row>
    <row r="7163" spans="38:38" x14ac:dyDescent="0.35">
      <c r="AL7163" s="86"/>
    </row>
    <row r="7164" spans="38:38" x14ac:dyDescent="0.35">
      <c r="AL7164" s="86"/>
    </row>
    <row r="7165" spans="38:38" x14ac:dyDescent="0.35">
      <c r="AL7165" s="86"/>
    </row>
    <row r="7166" spans="38:38" x14ac:dyDescent="0.35">
      <c r="AL7166" s="86"/>
    </row>
    <row r="7167" spans="38:38" x14ac:dyDescent="0.35">
      <c r="AL7167" s="86"/>
    </row>
    <row r="7168" spans="38:38" x14ac:dyDescent="0.35">
      <c r="AL7168" s="86"/>
    </row>
    <row r="7169" spans="38:38" x14ac:dyDescent="0.35">
      <c r="AL7169" s="86"/>
    </row>
    <row r="7170" spans="38:38" x14ac:dyDescent="0.35">
      <c r="AL7170" s="86"/>
    </row>
    <row r="7171" spans="38:38" x14ac:dyDescent="0.35">
      <c r="AL7171" s="86"/>
    </row>
    <row r="7172" spans="38:38" x14ac:dyDescent="0.35">
      <c r="AL7172" s="86"/>
    </row>
    <row r="7173" spans="38:38" x14ac:dyDescent="0.35">
      <c r="AL7173" s="86"/>
    </row>
    <row r="7174" spans="38:38" x14ac:dyDescent="0.35">
      <c r="AL7174" s="86"/>
    </row>
    <row r="7175" spans="38:38" x14ac:dyDescent="0.35">
      <c r="AL7175" s="86"/>
    </row>
    <row r="7176" spans="38:38" x14ac:dyDescent="0.35">
      <c r="AL7176" s="86"/>
    </row>
    <row r="7177" spans="38:38" x14ac:dyDescent="0.35">
      <c r="AL7177" s="86"/>
    </row>
    <row r="7178" spans="38:38" x14ac:dyDescent="0.35">
      <c r="AL7178" s="86"/>
    </row>
    <row r="7179" spans="38:38" x14ac:dyDescent="0.35">
      <c r="AL7179" s="86"/>
    </row>
    <row r="7180" spans="38:38" x14ac:dyDescent="0.35">
      <c r="AL7180" s="86"/>
    </row>
    <row r="7181" spans="38:38" x14ac:dyDescent="0.35">
      <c r="AL7181" s="86"/>
    </row>
    <row r="7182" spans="38:38" x14ac:dyDescent="0.35">
      <c r="AL7182" s="86"/>
    </row>
    <row r="7183" spans="38:38" x14ac:dyDescent="0.35">
      <c r="AL7183" s="86"/>
    </row>
    <row r="7184" spans="38:38" x14ac:dyDescent="0.35">
      <c r="AL7184" s="86"/>
    </row>
    <row r="7185" spans="38:38" x14ac:dyDescent="0.35">
      <c r="AL7185" s="86"/>
    </row>
    <row r="7186" spans="38:38" x14ac:dyDescent="0.35">
      <c r="AL7186" s="86"/>
    </row>
    <row r="7187" spans="38:38" x14ac:dyDescent="0.35">
      <c r="AL7187" s="86"/>
    </row>
    <row r="7188" spans="38:38" x14ac:dyDescent="0.35">
      <c r="AL7188" s="86"/>
    </row>
    <row r="7189" spans="38:38" x14ac:dyDescent="0.35">
      <c r="AL7189" s="86"/>
    </row>
    <row r="7190" spans="38:38" x14ac:dyDescent="0.35">
      <c r="AL7190" s="86"/>
    </row>
    <row r="7191" spans="38:38" x14ac:dyDescent="0.35">
      <c r="AL7191" s="86"/>
    </row>
    <row r="7192" spans="38:38" x14ac:dyDescent="0.35">
      <c r="AL7192" s="86"/>
    </row>
    <row r="7193" spans="38:38" x14ac:dyDescent="0.35">
      <c r="AL7193" s="86"/>
    </row>
    <row r="7194" spans="38:38" x14ac:dyDescent="0.35">
      <c r="AL7194" s="86"/>
    </row>
    <row r="7195" spans="38:38" x14ac:dyDescent="0.35">
      <c r="AL7195" s="86"/>
    </row>
    <row r="7196" spans="38:38" x14ac:dyDescent="0.35">
      <c r="AL7196" s="86"/>
    </row>
    <row r="7197" spans="38:38" x14ac:dyDescent="0.35">
      <c r="AL7197" s="86"/>
    </row>
    <row r="7198" spans="38:38" x14ac:dyDescent="0.35">
      <c r="AL7198" s="86"/>
    </row>
    <row r="7199" spans="38:38" x14ac:dyDescent="0.35">
      <c r="AL7199" s="86"/>
    </row>
    <row r="7200" spans="38:38" x14ac:dyDescent="0.35">
      <c r="AL7200" s="86"/>
    </row>
    <row r="7201" spans="38:38" x14ac:dyDescent="0.35">
      <c r="AL7201" s="86"/>
    </row>
    <row r="7202" spans="38:38" x14ac:dyDescent="0.35">
      <c r="AL7202" s="86"/>
    </row>
    <row r="7203" spans="38:38" x14ac:dyDescent="0.35">
      <c r="AL7203" s="86"/>
    </row>
    <row r="7204" spans="38:38" x14ac:dyDescent="0.35">
      <c r="AL7204" s="86"/>
    </row>
    <row r="7205" spans="38:38" x14ac:dyDescent="0.35">
      <c r="AL7205" s="86"/>
    </row>
    <row r="7206" spans="38:38" x14ac:dyDescent="0.35">
      <c r="AL7206" s="86"/>
    </row>
    <row r="7207" spans="38:38" x14ac:dyDescent="0.35">
      <c r="AL7207" s="86"/>
    </row>
    <row r="7208" spans="38:38" x14ac:dyDescent="0.35">
      <c r="AL7208" s="86"/>
    </row>
    <row r="7209" spans="38:38" x14ac:dyDescent="0.35">
      <c r="AL7209" s="86"/>
    </row>
    <row r="7210" spans="38:38" x14ac:dyDescent="0.35">
      <c r="AL7210" s="86"/>
    </row>
    <row r="7211" spans="38:38" x14ac:dyDescent="0.35">
      <c r="AL7211" s="86"/>
    </row>
    <row r="7212" spans="38:38" x14ac:dyDescent="0.35">
      <c r="AL7212" s="86"/>
    </row>
    <row r="7213" spans="38:38" x14ac:dyDescent="0.35">
      <c r="AL7213" s="86"/>
    </row>
    <row r="7214" spans="38:38" x14ac:dyDescent="0.35">
      <c r="AL7214" s="86"/>
    </row>
    <row r="7215" spans="38:38" x14ac:dyDescent="0.35">
      <c r="AL7215" s="86"/>
    </row>
    <row r="7216" spans="38:38" x14ac:dyDescent="0.35">
      <c r="AL7216" s="86"/>
    </row>
    <row r="7217" spans="38:38" x14ac:dyDescent="0.35">
      <c r="AL7217" s="86"/>
    </row>
    <row r="7218" spans="38:38" x14ac:dyDescent="0.35">
      <c r="AL7218" s="86"/>
    </row>
    <row r="7219" spans="38:38" x14ac:dyDescent="0.35">
      <c r="AL7219" s="86"/>
    </row>
    <row r="7220" spans="38:38" x14ac:dyDescent="0.35">
      <c r="AL7220" s="86"/>
    </row>
    <row r="7221" spans="38:38" x14ac:dyDescent="0.35">
      <c r="AL7221" s="86"/>
    </row>
    <row r="7222" spans="38:38" x14ac:dyDescent="0.35">
      <c r="AL7222" s="86"/>
    </row>
    <row r="7223" spans="38:38" x14ac:dyDescent="0.35">
      <c r="AL7223" s="86"/>
    </row>
    <row r="7224" spans="38:38" x14ac:dyDescent="0.35">
      <c r="AL7224" s="86"/>
    </row>
    <row r="7225" spans="38:38" x14ac:dyDescent="0.35">
      <c r="AL7225" s="86"/>
    </row>
    <row r="7226" spans="38:38" x14ac:dyDescent="0.35">
      <c r="AL7226" s="86"/>
    </row>
    <row r="7227" spans="38:38" x14ac:dyDescent="0.35">
      <c r="AL7227" s="86"/>
    </row>
    <row r="7228" spans="38:38" x14ac:dyDescent="0.35">
      <c r="AL7228" s="86"/>
    </row>
    <row r="7229" spans="38:38" x14ac:dyDescent="0.35">
      <c r="AL7229" s="86"/>
    </row>
    <row r="7230" spans="38:38" x14ac:dyDescent="0.35">
      <c r="AL7230" s="86"/>
    </row>
    <row r="7231" spans="38:38" x14ac:dyDescent="0.35">
      <c r="AL7231" s="86"/>
    </row>
    <row r="7232" spans="38:38" x14ac:dyDescent="0.35">
      <c r="AL7232" s="86"/>
    </row>
    <row r="7233" spans="38:38" x14ac:dyDescent="0.35">
      <c r="AL7233" s="86"/>
    </row>
    <row r="7234" spans="38:38" x14ac:dyDescent="0.35">
      <c r="AL7234" s="86"/>
    </row>
    <row r="7235" spans="38:38" x14ac:dyDescent="0.35">
      <c r="AL7235" s="86"/>
    </row>
    <row r="7236" spans="38:38" x14ac:dyDescent="0.35">
      <c r="AL7236" s="86"/>
    </row>
    <row r="7237" spans="38:38" x14ac:dyDescent="0.35">
      <c r="AL7237" s="86"/>
    </row>
    <row r="7238" spans="38:38" x14ac:dyDescent="0.35">
      <c r="AL7238" s="86"/>
    </row>
    <row r="7239" spans="38:38" x14ac:dyDescent="0.35">
      <c r="AL7239" s="86"/>
    </row>
    <row r="7240" spans="38:38" x14ac:dyDescent="0.35">
      <c r="AL7240" s="86"/>
    </row>
    <row r="7241" spans="38:38" x14ac:dyDescent="0.35">
      <c r="AL7241" s="86"/>
    </row>
    <row r="7242" spans="38:38" x14ac:dyDescent="0.35">
      <c r="AL7242" s="86"/>
    </row>
    <row r="7243" spans="38:38" x14ac:dyDescent="0.35">
      <c r="AL7243" s="86"/>
    </row>
    <row r="7244" spans="38:38" x14ac:dyDescent="0.35">
      <c r="AL7244" s="86"/>
    </row>
    <row r="7245" spans="38:38" x14ac:dyDescent="0.35">
      <c r="AL7245" s="86"/>
    </row>
    <row r="7246" spans="38:38" x14ac:dyDescent="0.35">
      <c r="AL7246" s="86"/>
    </row>
    <row r="7247" spans="38:38" x14ac:dyDescent="0.35">
      <c r="AL7247" s="86"/>
    </row>
    <row r="7248" spans="38:38" x14ac:dyDescent="0.35">
      <c r="AL7248" s="86"/>
    </row>
    <row r="7249" spans="38:38" x14ac:dyDescent="0.35">
      <c r="AL7249" s="86"/>
    </row>
    <row r="7250" spans="38:38" x14ac:dyDescent="0.35">
      <c r="AL7250" s="86"/>
    </row>
    <row r="7251" spans="38:38" x14ac:dyDescent="0.35">
      <c r="AL7251" s="86"/>
    </row>
    <row r="7252" spans="38:38" x14ac:dyDescent="0.35">
      <c r="AL7252" s="86"/>
    </row>
    <row r="7253" spans="38:38" x14ac:dyDescent="0.35">
      <c r="AL7253" s="86"/>
    </row>
    <row r="7254" spans="38:38" x14ac:dyDescent="0.35">
      <c r="AL7254" s="86"/>
    </row>
    <row r="7255" spans="38:38" x14ac:dyDescent="0.35">
      <c r="AL7255" s="86"/>
    </row>
    <row r="7256" spans="38:38" x14ac:dyDescent="0.35">
      <c r="AL7256" s="86"/>
    </row>
    <row r="7257" spans="38:38" x14ac:dyDescent="0.35">
      <c r="AL7257" s="86"/>
    </row>
    <row r="7258" spans="38:38" x14ac:dyDescent="0.35">
      <c r="AL7258" s="86"/>
    </row>
    <row r="7259" spans="38:38" x14ac:dyDescent="0.35">
      <c r="AL7259" s="86"/>
    </row>
    <row r="7260" spans="38:38" x14ac:dyDescent="0.35">
      <c r="AL7260" s="86"/>
    </row>
    <row r="7261" spans="38:38" x14ac:dyDescent="0.35">
      <c r="AL7261" s="86"/>
    </row>
    <row r="7262" spans="38:38" x14ac:dyDescent="0.35">
      <c r="AL7262" s="86"/>
    </row>
    <row r="7263" spans="38:38" x14ac:dyDescent="0.35">
      <c r="AL7263" s="86"/>
    </row>
    <row r="7264" spans="38:38" x14ac:dyDescent="0.35">
      <c r="AL7264" s="86"/>
    </row>
    <row r="7265" spans="38:38" x14ac:dyDescent="0.35">
      <c r="AL7265" s="86"/>
    </row>
    <row r="7266" spans="38:38" x14ac:dyDescent="0.35">
      <c r="AL7266" s="86"/>
    </row>
    <row r="7267" spans="38:38" x14ac:dyDescent="0.35">
      <c r="AL7267" s="86"/>
    </row>
    <row r="7268" spans="38:38" x14ac:dyDescent="0.35">
      <c r="AL7268" s="86"/>
    </row>
    <row r="7269" spans="38:38" x14ac:dyDescent="0.35">
      <c r="AL7269" s="86"/>
    </row>
    <row r="7270" spans="38:38" x14ac:dyDescent="0.35">
      <c r="AL7270" s="86"/>
    </row>
    <row r="7271" spans="38:38" x14ac:dyDescent="0.35">
      <c r="AL7271" s="86"/>
    </row>
    <row r="7272" spans="38:38" x14ac:dyDescent="0.35">
      <c r="AL7272" s="86"/>
    </row>
    <row r="7273" spans="38:38" x14ac:dyDescent="0.35">
      <c r="AL7273" s="86"/>
    </row>
    <row r="7274" spans="38:38" x14ac:dyDescent="0.35">
      <c r="AL7274" s="86"/>
    </row>
    <row r="7275" spans="38:38" x14ac:dyDescent="0.35">
      <c r="AL7275" s="86"/>
    </row>
    <row r="7276" spans="38:38" x14ac:dyDescent="0.35">
      <c r="AL7276" s="86"/>
    </row>
    <row r="7277" spans="38:38" x14ac:dyDescent="0.35">
      <c r="AL7277" s="86"/>
    </row>
    <row r="7278" spans="38:38" x14ac:dyDescent="0.35">
      <c r="AL7278" s="86"/>
    </row>
    <row r="7279" spans="38:38" x14ac:dyDescent="0.35">
      <c r="AL7279" s="86"/>
    </row>
    <row r="7280" spans="38:38" x14ac:dyDescent="0.35">
      <c r="AL7280" s="86"/>
    </row>
    <row r="7281" spans="38:38" x14ac:dyDescent="0.35">
      <c r="AL7281" s="86"/>
    </row>
    <row r="7282" spans="38:38" x14ac:dyDescent="0.35">
      <c r="AL7282" s="86"/>
    </row>
    <row r="7283" spans="38:38" x14ac:dyDescent="0.35">
      <c r="AL7283" s="86"/>
    </row>
    <row r="7284" spans="38:38" x14ac:dyDescent="0.35">
      <c r="AL7284" s="86"/>
    </row>
    <row r="7285" spans="38:38" x14ac:dyDescent="0.35">
      <c r="AL7285" s="86"/>
    </row>
    <row r="7286" spans="38:38" x14ac:dyDescent="0.35">
      <c r="AL7286" s="86"/>
    </row>
    <row r="7287" spans="38:38" x14ac:dyDescent="0.35">
      <c r="AL7287" s="86"/>
    </row>
    <row r="7288" spans="38:38" x14ac:dyDescent="0.35">
      <c r="AL7288" s="86"/>
    </row>
    <row r="7289" spans="38:38" x14ac:dyDescent="0.35">
      <c r="AL7289" s="86"/>
    </row>
    <row r="7290" spans="38:38" x14ac:dyDescent="0.35">
      <c r="AL7290" s="86"/>
    </row>
    <row r="7291" spans="38:38" x14ac:dyDescent="0.35">
      <c r="AL7291" s="86"/>
    </row>
    <row r="7292" spans="38:38" x14ac:dyDescent="0.35">
      <c r="AL7292" s="86"/>
    </row>
    <row r="7293" spans="38:38" x14ac:dyDescent="0.35">
      <c r="AL7293" s="86"/>
    </row>
    <row r="7294" spans="38:38" x14ac:dyDescent="0.35">
      <c r="AL7294" s="86"/>
    </row>
    <row r="7295" spans="38:38" x14ac:dyDescent="0.35">
      <c r="AL7295" s="86"/>
    </row>
    <row r="7296" spans="38:38" x14ac:dyDescent="0.35">
      <c r="AL7296" s="86"/>
    </row>
    <row r="7297" spans="38:38" x14ac:dyDescent="0.35">
      <c r="AL7297" s="86"/>
    </row>
    <row r="7298" spans="38:38" x14ac:dyDescent="0.35">
      <c r="AL7298" s="86"/>
    </row>
    <row r="7299" spans="38:38" x14ac:dyDescent="0.35">
      <c r="AL7299" s="86"/>
    </row>
    <row r="7300" spans="38:38" x14ac:dyDescent="0.35">
      <c r="AL7300" s="86"/>
    </row>
    <row r="7301" spans="38:38" x14ac:dyDescent="0.35">
      <c r="AL7301" s="86"/>
    </row>
    <row r="7302" spans="38:38" x14ac:dyDescent="0.35">
      <c r="AL7302" s="86"/>
    </row>
    <row r="7303" spans="38:38" x14ac:dyDescent="0.35">
      <c r="AL7303" s="86"/>
    </row>
    <row r="7304" spans="38:38" x14ac:dyDescent="0.35">
      <c r="AL7304" s="86"/>
    </row>
    <row r="7305" spans="38:38" x14ac:dyDescent="0.35">
      <c r="AL7305" s="86"/>
    </row>
    <row r="7306" spans="38:38" x14ac:dyDescent="0.35">
      <c r="AL7306" s="86"/>
    </row>
    <row r="7307" spans="38:38" x14ac:dyDescent="0.35">
      <c r="AL7307" s="86"/>
    </row>
    <row r="7308" spans="38:38" x14ac:dyDescent="0.35">
      <c r="AL7308" s="86"/>
    </row>
    <row r="7309" spans="38:38" x14ac:dyDescent="0.35">
      <c r="AL7309" s="86"/>
    </row>
    <row r="7310" spans="38:38" x14ac:dyDescent="0.35">
      <c r="AL7310" s="86"/>
    </row>
    <row r="7311" spans="38:38" x14ac:dyDescent="0.35">
      <c r="AL7311" s="86"/>
    </row>
    <row r="7312" spans="38:38" x14ac:dyDescent="0.35">
      <c r="AL7312" s="86"/>
    </row>
    <row r="7313" spans="38:38" x14ac:dyDescent="0.35">
      <c r="AL7313" s="86"/>
    </row>
    <row r="7314" spans="38:38" x14ac:dyDescent="0.35">
      <c r="AL7314" s="86"/>
    </row>
    <row r="7315" spans="38:38" x14ac:dyDescent="0.35">
      <c r="AL7315" s="86"/>
    </row>
    <row r="7316" spans="38:38" x14ac:dyDescent="0.35">
      <c r="AL7316" s="86"/>
    </row>
    <row r="7317" spans="38:38" x14ac:dyDescent="0.35">
      <c r="AL7317" s="86"/>
    </row>
    <row r="7318" spans="38:38" x14ac:dyDescent="0.35">
      <c r="AL7318" s="86"/>
    </row>
    <row r="7319" spans="38:38" x14ac:dyDescent="0.35">
      <c r="AL7319" s="86"/>
    </row>
    <row r="7320" spans="38:38" x14ac:dyDescent="0.35">
      <c r="AL7320" s="86"/>
    </row>
    <row r="7321" spans="38:38" x14ac:dyDescent="0.35">
      <c r="AL7321" s="86"/>
    </row>
    <row r="7322" spans="38:38" x14ac:dyDescent="0.35">
      <c r="AL7322" s="86"/>
    </row>
    <row r="7323" spans="38:38" x14ac:dyDescent="0.35">
      <c r="AL7323" s="86"/>
    </row>
    <row r="7324" spans="38:38" x14ac:dyDescent="0.35">
      <c r="AL7324" s="86"/>
    </row>
    <row r="7325" spans="38:38" x14ac:dyDescent="0.35">
      <c r="AL7325" s="86"/>
    </row>
    <row r="7326" spans="38:38" x14ac:dyDescent="0.35">
      <c r="AL7326" s="86"/>
    </row>
    <row r="7327" spans="38:38" x14ac:dyDescent="0.35">
      <c r="AL7327" s="86"/>
    </row>
    <row r="7328" spans="38:38" x14ac:dyDescent="0.35">
      <c r="AL7328" s="86"/>
    </row>
    <row r="7329" spans="38:38" x14ac:dyDescent="0.35">
      <c r="AL7329" s="86"/>
    </row>
    <row r="7330" spans="38:38" x14ac:dyDescent="0.35">
      <c r="AL7330" s="86"/>
    </row>
    <row r="7331" spans="38:38" x14ac:dyDescent="0.35">
      <c r="AL7331" s="86"/>
    </row>
    <row r="7332" spans="38:38" x14ac:dyDescent="0.35">
      <c r="AL7332" s="86"/>
    </row>
    <row r="7333" spans="38:38" x14ac:dyDescent="0.35">
      <c r="AL7333" s="86"/>
    </row>
    <row r="7334" spans="38:38" x14ac:dyDescent="0.35">
      <c r="AL7334" s="86"/>
    </row>
    <row r="7335" spans="38:38" x14ac:dyDescent="0.35">
      <c r="AL7335" s="86"/>
    </row>
    <row r="7336" spans="38:38" x14ac:dyDescent="0.35">
      <c r="AL7336" s="86"/>
    </row>
    <row r="7337" spans="38:38" x14ac:dyDescent="0.35">
      <c r="AL7337" s="86"/>
    </row>
    <row r="7338" spans="38:38" x14ac:dyDescent="0.35">
      <c r="AL7338" s="86"/>
    </row>
    <row r="7339" spans="38:38" x14ac:dyDescent="0.35">
      <c r="AL7339" s="86"/>
    </row>
    <row r="7340" spans="38:38" x14ac:dyDescent="0.35">
      <c r="AL7340" s="86"/>
    </row>
    <row r="7341" spans="38:38" x14ac:dyDescent="0.35">
      <c r="AL7341" s="86"/>
    </row>
    <row r="7342" spans="38:38" x14ac:dyDescent="0.35">
      <c r="AL7342" s="86"/>
    </row>
    <row r="7343" spans="38:38" x14ac:dyDescent="0.35">
      <c r="AL7343" s="86"/>
    </row>
    <row r="7344" spans="38:38" x14ac:dyDescent="0.35">
      <c r="AL7344" s="86"/>
    </row>
    <row r="7345" spans="38:38" x14ac:dyDescent="0.35">
      <c r="AL7345" s="86"/>
    </row>
    <row r="7346" spans="38:38" x14ac:dyDescent="0.35">
      <c r="AL7346" s="86"/>
    </row>
    <row r="7347" spans="38:38" x14ac:dyDescent="0.35">
      <c r="AL7347" s="86"/>
    </row>
    <row r="7348" spans="38:38" x14ac:dyDescent="0.35">
      <c r="AL7348" s="86"/>
    </row>
    <row r="7349" spans="38:38" x14ac:dyDescent="0.35">
      <c r="AL7349" s="86"/>
    </row>
    <row r="7350" spans="38:38" x14ac:dyDescent="0.35">
      <c r="AL7350" s="86"/>
    </row>
    <row r="7351" spans="38:38" x14ac:dyDescent="0.35">
      <c r="AL7351" s="86"/>
    </row>
    <row r="7352" spans="38:38" x14ac:dyDescent="0.35">
      <c r="AL7352" s="86"/>
    </row>
    <row r="7353" spans="38:38" x14ac:dyDescent="0.35">
      <c r="AL7353" s="86"/>
    </row>
    <row r="7354" spans="38:38" x14ac:dyDescent="0.35">
      <c r="AL7354" s="86"/>
    </row>
    <row r="7355" spans="38:38" x14ac:dyDescent="0.35">
      <c r="AL7355" s="86"/>
    </row>
    <row r="7356" spans="38:38" x14ac:dyDescent="0.35">
      <c r="AL7356" s="86"/>
    </row>
    <row r="7357" spans="38:38" x14ac:dyDescent="0.35">
      <c r="AL7357" s="86"/>
    </row>
    <row r="7358" spans="38:38" x14ac:dyDescent="0.35">
      <c r="AL7358" s="86"/>
    </row>
    <row r="7359" spans="38:38" x14ac:dyDescent="0.35">
      <c r="AL7359" s="86"/>
    </row>
    <row r="7360" spans="38:38" x14ac:dyDescent="0.35">
      <c r="AL7360" s="86"/>
    </row>
    <row r="7361" spans="38:38" x14ac:dyDescent="0.35">
      <c r="AL7361" s="86"/>
    </row>
    <row r="7362" spans="38:38" x14ac:dyDescent="0.35">
      <c r="AL7362" s="86"/>
    </row>
    <row r="7363" spans="38:38" x14ac:dyDescent="0.35">
      <c r="AL7363" s="86"/>
    </row>
    <row r="7364" spans="38:38" x14ac:dyDescent="0.35">
      <c r="AL7364" s="86"/>
    </row>
    <row r="7365" spans="38:38" x14ac:dyDescent="0.35">
      <c r="AL7365" s="86"/>
    </row>
    <row r="7366" spans="38:38" x14ac:dyDescent="0.35">
      <c r="AL7366" s="86"/>
    </row>
    <row r="7367" spans="38:38" x14ac:dyDescent="0.35">
      <c r="AL7367" s="86"/>
    </row>
    <row r="7368" spans="38:38" x14ac:dyDescent="0.35">
      <c r="AL7368" s="86"/>
    </row>
    <row r="7369" spans="38:38" x14ac:dyDescent="0.35">
      <c r="AL7369" s="86"/>
    </row>
    <row r="7370" spans="38:38" x14ac:dyDescent="0.35">
      <c r="AL7370" s="86"/>
    </row>
    <row r="7371" spans="38:38" x14ac:dyDescent="0.35">
      <c r="AL7371" s="86"/>
    </row>
    <row r="7372" spans="38:38" x14ac:dyDescent="0.35">
      <c r="AL7372" s="86"/>
    </row>
    <row r="7373" spans="38:38" x14ac:dyDescent="0.35">
      <c r="AL7373" s="86"/>
    </row>
    <row r="7374" spans="38:38" x14ac:dyDescent="0.35">
      <c r="AL7374" s="86"/>
    </row>
    <row r="7375" spans="38:38" x14ac:dyDescent="0.35">
      <c r="AL7375" s="86"/>
    </row>
    <row r="7376" spans="38:38" x14ac:dyDescent="0.35">
      <c r="AL7376" s="86"/>
    </row>
    <row r="7377" spans="38:38" x14ac:dyDescent="0.35">
      <c r="AL7377" s="86"/>
    </row>
    <row r="7378" spans="38:38" x14ac:dyDescent="0.35">
      <c r="AL7378" s="86"/>
    </row>
    <row r="7379" spans="38:38" x14ac:dyDescent="0.35">
      <c r="AL7379" s="86"/>
    </row>
    <row r="7380" spans="38:38" x14ac:dyDescent="0.35">
      <c r="AL7380" s="86"/>
    </row>
    <row r="7381" spans="38:38" x14ac:dyDescent="0.35">
      <c r="AL7381" s="86"/>
    </row>
    <row r="7382" spans="38:38" x14ac:dyDescent="0.35">
      <c r="AL7382" s="86"/>
    </row>
    <row r="7383" spans="38:38" x14ac:dyDescent="0.35">
      <c r="AL7383" s="86"/>
    </row>
    <row r="7384" spans="38:38" x14ac:dyDescent="0.35">
      <c r="AL7384" s="86"/>
    </row>
    <row r="7385" spans="38:38" x14ac:dyDescent="0.35">
      <c r="AL7385" s="86"/>
    </row>
    <row r="7386" spans="38:38" x14ac:dyDescent="0.35">
      <c r="AL7386" s="86"/>
    </row>
    <row r="7387" spans="38:38" x14ac:dyDescent="0.35">
      <c r="AL7387" s="86"/>
    </row>
    <row r="7388" spans="38:38" x14ac:dyDescent="0.35">
      <c r="AL7388" s="86"/>
    </row>
    <row r="7389" spans="38:38" x14ac:dyDescent="0.35">
      <c r="AL7389" s="86"/>
    </row>
    <row r="7390" spans="38:38" x14ac:dyDescent="0.35">
      <c r="AL7390" s="86"/>
    </row>
    <row r="7391" spans="38:38" x14ac:dyDescent="0.35">
      <c r="AL7391" s="86"/>
    </row>
    <row r="7392" spans="38:38" x14ac:dyDescent="0.35">
      <c r="AL7392" s="86"/>
    </row>
    <row r="7393" spans="38:38" x14ac:dyDescent="0.35">
      <c r="AL7393" s="86"/>
    </row>
    <row r="7394" spans="38:38" x14ac:dyDescent="0.35">
      <c r="AL7394" s="86"/>
    </row>
    <row r="7395" spans="38:38" x14ac:dyDescent="0.35">
      <c r="AL7395" s="86"/>
    </row>
    <row r="7396" spans="38:38" x14ac:dyDescent="0.35">
      <c r="AL7396" s="86"/>
    </row>
    <row r="7397" spans="38:38" x14ac:dyDescent="0.35">
      <c r="AL7397" s="86"/>
    </row>
    <row r="7398" spans="38:38" x14ac:dyDescent="0.35">
      <c r="AL7398" s="86"/>
    </row>
    <row r="7399" spans="38:38" x14ac:dyDescent="0.35">
      <c r="AL7399" s="86"/>
    </row>
    <row r="7400" spans="38:38" x14ac:dyDescent="0.35">
      <c r="AL7400" s="86"/>
    </row>
    <row r="7401" spans="38:38" x14ac:dyDescent="0.35">
      <c r="AL7401" s="86"/>
    </row>
    <row r="7402" spans="38:38" x14ac:dyDescent="0.35">
      <c r="AL7402" s="86"/>
    </row>
    <row r="7403" spans="38:38" x14ac:dyDescent="0.35">
      <c r="AL7403" s="86"/>
    </row>
    <row r="7404" spans="38:38" x14ac:dyDescent="0.35">
      <c r="AL7404" s="86"/>
    </row>
    <row r="7405" spans="38:38" x14ac:dyDescent="0.35">
      <c r="AL7405" s="86"/>
    </row>
    <row r="7406" spans="38:38" x14ac:dyDescent="0.35">
      <c r="AL7406" s="86"/>
    </row>
    <row r="7407" spans="38:38" x14ac:dyDescent="0.35">
      <c r="AL7407" s="86"/>
    </row>
    <row r="7408" spans="38:38" x14ac:dyDescent="0.35">
      <c r="AL7408" s="86"/>
    </row>
    <row r="7409" spans="38:38" x14ac:dyDescent="0.35">
      <c r="AL7409" s="86"/>
    </row>
    <row r="7410" spans="38:38" x14ac:dyDescent="0.35">
      <c r="AL7410" s="86"/>
    </row>
    <row r="7411" spans="38:38" x14ac:dyDescent="0.35">
      <c r="AL7411" s="86"/>
    </row>
    <row r="7412" spans="38:38" x14ac:dyDescent="0.35">
      <c r="AL7412" s="86"/>
    </row>
    <row r="7413" spans="38:38" x14ac:dyDescent="0.35">
      <c r="AL7413" s="86"/>
    </row>
    <row r="7414" spans="38:38" x14ac:dyDescent="0.35">
      <c r="AL7414" s="86"/>
    </row>
    <row r="7415" spans="38:38" x14ac:dyDescent="0.35">
      <c r="AL7415" s="86"/>
    </row>
    <row r="7416" spans="38:38" x14ac:dyDescent="0.35">
      <c r="AL7416" s="86"/>
    </row>
    <row r="7417" spans="38:38" x14ac:dyDescent="0.35">
      <c r="AL7417" s="86"/>
    </row>
    <row r="7418" spans="38:38" x14ac:dyDescent="0.35">
      <c r="AL7418" s="86"/>
    </row>
    <row r="7419" spans="38:38" x14ac:dyDescent="0.35">
      <c r="AL7419" s="86"/>
    </row>
    <row r="7420" spans="38:38" x14ac:dyDescent="0.35">
      <c r="AL7420" s="86"/>
    </row>
    <row r="7421" spans="38:38" x14ac:dyDescent="0.35">
      <c r="AL7421" s="86"/>
    </row>
    <row r="7422" spans="38:38" x14ac:dyDescent="0.35">
      <c r="AL7422" s="86"/>
    </row>
    <row r="7423" spans="38:38" x14ac:dyDescent="0.35">
      <c r="AL7423" s="86"/>
    </row>
    <row r="7424" spans="38:38" x14ac:dyDescent="0.35">
      <c r="AL7424" s="86"/>
    </row>
    <row r="7425" spans="38:38" x14ac:dyDescent="0.35">
      <c r="AL7425" s="86"/>
    </row>
    <row r="7426" spans="38:38" x14ac:dyDescent="0.35">
      <c r="AL7426" s="86"/>
    </row>
    <row r="7427" spans="38:38" x14ac:dyDescent="0.35">
      <c r="AL7427" s="86"/>
    </row>
    <row r="7428" spans="38:38" x14ac:dyDescent="0.35">
      <c r="AL7428" s="86"/>
    </row>
    <row r="7429" spans="38:38" x14ac:dyDescent="0.35">
      <c r="AL7429" s="86"/>
    </row>
    <row r="7430" spans="38:38" x14ac:dyDescent="0.35">
      <c r="AL7430" s="86"/>
    </row>
    <row r="7431" spans="38:38" x14ac:dyDescent="0.35">
      <c r="AL7431" s="86"/>
    </row>
    <row r="7432" spans="38:38" x14ac:dyDescent="0.35">
      <c r="AL7432" s="86"/>
    </row>
    <row r="7433" spans="38:38" x14ac:dyDescent="0.35">
      <c r="AL7433" s="86"/>
    </row>
    <row r="7434" spans="38:38" x14ac:dyDescent="0.35">
      <c r="AL7434" s="86"/>
    </row>
    <row r="7435" spans="38:38" x14ac:dyDescent="0.35">
      <c r="AL7435" s="86"/>
    </row>
    <row r="7436" spans="38:38" x14ac:dyDescent="0.35">
      <c r="AL7436" s="86"/>
    </row>
    <row r="7437" spans="38:38" x14ac:dyDescent="0.35">
      <c r="AL7437" s="86"/>
    </row>
    <row r="7438" spans="38:38" x14ac:dyDescent="0.35">
      <c r="AL7438" s="86"/>
    </row>
    <row r="7439" spans="38:38" x14ac:dyDescent="0.35">
      <c r="AL7439" s="86"/>
    </row>
    <row r="7440" spans="38:38" x14ac:dyDescent="0.35">
      <c r="AL7440" s="86"/>
    </row>
    <row r="7441" spans="38:38" x14ac:dyDescent="0.35">
      <c r="AL7441" s="86"/>
    </row>
    <row r="7442" spans="38:38" x14ac:dyDescent="0.35">
      <c r="AL7442" s="86"/>
    </row>
    <row r="7443" spans="38:38" x14ac:dyDescent="0.35">
      <c r="AL7443" s="86"/>
    </row>
    <row r="7444" spans="38:38" x14ac:dyDescent="0.35">
      <c r="AL7444" s="86"/>
    </row>
    <row r="7445" spans="38:38" x14ac:dyDescent="0.35">
      <c r="AL7445" s="86"/>
    </row>
    <row r="7446" spans="38:38" x14ac:dyDescent="0.35">
      <c r="AL7446" s="86"/>
    </row>
    <row r="7447" spans="38:38" x14ac:dyDescent="0.35">
      <c r="AL7447" s="86"/>
    </row>
    <row r="7448" spans="38:38" x14ac:dyDescent="0.35">
      <c r="AL7448" s="86"/>
    </row>
    <row r="7449" spans="38:38" x14ac:dyDescent="0.35">
      <c r="AL7449" s="86"/>
    </row>
    <row r="7450" spans="38:38" x14ac:dyDescent="0.35">
      <c r="AL7450" s="86"/>
    </row>
    <row r="7451" spans="38:38" x14ac:dyDescent="0.35">
      <c r="AL7451" s="86"/>
    </row>
    <row r="7452" spans="38:38" x14ac:dyDescent="0.35">
      <c r="AL7452" s="86"/>
    </row>
    <row r="7453" spans="38:38" x14ac:dyDescent="0.35">
      <c r="AL7453" s="86"/>
    </row>
    <row r="7454" spans="38:38" x14ac:dyDescent="0.35">
      <c r="AL7454" s="86"/>
    </row>
    <row r="7455" spans="38:38" x14ac:dyDescent="0.35">
      <c r="AL7455" s="86"/>
    </row>
    <row r="7456" spans="38:38" x14ac:dyDescent="0.35">
      <c r="AL7456" s="86"/>
    </row>
    <row r="7457" spans="38:38" x14ac:dyDescent="0.35">
      <c r="AL7457" s="86"/>
    </row>
    <row r="7458" spans="38:38" x14ac:dyDescent="0.35">
      <c r="AL7458" s="86"/>
    </row>
    <row r="7459" spans="38:38" x14ac:dyDescent="0.35">
      <c r="AL7459" s="86"/>
    </row>
    <row r="7460" spans="38:38" x14ac:dyDescent="0.35">
      <c r="AL7460" s="86"/>
    </row>
    <row r="7461" spans="38:38" x14ac:dyDescent="0.35">
      <c r="AL7461" s="86"/>
    </row>
    <row r="7462" spans="38:38" x14ac:dyDescent="0.35">
      <c r="AL7462" s="86"/>
    </row>
    <row r="7463" spans="38:38" x14ac:dyDescent="0.35">
      <c r="AL7463" s="86"/>
    </row>
    <row r="7464" spans="38:38" x14ac:dyDescent="0.35">
      <c r="AL7464" s="86"/>
    </row>
    <row r="7465" spans="38:38" x14ac:dyDescent="0.35">
      <c r="AL7465" s="86"/>
    </row>
    <row r="7466" spans="38:38" x14ac:dyDescent="0.35">
      <c r="AL7466" s="86"/>
    </row>
    <row r="7467" spans="38:38" x14ac:dyDescent="0.35">
      <c r="AL7467" s="86"/>
    </row>
    <row r="7468" spans="38:38" x14ac:dyDescent="0.35">
      <c r="AL7468" s="86"/>
    </row>
    <row r="7469" spans="38:38" x14ac:dyDescent="0.35">
      <c r="AL7469" s="86"/>
    </row>
    <row r="7470" spans="38:38" x14ac:dyDescent="0.35">
      <c r="AL7470" s="86"/>
    </row>
    <row r="7471" spans="38:38" x14ac:dyDescent="0.35">
      <c r="AL7471" s="86"/>
    </row>
    <row r="7472" spans="38:38" x14ac:dyDescent="0.35">
      <c r="AL7472" s="86"/>
    </row>
    <row r="7473" spans="38:38" x14ac:dyDescent="0.35">
      <c r="AL7473" s="86"/>
    </row>
    <row r="7474" spans="38:38" x14ac:dyDescent="0.35">
      <c r="AL7474" s="86"/>
    </row>
    <row r="7475" spans="38:38" x14ac:dyDescent="0.35">
      <c r="AL7475" s="86"/>
    </row>
    <row r="7476" spans="38:38" x14ac:dyDescent="0.35">
      <c r="AL7476" s="86"/>
    </row>
    <row r="7477" spans="38:38" x14ac:dyDescent="0.35">
      <c r="AL7477" s="86"/>
    </row>
    <row r="7478" spans="38:38" x14ac:dyDescent="0.35">
      <c r="AL7478" s="86"/>
    </row>
    <row r="7479" spans="38:38" x14ac:dyDescent="0.35">
      <c r="AL7479" s="86"/>
    </row>
    <row r="7480" spans="38:38" x14ac:dyDescent="0.35">
      <c r="AL7480" s="86"/>
    </row>
    <row r="7481" spans="38:38" x14ac:dyDescent="0.35">
      <c r="AL7481" s="86"/>
    </row>
    <row r="7482" spans="38:38" x14ac:dyDescent="0.35">
      <c r="AL7482" s="86"/>
    </row>
    <row r="7483" spans="38:38" x14ac:dyDescent="0.35">
      <c r="AL7483" s="86"/>
    </row>
    <row r="7484" spans="38:38" x14ac:dyDescent="0.35">
      <c r="AL7484" s="86"/>
    </row>
    <row r="7485" spans="38:38" x14ac:dyDescent="0.35">
      <c r="AL7485" s="86"/>
    </row>
    <row r="7486" spans="38:38" x14ac:dyDescent="0.35">
      <c r="AL7486" s="86"/>
    </row>
    <row r="7487" spans="38:38" x14ac:dyDescent="0.35">
      <c r="AL7487" s="86"/>
    </row>
    <row r="7488" spans="38:38" x14ac:dyDescent="0.35">
      <c r="AL7488" s="86"/>
    </row>
    <row r="7489" spans="38:38" x14ac:dyDescent="0.35">
      <c r="AL7489" s="86"/>
    </row>
    <row r="7490" spans="38:38" x14ac:dyDescent="0.35">
      <c r="AL7490" s="86"/>
    </row>
    <row r="7491" spans="38:38" x14ac:dyDescent="0.35">
      <c r="AL7491" s="86"/>
    </row>
    <row r="7492" spans="38:38" x14ac:dyDescent="0.35">
      <c r="AL7492" s="86"/>
    </row>
    <row r="7493" spans="38:38" x14ac:dyDescent="0.35">
      <c r="AL7493" s="86"/>
    </row>
    <row r="7494" spans="38:38" x14ac:dyDescent="0.35">
      <c r="AL7494" s="86"/>
    </row>
    <row r="7495" spans="38:38" x14ac:dyDescent="0.35">
      <c r="AL7495" s="86"/>
    </row>
    <row r="7496" spans="38:38" x14ac:dyDescent="0.35">
      <c r="AL7496" s="86"/>
    </row>
    <row r="7497" spans="38:38" x14ac:dyDescent="0.35">
      <c r="AL7497" s="86"/>
    </row>
    <row r="7498" spans="38:38" x14ac:dyDescent="0.35">
      <c r="AL7498" s="86"/>
    </row>
    <row r="7499" spans="38:38" x14ac:dyDescent="0.35">
      <c r="AL7499" s="86"/>
    </row>
    <row r="7500" spans="38:38" x14ac:dyDescent="0.35">
      <c r="AL7500" s="86"/>
    </row>
    <row r="7501" spans="38:38" x14ac:dyDescent="0.35">
      <c r="AL7501" s="86"/>
    </row>
    <row r="7502" spans="38:38" x14ac:dyDescent="0.35">
      <c r="AL7502" s="86"/>
    </row>
    <row r="7503" spans="38:38" x14ac:dyDescent="0.35">
      <c r="AL7503" s="86"/>
    </row>
    <row r="7504" spans="38:38" x14ac:dyDescent="0.35">
      <c r="AL7504" s="86"/>
    </row>
    <row r="7505" spans="38:38" x14ac:dyDescent="0.35">
      <c r="AL7505" s="86"/>
    </row>
    <row r="7506" spans="38:38" x14ac:dyDescent="0.35">
      <c r="AL7506" s="86"/>
    </row>
    <row r="7507" spans="38:38" x14ac:dyDescent="0.35">
      <c r="AL7507" s="86"/>
    </row>
    <row r="7508" spans="38:38" x14ac:dyDescent="0.35">
      <c r="AL7508" s="86"/>
    </row>
    <row r="7509" spans="38:38" x14ac:dyDescent="0.35">
      <c r="AL7509" s="86"/>
    </row>
    <row r="7510" spans="38:38" x14ac:dyDescent="0.35">
      <c r="AL7510" s="86"/>
    </row>
    <row r="7511" spans="38:38" x14ac:dyDescent="0.35">
      <c r="AL7511" s="86"/>
    </row>
    <row r="7512" spans="38:38" x14ac:dyDescent="0.35">
      <c r="AL7512" s="86"/>
    </row>
    <row r="7513" spans="38:38" x14ac:dyDescent="0.35">
      <c r="AL7513" s="86"/>
    </row>
    <row r="7514" spans="38:38" x14ac:dyDescent="0.35">
      <c r="AL7514" s="86"/>
    </row>
    <row r="7515" spans="38:38" x14ac:dyDescent="0.35">
      <c r="AL7515" s="86"/>
    </row>
    <row r="7516" spans="38:38" x14ac:dyDescent="0.35">
      <c r="AL7516" s="86"/>
    </row>
    <row r="7517" spans="38:38" x14ac:dyDescent="0.35">
      <c r="AL7517" s="86"/>
    </row>
    <row r="7518" spans="38:38" x14ac:dyDescent="0.35">
      <c r="AL7518" s="86"/>
    </row>
    <row r="7519" spans="38:38" x14ac:dyDescent="0.35">
      <c r="AL7519" s="86"/>
    </row>
    <row r="7520" spans="38:38" x14ac:dyDescent="0.35">
      <c r="AL7520" s="86"/>
    </row>
    <row r="7521" spans="38:38" x14ac:dyDescent="0.35">
      <c r="AL7521" s="86"/>
    </row>
    <row r="7522" spans="38:38" x14ac:dyDescent="0.35">
      <c r="AL7522" s="86"/>
    </row>
    <row r="7523" spans="38:38" x14ac:dyDescent="0.35">
      <c r="AL7523" s="86"/>
    </row>
    <row r="7524" spans="38:38" x14ac:dyDescent="0.35">
      <c r="AL7524" s="86"/>
    </row>
    <row r="7525" spans="38:38" x14ac:dyDescent="0.35">
      <c r="AL7525" s="86"/>
    </row>
    <row r="7526" spans="38:38" x14ac:dyDescent="0.35">
      <c r="AL7526" s="86"/>
    </row>
    <row r="7527" spans="38:38" x14ac:dyDescent="0.35">
      <c r="AL7527" s="86"/>
    </row>
    <row r="7528" spans="38:38" x14ac:dyDescent="0.35">
      <c r="AL7528" s="86"/>
    </row>
    <row r="7529" spans="38:38" x14ac:dyDescent="0.35">
      <c r="AL7529" s="86"/>
    </row>
    <row r="7530" spans="38:38" x14ac:dyDescent="0.35">
      <c r="AL7530" s="86"/>
    </row>
    <row r="7531" spans="38:38" x14ac:dyDescent="0.35">
      <c r="AL7531" s="86"/>
    </row>
    <row r="7532" spans="38:38" x14ac:dyDescent="0.35">
      <c r="AL7532" s="86"/>
    </row>
    <row r="7533" spans="38:38" x14ac:dyDescent="0.35">
      <c r="AL7533" s="86"/>
    </row>
    <row r="7534" spans="38:38" x14ac:dyDescent="0.35">
      <c r="AL7534" s="86"/>
    </row>
    <row r="7535" spans="38:38" x14ac:dyDescent="0.35">
      <c r="AL7535" s="86"/>
    </row>
    <row r="7536" spans="38:38" x14ac:dyDescent="0.35">
      <c r="AL7536" s="86"/>
    </row>
    <row r="7537" spans="38:38" x14ac:dyDescent="0.35">
      <c r="AL7537" s="86"/>
    </row>
    <row r="7538" spans="38:38" x14ac:dyDescent="0.35">
      <c r="AL7538" s="86"/>
    </row>
    <row r="7539" spans="38:38" x14ac:dyDescent="0.35">
      <c r="AL7539" s="86"/>
    </row>
    <row r="7540" spans="38:38" x14ac:dyDescent="0.35">
      <c r="AL7540" s="86"/>
    </row>
    <row r="7541" spans="38:38" x14ac:dyDescent="0.35">
      <c r="AL7541" s="86"/>
    </row>
    <row r="7542" spans="38:38" x14ac:dyDescent="0.35">
      <c r="AL7542" s="86"/>
    </row>
    <row r="7543" spans="38:38" x14ac:dyDescent="0.35">
      <c r="AL7543" s="86"/>
    </row>
    <row r="7544" spans="38:38" x14ac:dyDescent="0.35">
      <c r="AL7544" s="86"/>
    </row>
    <row r="7545" spans="38:38" x14ac:dyDescent="0.35">
      <c r="AL7545" s="86"/>
    </row>
    <row r="7546" spans="38:38" x14ac:dyDescent="0.35">
      <c r="AL7546" s="86"/>
    </row>
    <row r="7547" spans="38:38" x14ac:dyDescent="0.35">
      <c r="AL7547" s="86"/>
    </row>
    <row r="7548" spans="38:38" x14ac:dyDescent="0.35">
      <c r="AL7548" s="86"/>
    </row>
    <row r="7549" spans="38:38" x14ac:dyDescent="0.35">
      <c r="AL7549" s="86"/>
    </row>
    <row r="7550" spans="38:38" x14ac:dyDescent="0.35">
      <c r="AL7550" s="86"/>
    </row>
    <row r="7551" spans="38:38" x14ac:dyDescent="0.35">
      <c r="AL7551" s="86"/>
    </row>
    <row r="7552" spans="38:38" x14ac:dyDescent="0.35">
      <c r="AL7552" s="86"/>
    </row>
    <row r="7553" spans="38:38" x14ac:dyDescent="0.35">
      <c r="AL7553" s="86"/>
    </row>
    <row r="7554" spans="38:38" x14ac:dyDescent="0.35">
      <c r="AL7554" s="86"/>
    </row>
    <row r="7555" spans="38:38" x14ac:dyDescent="0.35">
      <c r="AL7555" s="86"/>
    </row>
    <row r="7556" spans="38:38" x14ac:dyDescent="0.35">
      <c r="AL7556" s="86"/>
    </row>
    <row r="7557" spans="38:38" x14ac:dyDescent="0.35">
      <c r="AL7557" s="86"/>
    </row>
    <row r="7558" spans="38:38" x14ac:dyDescent="0.35">
      <c r="AL7558" s="86"/>
    </row>
    <row r="7559" spans="38:38" x14ac:dyDescent="0.35">
      <c r="AL7559" s="86"/>
    </row>
    <row r="7560" spans="38:38" x14ac:dyDescent="0.35">
      <c r="AL7560" s="86"/>
    </row>
    <row r="7561" spans="38:38" x14ac:dyDescent="0.35">
      <c r="AL7561" s="86"/>
    </row>
    <row r="7562" spans="38:38" x14ac:dyDescent="0.35">
      <c r="AL7562" s="86"/>
    </row>
    <row r="7563" spans="38:38" x14ac:dyDescent="0.35">
      <c r="AL7563" s="86"/>
    </row>
    <row r="7564" spans="38:38" x14ac:dyDescent="0.35">
      <c r="AL7564" s="86"/>
    </row>
    <row r="7565" spans="38:38" x14ac:dyDescent="0.35">
      <c r="AL7565" s="86"/>
    </row>
    <row r="7566" spans="38:38" x14ac:dyDescent="0.35">
      <c r="AL7566" s="86"/>
    </row>
    <row r="7567" spans="38:38" x14ac:dyDescent="0.35">
      <c r="AL7567" s="86"/>
    </row>
    <row r="7568" spans="38:38" x14ac:dyDescent="0.35">
      <c r="AL7568" s="86"/>
    </row>
    <row r="7569" spans="38:38" x14ac:dyDescent="0.35">
      <c r="AL7569" s="86"/>
    </row>
    <row r="7570" spans="38:38" x14ac:dyDescent="0.35">
      <c r="AL7570" s="86"/>
    </row>
    <row r="7571" spans="38:38" x14ac:dyDescent="0.35">
      <c r="AL7571" s="86"/>
    </row>
    <row r="7572" spans="38:38" x14ac:dyDescent="0.35">
      <c r="AL7572" s="86"/>
    </row>
    <row r="7573" spans="38:38" x14ac:dyDescent="0.35">
      <c r="AL7573" s="86"/>
    </row>
    <row r="7574" spans="38:38" x14ac:dyDescent="0.35">
      <c r="AL7574" s="86"/>
    </row>
    <row r="7575" spans="38:38" x14ac:dyDescent="0.35">
      <c r="AL7575" s="86"/>
    </row>
    <row r="7576" spans="38:38" x14ac:dyDescent="0.35">
      <c r="AL7576" s="86"/>
    </row>
    <row r="7577" spans="38:38" x14ac:dyDescent="0.35">
      <c r="AL7577" s="86"/>
    </row>
    <row r="7578" spans="38:38" x14ac:dyDescent="0.35">
      <c r="AL7578" s="86"/>
    </row>
    <row r="7579" spans="38:38" x14ac:dyDescent="0.35">
      <c r="AL7579" s="86"/>
    </row>
    <row r="7580" spans="38:38" x14ac:dyDescent="0.35">
      <c r="AL7580" s="86"/>
    </row>
    <row r="7581" spans="38:38" x14ac:dyDescent="0.35">
      <c r="AL7581" s="86"/>
    </row>
    <row r="7582" spans="38:38" x14ac:dyDescent="0.35">
      <c r="AL7582" s="86"/>
    </row>
    <row r="7583" spans="38:38" x14ac:dyDescent="0.35">
      <c r="AL7583" s="86"/>
    </row>
    <row r="7584" spans="38:38" x14ac:dyDescent="0.35">
      <c r="AL7584" s="86"/>
    </row>
    <row r="7585" spans="38:38" x14ac:dyDescent="0.35">
      <c r="AL7585" s="86"/>
    </row>
    <row r="7586" spans="38:38" x14ac:dyDescent="0.35">
      <c r="AL7586" s="86"/>
    </row>
    <row r="7587" spans="38:38" x14ac:dyDescent="0.35">
      <c r="AL7587" s="86"/>
    </row>
    <row r="7588" spans="38:38" x14ac:dyDescent="0.35">
      <c r="AL7588" s="86"/>
    </row>
    <row r="7589" spans="38:38" x14ac:dyDescent="0.35">
      <c r="AL7589" s="86"/>
    </row>
    <row r="7590" spans="38:38" x14ac:dyDescent="0.35">
      <c r="AL7590" s="86"/>
    </row>
    <row r="7591" spans="38:38" x14ac:dyDescent="0.35">
      <c r="AL7591" s="86"/>
    </row>
    <row r="7592" spans="38:38" x14ac:dyDescent="0.35">
      <c r="AL7592" s="86"/>
    </row>
    <row r="7593" spans="38:38" x14ac:dyDescent="0.35">
      <c r="AL7593" s="86"/>
    </row>
    <row r="7594" spans="38:38" x14ac:dyDescent="0.35">
      <c r="AL7594" s="86"/>
    </row>
    <row r="7595" spans="38:38" x14ac:dyDescent="0.35">
      <c r="AL7595" s="86"/>
    </row>
    <row r="7596" spans="38:38" x14ac:dyDescent="0.35">
      <c r="AL7596" s="86"/>
    </row>
    <row r="7597" spans="38:38" x14ac:dyDescent="0.35">
      <c r="AL7597" s="86"/>
    </row>
    <row r="7598" spans="38:38" x14ac:dyDescent="0.35">
      <c r="AL7598" s="86"/>
    </row>
    <row r="7599" spans="38:38" x14ac:dyDescent="0.35">
      <c r="AL7599" s="86"/>
    </row>
    <row r="7600" spans="38:38" x14ac:dyDescent="0.35">
      <c r="AL7600" s="86"/>
    </row>
    <row r="7601" spans="38:38" x14ac:dyDescent="0.35">
      <c r="AL7601" s="86"/>
    </row>
    <row r="7602" spans="38:38" x14ac:dyDescent="0.35">
      <c r="AL7602" s="86"/>
    </row>
    <row r="7603" spans="38:38" x14ac:dyDescent="0.35">
      <c r="AL7603" s="86"/>
    </row>
    <row r="7604" spans="38:38" x14ac:dyDescent="0.35">
      <c r="AL7604" s="86"/>
    </row>
    <row r="7605" spans="38:38" x14ac:dyDescent="0.35">
      <c r="AL7605" s="86"/>
    </row>
    <row r="7606" spans="38:38" x14ac:dyDescent="0.35">
      <c r="AL7606" s="86"/>
    </row>
    <row r="7607" spans="38:38" x14ac:dyDescent="0.35">
      <c r="AL7607" s="86"/>
    </row>
    <row r="7608" spans="38:38" x14ac:dyDescent="0.35">
      <c r="AL7608" s="86"/>
    </row>
    <row r="7609" spans="38:38" x14ac:dyDescent="0.35">
      <c r="AL7609" s="86"/>
    </row>
    <row r="7610" spans="38:38" x14ac:dyDescent="0.35">
      <c r="AL7610" s="86"/>
    </row>
    <row r="7611" spans="38:38" x14ac:dyDescent="0.35">
      <c r="AL7611" s="86"/>
    </row>
    <row r="7612" spans="38:38" x14ac:dyDescent="0.35">
      <c r="AL7612" s="86"/>
    </row>
    <row r="7613" spans="38:38" x14ac:dyDescent="0.35">
      <c r="AL7613" s="86"/>
    </row>
    <row r="7614" spans="38:38" x14ac:dyDescent="0.35">
      <c r="AL7614" s="86"/>
    </row>
    <row r="7615" spans="38:38" x14ac:dyDescent="0.35">
      <c r="AL7615" s="86"/>
    </row>
    <row r="7616" spans="38:38" x14ac:dyDescent="0.35">
      <c r="AL7616" s="86"/>
    </row>
    <row r="7617" spans="38:38" x14ac:dyDescent="0.35">
      <c r="AL7617" s="86"/>
    </row>
    <row r="7618" spans="38:38" x14ac:dyDescent="0.35">
      <c r="AL7618" s="86"/>
    </row>
    <row r="7619" spans="38:38" x14ac:dyDescent="0.35">
      <c r="AL7619" s="86"/>
    </row>
    <row r="7620" spans="38:38" x14ac:dyDescent="0.35">
      <c r="AL7620" s="86"/>
    </row>
    <row r="7621" spans="38:38" x14ac:dyDescent="0.35">
      <c r="AL7621" s="86"/>
    </row>
    <row r="7622" spans="38:38" x14ac:dyDescent="0.35">
      <c r="AL7622" s="86"/>
    </row>
    <row r="7623" spans="38:38" x14ac:dyDescent="0.35">
      <c r="AL7623" s="86"/>
    </row>
    <row r="7624" spans="38:38" x14ac:dyDescent="0.35">
      <c r="AL7624" s="86"/>
    </row>
    <row r="7625" spans="38:38" x14ac:dyDescent="0.35">
      <c r="AL7625" s="86"/>
    </row>
    <row r="7626" spans="38:38" x14ac:dyDescent="0.35">
      <c r="AL7626" s="86"/>
    </row>
    <row r="7627" spans="38:38" x14ac:dyDescent="0.35">
      <c r="AL7627" s="86"/>
    </row>
    <row r="7628" spans="38:38" x14ac:dyDescent="0.35">
      <c r="AL7628" s="86"/>
    </row>
    <row r="7629" spans="38:38" x14ac:dyDescent="0.35">
      <c r="AL7629" s="86"/>
    </row>
    <row r="7630" spans="38:38" x14ac:dyDescent="0.35">
      <c r="AL7630" s="86"/>
    </row>
    <row r="7631" spans="38:38" x14ac:dyDescent="0.35">
      <c r="AL7631" s="86"/>
    </row>
    <row r="7632" spans="38:38" x14ac:dyDescent="0.35">
      <c r="AL7632" s="86"/>
    </row>
    <row r="7633" spans="38:38" x14ac:dyDescent="0.35">
      <c r="AL7633" s="86"/>
    </row>
    <row r="7634" spans="38:38" x14ac:dyDescent="0.35">
      <c r="AL7634" s="86"/>
    </row>
    <row r="7635" spans="38:38" x14ac:dyDescent="0.35">
      <c r="AL7635" s="86"/>
    </row>
    <row r="7636" spans="38:38" x14ac:dyDescent="0.35">
      <c r="AL7636" s="86"/>
    </row>
    <row r="7637" spans="38:38" x14ac:dyDescent="0.35">
      <c r="AL7637" s="86"/>
    </row>
    <row r="7638" spans="38:38" x14ac:dyDescent="0.35">
      <c r="AL7638" s="86"/>
    </row>
    <row r="7639" spans="38:38" x14ac:dyDescent="0.35">
      <c r="AL7639" s="86"/>
    </row>
    <row r="7640" spans="38:38" x14ac:dyDescent="0.35">
      <c r="AL7640" s="86"/>
    </row>
    <row r="7641" spans="38:38" x14ac:dyDescent="0.35">
      <c r="AL7641" s="86"/>
    </row>
    <row r="7642" spans="38:38" x14ac:dyDescent="0.35">
      <c r="AL7642" s="86"/>
    </row>
    <row r="7643" spans="38:38" x14ac:dyDescent="0.35">
      <c r="AL7643" s="86"/>
    </row>
    <row r="7644" spans="38:38" x14ac:dyDescent="0.35">
      <c r="AL7644" s="86"/>
    </row>
    <row r="7645" spans="38:38" x14ac:dyDescent="0.35">
      <c r="AL7645" s="86"/>
    </row>
    <row r="7646" spans="38:38" x14ac:dyDescent="0.35">
      <c r="AL7646" s="86"/>
    </row>
    <row r="7647" spans="38:38" x14ac:dyDescent="0.35">
      <c r="AL7647" s="86"/>
    </row>
    <row r="7648" spans="38:38" x14ac:dyDescent="0.35">
      <c r="AL7648" s="86"/>
    </row>
    <row r="7649" spans="38:38" x14ac:dyDescent="0.35">
      <c r="AL7649" s="86"/>
    </row>
    <row r="7650" spans="38:38" x14ac:dyDescent="0.35">
      <c r="AL7650" s="86"/>
    </row>
    <row r="7651" spans="38:38" x14ac:dyDescent="0.35">
      <c r="AL7651" s="86"/>
    </row>
    <row r="7652" spans="38:38" x14ac:dyDescent="0.35">
      <c r="AL7652" s="86"/>
    </row>
    <row r="7653" spans="38:38" x14ac:dyDescent="0.35">
      <c r="AL7653" s="86"/>
    </row>
    <row r="7654" spans="38:38" x14ac:dyDescent="0.35">
      <c r="AL7654" s="86"/>
    </row>
    <row r="7655" spans="38:38" x14ac:dyDescent="0.35">
      <c r="AL7655" s="86"/>
    </row>
    <row r="7656" spans="38:38" x14ac:dyDescent="0.35">
      <c r="AL7656" s="86"/>
    </row>
    <row r="7657" spans="38:38" x14ac:dyDescent="0.35">
      <c r="AL7657" s="86"/>
    </row>
    <row r="7658" spans="38:38" x14ac:dyDescent="0.35">
      <c r="AL7658" s="86"/>
    </row>
    <row r="7659" spans="38:38" x14ac:dyDescent="0.35">
      <c r="AL7659" s="86"/>
    </row>
    <row r="7660" spans="38:38" x14ac:dyDescent="0.35">
      <c r="AL7660" s="86"/>
    </row>
    <row r="7661" spans="38:38" x14ac:dyDescent="0.35">
      <c r="AL7661" s="86"/>
    </row>
    <row r="7662" spans="38:38" x14ac:dyDescent="0.35">
      <c r="AL7662" s="86"/>
    </row>
    <row r="7663" spans="38:38" x14ac:dyDescent="0.35">
      <c r="AL7663" s="86"/>
    </row>
    <row r="7664" spans="38:38" x14ac:dyDescent="0.35">
      <c r="AL7664" s="86"/>
    </row>
    <row r="7665" spans="38:38" x14ac:dyDescent="0.35">
      <c r="AL7665" s="86"/>
    </row>
    <row r="7666" spans="38:38" x14ac:dyDescent="0.35">
      <c r="AL7666" s="86"/>
    </row>
    <row r="7667" spans="38:38" x14ac:dyDescent="0.35">
      <c r="AL7667" s="86"/>
    </row>
    <row r="7668" spans="38:38" x14ac:dyDescent="0.35">
      <c r="AL7668" s="86"/>
    </row>
    <row r="7669" spans="38:38" x14ac:dyDescent="0.35">
      <c r="AL7669" s="86"/>
    </row>
    <row r="7670" spans="38:38" x14ac:dyDescent="0.35">
      <c r="AL7670" s="86"/>
    </row>
    <row r="7671" spans="38:38" x14ac:dyDescent="0.35">
      <c r="AL7671" s="86"/>
    </row>
    <row r="7672" spans="38:38" x14ac:dyDescent="0.35">
      <c r="AL7672" s="86"/>
    </row>
    <row r="7673" spans="38:38" x14ac:dyDescent="0.35">
      <c r="AL7673" s="86"/>
    </row>
    <row r="7674" spans="38:38" x14ac:dyDescent="0.35">
      <c r="AL7674" s="86"/>
    </row>
    <row r="7675" spans="38:38" x14ac:dyDescent="0.35">
      <c r="AL7675" s="86"/>
    </row>
    <row r="7676" spans="38:38" x14ac:dyDescent="0.35">
      <c r="AL7676" s="86"/>
    </row>
    <row r="7677" spans="38:38" x14ac:dyDescent="0.35">
      <c r="AL7677" s="86"/>
    </row>
    <row r="7678" spans="38:38" x14ac:dyDescent="0.35">
      <c r="AL7678" s="86"/>
    </row>
    <row r="7679" spans="38:38" x14ac:dyDescent="0.35">
      <c r="AL7679" s="86"/>
    </row>
    <row r="7680" spans="38:38" x14ac:dyDescent="0.35">
      <c r="AL7680" s="86"/>
    </row>
    <row r="7681" spans="38:38" x14ac:dyDescent="0.35">
      <c r="AL7681" s="86"/>
    </row>
    <row r="7682" spans="38:38" x14ac:dyDescent="0.35">
      <c r="AL7682" s="86"/>
    </row>
    <row r="7683" spans="38:38" x14ac:dyDescent="0.35">
      <c r="AL7683" s="86"/>
    </row>
    <row r="7684" spans="38:38" x14ac:dyDescent="0.35">
      <c r="AL7684" s="86"/>
    </row>
    <row r="7685" spans="38:38" x14ac:dyDescent="0.35">
      <c r="AL7685" s="86"/>
    </row>
    <row r="7686" spans="38:38" x14ac:dyDescent="0.35">
      <c r="AL7686" s="86"/>
    </row>
    <row r="7687" spans="38:38" x14ac:dyDescent="0.35">
      <c r="AL7687" s="86"/>
    </row>
    <row r="7688" spans="38:38" x14ac:dyDescent="0.35">
      <c r="AL7688" s="86"/>
    </row>
    <row r="7689" spans="38:38" x14ac:dyDescent="0.35">
      <c r="AL7689" s="86"/>
    </row>
    <row r="7690" spans="38:38" x14ac:dyDescent="0.35">
      <c r="AL7690" s="86"/>
    </row>
    <row r="7691" spans="38:38" x14ac:dyDescent="0.35">
      <c r="AL7691" s="86"/>
    </row>
    <row r="7692" spans="38:38" x14ac:dyDescent="0.35">
      <c r="AL7692" s="86"/>
    </row>
    <row r="7693" spans="38:38" x14ac:dyDescent="0.35">
      <c r="AL7693" s="86"/>
    </row>
    <row r="7694" spans="38:38" x14ac:dyDescent="0.35">
      <c r="AL7694" s="86"/>
    </row>
    <row r="7695" spans="38:38" x14ac:dyDescent="0.35">
      <c r="AL7695" s="86"/>
    </row>
    <row r="7696" spans="38:38" x14ac:dyDescent="0.35">
      <c r="AL7696" s="86"/>
    </row>
    <row r="7697" spans="38:38" x14ac:dyDescent="0.35">
      <c r="AL7697" s="86"/>
    </row>
    <row r="7698" spans="38:38" x14ac:dyDescent="0.35">
      <c r="AL7698" s="86"/>
    </row>
    <row r="7699" spans="38:38" x14ac:dyDescent="0.35">
      <c r="AL7699" s="86"/>
    </row>
    <row r="7700" spans="38:38" x14ac:dyDescent="0.35">
      <c r="AL7700" s="86"/>
    </row>
    <row r="7701" spans="38:38" x14ac:dyDescent="0.35">
      <c r="AL7701" s="86"/>
    </row>
    <row r="7702" spans="38:38" x14ac:dyDescent="0.35">
      <c r="AL7702" s="86"/>
    </row>
    <row r="7703" spans="38:38" x14ac:dyDescent="0.35">
      <c r="AL7703" s="86"/>
    </row>
    <row r="7704" spans="38:38" x14ac:dyDescent="0.35">
      <c r="AL7704" s="86"/>
    </row>
    <row r="7705" spans="38:38" x14ac:dyDescent="0.35">
      <c r="AL7705" s="86"/>
    </row>
    <row r="7706" spans="38:38" x14ac:dyDescent="0.35">
      <c r="AL7706" s="86"/>
    </row>
    <row r="7707" spans="38:38" x14ac:dyDescent="0.35">
      <c r="AL7707" s="86"/>
    </row>
    <row r="7708" spans="38:38" x14ac:dyDescent="0.35">
      <c r="AL7708" s="86"/>
    </row>
    <row r="7709" spans="38:38" x14ac:dyDescent="0.35">
      <c r="AL7709" s="86"/>
    </row>
    <row r="7710" spans="38:38" x14ac:dyDescent="0.35">
      <c r="AL7710" s="86"/>
    </row>
    <row r="7711" spans="38:38" x14ac:dyDescent="0.35">
      <c r="AL7711" s="86"/>
    </row>
    <row r="7712" spans="38:38" x14ac:dyDescent="0.35">
      <c r="AL7712" s="86"/>
    </row>
    <row r="7713" spans="38:38" x14ac:dyDescent="0.35">
      <c r="AL7713" s="86"/>
    </row>
    <row r="7714" spans="38:38" x14ac:dyDescent="0.35">
      <c r="AL7714" s="86"/>
    </row>
    <row r="7715" spans="38:38" x14ac:dyDescent="0.35">
      <c r="AL7715" s="86"/>
    </row>
    <row r="7716" spans="38:38" x14ac:dyDescent="0.35">
      <c r="AL7716" s="86"/>
    </row>
    <row r="7717" spans="38:38" x14ac:dyDescent="0.35">
      <c r="AL7717" s="86"/>
    </row>
    <row r="7718" spans="38:38" x14ac:dyDescent="0.35">
      <c r="AL7718" s="86"/>
    </row>
    <row r="7719" spans="38:38" x14ac:dyDescent="0.35">
      <c r="AL7719" s="86"/>
    </row>
    <row r="7720" spans="38:38" x14ac:dyDescent="0.35">
      <c r="AL7720" s="86"/>
    </row>
    <row r="7721" spans="38:38" x14ac:dyDescent="0.35">
      <c r="AL7721" s="86"/>
    </row>
    <row r="7722" spans="38:38" x14ac:dyDescent="0.35">
      <c r="AL7722" s="86"/>
    </row>
    <row r="7723" spans="38:38" x14ac:dyDescent="0.35">
      <c r="AL7723" s="86"/>
    </row>
    <row r="7724" spans="38:38" x14ac:dyDescent="0.35">
      <c r="AL7724" s="86"/>
    </row>
    <row r="7725" spans="38:38" x14ac:dyDescent="0.35">
      <c r="AL7725" s="86"/>
    </row>
    <row r="7726" spans="38:38" x14ac:dyDescent="0.35">
      <c r="AL7726" s="86"/>
    </row>
    <row r="7727" spans="38:38" x14ac:dyDescent="0.35">
      <c r="AL7727" s="86"/>
    </row>
    <row r="7728" spans="38:38" x14ac:dyDescent="0.35">
      <c r="AL7728" s="86"/>
    </row>
    <row r="7729" spans="38:38" x14ac:dyDescent="0.35">
      <c r="AL7729" s="86"/>
    </row>
    <row r="7730" spans="38:38" x14ac:dyDescent="0.35">
      <c r="AL7730" s="86"/>
    </row>
    <row r="7731" spans="38:38" x14ac:dyDescent="0.35">
      <c r="AL7731" s="86"/>
    </row>
    <row r="7732" spans="38:38" x14ac:dyDescent="0.35">
      <c r="AL7732" s="86"/>
    </row>
    <row r="7733" spans="38:38" x14ac:dyDescent="0.35">
      <c r="AL7733" s="86"/>
    </row>
    <row r="7734" spans="38:38" x14ac:dyDescent="0.35">
      <c r="AL7734" s="86"/>
    </row>
    <row r="7735" spans="38:38" x14ac:dyDescent="0.35">
      <c r="AL7735" s="86"/>
    </row>
    <row r="7736" spans="38:38" x14ac:dyDescent="0.35">
      <c r="AL7736" s="86"/>
    </row>
    <row r="7737" spans="38:38" x14ac:dyDescent="0.35">
      <c r="AL7737" s="86"/>
    </row>
    <row r="7738" spans="38:38" x14ac:dyDescent="0.35">
      <c r="AL7738" s="86"/>
    </row>
    <row r="7739" spans="38:38" x14ac:dyDescent="0.35">
      <c r="AL7739" s="86"/>
    </row>
    <row r="7740" spans="38:38" x14ac:dyDescent="0.35">
      <c r="AL7740" s="86"/>
    </row>
    <row r="7741" spans="38:38" x14ac:dyDescent="0.35">
      <c r="AL7741" s="86"/>
    </row>
    <row r="7742" spans="38:38" x14ac:dyDescent="0.35">
      <c r="AL7742" s="86"/>
    </row>
    <row r="7743" spans="38:38" x14ac:dyDescent="0.35">
      <c r="AL7743" s="86"/>
    </row>
    <row r="7744" spans="38:38" x14ac:dyDescent="0.35">
      <c r="AL7744" s="86"/>
    </row>
    <row r="7745" spans="38:38" x14ac:dyDescent="0.35">
      <c r="AL7745" s="86"/>
    </row>
    <row r="7746" spans="38:38" x14ac:dyDescent="0.35">
      <c r="AL7746" s="86"/>
    </row>
    <row r="7747" spans="38:38" x14ac:dyDescent="0.35">
      <c r="AL7747" s="86"/>
    </row>
    <row r="7748" spans="38:38" x14ac:dyDescent="0.35">
      <c r="AL7748" s="86"/>
    </row>
    <row r="7749" spans="38:38" x14ac:dyDescent="0.35">
      <c r="AL7749" s="86"/>
    </row>
    <row r="7750" spans="38:38" x14ac:dyDescent="0.35">
      <c r="AL7750" s="86"/>
    </row>
    <row r="7751" spans="38:38" x14ac:dyDescent="0.35">
      <c r="AL7751" s="86"/>
    </row>
    <row r="7752" spans="38:38" x14ac:dyDescent="0.35">
      <c r="AL7752" s="86"/>
    </row>
    <row r="7753" spans="38:38" x14ac:dyDescent="0.35">
      <c r="AL7753" s="86"/>
    </row>
    <row r="7754" spans="38:38" x14ac:dyDescent="0.35">
      <c r="AL7754" s="86"/>
    </row>
    <row r="7755" spans="38:38" x14ac:dyDescent="0.35">
      <c r="AL7755" s="86"/>
    </row>
    <row r="7756" spans="38:38" x14ac:dyDescent="0.35">
      <c r="AL7756" s="86"/>
    </row>
    <row r="7757" spans="38:38" x14ac:dyDescent="0.35">
      <c r="AL7757" s="86"/>
    </row>
    <row r="7758" spans="38:38" x14ac:dyDescent="0.35">
      <c r="AL7758" s="86"/>
    </row>
    <row r="7759" spans="38:38" x14ac:dyDescent="0.35">
      <c r="AL7759" s="86"/>
    </row>
    <row r="7760" spans="38:38" x14ac:dyDescent="0.35">
      <c r="AL7760" s="86"/>
    </row>
    <row r="7761" spans="38:38" x14ac:dyDescent="0.35">
      <c r="AL7761" s="86"/>
    </row>
    <row r="7762" spans="38:38" x14ac:dyDescent="0.35">
      <c r="AL7762" s="86"/>
    </row>
    <row r="7763" spans="38:38" x14ac:dyDescent="0.35">
      <c r="AL7763" s="86"/>
    </row>
    <row r="7764" spans="38:38" x14ac:dyDescent="0.35">
      <c r="AL7764" s="86"/>
    </row>
    <row r="7765" spans="38:38" x14ac:dyDescent="0.35">
      <c r="AL7765" s="86"/>
    </row>
    <row r="7766" spans="38:38" x14ac:dyDescent="0.35">
      <c r="AL7766" s="86"/>
    </row>
    <row r="7767" spans="38:38" x14ac:dyDescent="0.35">
      <c r="AL7767" s="86"/>
    </row>
    <row r="7768" spans="38:38" x14ac:dyDescent="0.35">
      <c r="AL7768" s="86"/>
    </row>
    <row r="7769" spans="38:38" x14ac:dyDescent="0.35">
      <c r="AL7769" s="86"/>
    </row>
    <row r="7770" spans="38:38" x14ac:dyDescent="0.35">
      <c r="AL7770" s="86"/>
    </row>
    <row r="7771" spans="38:38" x14ac:dyDescent="0.35">
      <c r="AL7771" s="86"/>
    </row>
    <row r="7772" spans="38:38" x14ac:dyDescent="0.35">
      <c r="AL7772" s="86"/>
    </row>
    <row r="7773" spans="38:38" x14ac:dyDescent="0.35">
      <c r="AL7773" s="86"/>
    </row>
    <row r="7774" spans="38:38" x14ac:dyDescent="0.35">
      <c r="AL7774" s="86"/>
    </row>
    <row r="7775" spans="38:38" x14ac:dyDescent="0.35">
      <c r="AL7775" s="86"/>
    </row>
    <row r="7776" spans="38:38" x14ac:dyDescent="0.35">
      <c r="AL7776" s="86"/>
    </row>
    <row r="7777" spans="38:38" x14ac:dyDescent="0.35">
      <c r="AL7777" s="86"/>
    </row>
    <row r="7778" spans="38:38" x14ac:dyDescent="0.35">
      <c r="AL7778" s="86"/>
    </row>
    <row r="7779" spans="38:38" x14ac:dyDescent="0.35">
      <c r="AL7779" s="86"/>
    </row>
    <row r="7780" spans="38:38" x14ac:dyDescent="0.35">
      <c r="AL7780" s="86"/>
    </row>
    <row r="7781" spans="38:38" x14ac:dyDescent="0.35">
      <c r="AL7781" s="86"/>
    </row>
    <row r="7782" spans="38:38" x14ac:dyDescent="0.35">
      <c r="AL7782" s="86"/>
    </row>
    <row r="7783" spans="38:38" x14ac:dyDescent="0.35">
      <c r="AL7783" s="86"/>
    </row>
    <row r="7784" spans="38:38" x14ac:dyDescent="0.35">
      <c r="AL7784" s="86"/>
    </row>
    <row r="7785" spans="38:38" x14ac:dyDescent="0.35">
      <c r="AL7785" s="86"/>
    </row>
    <row r="7786" spans="38:38" x14ac:dyDescent="0.35">
      <c r="AL7786" s="86"/>
    </row>
    <row r="7787" spans="38:38" x14ac:dyDescent="0.35">
      <c r="AL7787" s="86"/>
    </row>
    <row r="7788" spans="38:38" x14ac:dyDescent="0.35">
      <c r="AL7788" s="86"/>
    </row>
    <row r="7789" spans="38:38" x14ac:dyDescent="0.35">
      <c r="AL7789" s="86"/>
    </row>
    <row r="7790" spans="38:38" x14ac:dyDescent="0.35">
      <c r="AL7790" s="86"/>
    </row>
    <row r="7791" spans="38:38" x14ac:dyDescent="0.35">
      <c r="AL7791" s="86"/>
    </row>
    <row r="7792" spans="38:38" x14ac:dyDescent="0.35">
      <c r="AL7792" s="86"/>
    </row>
    <row r="7793" spans="38:38" x14ac:dyDescent="0.35">
      <c r="AL7793" s="86"/>
    </row>
    <row r="7794" spans="38:38" x14ac:dyDescent="0.35">
      <c r="AL7794" s="86"/>
    </row>
    <row r="7795" spans="38:38" x14ac:dyDescent="0.35">
      <c r="AL7795" s="86"/>
    </row>
    <row r="7796" spans="38:38" x14ac:dyDescent="0.35">
      <c r="AL7796" s="86"/>
    </row>
    <row r="7797" spans="38:38" x14ac:dyDescent="0.35">
      <c r="AL7797" s="86"/>
    </row>
    <row r="7798" spans="38:38" x14ac:dyDescent="0.35">
      <c r="AL7798" s="86"/>
    </row>
    <row r="7799" spans="38:38" x14ac:dyDescent="0.35">
      <c r="AL7799" s="86"/>
    </row>
    <row r="7800" spans="38:38" x14ac:dyDescent="0.35">
      <c r="AL7800" s="86"/>
    </row>
    <row r="7801" spans="38:38" x14ac:dyDescent="0.35">
      <c r="AL7801" s="86"/>
    </row>
    <row r="7802" spans="38:38" x14ac:dyDescent="0.35">
      <c r="AL7802" s="86"/>
    </row>
    <row r="7803" spans="38:38" x14ac:dyDescent="0.35">
      <c r="AL7803" s="86"/>
    </row>
    <row r="7804" spans="38:38" x14ac:dyDescent="0.35">
      <c r="AL7804" s="86"/>
    </row>
    <row r="7805" spans="38:38" x14ac:dyDescent="0.35">
      <c r="AL7805" s="86"/>
    </row>
    <row r="7806" spans="38:38" x14ac:dyDescent="0.35">
      <c r="AL7806" s="86"/>
    </row>
    <row r="7807" spans="38:38" x14ac:dyDescent="0.35">
      <c r="AL7807" s="86"/>
    </row>
    <row r="7808" spans="38:38" x14ac:dyDescent="0.35">
      <c r="AL7808" s="86"/>
    </row>
    <row r="7809" spans="38:38" x14ac:dyDescent="0.35">
      <c r="AL7809" s="86"/>
    </row>
    <row r="7810" spans="38:38" x14ac:dyDescent="0.35">
      <c r="AL7810" s="86"/>
    </row>
    <row r="7811" spans="38:38" x14ac:dyDescent="0.35">
      <c r="AL7811" s="86"/>
    </row>
    <row r="7812" spans="38:38" x14ac:dyDescent="0.35">
      <c r="AL7812" s="86"/>
    </row>
    <row r="7813" spans="38:38" x14ac:dyDescent="0.35">
      <c r="AL7813" s="86"/>
    </row>
    <row r="7814" spans="38:38" x14ac:dyDescent="0.35">
      <c r="AL7814" s="86"/>
    </row>
    <row r="7815" spans="38:38" x14ac:dyDescent="0.35">
      <c r="AL7815" s="86"/>
    </row>
    <row r="7816" spans="38:38" x14ac:dyDescent="0.35">
      <c r="AL7816" s="86"/>
    </row>
    <row r="7817" spans="38:38" x14ac:dyDescent="0.35">
      <c r="AL7817" s="86"/>
    </row>
    <row r="7818" spans="38:38" x14ac:dyDescent="0.35">
      <c r="AL7818" s="86"/>
    </row>
    <row r="7819" spans="38:38" x14ac:dyDescent="0.35">
      <c r="AL7819" s="86"/>
    </row>
    <row r="7820" spans="38:38" x14ac:dyDescent="0.35">
      <c r="AL7820" s="86"/>
    </row>
    <row r="7821" spans="38:38" x14ac:dyDescent="0.35">
      <c r="AL7821" s="86"/>
    </row>
    <row r="7822" spans="38:38" x14ac:dyDescent="0.35">
      <c r="AL7822" s="86"/>
    </row>
    <row r="7823" spans="38:38" x14ac:dyDescent="0.35">
      <c r="AL7823" s="86"/>
    </row>
    <row r="7824" spans="38:38" x14ac:dyDescent="0.35">
      <c r="AL7824" s="86"/>
    </row>
    <row r="7825" spans="38:38" x14ac:dyDescent="0.35">
      <c r="AL7825" s="86"/>
    </row>
    <row r="7826" spans="38:38" x14ac:dyDescent="0.35">
      <c r="AL7826" s="86"/>
    </row>
    <row r="7827" spans="38:38" x14ac:dyDescent="0.35">
      <c r="AL7827" s="86"/>
    </row>
    <row r="7828" spans="38:38" x14ac:dyDescent="0.35">
      <c r="AL7828" s="86"/>
    </row>
    <row r="7829" spans="38:38" x14ac:dyDescent="0.35">
      <c r="AL7829" s="86"/>
    </row>
    <row r="7830" spans="38:38" x14ac:dyDescent="0.35">
      <c r="AL7830" s="86"/>
    </row>
    <row r="7831" spans="38:38" x14ac:dyDescent="0.35">
      <c r="AL7831" s="86"/>
    </row>
    <row r="7832" spans="38:38" x14ac:dyDescent="0.35">
      <c r="AL7832" s="86"/>
    </row>
    <row r="7833" spans="38:38" x14ac:dyDescent="0.35">
      <c r="AL7833" s="86"/>
    </row>
    <row r="7834" spans="38:38" x14ac:dyDescent="0.35">
      <c r="AL7834" s="86"/>
    </row>
    <row r="7835" spans="38:38" x14ac:dyDescent="0.35">
      <c r="AL7835" s="86"/>
    </row>
    <row r="7836" spans="38:38" x14ac:dyDescent="0.35">
      <c r="AL7836" s="86"/>
    </row>
    <row r="7837" spans="38:38" x14ac:dyDescent="0.35">
      <c r="AL7837" s="86"/>
    </row>
    <row r="7838" spans="38:38" x14ac:dyDescent="0.35">
      <c r="AL7838" s="86"/>
    </row>
    <row r="7839" spans="38:38" x14ac:dyDescent="0.35">
      <c r="AL7839" s="86"/>
    </row>
    <row r="7840" spans="38:38" x14ac:dyDescent="0.35">
      <c r="AL7840" s="86"/>
    </row>
    <row r="7841" spans="38:38" x14ac:dyDescent="0.35">
      <c r="AL7841" s="86"/>
    </row>
    <row r="7842" spans="38:38" x14ac:dyDescent="0.35">
      <c r="AL7842" s="86"/>
    </row>
    <row r="7843" spans="38:38" x14ac:dyDescent="0.35">
      <c r="AL7843" s="86"/>
    </row>
    <row r="7844" spans="38:38" x14ac:dyDescent="0.35">
      <c r="AL7844" s="86"/>
    </row>
    <row r="7845" spans="38:38" x14ac:dyDescent="0.35">
      <c r="AL7845" s="86"/>
    </row>
    <row r="7846" spans="38:38" x14ac:dyDescent="0.35">
      <c r="AL7846" s="86"/>
    </row>
    <row r="7847" spans="38:38" x14ac:dyDescent="0.35">
      <c r="AL7847" s="86"/>
    </row>
    <row r="7848" spans="38:38" x14ac:dyDescent="0.35">
      <c r="AL7848" s="86"/>
    </row>
    <row r="7849" spans="38:38" x14ac:dyDescent="0.35">
      <c r="AL7849" s="86"/>
    </row>
    <row r="7850" spans="38:38" x14ac:dyDescent="0.35">
      <c r="AL7850" s="86"/>
    </row>
    <row r="7851" spans="38:38" x14ac:dyDescent="0.35">
      <c r="AL7851" s="86"/>
    </row>
    <row r="7852" spans="38:38" x14ac:dyDescent="0.35">
      <c r="AL7852" s="86"/>
    </row>
    <row r="7853" spans="38:38" x14ac:dyDescent="0.35">
      <c r="AL7853" s="86"/>
    </row>
    <row r="7854" spans="38:38" x14ac:dyDescent="0.35">
      <c r="AL7854" s="86"/>
    </row>
    <row r="7855" spans="38:38" x14ac:dyDescent="0.35">
      <c r="AL7855" s="86"/>
    </row>
    <row r="7856" spans="38:38" x14ac:dyDescent="0.35">
      <c r="AL7856" s="86"/>
    </row>
    <row r="7857" spans="38:38" x14ac:dyDescent="0.35">
      <c r="AL7857" s="86"/>
    </row>
    <row r="7858" spans="38:38" x14ac:dyDescent="0.35">
      <c r="AL7858" s="86"/>
    </row>
    <row r="7859" spans="38:38" x14ac:dyDescent="0.35">
      <c r="AL7859" s="86"/>
    </row>
    <row r="7860" spans="38:38" x14ac:dyDescent="0.35">
      <c r="AL7860" s="86"/>
    </row>
    <row r="7861" spans="38:38" x14ac:dyDescent="0.35">
      <c r="AL7861" s="86"/>
    </row>
    <row r="7862" spans="38:38" x14ac:dyDescent="0.35">
      <c r="AL7862" s="86"/>
    </row>
    <row r="7863" spans="38:38" x14ac:dyDescent="0.35">
      <c r="AL7863" s="86"/>
    </row>
    <row r="7864" spans="38:38" x14ac:dyDescent="0.35">
      <c r="AL7864" s="86"/>
    </row>
    <row r="7865" spans="38:38" x14ac:dyDescent="0.35">
      <c r="AL7865" s="86"/>
    </row>
    <row r="7866" spans="38:38" x14ac:dyDescent="0.35">
      <c r="AL7866" s="86"/>
    </row>
    <row r="7867" spans="38:38" x14ac:dyDescent="0.35">
      <c r="AL7867" s="86"/>
    </row>
    <row r="7868" spans="38:38" x14ac:dyDescent="0.35">
      <c r="AL7868" s="86"/>
    </row>
    <row r="7869" spans="38:38" x14ac:dyDescent="0.35">
      <c r="AL7869" s="86"/>
    </row>
    <row r="7870" spans="38:38" x14ac:dyDescent="0.35">
      <c r="AL7870" s="86"/>
    </row>
    <row r="7871" spans="38:38" x14ac:dyDescent="0.35">
      <c r="AL7871" s="86"/>
    </row>
    <row r="7872" spans="38:38" x14ac:dyDescent="0.35">
      <c r="AL7872" s="86"/>
    </row>
    <row r="7873" spans="38:38" x14ac:dyDescent="0.35">
      <c r="AL7873" s="86"/>
    </row>
    <row r="7874" spans="38:38" x14ac:dyDescent="0.35">
      <c r="AL7874" s="86"/>
    </row>
    <row r="7875" spans="38:38" x14ac:dyDescent="0.35">
      <c r="AL7875" s="86"/>
    </row>
    <row r="7876" spans="38:38" x14ac:dyDescent="0.35">
      <c r="AL7876" s="86"/>
    </row>
    <row r="7877" spans="38:38" x14ac:dyDescent="0.35">
      <c r="AL7877" s="86"/>
    </row>
    <row r="7878" spans="38:38" x14ac:dyDescent="0.35">
      <c r="AL7878" s="86"/>
    </row>
    <row r="7879" spans="38:38" x14ac:dyDescent="0.35">
      <c r="AL7879" s="86"/>
    </row>
    <row r="7880" spans="38:38" x14ac:dyDescent="0.35">
      <c r="AL7880" s="86"/>
    </row>
    <row r="7881" spans="38:38" x14ac:dyDescent="0.35">
      <c r="AL7881" s="86"/>
    </row>
    <row r="7882" spans="38:38" x14ac:dyDescent="0.35">
      <c r="AL7882" s="86"/>
    </row>
    <row r="7883" spans="38:38" x14ac:dyDescent="0.35">
      <c r="AL7883" s="86"/>
    </row>
    <row r="7884" spans="38:38" x14ac:dyDescent="0.35">
      <c r="AL7884" s="86"/>
    </row>
    <row r="7885" spans="38:38" x14ac:dyDescent="0.35">
      <c r="AL7885" s="86"/>
    </row>
    <row r="7886" spans="38:38" x14ac:dyDescent="0.35">
      <c r="AL7886" s="86"/>
    </row>
    <row r="7887" spans="38:38" x14ac:dyDescent="0.35">
      <c r="AL7887" s="86"/>
    </row>
    <row r="7888" spans="38:38" x14ac:dyDescent="0.35">
      <c r="AL7888" s="86"/>
    </row>
    <row r="7889" spans="38:38" x14ac:dyDescent="0.35">
      <c r="AL7889" s="86"/>
    </row>
    <row r="7890" spans="38:38" x14ac:dyDescent="0.35">
      <c r="AL7890" s="86"/>
    </row>
    <row r="7891" spans="38:38" x14ac:dyDescent="0.35">
      <c r="AL7891" s="86"/>
    </row>
    <row r="7892" spans="38:38" x14ac:dyDescent="0.35">
      <c r="AL7892" s="86"/>
    </row>
    <row r="7893" spans="38:38" x14ac:dyDescent="0.35">
      <c r="AL7893" s="86"/>
    </row>
    <row r="7894" spans="38:38" x14ac:dyDescent="0.35">
      <c r="AL7894" s="86"/>
    </row>
    <row r="7895" spans="38:38" x14ac:dyDescent="0.35">
      <c r="AL7895" s="86"/>
    </row>
    <row r="7896" spans="38:38" x14ac:dyDescent="0.35">
      <c r="AL7896" s="86"/>
    </row>
    <row r="7897" spans="38:38" x14ac:dyDescent="0.35">
      <c r="AL7897" s="86"/>
    </row>
    <row r="7898" spans="38:38" x14ac:dyDescent="0.35">
      <c r="AL7898" s="86"/>
    </row>
    <row r="7899" spans="38:38" x14ac:dyDescent="0.35">
      <c r="AL7899" s="86"/>
    </row>
    <row r="7900" spans="38:38" x14ac:dyDescent="0.35">
      <c r="AL7900" s="86"/>
    </row>
    <row r="7901" spans="38:38" x14ac:dyDescent="0.35">
      <c r="AL7901" s="86"/>
    </row>
    <row r="7902" spans="38:38" x14ac:dyDescent="0.35">
      <c r="AL7902" s="86"/>
    </row>
    <row r="7903" spans="38:38" x14ac:dyDescent="0.35">
      <c r="AL7903" s="86"/>
    </row>
    <row r="7904" spans="38:38" x14ac:dyDescent="0.35">
      <c r="AL7904" s="86"/>
    </row>
    <row r="7905" spans="38:38" x14ac:dyDescent="0.35">
      <c r="AL7905" s="86"/>
    </row>
    <row r="7906" spans="38:38" x14ac:dyDescent="0.35">
      <c r="AL7906" s="86"/>
    </row>
    <row r="7907" spans="38:38" x14ac:dyDescent="0.35">
      <c r="AL7907" s="86"/>
    </row>
    <row r="7908" spans="38:38" x14ac:dyDescent="0.35">
      <c r="AL7908" s="86"/>
    </row>
    <row r="7909" spans="38:38" x14ac:dyDescent="0.35">
      <c r="AL7909" s="86"/>
    </row>
    <row r="7910" spans="38:38" x14ac:dyDescent="0.35">
      <c r="AL7910" s="86"/>
    </row>
    <row r="7911" spans="38:38" x14ac:dyDescent="0.35">
      <c r="AL7911" s="86"/>
    </row>
    <row r="7912" spans="38:38" x14ac:dyDescent="0.35">
      <c r="AL7912" s="86"/>
    </row>
    <row r="7913" spans="38:38" x14ac:dyDescent="0.35">
      <c r="AL7913" s="86"/>
    </row>
    <row r="7914" spans="38:38" x14ac:dyDescent="0.35">
      <c r="AL7914" s="86"/>
    </row>
    <row r="7915" spans="38:38" x14ac:dyDescent="0.35">
      <c r="AL7915" s="86"/>
    </row>
    <row r="7916" spans="38:38" x14ac:dyDescent="0.35">
      <c r="AL7916" s="86"/>
    </row>
    <row r="7917" spans="38:38" x14ac:dyDescent="0.35">
      <c r="AL7917" s="86"/>
    </row>
    <row r="7918" spans="38:38" x14ac:dyDescent="0.35">
      <c r="AL7918" s="86"/>
    </row>
    <row r="7919" spans="38:38" x14ac:dyDescent="0.35">
      <c r="AL7919" s="86"/>
    </row>
    <row r="7920" spans="38:38" x14ac:dyDescent="0.35">
      <c r="AL7920" s="86"/>
    </row>
    <row r="7921" spans="38:38" x14ac:dyDescent="0.35">
      <c r="AL7921" s="86"/>
    </row>
    <row r="7922" spans="38:38" x14ac:dyDescent="0.35">
      <c r="AL7922" s="86"/>
    </row>
    <row r="7923" spans="38:38" x14ac:dyDescent="0.35">
      <c r="AL7923" s="86"/>
    </row>
    <row r="7924" spans="38:38" x14ac:dyDescent="0.35">
      <c r="AL7924" s="86"/>
    </row>
    <row r="7925" spans="38:38" x14ac:dyDescent="0.35">
      <c r="AL7925" s="86"/>
    </row>
    <row r="7926" spans="38:38" x14ac:dyDescent="0.35">
      <c r="AL7926" s="86"/>
    </row>
    <row r="7927" spans="38:38" x14ac:dyDescent="0.35">
      <c r="AL7927" s="86"/>
    </row>
    <row r="7928" spans="38:38" x14ac:dyDescent="0.35">
      <c r="AL7928" s="86"/>
    </row>
    <row r="7929" spans="38:38" x14ac:dyDescent="0.35">
      <c r="AL7929" s="86"/>
    </row>
    <row r="7930" spans="38:38" x14ac:dyDescent="0.35">
      <c r="AL7930" s="86"/>
    </row>
    <row r="7931" spans="38:38" x14ac:dyDescent="0.35">
      <c r="AL7931" s="86"/>
    </row>
    <row r="7932" spans="38:38" x14ac:dyDescent="0.35">
      <c r="AL7932" s="86"/>
    </row>
    <row r="7933" spans="38:38" x14ac:dyDescent="0.35">
      <c r="AL7933" s="86"/>
    </row>
    <row r="7934" spans="38:38" x14ac:dyDescent="0.35">
      <c r="AL7934" s="86"/>
    </row>
    <row r="7935" spans="38:38" x14ac:dyDescent="0.35">
      <c r="AL7935" s="86"/>
    </row>
    <row r="7936" spans="38:38" x14ac:dyDescent="0.35">
      <c r="AL7936" s="86"/>
    </row>
    <row r="7937" spans="38:38" x14ac:dyDescent="0.35">
      <c r="AL7937" s="86"/>
    </row>
    <row r="7938" spans="38:38" x14ac:dyDescent="0.35">
      <c r="AL7938" s="86"/>
    </row>
    <row r="7939" spans="38:38" x14ac:dyDescent="0.35">
      <c r="AL7939" s="86"/>
    </row>
    <row r="7940" spans="38:38" x14ac:dyDescent="0.35">
      <c r="AL7940" s="86"/>
    </row>
    <row r="7941" spans="38:38" x14ac:dyDescent="0.35">
      <c r="AL7941" s="86"/>
    </row>
    <row r="7942" spans="38:38" x14ac:dyDescent="0.35">
      <c r="AL7942" s="86"/>
    </row>
    <row r="7943" spans="38:38" x14ac:dyDescent="0.35">
      <c r="AL7943" s="86"/>
    </row>
    <row r="7944" spans="38:38" x14ac:dyDescent="0.35">
      <c r="AL7944" s="86"/>
    </row>
    <row r="7945" spans="38:38" x14ac:dyDescent="0.35">
      <c r="AL7945" s="86"/>
    </row>
    <row r="7946" spans="38:38" x14ac:dyDescent="0.35">
      <c r="AL7946" s="86"/>
    </row>
    <row r="7947" spans="38:38" x14ac:dyDescent="0.35">
      <c r="AL7947" s="86"/>
    </row>
    <row r="7948" spans="38:38" x14ac:dyDescent="0.35">
      <c r="AL7948" s="86"/>
    </row>
    <row r="7949" spans="38:38" x14ac:dyDescent="0.35">
      <c r="AL7949" s="86"/>
    </row>
    <row r="7950" spans="38:38" x14ac:dyDescent="0.35">
      <c r="AL7950" s="86"/>
    </row>
    <row r="7951" spans="38:38" x14ac:dyDescent="0.35">
      <c r="AL7951" s="86"/>
    </row>
    <row r="7952" spans="38:38" x14ac:dyDescent="0.35">
      <c r="AL7952" s="86"/>
    </row>
    <row r="7953" spans="38:38" x14ac:dyDescent="0.35">
      <c r="AL7953" s="86"/>
    </row>
    <row r="7954" spans="38:38" x14ac:dyDescent="0.35">
      <c r="AL7954" s="86"/>
    </row>
    <row r="7955" spans="38:38" x14ac:dyDescent="0.35">
      <c r="AL7955" s="86"/>
    </row>
    <row r="7956" spans="38:38" x14ac:dyDescent="0.35">
      <c r="AL7956" s="86"/>
    </row>
    <row r="7957" spans="38:38" x14ac:dyDescent="0.35">
      <c r="AL7957" s="86"/>
    </row>
    <row r="7958" spans="38:38" x14ac:dyDescent="0.35">
      <c r="AL7958" s="86"/>
    </row>
    <row r="7959" spans="38:38" x14ac:dyDescent="0.35">
      <c r="AL7959" s="86"/>
    </row>
    <row r="7960" spans="38:38" x14ac:dyDescent="0.35">
      <c r="AL7960" s="86"/>
    </row>
    <row r="7961" spans="38:38" x14ac:dyDescent="0.35">
      <c r="AL7961" s="86"/>
    </row>
    <row r="7962" spans="38:38" x14ac:dyDescent="0.35">
      <c r="AL7962" s="86"/>
    </row>
    <row r="7963" spans="38:38" x14ac:dyDescent="0.35">
      <c r="AL7963" s="86"/>
    </row>
    <row r="7964" spans="38:38" x14ac:dyDescent="0.35">
      <c r="AL7964" s="86"/>
    </row>
    <row r="7965" spans="38:38" x14ac:dyDescent="0.35">
      <c r="AL7965" s="86"/>
    </row>
    <row r="7966" spans="38:38" x14ac:dyDescent="0.35">
      <c r="AL7966" s="86"/>
    </row>
    <row r="7967" spans="38:38" x14ac:dyDescent="0.35">
      <c r="AL7967" s="86"/>
    </row>
    <row r="7968" spans="38:38" x14ac:dyDescent="0.35">
      <c r="AL7968" s="86"/>
    </row>
    <row r="7969" spans="38:38" x14ac:dyDescent="0.35">
      <c r="AL7969" s="86"/>
    </row>
    <row r="7970" spans="38:38" x14ac:dyDescent="0.35">
      <c r="AL7970" s="86"/>
    </row>
    <row r="7971" spans="38:38" x14ac:dyDescent="0.35">
      <c r="AL7971" s="86"/>
    </row>
    <row r="7972" spans="38:38" x14ac:dyDescent="0.35">
      <c r="AL7972" s="86"/>
    </row>
    <row r="7973" spans="38:38" x14ac:dyDescent="0.35">
      <c r="AL7973" s="86"/>
    </row>
    <row r="7974" spans="38:38" x14ac:dyDescent="0.35">
      <c r="AL7974" s="86"/>
    </row>
    <row r="7975" spans="38:38" x14ac:dyDescent="0.35">
      <c r="AL7975" s="86"/>
    </row>
    <row r="7976" spans="38:38" x14ac:dyDescent="0.35">
      <c r="AL7976" s="86"/>
    </row>
    <row r="7977" spans="38:38" x14ac:dyDescent="0.35">
      <c r="AL7977" s="86"/>
    </row>
    <row r="7978" spans="38:38" x14ac:dyDescent="0.35">
      <c r="AL7978" s="86"/>
    </row>
    <row r="7979" spans="38:38" x14ac:dyDescent="0.35">
      <c r="AL7979" s="86"/>
    </row>
    <row r="7980" spans="38:38" x14ac:dyDescent="0.35">
      <c r="AL7980" s="86"/>
    </row>
    <row r="7981" spans="38:38" x14ac:dyDescent="0.35">
      <c r="AL7981" s="86"/>
    </row>
    <row r="7982" spans="38:38" x14ac:dyDescent="0.35">
      <c r="AL7982" s="86"/>
    </row>
    <row r="7983" spans="38:38" x14ac:dyDescent="0.35">
      <c r="AL7983" s="86"/>
    </row>
    <row r="7984" spans="38:38" x14ac:dyDescent="0.35">
      <c r="AL7984" s="86"/>
    </row>
    <row r="7985" spans="38:38" x14ac:dyDescent="0.35">
      <c r="AL7985" s="86"/>
    </row>
    <row r="7986" spans="38:38" x14ac:dyDescent="0.35">
      <c r="AL7986" s="86"/>
    </row>
    <row r="7987" spans="38:38" x14ac:dyDescent="0.35">
      <c r="AL7987" s="86"/>
    </row>
    <row r="7988" spans="38:38" x14ac:dyDescent="0.35">
      <c r="AL7988" s="86"/>
    </row>
    <row r="7989" spans="38:38" x14ac:dyDescent="0.35">
      <c r="AL7989" s="86"/>
    </row>
    <row r="7990" spans="38:38" x14ac:dyDescent="0.35">
      <c r="AL7990" s="86"/>
    </row>
    <row r="7991" spans="38:38" x14ac:dyDescent="0.35">
      <c r="AL7991" s="86"/>
    </row>
    <row r="7992" spans="38:38" x14ac:dyDescent="0.35">
      <c r="AL7992" s="86"/>
    </row>
    <row r="7993" spans="38:38" x14ac:dyDescent="0.35">
      <c r="AL7993" s="86"/>
    </row>
    <row r="7994" spans="38:38" x14ac:dyDescent="0.35">
      <c r="AL7994" s="86"/>
    </row>
    <row r="7995" spans="38:38" x14ac:dyDescent="0.35">
      <c r="AL7995" s="86"/>
    </row>
    <row r="7996" spans="38:38" x14ac:dyDescent="0.35">
      <c r="AL7996" s="86"/>
    </row>
    <row r="7997" spans="38:38" x14ac:dyDescent="0.35">
      <c r="AL7997" s="86"/>
    </row>
    <row r="7998" spans="38:38" x14ac:dyDescent="0.35">
      <c r="AL7998" s="86"/>
    </row>
    <row r="7999" spans="38:38" x14ac:dyDescent="0.35">
      <c r="AL7999" s="86"/>
    </row>
    <row r="8000" spans="38:38" x14ac:dyDescent="0.35">
      <c r="AL8000" s="86"/>
    </row>
    <row r="8001" spans="38:38" x14ac:dyDescent="0.35">
      <c r="AL8001" s="86"/>
    </row>
    <row r="8002" spans="38:38" x14ac:dyDescent="0.35">
      <c r="AL8002" s="86"/>
    </row>
    <row r="8003" spans="38:38" x14ac:dyDescent="0.35">
      <c r="AL8003" s="86"/>
    </row>
    <row r="8004" spans="38:38" x14ac:dyDescent="0.35">
      <c r="AL8004" s="86"/>
    </row>
    <row r="8005" spans="38:38" x14ac:dyDescent="0.35">
      <c r="AL8005" s="86"/>
    </row>
    <row r="8006" spans="38:38" x14ac:dyDescent="0.35">
      <c r="AL8006" s="86"/>
    </row>
    <row r="8007" spans="38:38" x14ac:dyDescent="0.35">
      <c r="AL8007" s="86"/>
    </row>
    <row r="8008" spans="38:38" x14ac:dyDescent="0.35">
      <c r="AL8008" s="86"/>
    </row>
    <row r="8009" spans="38:38" x14ac:dyDescent="0.35">
      <c r="AL8009" s="86"/>
    </row>
    <row r="8010" spans="38:38" x14ac:dyDescent="0.35">
      <c r="AL8010" s="86"/>
    </row>
    <row r="8011" spans="38:38" x14ac:dyDescent="0.35">
      <c r="AL8011" s="86"/>
    </row>
    <row r="8012" spans="38:38" x14ac:dyDescent="0.35">
      <c r="AL8012" s="86"/>
    </row>
    <row r="8013" spans="38:38" x14ac:dyDescent="0.35">
      <c r="AL8013" s="86"/>
    </row>
    <row r="8014" spans="38:38" x14ac:dyDescent="0.35">
      <c r="AL8014" s="86"/>
    </row>
    <row r="8015" spans="38:38" x14ac:dyDescent="0.35">
      <c r="AL8015" s="86"/>
    </row>
    <row r="8016" spans="38:38" x14ac:dyDescent="0.35">
      <c r="AL8016" s="86"/>
    </row>
    <row r="8017" spans="38:38" x14ac:dyDescent="0.35">
      <c r="AL8017" s="86"/>
    </row>
    <row r="8018" spans="38:38" x14ac:dyDescent="0.35">
      <c r="AL8018" s="86"/>
    </row>
    <row r="8019" spans="38:38" x14ac:dyDescent="0.35">
      <c r="AL8019" s="86"/>
    </row>
    <row r="8020" spans="38:38" x14ac:dyDescent="0.35">
      <c r="AL8020" s="86"/>
    </row>
    <row r="8021" spans="38:38" x14ac:dyDescent="0.35">
      <c r="AL8021" s="86"/>
    </row>
    <row r="8022" spans="38:38" x14ac:dyDescent="0.35">
      <c r="AL8022" s="86"/>
    </row>
    <row r="8023" spans="38:38" x14ac:dyDescent="0.35">
      <c r="AL8023" s="86"/>
    </row>
    <row r="8024" spans="38:38" x14ac:dyDescent="0.35">
      <c r="AL8024" s="86"/>
    </row>
    <row r="8025" spans="38:38" x14ac:dyDescent="0.35">
      <c r="AL8025" s="86"/>
    </row>
    <row r="8026" spans="38:38" x14ac:dyDescent="0.35">
      <c r="AL8026" s="86"/>
    </row>
    <row r="8027" spans="38:38" x14ac:dyDescent="0.35">
      <c r="AL8027" s="86"/>
    </row>
    <row r="8028" spans="38:38" x14ac:dyDescent="0.35">
      <c r="AL8028" s="86"/>
    </row>
    <row r="8029" spans="38:38" x14ac:dyDescent="0.35">
      <c r="AL8029" s="86"/>
    </row>
    <row r="8030" spans="38:38" x14ac:dyDescent="0.35">
      <c r="AL8030" s="86"/>
    </row>
    <row r="8031" spans="38:38" x14ac:dyDescent="0.35">
      <c r="AL8031" s="86"/>
    </row>
    <row r="8032" spans="38:38" x14ac:dyDescent="0.35">
      <c r="AL8032" s="86"/>
    </row>
    <row r="8033" spans="38:38" x14ac:dyDescent="0.35">
      <c r="AL8033" s="86"/>
    </row>
    <row r="8034" spans="38:38" x14ac:dyDescent="0.35">
      <c r="AL8034" s="86"/>
    </row>
    <row r="8035" spans="38:38" x14ac:dyDescent="0.35">
      <c r="AL8035" s="86"/>
    </row>
    <row r="8036" spans="38:38" x14ac:dyDescent="0.35">
      <c r="AL8036" s="86"/>
    </row>
    <row r="8037" spans="38:38" x14ac:dyDescent="0.35">
      <c r="AL8037" s="86"/>
    </row>
    <row r="8038" spans="38:38" x14ac:dyDescent="0.35">
      <c r="AL8038" s="86"/>
    </row>
    <row r="8039" spans="38:38" x14ac:dyDescent="0.35">
      <c r="AL8039" s="86"/>
    </row>
    <row r="8040" spans="38:38" x14ac:dyDescent="0.35">
      <c r="AL8040" s="86"/>
    </row>
    <row r="8041" spans="38:38" x14ac:dyDescent="0.35">
      <c r="AL8041" s="86"/>
    </row>
    <row r="8042" spans="38:38" x14ac:dyDescent="0.35">
      <c r="AL8042" s="86"/>
    </row>
    <row r="8043" spans="38:38" x14ac:dyDescent="0.35">
      <c r="AL8043" s="86"/>
    </row>
    <row r="8044" spans="38:38" x14ac:dyDescent="0.35">
      <c r="AL8044" s="86"/>
    </row>
    <row r="8045" spans="38:38" x14ac:dyDescent="0.35">
      <c r="AL8045" s="86"/>
    </row>
    <row r="8046" spans="38:38" x14ac:dyDescent="0.35">
      <c r="AL8046" s="86"/>
    </row>
    <row r="8047" spans="38:38" x14ac:dyDescent="0.35">
      <c r="AL8047" s="86"/>
    </row>
    <row r="8048" spans="38:38" x14ac:dyDescent="0.35">
      <c r="AL8048" s="86"/>
    </row>
    <row r="8049" spans="38:38" x14ac:dyDescent="0.35">
      <c r="AL8049" s="86"/>
    </row>
    <row r="8050" spans="38:38" x14ac:dyDescent="0.35">
      <c r="AL8050" s="86"/>
    </row>
    <row r="8051" spans="38:38" x14ac:dyDescent="0.35">
      <c r="AL8051" s="86"/>
    </row>
    <row r="8052" spans="38:38" x14ac:dyDescent="0.35">
      <c r="AL8052" s="86"/>
    </row>
    <row r="8053" spans="38:38" x14ac:dyDescent="0.35">
      <c r="AL8053" s="86"/>
    </row>
    <row r="8054" spans="38:38" x14ac:dyDescent="0.35">
      <c r="AL8054" s="86"/>
    </row>
    <row r="8055" spans="38:38" x14ac:dyDescent="0.35">
      <c r="AL8055" s="86"/>
    </row>
    <row r="8056" spans="38:38" x14ac:dyDescent="0.35">
      <c r="AL8056" s="86"/>
    </row>
    <row r="8057" spans="38:38" x14ac:dyDescent="0.35">
      <c r="AL8057" s="86"/>
    </row>
    <row r="8058" spans="38:38" x14ac:dyDescent="0.35">
      <c r="AL8058" s="86"/>
    </row>
    <row r="8059" spans="38:38" x14ac:dyDescent="0.35">
      <c r="AL8059" s="86"/>
    </row>
    <row r="8060" spans="38:38" x14ac:dyDescent="0.35">
      <c r="AL8060" s="86"/>
    </row>
    <row r="8061" spans="38:38" x14ac:dyDescent="0.35">
      <c r="AL8061" s="86"/>
    </row>
    <row r="8062" spans="38:38" x14ac:dyDescent="0.35">
      <c r="AL8062" s="86"/>
    </row>
    <row r="8063" spans="38:38" x14ac:dyDescent="0.35">
      <c r="AL8063" s="86"/>
    </row>
    <row r="8064" spans="38:38" x14ac:dyDescent="0.35">
      <c r="AL8064" s="86"/>
    </row>
    <row r="8065" spans="38:38" x14ac:dyDescent="0.35">
      <c r="AL8065" s="86"/>
    </row>
    <row r="8066" spans="38:38" x14ac:dyDescent="0.35">
      <c r="AL8066" s="86"/>
    </row>
    <row r="8067" spans="38:38" x14ac:dyDescent="0.35">
      <c r="AL8067" s="86"/>
    </row>
    <row r="8068" spans="38:38" x14ac:dyDescent="0.35">
      <c r="AL8068" s="86"/>
    </row>
    <row r="8069" spans="38:38" x14ac:dyDescent="0.35">
      <c r="AL8069" s="86"/>
    </row>
    <row r="8070" spans="38:38" x14ac:dyDescent="0.35">
      <c r="AL8070" s="86"/>
    </row>
    <row r="8071" spans="38:38" x14ac:dyDescent="0.35">
      <c r="AL8071" s="86"/>
    </row>
    <row r="8072" spans="38:38" x14ac:dyDescent="0.35">
      <c r="AL8072" s="86"/>
    </row>
    <row r="8073" spans="38:38" x14ac:dyDescent="0.35">
      <c r="AL8073" s="86"/>
    </row>
    <row r="8074" spans="38:38" x14ac:dyDescent="0.35">
      <c r="AL8074" s="86"/>
    </row>
    <row r="8075" spans="38:38" x14ac:dyDescent="0.35">
      <c r="AL8075" s="86"/>
    </row>
    <row r="8076" spans="38:38" x14ac:dyDescent="0.35">
      <c r="AL8076" s="86"/>
    </row>
    <row r="8077" spans="38:38" x14ac:dyDescent="0.35">
      <c r="AL8077" s="86"/>
    </row>
    <row r="8078" spans="38:38" x14ac:dyDescent="0.35">
      <c r="AL8078" s="86"/>
    </row>
    <row r="8079" spans="38:38" x14ac:dyDescent="0.35">
      <c r="AL8079" s="86"/>
    </row>
    <row r="8080" spans="38:38" x14ac:dyDescent="0.35">
      <c r="AL8080" s="86"/>
    </row>
    <row r="8081" spans="38:38" x14ac:dyDescent="0.35">
      <c r="AL8081" s="86"/>
    </row>
    <row r="8082" spans="38:38" x14ac:dyDescent="0.35">
      <c r="AL8082" s="86"/>
    </row>
    <row r="8083" spans="38:38" x14ac:dyDescent="0.35">
      <c r="AL8083" s="86"/>
    </row>
    <row r="8084" spans="38:38" x14ac:dyDescent="0.35">
      <c r="AL8084" s="86"/>
    </row>
    <row r="8085" spans="38:38" x14ac:dyDescent="0.35">
      <c r="AL8085" s="86"/>
    </row>
    <row r="8086" spans="38:38" x14ac:dyDescent="0.35">
      <c r="AL8086" s="86"/>
    </row>
    <row r="8087" spans="38:38" x14ac:dyDescent="0.35">
      <c r="AL8087" s="86"/>
    </row>
    <row r="8088" spans="38:38" x14ac:dyDescent="0.35">
      <c r="AL8088" s="86"/>
    </row>
    <row r="8089" spans="38:38" x14ac:dyDescent="0.35">
      <c r="AL8089" s="86"/>
    </row>
    <row r="8090" spans="38:38" x14ac:dyDescent="0.35">
      <c r="AL8090" s="86"/>
    </row>
    <row r="8091" spans="38:38" x14ac:dyDescent="0.35">
      <c r="AL8091" s="86"/>
    </row>
    <row r="8092" spans="38:38" x14ac:dyDescent="0.35">
      <c r="AL8092" s="86"/>
    </row>
    <row r="8093" spans="38:38" x14ac:dyDescent="0.35">
      <c r="AL8093" s="86"/>
    </row>
    <row r="8094" spans="38:38" x14ac:dyDescent="0.35">
      <c r="AL8094" s="86"/>
    </row>
    <row r="8095" spans="38:38" x14ac:dyDescent="0.35">
      <c r="AL8095" s="86"/>
    </row>
    <row r="8096" spans="38:38" x14ac:dyDescent="0.35">
      <c r="AL8096" s="86"/>
    </row>
    <row r="8097" spans="38:38" x14ac:dyDescent="0.35">
      <c r="AL8097" s="86"/>
    </row>
    <row r="8098" spans="38:38" x14ac:dyDescent="0.35">
      <c r="AL8098" s="86"/>
    </row>
    <row r="8099" spans="38:38" x14ac:dyDescent="0.35">
      <c r="AL8099" s="86"/>
    </row>
    <row r="8100" spans="38:38" x14ac:dyDescent="0.35">
      <c r="AL8100" s="86"/>
    </row>
    <row r="8101" spans="38:38" x14ac:dyDescent="0.35">
      <c r="AL8101" s="86"/>
    </row>
    <row r="8102" spans="38:38" x14ac:dyDescent="0.35">
      <c r="AL8102" s="86"/>
    </row>
    <row r="8103" spans="38:38" x14ac:dyDescent="0.35">
      <c r="AL8103" s="86"/>
    </row>
    <row r="8104" spans="38:38" x14ac:dyDescent="0.35">
      <c r="AL8104" s="86"/>
    </row>
    <row r="8105" spans="38:38" x14ac:dyDescent="0.35">
      <c r="AL8105" s="86"/>
    </row>
    <row r="8106" spans="38:38" x14ac:dyDescent="0.35">
      <c r="AL8106" s="86"/>
    </row>
    <row r="8107" spans="38:38" x14ac:dyDescent="0.35">
      <c r="AL8107" s="86"/>
    </row>
    <row r="8108" spans="38:38" x14ac:dyDescent="0.35">
      <c r="AL8108" s="86"/>
    </row>
    <row r="8109" spans="38:38" x14ac:dyDescent="0.35">
      <c r="AL8109" s="86"/>
    </row>
    <row r="8110" spans="38:38" x14ac:dyDescent="0.35">
      <c r="AL8110" s="86"/>
    </row>
    <row r="8111" spans="38:38" x14ac:dyDescent="0.35">
      <c r="AL8111" s="86"/>
    </row>
    <row r="8112" spans="38:38" x14ac:dyDescent="0.35">
      <c r="AL8112" s="86"/>
    </row>
    <row r="8113" spans="38:38" x14ac:dyDescent="0.35">
      <c r="AL8113" s="86"/>
    </row>
    <row r="8114" spans="38:38" x14ac:dyDescent="0.35">
      <c r="AL8114" s="86"/>
    </row>
    <row r="8115" spans="38:38" x14ac:dyDescent="0.35">
      <c r="AL8115" s="86"/>
    </row>
    <row r="8116" spans="38:38" x14ac:dyDescent="0.35">
      <c r="AL8116" s="86"/>
    </row>
    <row r="8117" spans="38:38" x14ac:dyDescent="0.35">
      <c r="AL8117" s="86"/>
    </row>
    <row r="8118" spans="38:38" x14ac:dyDescent="0.35">
      <c r="AL8118" s="86"/>
    </row>
    <row r="8119" spans="38:38" x14ac:dyDescent="0.35">
      <c r="AL8119" s="86"/>
    </row>
    <row r="8120" spans="38:38" x14ac:dyDescent="0.35">
      <c r="AL8120" s="86"/>
    </row>
    <row r="8121" spans="38:38" x14ac:dyDescent="0.35">
      <c r="AL8121" s="86"/>
    </row>
    <row r="8122" spans="38:38" x14ac:dyDescent="0.35">
      <c r="AL8122" s="86"/>
    </row>
    <row r="8123" spans="38:38" x14ac:dyDescent="0.35">
      <c r="AL8123" s="86"/>
    </row>
    <row r="8124" spans="38:38" x14ac:dyDescent="0.35">
      <c r="AL8124" s="86"/>
    </row>
    <row r="8125" spans="38:38" x14ac:dyDescent="0.35">
      <c r="AL8125" s="86"/>
    </row>
    <row r="8126" spans="38:38" x14ac:dyDescent="0.35">
      <c r="AL8126" s="86"/>
    </row>
    <row r="8127" spans="38:38" x14ac:dyDescent="0.35">
      <c r="AL8127" s="86"/>
    </row>
    <row r="8128" spans="38:38" x14ac:dyDescent="0.35">
      <c r="AL8128" s="86"/>
    </row>
    <row r="8129" spans="38:38" x14ac:dyDescent="0.35">
      <c r="AL8129" s="86"/>
    </row>
    <row r="8130" spans="38:38" x14ac:dyDescent="0.35">
      <c r="AL8130" s="86"/>
    </row>
    <row r="8131" spans="38:38" x14ac:dyDescent="0.35">
      <c r="AL8131" s="86"/>
    </row>
    <row r="8132" spans="38:38" x14ac:dyDescent="0.35">
      <c r="AL8132" s="86"/>
    </row>
    <row r="8133" spans="38:38" x14ac:dyDescent="0.35">
      <c r="AL8133" s="86"/>
    </row>
    <row r="8134" spans="38:38" x14ac:dyDescent="0.35">
      <c r="AL8134" s="86"/>
    </row>
    <row r="8135" spans="38:38" x14ac:dyDescent="0.35">
      <c r="AL8135" s="86"/>
    </row>
    <row r="8136" spans="38:38" x14ac:dyDescent="0.35">
      <c r="AL8136" s="86"/>
    </row>
    <row r="8137" spans="38:38" x14ac:dyDescent="0.35">
      <c r="AL8137" s="86"/>
    </row>
    <row r="8138" spans="38:38" x14ac:dyDescent="0.35">
      <c r="AL8138" s="86"/>
    </row>
    <row r="8139" spans="38:38" x14ac:dyDescent="0.35">
      <c r="AL8139" s="86"/>
    </row>
    <row r="8140" spans="38:38" x14ac:dyDescent="0.35">
      <c r="AL8140" s="86"/>
    </row>
    <row r="8141" spans="38:38" x14ac:dyDescent="0.35">
      <c r="AL8141" s="86"/>
    </row>
    <row r="8142" spans="38:38" x14ac:dyDescent="0.35">
      <c r="AL8142" s="86"/>
    </row>
    <row r="8143" spans="38:38" x14ac:dyDescent="0.35">
      <c r="AL8143" s="86"/>
    </row>
    <row r="8144" spans="38:38" x14ac:dyDescent="0.35">
      <c r="AL8144" s="86"/>
    </row>
    <row r="8145" spans="38:38" x14ac:dyDescent="0.35">
      <c r="AL8145" s="86"/>
    </row>
    <row r="8146" spans="38:38" x14ac:dyDescent="0.35">
      <c r="AL8146" s="86"/>
    </row>
    <row r="8147" spans="38:38" x14ac:dyDescent="0.35">
      <c r="AL8147" s="86"/>
    </row>
    <row r="8148" spans="38:38" x14ac:dyDescent="0.35">
      <c r="AL8148" s="86"/>
    </row>
    <row r="8149" spans="38:38" x14ac:dyDescent="0.35">
      <c r="AL8149" s="86"/>
    </row>
    <row r="8150" spans="38:38" x14ac:dyDescent="0.35">
      <c r="AL8150" s="86"/>
    </row>
    <row r="8151" spans="38:38" x14ac:dyDescent="0.35">
      <c r="AL8151" s="86"/>
    </row>
    <row r="8152" spans="38:38" x14ac:dyDescent="0.35">
      <c r="AL8152" s="86"/>
    </row>
    <row r="8153" spans="38:38" x14ac:dyDescent="0.35">
      <c r="AL8153" s="86"/>
    </row>
    <row r="8154" spans="38:38" x14ac:dyDescent="0.35">
      <c r="AL8154" s="86"/>
    </row>
    <row r="8155" spans="38:38" x14ac:dyDescent="0.35">
      <c r="AL8155" s="86"/>
    </row>
    <row r="8156" spans="38:38" x14ac:dyDescent="0.35">
      <c r="AL8156" s="86"/>
    </row>
    <row r="8157" spans="38:38" x14ac:dyDescent="0.35">
      <c r="AL8157" s="86"/>
    </row>
    <row r="8158" spans="38:38" x14ac:dyDescent="0.35">
      <c r="AL8158" s="86"/>
    </row>
    <row r="8159" spans="38:38" x14ac:dyDescent="0.35">
      <c r="AL8159" s="86"/>
    </row>
    <row r="8160" spans="38:38" x14ac:dyDescent="0.35">
      <c r="AL8160" s="86"/>
    </row>
    <row r="8161" spans="38:38" x14ac:dyDescent="0.35">
      <c r="AL8161" s="86"/>
    </row>
    <row r="8162" spans="38:38" x14ac:dyDescent="0.35">
      <c r="AL8162" s="86"/>
    </row>
    <row r="8163" spans="38:38" x14ac:dyDescent="0.35">
      <c r="AL8163" s="86"/>
    </row>
    <row r="8164" spans="38:38" x14ac:dyDescent="0.35">
      <c r="AL8164" s="86"/>
    </row>
    <row r="8165" spans="38:38" x14ac:dyDescent="0.35">
      <c r="AL8165" s="86"/>
    </row>
    <row r="8166" spans="38:38" x14ac:dyDescent="0.35">
      <c r="AL8166" s="86"/>
    </row>
    <row r="8167" spans="38:38" x14ac:dyDescent="0.35">
      <c r="AL8167" s="86"/>
    </row>
    <row r="8168" spans="38:38" x14ac:dyDescent="0.35">
      <c r="AL8168" s="86"/>
    </row>
    <row r="8169" spans="38:38" x14ac:dyDescent="0.35">
      <c r="AL8169" s="86"/>
    </row>
    <row r="8170" spans="38:38" x14ac:dyDescent="0.35">
      <c r="AL8170" s="86"/>
    </row>
    <row r="8171" spans="38:38" x14ac:dyDescent="0.35">
      <c r="AL8171" s="86"/>
    </row>
    <row r="8172" spans="38:38" x14ac:dyDescent="0.35">
      <c r="AL8172" s="86"/>
    </row>
    <row r="8173" spans="38:38" x14ac:dyDescent="0.35">
      <c r="AL8173" s="86"/>
    </row>
    <row r="8174" spans="38:38" x14ac:dyDescent="0.35">
      <c r="AL8174" s="86"/>
    </row>
    <row r="8175" spans="38:38" x14ac:dyDescent="0.35">
      <c r="AL8175" s="86"/>
    </row>
    <row r="8176" spans="38:38" x14ac:dyDescent="0.35">
      <c r="AL8176" s="86"/>
    </row>
    <row r="8177" spans="38:38" x14ac:dyDescent="0.35">
      <c r="AL8177" s="86"/>
    </row>
    <row r="8178" spans="38:38" x14ac:dyDescent="0.35">
      <c r="AL8178" s="86"/>
    </row>
    <row r="8179" spans="38:38" x14ac:dyDescent="0.35">
      <c r="AL8179" s="86"/>
    </row>
    <row r="8180" spans="38:38" x14ac:dyDescent="0.35">
      <c r="AL8180" s="86"/>
    </row>
    <row r="8181" spans="38:38" x14ac:dyDescent="0.35">
      <c r="AL8181" s="86"/>
    </row>
    <row r="8182" spans="38:38" x14ac:dyDescent="0.35">
      <c r="AL8182" s="86"/>
    </row>
    <row r="8183" spans="38:38" x14ac:dyDescent="0.35">
      <c r="AL8183" s="86"/>
    </row>
    <row r="8184" spans="38:38" x14ac:dyDescent="0.35">
      <c r="AL8184" s="86"/>
    </row>
    <row r="8185" spans="38:38" x14ac:dyDescent="0.35">
      <c r="AL8185" s="86"/>
    </row>
    <row r="8186" spans="38:38" x14ac:dyDescent="0.35">
      <c r="AL8186" s="86"/>
    </row>
    <row r="8187" spans="38:38" x14ac:dyDescent="0.35">
      <c r="AL8187" s="86"/>
    </row>
    <row r="8188" spans="38:38" x14ac:dyDescent="0.35">
      <c r="AL8188" s="86"/>
    </row>
    <row r="8189" spans="38:38" x14ac:dyDescent="0.35">
      <c r="AL8189" s="86"/>
    </row>
    <row r="8190" spans="38:38" x14ac:dyDescent="0.35">
      <c r="AL8190" s="86"/>
    </row>
    <row r="8191" spans="38:38" x14ac:dyDescent="0.35">
      <c r="AL8191" s="86"/>
    </row>
    <row r="8192" spans="38:38" x14ac:dyDescent="0.35">
      <c r="AL8192" s="86"/>
    </row>
    <row r="8193" spans="38:38" x14ac:dyDescent="0.35">
      <c r="AL8193" s="86"/>
    </row>
    <row r="8194" spans="38:38" x14ac:dyDescent="0.35">
      <c r="AL8194" s="86"/>
    </row>
    <row r="8195" spans="38:38" x14ac:dyDescent="0.35">
      <c r="AL8195" s="86"/>
    </row>
    <row r="8196" spans="38:38" x14ac:dyDescent="0.35">
      <c r="AL8196" s="86"/>
    </row>
    <row r="8197" spans="38:38" x14ac:dyDescent="0.35">
      <c r="AL8197" s="86"/>
    </row>
    <row r="8198" spans="38:38" x14ac:dyDescent="0.35">
      <c r="AL8198" s="86"/>
    </row>
    <row r="8199" spans="38:38" x14ac:dyDescent="0.35">
      <c r="AL8199" s="86"/>
    </row>
    <row r="8200" spans="38:38" x14ac:dyDescent="0.35">
      <c r="AL8200" s="86"/>
    </row>
    <row r="8201" spans="38:38" x14ac:dyDescent="0.35">
      <c r="AL8201" s="86"/>
    </row>
    <row r="8202" spans="38:38" x14ac:dyDescent="0.35">
      <c r="AL8202" s="86"/>
    </row>
    <row r="8203" spans="38:38" x14ac:dyDescent="0.35">
      <c r="AL8203" s="86"/>
    </row>
    <row r="8204" spans="38:38" x14ac:dyDescent="0.35">
      <c r="AL8204" s="86"/>
    </row>
    <row r="8205" spans="38:38" x14ac:dyDescent="0.35">
      <c r="AL8205" s="86"/>
    </row>
    <row r="8206" spans="38:38" x14ac:dyDescent="0.35">
      <c r="AL8206" s="86"/>
    </row>
    <row r="8207" spans="38:38" x14ac:dyDescent="0.35">
      <c r="AL8207" s="86"/>
    </row>
    <row r="8208" spans="38:38" x14ac:dyDescent="0.35">
      <c r="AL8208" s="86"/>
    </row>
    <row r="8209" spans="38:38" x14ac:dyDescent="0.35">
      <c r="AL8209" s="86"/>
    </row>
    <row r="8210" spans="38:38" x14ac:dyDescent="0.35">
      <c r="AL8210" s="86"/>
    </row>
    <row r="8211" spans="38:38" x14ac:dyDescent="0.35">
      <c r="AL8211" s="86"/>
    </row>
    <row r="8212" spans="38:38" x14ac:dyDescent="0.35">
      <c r="AL8212" s="86"/>
    </row>
    <row r="8213" spans="38:38" x14ac:dyDescent="0.35">
      <c r="AL8213" s="86"/>
    </row>
    <row r="8214" spans="38:38" x14ac:dyDescent="0.35">
      <c r="AL8214" s="86"/>
    </row>
    <row r="8215" spans="38:38" x14ac:dyDescent="0.35">
      <c r="AL8215" s="86"/>
    </row>
    <row r="8216" spans="38:38" x14ac:dyDescent="0.35">
      <c r="AL8216" s="86"/>
    </row>
    <row r="8217" spans="38:38" x14ac:dyDescent="0.35">
      <c r="AL8217" s="86"/>
    </row>
    <row r="8218" spans="38:38" x14ac:dyDescent="0.35">
      <c r="AL8218" s="86"/>
    </row>
    <row r="8219" spans="38:38" x14ac:dyDescent="0.35">
      <c r="AL8219" s="86"/>
    </row>
    <row r="8220" spans="38:38" x14ac:dyDescent="0.35">
      <c r="AL8220" s="86"/>
    </row>
    <row r="8221" spans="38:38" x14ac:dyDescent="0.35">
      <c r="AL8221" s="86"/>
    </row>
    <row r="8222" spans="38:38" x14ac:dyDescent="0.35">
      <c r="AL8222" s="86"/>
    </row>
    <row r="8223" spans="38:38" x14ac:dyDescent="0.35">
      <c r="AL8223" s="86"/>
    </row>
    <row r="8224" spans="38:38" x14ac:dyDescent="0.35">
      <c r="AL8224" s="86"/>
    </row>
    <row r="8225" spans="38:38" x14ac:dyDescent="0.35">
      <c r="AL8225" s="86"/>
    </row>
    <row r="8226" spans="38:38" x14ac:dyDescent="0.35">
      <c r="AL8226" s="86"/>
    </row>
    <row r="8227" spans="38:38" x14ac:dyDescent="0.35">
      <c r="AL8227" s="86"/>
    </row>
    <row r="8228" spans="38:38" x14ac:dyDescent="0.35">
      <c r="AL8228" s="86"/>
    </row>
    <row r="8229" spans="38:38" x14ac:dyDescent="0.35">
      <c r="AL8229" s="86"/>
    </row>
    <row r="8230" spans="38:38" x14ac:dyDescent="0.35">
      <c r="AL8230" s="86"/>
    </row>
    <row r="8231" spans="38:38" x14ac:dyDescent="0.35">
      <c r="AL8231" s="86"/>
    </row>
    <row r="8232" spans="38:38" x14ac:dyDescent="0.35">
      <c r="AL8232" s="86"/>
    </row>
    <row r="8233" spans="38:38" x14ac:dyDescent="0.35">
      <c r="AL8233" s="86"/>
    </row>
    <row r="8234" spans="38:38" x14ac:dyDescent="0.35">
      <c r="AL8234" s="86"/>
    </row>
    <row r="8235" spans="38:38" x14ac:dyDescent="0.35">
      <c r="AL8235" s="86"/>
    </row>
    <row r="8236" spans="38:38" x14ac:dyDescent="0.35">
      <c r="AL8236" s="86"/>
    </row>
    <row r="8237" spans="38:38" x14ac:dyDescent="0.35">
      <c r="AL8237" s="86"/>
    </row>
    <row r="8238" spans="38:38" x14ac:dyDescent="0.35">
      <c r="AL8238" s="86"/>
    </row>
    <row r="8239" spans="38:38" x14ac:dyDescent="0.35">
      <c r="AL8239" s="86"/>
    </row>
    <row r="8240" spans="38:38" x14ac:dyDescent="0.35">
      <c r="AL8240" s="86"/>
    </row>
    <row r="8241" spans="38:38" x14ac:dyDescent="0.35">
      <c r="AL8241" s="86"/>
    </row>
    <row r="8242" spans="38:38" x14ac:dyDescent="0.35">
      <c r="AL8242" s="86"/>
    </row>
    <row r="8243" spans="38:38" x14ac:dyDescent="0.35">
      <c r="AL8243" s="86"/>
    </row>
    <row r="8244" spans="38:38" x14ac:dyDescent="0.35">
      <c r="AL8244" s="86"/>
    </row>
    <row r="8245" spans="38:38" x14ac:dyDescent="0.35">
      <c r="AL8245" s="86"/>
    </row>
    <row r="8246" spans="38:38" x14ac:dyDescent="0.35">
      <c r="AL8246" s="86"/>
    </row>
    <row r="8247" spans="38:38" x14ac:dyDescent="0.35">
      <c r="AL8247" s="86"/>
    </row>
    <row r="8248" spans="38:38" x14ac:dyDescent="0.35">
      <c r="AL8248" s="86"/>
    </row>
    <row r="8249" spans="38:38" x14ac:dyDescent="0.35">
      <c r="AL8249" s="86"/>
    </row>
    <row r="8250" spans="38:38" x14ac:dyDescent="0.35">
      <c r="AL8250" s="86"/>
    </row>
    <row r="8251" spans="38:38" x14ac:dyDescent="0.35">
      <c r="AL8251" s="86"/>
    </row>
    <row r="8252" spans="38:38" x14ac:dyDescent="0.35">
      <c r="AL8252" s="86"/>
    </row>
    <row r="8253" spans="38:38" x14ac:dyDescent="0.35">
      <c r="AL8253" s="86"/>
    </row>
    <row r="8254" spans="38:38" x14ac:dyDescent="0.35">
      <c r="AL8254" s="86"/>
    </row>
    <row r="8255" spans="38:38" x14ac:dyDescent="0.35">
      <c r="AL8255" s="86"/>
    </row>
    <row r="8256" spans="38:38" x14ac:dyDescent="0.35">
      <c r="AL8256" s="86"/>
    </row>
    <row r="8257" spans="38:38" x14ac:dyDescent="0.35">
      <c r="AL8257" s="86"/>
    </row>
    <row r="8258" spans="38:38" x14ac:dyDescent="0.35">
      <c r="AL8258" s="86"/>
    </row>
    <row r="8259" spans="38:38" x14ac:dyDescent="0.35">
      <c r="AL8259" s="86"/>
    </row>
    <row r="8260" spans="38:38" x14ac:dyDescent="0.35">
      <c r="AL8260" s="86"/>
    </row>
    <row r="8261" spans="38:38" x14ac:dyDescent="0.35">
      <c r="AL8261" s="86"/>
    </row>
    <row r="8262" spans="38:38" x14ac:dyDescent="0.35">
      <c r="AL8262" s="86"/>
    </row>
    <row r="8263" spans="38:38" x14ac:dyDescent="0.35">
      <c r="AL8263" s="86"/>
    </row>
    <row r="8264" spans="38:38" x14ac:dyDescent="0.35">
      <c r="AL8264" s="86"/>
    </row>
    <row r="8265" spans="38:38" x14ac:dyDescent="0.35">
      <c r="AL8265" s="86"/>
    </row>
    <row r="8266" spans="38:38" x14ac:dyDescent="0.35">
      <c r="AL8266" s="86"/>
    </row>
    <row r="8267" spans="38:38" x14ac:dyDescent="0.35">
      <c r="AL8267" s="86"/>
    </row>
    <row r="8268" spans="38:38" x14ac:dyDescent="0.35">
      <c r="AL8268" s="86"/>
    </row>
    <row r="8269" spans="38:38" x14ac:dyDescent="0.35">
      <c r="AL8269" s="86"/>
    </row>
    <row r="8270" spans="38:38" x14ac:dyDescent="0.35">
      <c r="AL8270" s="86"/>
    </row>
    <row r="8271" spans="38:38" x14ac:dyDescent="0.35">
      <c r="AL8271" s="86"/>
    </row>
    <row r="8272" spans="38:38" x14ac:dyDescent="0.35">
      <c r="AL8272" s="86"/>
    </row>
    <row r="8273" spans="38:38" x14ac:dyDescent="0.35">
      <c r="AL8273" s="86"/>
    </row>
    <row r="8274" spans="38:38" x14ac:dyDescent="0.35">
      <c r="AL8274" s="86"/>
    </row>
    <row r="8275" spans="38:38" x14ac:dyDescent="0.35">
      <c r="AL8275" s="86"/>
    </row>
    <row r="8276" spans="38:38" x14ac:dyDescent="0.35">
      <c r="AL8276" s="86"/>
    </row>
    <row r="8277" spans="38:38" x14ac:dyDescent="0.35">
      <c r="AL8277" s="86"/>
    </row>
    <row r="8278" spans="38:38" x14ac:dyDescent="0.35">
      <c r="AL8278" s="86"/>
    </row>
    <row r="8279" spans="38:38" x14ac:dyDescent="0.35">
      <c r="AL8279" s="86"/>
    </row>
    <row r="8280" spans="38:38" x14ac:dyDescent="0.35">
      <c r="AL8280" s="86"/>
    </row>
    <row r="8281" spans="38:38" x14ac:dyDescent="0.35">
      <c r="AL8281" s="86"/>
    </row>
    <row r="8282" spans="38:38" x14ac:dyDescent="0.35">
      <c r="AL8282" s="86"/>
    </row>
    <row r="8283" spans="38:38" x14ac:dyDescent="0.35">
      <c r="AL8283" s="86"/>
    </row>
    <row r="8284" spans="38:38" x14ac:dyDescent="0.35">
      <c r="AL8284" s="86"/>
    </row>
    <row r="8285" spans="38:38" x14ac:dyDescent="0.35">
      <c r="AL8285" s="86"/>
    </row>
    <row r="8286" spans="38:38" x14ac:dyDescent="0.35">
      <c r="AL8286" s="86"/>
    </row>
    <row r="8287" spans="38:38" x14ac:dyDescent="0.35">
      <c r="AL8287" s="86"/>
    </row>
    <row r="8288" spans="38:38" x14ac:dyDescent="0.35">
      <c r="AL8288" s="86"/>
    </row>
    <row r="8289" spans="38:38" x14ac:dyDescent="0.35">
      <c r="AL8289" s="86"/>
    </row>
    <row r="8290" spans="38:38" x14ac:dyDescent="0.35">
      <c r="AL8290" s="86"/>
    </row>
    <row r="8291" spans="38:38" x14ac:dyDescent="0.35">
      <c r="AL8291" s="86"/>
    </row>
    <row r="8292" spans="38:38" x14ac:dyDescent="0.35">
      <c r="AL8292" s="86"/>
    </row>
    <row r="8293" spans="38:38" x14ac:dyDescent="0.35">
      <c r="AL8293" s="86"/>
    </row>
    <row r="8294" spans="38:38" x14ac:dyDescent="0.35">
      <c r="AL8294" s="86"/>
    </row>
    <row r="8295" spans="38:38" x14ac:dyDescent="0.35">
      <c r="AL8295" s="86"/>
    </row>
    <row r="8296" spans="38:38" x14ac:dyDescent="0.35">
      <c r="AL8296" s="86"/>
    </row>
    <row r="8297" spans="38:38" x14ac:dyDescent="0.35">
      <c r="AL8297" s="86"/>
    </row>
    <row r="8298" spans="38:38" x14ac:dyDescent="0.35">
      <c r="AL8298" s="86"/>
    </row>
    <row r="8299" spans="38:38" x14ac:dyDescent="0.35">
      <c r="AL8299" s="86"/>
    </row>
    <row r="8300" spans="38:38" x14ac:dyDescent="0.35">
      <c r="AL8300" s="86"/>
    </row>
    <row r="8301" spans="38:38" x14ac:dyDescent="0.35">
      <c r="AL8301" s="86"/>
    </row>
    <row r="8302" spans="38:38" x14ac:dyDescent="0.35">
      <c r="AL8302" s="86"/>
    </row>
    <row r="8303" spans="38:38" x14ac:dyDescent="0.35">
      <c r="AL8303" s="86"/>
    </row>
    <row r="8304" spans="38:38" x14ac:dyDescent="0.35">
      <c r="AL8304" s="86"/>
    </row>
    <row r="8305" spans="38:38" x14ac:dyDescent="0.35">
      <c r="AL8305" s="86"/>
    </row>
    <row r="8306" spans="38:38" x14ac:dyDescent="0.35">
      <c r="AL8306" s="86"/>
    </row>
    <row r="8307" spans="38:38" x14ac:dyDescent="0.35">
      <c r="AL8307" s="86"/>
    </row>
    <row r="8308" spans="38:38" x14ac:dyDescent="0.35">
      <c r="AL8308" s="86"/>
    </row>
    <row r="8309" spans="38:38" x14ac:dyDescent="0.35">
      <c r="AL8309" s="86"/>
    </row>
    <row r="8310" spans="38:38" x14ac:dyDescent="0.35">
      <c r="AL8310" s="86"/>
    </row>
    <row r="8311" spans="38:38" x14ac:dyDescent="0.35">
      <c r="AL8311" s="86"/>
    </row>
    <row r="8312" spans="38:38" x14ac:dyDescent="0.35">
      <c r="AL8312" s="86"/>
    </row>
    <row r="8313" spans="38:38" x14ac:dyDescent="0.35">
      <c r="AL8313" s="86"/>
    </row>
    <row r="8314" spans="38:38" x14ac:dyDescent="0.35">
      <c r="AL8314" s="86"/>
    </row>
    <row r="8315" spans="38:38" x14ac:dyDescent="0.35">
      <c r="AL8315" s="86"/>
    </row>
    <row r="8316" spans="38:38" x14ac:dyDescent="0.35">
      <c r="AL8316" s="86"/>
    </row>
    <row r="8317" spans="38:38" x14ac:dyDescent="0.35">
      <c r="AL8317" s="86"/>
    </row>
    <row r="8318" spans="38:38" x14ac:dyDescent="0.35">
      <c r="AL8318" s="86"/>
    </row>
    <row r="8319" spans="38:38" x14ac:dyDescent="0.35">
      <c r="AL8319" s="86"/>
    </row>
    <row r="8320" spans="38:38" x14ac:dyDescent="0.35">
      <c r="AL8320" s="86"/>
    </row>
    <row r="8321" spans="38:38" x14ac:dyDescent="0.35">
      <c r="AL8321" s="86"/>
    </row>
    <row r="8322" spans="38:38" x14ac:dyDescent="0.35">
      <c r="AL8322" s="86"/>
    </row>
    <row r="8323" spans="38:38" x14ac:dyDescent="0.35">
      <c r="AL8323" s="86"/>
    </row>
    <row r="8324" spans="38:38" x14ac:dyDescent="0.35">
      <c r="AL8324" s="86"/>
    </row>
    <row r="8325" spans="38:38" x14ac:dyDescent="0.35">
      <c r="AL8325" s="86"/>
    </row>
    <row r="8326" spans="38:38" x14ac:dyDescent="0.35">
      <c r="AL8326" s="86"/>
    </row>
    <row r="8327" spans="38:38" x14ac:dyDescent="0.35">
      <c r="AL8327" s="86"/>
    </row>
    <row r="8328" spans="38:38" x14ac:dyDescent="0.35">
      <c r="AL8328" s="86"/>
    </row>
    <row r="8329" spans="38:38" x14ac:dyDescent="0.35">
      <c r="AL8329" s="86"/>
    </row>
    <row r="8330" spans="38:38" x14ac:dyDescent="0.35">
      <c r="AL8330" s="86"/>
    </row>
    <row r="8331" spans="38:38" x14ac:dyDescent="0.35">
      <c r="AL8331" s="86"/>
    </row>
    <row r="8332" spans="38:38" x14ac:dyDescent="0.35">
      <c r="AL8332" s="86"/>
    </row>
    <row r="8333" spans="38:38" x14ac:dyDescent="0.35">
      <c r="AL8333" s="86"/>
    </row>
    <row r="8334" spans="38:38" x14ac:dyDescent="0.35">
      <c r="AL8334" s="86"/>
    </row>
    <row r="8335" spans="38:38" x14ac:dyDescent="0.35">
      <c r="AL8335" s="86"/>
    </row>
    <row r="8336" spans="38:38" x14ac:dyDescent="0.35">
      <c r="AL8336" s="86"/>
    </row>
    <row r="8337" spans="38:38" x14ac:dyDescent="0.35">
      <c r="AL8337" s="86"/>
    </row>
    <row r="8338" spans="38:38" x14ac:dyDescent="0.35">
      <c r="AL8338" s="86"/>
    </row>
    <row r="8339" spans="38:38" x14ac:dyDescent="0.35">
      <c r="AL8339" s="86"/>
    </row>
    <row r="8340" spans="38:38" x14ac:dyDescent="0.35">
      <c r="AL8340" s="86"/>
    </row>
    <row r="8341" spans="38:38" x14ac:dyDescent="0.35">
      <c r="AL8341" s="86"/>
    </row>
    <row r="8342" spans="38:38" x14ac:dyDescent="0.35">
      <c r="AL8342" s="86"/>
    </row>
    <row r="8343" spans="38:38" x14ac:dyDescent="0.35">
      <c r="AL8343" s="86"/>
    </row>
    <row r="8344" spans="38:38" x14ac:dyDescent="0.35">
      <c r="AL8344" s="86"/>
    </row>
    <row r="8345" spans="38:38" x14ac:dyDescent="0.35">
      <c r="AL8345" s="86"/>
    </row>
    <row r="8346" spans="38:38" x14ac:dyDescent="0.35">
      <c r="AL8346" s="86"/>
    </row>
    <row r="8347" spans="38:38" x14ac:dyDescent="0.35">
      <c r="AL8347" s="86"/>
    </row>
    <row r="8348" spans="38:38" x14ac:dyDescent="0.35">
      <c r="AL8348" s="86"/>
    </row>
    <row r="8349" spans="38:38" x14ac:dyDescent="0.35">
      <c r="AL8349" s="86"/>
    </row>
    <row r="8350" spans="38:38" x14ac:dyDescent="0.35">
      <c r="AL8350" s="86"/>
    </row>
    <row r="8351" spans="38:38" x14ac:dyDescent="0.35">
      <c r="AL8351" s="86"/>
    </row>
    <row r="8352" spans="38:38" x14ac:dyDescent="0.35">
      <c r="AL8352" s="86"/>
    </row>
    <row r="8353" spans="38:38" x14ac:dyDescent="0.35">
      <c r="AL8353" s="86"/>
    </row>
    <row r="8354" spans="38:38" x14ac:dyDescent="0.35">
      <c r="AL8354" s="86"/>
    </row>
    <row r="8355" spans="38:38" x14ac:dyDescent="0.35">
      <c r="AL8355" s="86"/>
    </row>
    <row r="8356" spans="38:38" x14ac:dyDescent="0.35">
      <c r="AL8356" s="86"/>
    </row>
    <row r="8357" spans="38:38" x14ac:dyDescent="0.35">
      <c r="AL8357" s="86"/>
    </row>
    <row r="8358" spans="38:38" x14ac:dyDescent="0.35">
      <c r="AL8358" s="86"/>
    </row>
    <row r="8359" spans="38:38" x14ac:dyDescent="0.35">
      <c r="AL8359" s="86"/>
    </row>
    <row r="8360" spans="38:38" x14ac:dyDescent="0.35">
      <c r="AL8360" s="86"/>
    </row>
    <row r="8361" spans="38:38" x14ac:dyDescent="0.35">
      <c r="AL8361" s="86"/>
    </row>
    <row r="8362" spans="38:38" x14ac:dyDescent="0.35">
      <c r="AL8362" s="86"/>
    </row>
    <row r="8363" spans="38:38" x14ac:dyDescent="0.35">
      <c r="AL8363" s="86"/>
    </row>
    <row r="8364" spans="38:38" x14ac:dyDescent="0.35">
      <c r="AL8364" s="86"/>
    </row>
    <row r="8365" spans="38:38" x14ac:dyDescent="0.35">
      <c r="AL8365" s="86"/>
    </row>
    <row r="8366" spans="38:38" x14ac:dyDescent="0.35">
      <c r="AL8366" s="86"/>
    </row>
    <row r="8367" spans="38:38" x14ac:dyDescent="0.35">
      <c r="AL8367" s="86"/>
    </row>
    <row r="8368" spans="38:38" x14ac:dyDescent="0.35">
      <c r="AL8368" s="86"/>
    </row>
    <row r="8369" spans="38:38" x14ac:dyDescent="0.35">
      <c r="AL8369" s="86"/>
    </row>
    <row r="8370" spans="38:38" x14ac:dyDescent="0.35">
      <c r="AL8370" s="86"/>
    </row>
    <row r="8371" spans="38:38" x14ac:dyDescent="0.35">
      <c r="AL8371" s="86"/>
    </row>
    <row r="8372" spans="38:38" x14ac:dyDescent="0.35">
      <c r="AL8372" s="86"/>
    </row>
    <row r="8373" spans="38:38" x14ac:dyDescent="0.35">
      <c r="AL8373" s="86"/>
    </row>
    <row r="8374" spans="38:38" x14ac:dyDescent="0.35">
      <c r="AL8374" s="86"/>
    </row>
    <row r="8375" spans="38:38" x14ac:dyDescent="0.35">
      <c r="AL8375" s="86"/>
    </row>
    <row r="8376" spans="38:38" x14ac:dyDescent="0.35">
      <c r="AL8376" s="86"/>
    </row>
    <row r="8377" spans="38:38" x14ac:dyDescent="0.35">
      <c r="AL8377" s="86"/>
    </row>
    <row r="8378" spans="38:38" x14ac:dyDescent="0.35">
      <c r="AL8378" s="86"/>
    </row>
    <row r="8379" spans="38:38" x14ac:dyDescent="0.35">
      <c r="AL8379" s="86"/>
    </row>
    <row r="8380" spans="38:38" x14ac:dyDescent="0.35">
      <c r="AL8380" s="86"/>
    </row>
    <row r="8381" spans="38:38" x14ac:dyDescent="0.35">
      <c r="AL8381" s="86"/>
    </row>
    <row r="8382" spans="38:38" x14ac:dyDescent="0.35">
      <c r="AL8382" s="86"/>
    </row>
    <row r="8383" spans="38:38" x14ac:dyDescent="0.35">
      <c r="AL8383" s="86"/>
    </row>
    <row r="8384" spans="38:38" x14ac:dyDescent="0.35">
      <c r="AL8384" s="86"/>
    </row>
    <row r="8385" spans="38:38" x14ac:dyDescent="0.35">
      <c r="AL8385" s="86"/>
    </row>
    <row r="8386" spans="38:38" x14ac:dyDescent="0.35">
      <c r="AL8386" s="86"/>
    </row>
    <row r="8387" spans="38:38" x14ac:dyDescent="0.35">
      <c r="AL8387" s="86"/>
    </row>
    <row r="8388" spans="38:38" x14ac:dyDescent="0.35">
      <c r="AL8388" s="86"/>
    </row>
    <row r="8389" spans="38:38" x14ac:dyDescent="0.35">
      <c r="AL8389" s="86"/>
    </row>
    <row r="8390" spans="38:38" x14ac:dyDescent="0.35">
      <c r="AL8390" s="86"/>
    </row>
    <row r="8391" spans="38:38" x14ac:dyDescent="0.35">
      <c r="AL8391" s="86"/>
    </row>
    <row r="8392" spans="38:38" x14ac:dyDescent="0.35">
      <c r="AL8392" s="86"/>
    </row>
    <row r="8393" spans="38:38" x14ac:dyDescent="0.35">
      <c r="AL8393" s="86"/>
    </row>
    <row r="8394" spans="38:38" x14ac:dyDescent="0.35">
      <c r="AL8394" s="86"/>
    </row>
    <row r="8395" spans="38:38" x14ac:dyDescent="0.35">
      <c r="AL8395" s="86"/>
    </row>
    <row r="8396" spans="38:38" x14ac:dyDescent="0.35">
      <c r="AL8396" s="86"/>
    </row>
    <row r="8397" spans="38:38" x14ac:dyDescent="0.35">
      <c r="AL8397" s="86"/>
    </row>
    <row r="8398" spans="38:38" x14ac:dyDescent="0.35">
      <c r="AL8398" s="86"/>
    </row>
    <row r="8399" spans="38:38" x14ac:dyDescent="0.35">
      <c r="AL8399" s="86"/>
    </row>
    <row r="8400" spans="38:38" x14ac:dyDescent="0.35">
      <c r="AL8400" s="86"/>
    </row>
    <row r="8401" spans="38:38" x14ac:dyDescent="0.35">
      <c r="AL8401" s="86"/>
    </row>
    <row r="8402" spans="38:38" x14ac:dyDescent="0.35">
      <c r="AL8402" s="86"/>
    </row>
    <row r="8403" spans="38:38" x14ac:dyDescent="0.35">
      <c r="AL8403" s="86"/>
    </row>
    <row r="8404" spans="38:38" x14ac:dyDescent="0.35">
      <c r="AL8404" s="86"/>
    </row>
    <row r="8405" spans="38:38" x14ac:dyDescent="0.35">
      <c r="AL8405" s="86"/>
    </row>
    <row r="8406" spans="38:38" x14ac:dyDescent="0.35">
      <c r="AL8406" s="86"/>
    </row>
    <row r="8407" spans="38:38" x14ac:dyDescent="0.35">
      <c r="AL8407" s="86"/>
    </row>
    <row r="8408" spans="38:38" x14ac:dyDescent="0.35">
      <c r="AL8408" s="86"/>
    </row>
    <row r="8409" spans="38:38" x14ac:dyDescent="0.35">
      <c r="AL8409" s="86"/>
    </row>
    <row r="8410" spans="38:38" x14ac:dyDescent="0.35">
      <c r="AL8410" s="86"/>
    </row>
    <row r="8411" spans="38:38" x14ac:dyDescent="0.35">
      <c r="AL8411" s="86"/>
    </row>
    <row r="8412" spans="38:38" x14ac:dyDescent="0.35">
      <c r="AL8412" s="86"/>
    </row>
    <row r="8413" spans="38:38" x14ac:dyDescent="0.35">
      <c r="AL8413" s="86"/>
    </row>
    <row r="8414" spans="38:38" x14ac:dyDescent="0.35">
      <c r="AL8414" s="86"/>
    </row>
    <row r="8415" spans="38:38" x14ac:dyDescent="0.35">
      <c r="AL8415" s="86"/>
    </row>
    <row r="8416" spans="38:38" x14ac:dyDescent="0.35">
      <c r="AL8416" s="86"/>
    </row>
    <row r="8417" spans="38:38" x14ac:dyDescent="0.35">
      <c r="AL8417" s="86"/>
    </row>
    <row r="8418" spans="38:38" x14ac:dyDescent="0.35">
      <c r="AL8418" s="86"/>
    </row>
    <row r="8419" spans="38:38" x14ac:dyDescent="0.35">
      <c r="AL8419" s="86"/>
    </row>
    <row r="8420" spans="38:38" x14ac:dyDescent="0.35">
      <c r="AL8420" s="86"/>
    </row>
    <row r="8421" spans="38:38" x14ac:dyDescent="0.35">
      <c r="AL8421" s="86"/>
    </row>
    <row r="8422" spans="38:38" x14ac:dyDescent="0.35">
      <c r="AL8422" s="86"/>
    </row>
    <row r="8423" spans="38:38" x14ac:dyDescent="0.35">
      <c r="AL8423" s="86"/>
    </row>
    <row r="8424" spans="38:38" x14ac:dyDescent="0.35">
      <c r="AL8424" s="86"/>
    </row>
    <row r="8425" spans="38:38" x14ac:dyDescent="0.35">
      <c r="AL8425" s="86"/>
    </row>
    <row r="8426" spans="38:38" x14ac:dyDescent="0.35">
      <c r="AL8426" s="86"/>
    </row>
    <row r="8427" spans="38:38" x14ac:dyDescent="0.35">
      <c r="AL8427" s="86"/>
    </row>
    <row r="8428" spans="38:38" x14ac:dyDescent="0.35">
      <c r="AL8428" s="86"/>
    </row>
    <row r="8429" spans="38:38" x14ac:dyDescent="0.35">
      <c r="AL8429" s="86"/>
    </row>
    <row r="8430" spans="38:38" x14ac:dyDescent="0.35">
      <c r="AL8430" s="86"/>
    </row>
    <row r="8431" spans="38:38" x14ac:dyDescent="0.35">
      <c r="AL8431" s="86"/>
    </row>
    <row r="8432" spans="38:38" x14ac:dyDescent="0.35">
      <c r="AL8432" s="86"/>
    </row>
    <row r="8433" spans="38:38" x14ac:dyDescent="0.35">
      <c r="AL8433" s="86"/>
    </row>
    <row r="8434" spans="38:38" x14ac:dyDescent="0.35">
      <c r="AL8434" s="86"/>
    </row>
    <row r="8435" spans="38:38" x14ac:dyDescent="0.35">
      <c r="AL8435" s="86"/>
    </row>
    <row r="8436" spans="38:38" x14ac:dyDescent="0.35">
      <c r="AL8436" s="86"/>
    </row>
    <row r="8437" spans="38:38" x14ac:dyDescent="0.35">
      <c r="AL8437" s="86"/>
    </row>
    <row r="8438" spans="38:38" x14ac:dyDescent="0.35">
      <c r="AL8438" s="86"/>
    </row>
    <row r="8439" spans="38:38" x14ac:dyDescent="0.35">
      <c r="AL8439" s="86"/>
    </row>
    <row r="8440" spans="38:38" x14ac:dyDescent="0.35">
      <c r="AL8440" s="86"/>
    </row>
    <row r="8441" spans="38:38" x14ac:dyDescent="0.35">
      <c r="AL8441" s="86"/>
    </row>
    <row r="8442" spans="38:38" x14ac:dyDescent="0.35">
      <c r="AL8442" s="86"/>
    </row>
    <row r="8443" spans="38:38" x14ac:dyDescent="0.35">
      <c r="AL8443" s="86"/>
    </row>
    <row r="8444" spans="38:38" x14ac:dyDescent="0.35">
      <c r="AL8444" s="86"/>
    </row>
    <row r="8445" spans="38:38" x14ac:dyDescent="0.35">
      <c r="AL8445" s="86"/>
    </row>
    <row r="8446" spans="38:38" x14ac:dyDescent="0.35">
      <c r="AL8446" s="86"/>
    </row>
    <row r="8447" spans="38:38" x14ac:dyDescent="0.35">
      <c r="AL8447" s="86"/>
    </row>
    <row r="8448" spans="38:38" x14ac:dyDescent="0.35">
      <c r="AL8448" s="86"/>
    </row>
    <row r="8449" spans="38:38" x14ac:dyDescent="0.35">
      <c r="AL8449" s="86"/>
    </row>
    <row r="8450" spans="38:38" x14ac:dyDescent="0.35">
      <c r="AL8450" s="86"/>
    </row>
    <row r="8451" spans="38:38" x14ac:dyDescent="0.35">
      <c r="AL8451" s="86"/>
    </row>
    <row r="8452" spans="38:38" x14ac:dyDescent="0.35">
      <c r="AL8452" s="86"/>
    </row>
    <row r="8453" spans="38:38" x14ac:dyDescent="0.35">
      <c r="AL8453" s="86"/>
    </row>
    <row r="8454" spans="38:38" x14ac:dyDescent="0.35">
      <c r="AL8454" s="86"/>
    </row>
    <row r="8455" spans="38:38" x14ac:dyDescent="0.35">
      <c r="AL8455" s="86"/>
    </row>
    <row r="8456" spans="38:38" x14ac:dyDescent="0.35">
      <c r="AL8456" s="86"/>
    </row>
    <row r="8457" spans="38:38" x14ac:dyDescent="0.35">
      <c r="AL8457" s="86"/>
    </row>
    <row r="8458" spans="38:38" x14ac:dyDescent="0.35">
      <c r="AL8458" s="86"/>
    </row>
    <row r="8459" spans="38:38" x14ac:dyDescent="0.35">
      <c r="AL8459" s="86"/>
    </row>
    <row r="8460" spans="38:38" x14ac:dyDescent="0.35">
      <c r="AL8460" s="86"/>
    </row>
    <row r="8461" spans="38:38" x14ac:dyDescent="0.35">
      <c r="AL8461" s="86"/>
    </row>
    <row r="8462" spans="38:38" x14ac:dyDescent="0.35">
      <c r="AL8462" s="86"/>
    </row>
    <row r="8463" spans="38:38" x14ac:dyDescent="0.35">
      <c r="AL8463" s="86"/>
    </row>
    <row r="8464" spans="38:38" x14ac:dyDescent="0.35">
      <c r="AL8464" s="86"/>
    </row>
    <row r="8465" spans="38:38" x14ac:dyDescent="0.35">
      <c r="AL8465" s="86"/>
    </row>
    <row r="8466" spans="38:38" x14ac:dyDescent="0.35">
      <c r="AL8466" s="86"/>
    </row>
    <row r="8467" spans="38:38" x14ac:dyDescent="0.35">
      <c r="AL8467" s="86"/>
    </row>
    <row r="8468" spans="38:38" x14ac:dyDescent="0.35">
      <c r="AL8468" s="86"/>
    </row>
    <row r="8469" spans="38:38" x14ac:dyDescent="0.35">
      <c r="AL8469" s="86"/>
    </row>
    <row r="8470" spans="38:38" x14ac:dyDescent="0.35">
      <c r="AL8470" s="86"/>
    </row>
    <row r="8471" spans="38:38" x14ac:dyDescent="0.35">
      <c r="AL8471" s="86"/>
    </row>
    <row r="8472" spans="38:38" x14ac:dyDescent="0.35">
      <c r="AL8472" s="86"/>
    </row>
    <row r="8473" spans="38:38" x14ac:dyDescent="0.35">
      <c r="AL8473" s="86"/>
    </row>
    <row r="8474" spans="38:38" x14ac:dyDescent="0.35">
      <c r="AL8474" s="86"/>
    </row>
    <row r="8475" spans="38:38" x14ac:dyDescent="0.35">
      <c r="AL8475" s="86"/>
    </row>
    <row r="8476" spans="38:38" x14ac:dyDescent="0.35">
      <c r="AL8476" s="86"/>
    </row>
    <row r="8477" spans="38:38" x14ac:dyDescent="0.35">
      <c r="AL8477" s="86"/>
    </row>
    <row r="8478" spans="38:38" x14ac:dyDescent="0.35">
      <c r="AL8478" s="86"/>
    </row>
    <row r="8479" spans="38:38" x14ac:dyDescent="0.35">
      <c r="AL8479" s="86"/>
    </row>
    <row r="8480" spans="38:38" x14ac:dyDescent="0.35">
      <c r="AL8480" s="86"/>
    </row>
    <row r="8481" spans="38:38" x14ac:dyDescent="0.35">
      <c r="AL8481" s="86"/>
    </row>
    <row r="8482" spans="38:38" x14ac:dyDescent="0.35">
      <c r="AL8482" s="86"/>
    </row>
    <row r="8483" spans="38:38" x14ac:dyDescent="0.35">
      <c r="AL8483" s="86"/>
    </row>
    <row r="8484" spans="38:38" x14ac:dyDescent="0.35">
      <c r="AL8484" s="86"/>
    </row>
    <row r="8485" spans="38:38" x14ac:dyDescent="0.35">
      <c r="AL8485" s="86"/>
    </row>
    <row r="8486" spans="38:38" x14ac:dyDescent="0.35">
      <c r="AL8486" s="86"/>
    </row>
    <row r="8487" spans="38:38" x14ac:dyDescent="0.35">
      <c r="AL8487" s="86"/>
    </row>
    <row r="8488" spans="38:38" x14ac:dyDescent="0.35">
      <c r="AL8488" s="86"/>
    </row>
    <row r="8489" spans="38:38" x14ac:dyDescent="0.35">
      <c r="AL8489" s="86"/>
    </row>
    <row r="8490" spans="38:38" x14ac:dyDescent="0.35">
      <c r="AL8490" s="86"/>
    </row>
    <row r="8491" spans="38:38" x14ac:dyDescent="0.35">
      <c r="AL8491" s="86"/>
    </row>
    <row r="8492" spans="38:38" x14ac:dyDescent="0.35">
      <c r="AL8492" s="86"/>
    </row>
    <row r="8493" spans="38:38" x14ac:dyDescent="0.35">
      <c r="AL8493" s="86"/>
    </row>
    <row r="8494" spans="38:38" x14ac:dyDescent="0.35">
      <c r="AL8494" s="86"/>
    </row>
    <row r="8495" spans="38:38" x14ac:dyDescent="0.35">
      <c r="AL8495" s="86"/>
    </row>
    <row r="8496" spans="38:38" x14ac:dyDescent="0.35">
      <c r="AL8496" s="86"/>
    </row>
    <row r="8497" spans="38:38" x14ac:dyDescent="0.35">
      <c r="AL8497" s="86"/>
    </row>
    <row r="8498" spans="38:38" x14ac:dyDescent="0.35">
      <c r="AL8498" s="86"/>
    </row>
    <row r="8499" spans="38:38" x14ac:dyDescent="0.35">
      <c r="AL8499" s="86"/>
    </row>
    <row r="8500" spans="38:38" x14ac:dyDescent="0.35">
      <c r="AL8500" s="86"/>
    </row>
    <row r="8501" spans="38:38" x14ac:dyDescent="0.35">
      <c r="AL8501" s="86"/>
    </row>
    <row r="8502" spans="38:38" x14ac:dyDescent="0.35">
      <c r="AL8502" s="86"/>
    </row>
    <row r="8503" spans="38:38" x14ac:dyDescent="0.35">
      <c r="AL8503" s="86"/>
    </row>
    <row r="8504" spans="38:38" x14ac:dyDescent="0.35">
      <c r="AL8504" s="86"/>
    </row>
    <row r="8505" spans="38:38" x14ac:dyDescent="0.35">
      <c r="AL8505" s="86"/>
    </row>
    <row r="8506" spans="38:38" x14ac:dyDescent="0.35">
      <c r="AL8506" s="86"/>
    </row>
    <row r="8507" spans="38:38" x14ac:dyDescent="0.35">
      <c r="AL8507" s="86"/>
    </row>
    <row r="8508" spans="38:38" x14ac:dyDescent="0.35">
      <c r="AL8508" s="86"/>
    </row>
    <row r="8509" spans="38:38" x14ac:dyDescent="0.35">
      <c r="AL8509" s="86"/>
    </row>
    <row r="8510" spans="38:38" x14ac:dyDescent="0.35">
      <c r="AL8510" s="86"/>
    </row>
    <row r="8511" spans="38:38" x14ac:dyDescent="0.35">
      <c r="AL8511" s="86"/>
    </row>
    <row r="8512" spans="38:38" x14ac:dyDescent="0.35">
      <c r="AL8512" s="86"/>
    </row>
    <row r="8513" spans="38:38" x14ac:dyDescent="0.35">
      <c r="AL8513" s="86"/>
    </row>
    <row r="8514" spans="38:38" x14ac:dyDescent="0.35">
      <c r="AL8514" s="86"/>
    </row>
    <row r="8515" spans="38:38" x14ac:dyDescent="0.35">
      <c r="AL8515" s="86"/>
    </row>
    <row r="8516" spans="38:38" x14ac:dyDescent="0.35">
      <c r="AL8516" s="86"/>
    </row>
    <row r="8517" spans="38:38" x14ac:dyDescent="0.35">
      <c r="AL8517" s="86"/>
    </row>
    <row r="8518" spans="38:38" x14ac:dyDescent="0.35">
      <c r="AL8518" s="86"/>
    </row>
    <row r="8519" spans="38:38" x14ac:dyDescent="0.35">
      <c r="AL8519" s="86"/>
    </row>
    <row r="8520" spans="38:38" x14ac:dyDescent="0.35">
      <c r="AL8520" s="86"/>
    </row>
    <row r="8521" spans="38:38" x14ac:dyDescent="0.35">
      <c r="AL8521" s="86"/>
    </row>
    <row r="8522" spans="38:38" x14ac:dyDescent="0.35">
      <c r="AL8522" s="86"/>
    </row>
    <row r="8523" spans="38:38" x14ac:dyDescent="0.35">
      <c r="AL8523" s="86"/>
    </row>
    <row r="8524" spans="38:38" x14ac:dyDescent="0.35">
      <c r="AL8524" s="86"/>
    </row>
    <row r="8525" spans="38:38" x14ac:dyDescent="0.35">
      <c r="AL8525" s="86"/>
    </row>
    <row r="8526" spans="38:38" x14ac:dyDescent="0.35">
      <c r="AL8526" s="86"/>
    </row>
    <row r="8527" spans="38:38" x14ac:dyDescent="0.35">
      <c r="AL8527" s="86"/>
    </row>
    <row r="8528" spans="38:38" x14ac:dyDescent="0.35">
      <c r="AL8528" s="86"/>
    </row>
    <row r="8529" spans="38:38" x14ac:dyDescent="0.35">
      <c r="AL8529" s="86"/>
    </row>
    <row r="8530" spans="38:38" x14ac:dyDescent="0.35">
      <c r="AL8530" s="86"/>
    </row>
    <row r="8531" spans="38:38" x14ac:dyDescent="0.35">
      <c r="AL8531" s="86"/>
    </row>
    <row r="8532" spans="38:38" x14ac:dyDescent="0.35">
      <c r="AL8532" s="86"/>
    </row>
    <row r="8533" spans="38:38" x14ac:dyDescent="0.35">
      <c r="AL8533" s="86"/>
    </row>
    <row r="8534" spans="38:38" x14ac:dyDescent="0.35">
      <c r="AL8534" s="86"/>
    </row>
    <row r="8535" spans="38:38" x14ac:dyDescent="0.35">
      <c r="AL8535" s="86"/>
    </row>
    <row r="8536" spans="38:38" x14ac:dyDescent="0.35">
      <c r="AL8536" s="86"/>
    </row>
    <row r="8537" spans="38:38" x14ac:dyDescent="0.35">
      <c r="AL8537" s="86"/>
    </row>
    <row r="8538" spans="38:38" x14ac:dyDescent="0.35">
      <c r="AL8538" s="86"/>
    </row>
    <row r="8539" spans="38:38" x14ac:dyDescent="0.35">
      <c r="AL8539" s="86"/>
    </row>
    <row r="8540" spans="38:38" x14ac:dyDescent="0.35">
      <c r="AL8540" s="86"/>
    </row>
    <row r="8541" spans="38:38" x14ac:dyDescent="0.35">
      <c r="AL8541" s="86"/>
    </row>
    <row r="8542" spans="38:38" x14ac:dyDescent="0.35">
      <c r="AL8542" s="86"/>
    </row>
    <row r="8543" spans="38:38" x14ac:dyDescent="0.35">
      <c r="AL8543" s="86"/>
    </row>
    <row r="8544" spans="38:38" x14ac:dyDescent="0.35">
      <c r="AL8544" s="86"/>
    </row>
    <row r="8545" spans="38:38" x14ac:dyDescent="0.35">
      <c r="AL8545" s="86"/>
    </row>
    <row r="8546" spans="38:38" x14ac:dyDescent="0.35">
      <c r="AL8546" s="86"/>
    </row>
    <row r="8547" spans="38:38" x14ac:dyDescent="0.35">
      <c r="AL8547" s="86"/>
    </row>
    <row r="8548" spans="38:38" x14ac:dyDescent="0.35">
      <c r="AL8548" s="86"/>
    </row>
    <row r="8549" spans="38:38" x14ac:dyDescent="0.35">
      <c r="AL8549" s="86"/>
    </row>
    <row r="8550" spans="38:38" x14ac:dyDescent="0.35">
      <c r="AL8550" s="86"/>
    </row>
    <row r="8551" spans="38:38" x14ac:dyDescent="0.35">
      <c r="AL8551" s="86"/>
    </row>
    <row r="8552" spans="38:38" x14ac:dyDescent="0.35">
      <c r="AL8552" s="86"/>
    </row>
    <row r="8553" spans="38:38" x14ac:dyDescent="0.35">
      <c r="AL8553" s="86"/>
    </row>
    <row r="8554" spans="38:38" x14ac:dyDescent="0.35">
      <c r="AL8554" s="86"/>
    </row>
    <row r="8555" spans="38:38" x14ac:dyDescent="0.35">
      <c r="AL8555" s="86"/>
    </row>
    <row r="8556" spans="38:38" x14ac:dyDescent="0.35">
      <c r="AL8556" s="86"/>
    </row>
    <row r="8557" spans="38:38" x14ac:dyDescent="0.35">
      <c r="AL8557" s="86"/>
    </row>
    <row r="8558" spans="38:38" x14ac:dyDescent="0.35">
      <c r="AL8558" s="86"/>
    </row>
    <row r="8559" spans="38:38" x14ac:dyDescent="0.35">
      <c r="AL8559" s="86"/>
    </row>
    <row r="8560" spans="38:38" x14ac:dyDescent="0.35">
      <c r="AL8560" s="86"/>
    </row>
    <row r="8561" spans="38:38" x14ac:dyDescent="0.35">
      <c r="AL8561" s="86"/>
    </row>
    <row r="8562" spans="38:38" x14ac:dyDescent="0.35">
      <c r="AL8562" s="86"/>
    </row>
    <row r="8563" spans="38:38" x14ac:dyDescent="0.35">
      <c r="AL8563" s="86"/>
    </row>
    <row r="8564" spans="38:38" x14ac:dyDescent="0.35">
      <c r="AL8564" s="86"/>
    </row>
    <row r="8565" spans="38:38" x14ac:dyDescent="0.35">
      <c r="AL8565" s="86"/>
    </row>
    <row r="8566" spans="38:38" x14ac:dyDescent="0.35">
      <c r="AL8566" s="86"/>
    </row>
    <row r="8567" spans="38:38" x14ac:dyDescent="0.35">
      <c r="AL8567" s="86"/>
    </row>
    <row r="8568" spans="38:38" x14ac:dyDescent="0.35">
      <c r="AL8568" s="86"/>
    </row>
    <row r="8569" spans="38:38" x14ac:dyDescent="0.35">
      <c r="AL8569" s="86"/>
    </row>
    <row r="8570" spans="38:38" x14ac:dyDescent="0.35">
      <c r="AL8570" s="86"/>
    </row>
    <row r="8571" spans="38:38" x14ac:dyDescent="0.35">
      <c r="AL8571" s="86"/>
    </row>
    <row r="8572" spans="38:38" x14ac:dyDescent="0.35">
      <c r="AL8572" s="86"/>
    </row>
    <row r="8573" spans="38:38" x14ac:dyDescent="0.35">
      <c r="AL8573" s="86"/>
    </row>
    <row r="8574" spans="38:38" x14ac:dyDescent="0.35">
      <c r="AL8574" s="86"/>
    </row>
    <row r="8575" spans="38:38" x14ac:dyDescent="0.35">
      <c r="AL8575" s="86"/>
    </row>
    <row r="8576" spans="38:38" x14ac:dyDescent="0.35">
      <c r="AL8576" s="86"/>
    </row>
    <row r="8577" spans="38:38" x14ac:dyDescent="0.35">
      <c r="AL8577" s="86"/>
    </row>
    <row r="8578" spans="38:38" x14ac:dyDescent="0.35">
      <c r="AL8578" s="86"/>
    </row>
    <row r="8579" spans="38:38" x14ac:dyDescent="0.35">
      <c r="AL8579" s="86"/>
    </row>
    <row r="8580" spans="38:38" x14ac:dyDescent="0.35">
      <c r="AL8580" s="86"/>
    </row>
    <row r="8581" spans="38:38" x14ac:dyDescent="0.35">
      <c r="AL8581" s="86"/>
    </row>
    <row r="8582" spans="38:38" x14ac:dyDescent="0.35">
      <c r="AL8582" s="86"/>
    </row>
    <row r="8583" spans="38:38" x14ac:dyDescent="0.35">
      <c r="AL8583" s="86"/>
    </row>
    <row r="8584" spans="38:38" x14ac:dyDescent="0.35">
      <c r="AL8584" s="86"/>
    </row>
    <row r="8585" spans="38:38" x14ac:dyDescent="0.35">
      <c r="AL8585" s="86"/>
    </row>
    <row r="8586" spans="38:38" x14ac:dyDescent="0.35">
      <c r="AL8586" s="86"/>
    </row>
    <row r="8587" spans="38:38" x14ac:dyDescent="0.35">
      <c r="AL8587" s="86"/>
    </row>
    <row r="8588" spans="38:38" x14ac:dyDescent="0.35">
      <c r="AL8588" s="86"/>
    </row>
    <row r="8589" spans="38:38" x14ac:dyDescent="0.35">
      <c r="AL8589" s="86"/>
    </row>
    <row r="8590" spans="38:38" x14ac:dyDescent="0.35">
      <c r="AL8590" s="86"/>
    </row>
    <row r="8591" spans="38:38" x14ac:dyDescent="0.35">
      <c r="AL8591" s="86"/>
    </row>
    <row r="8592" spans="38:38" x14ac:dyDescent="0.35">
      <c r="AL8592" s="86"/>
    </row>
    <row r="8593" spans="38:38" x14ac:dyDescent="0.35">
      <c r="AL8593" s="86"/>
    </row>
    <row r="8594" spans="38:38" x14ac:dyDescent="0.35">
      <c r="AL8594" s="86"/>
    </row>
    <row r="8595" spans="38:38" x14ac:dyDescent="0.35">
      <c r="AL8595" s="86"/>
    </row>
    <row r="8596" spans="38:38" x14ac:dyDescent="0.35">
      <c r="AL8596" s="86"/>
    </row>
    <row r="8597" spans="38:38" x14ac:dyDescent="0.35">
      <c r="AL8597" s="86"/>
    </row>
    <row r="8598" spans="38:38" x14ac:dyDescent="0.35">
      <c r="AL8598" s="86"/>
    </row>
    <row r="8599" spans="38:38" x14ac:dyDescent="0.35">
      <c r="AL8599" s="86"/>
    </row>
    <row r="8600" spans="38:38" x14ac:dyDescent="0.35">
      <c r="AL8600" s="86"/>
    </row>
    <row r="8601" spans="38:38" x14ac:dyDescent="0.35">
      <c r="AL8601" s="86"/>
    </row>
    <row r="8602" spans="38:38" x14ac:dyDescent="0.35">
      <c r="AL8602" s="86"/>
    </row>
    <row r="8603" spans="38:38" x14ac:dyDescent="0.35">
      <c r="AL8603" s="86"/>
    </row>
    <row r="8604" spans="38:38" x14ac:dyDescent="0.35">
      <c r="AL8604" s="86"/>
    </row>
    <row r="8605" spans="38:38" x14ac:dyDescent="0.35">
      <c r="AL8605" s="86"/>
    </row>
    <row r="8606" spans="38:38" x14ac:dyDescent="0.35">
      <c r="AL8606" s="86"/>
    </row>
    <row r="8607" spans="38:38" x14ac:dyDescent="0.35">
      <c r="AL8607" s="86"/>
    </row>
    <row r="8608" spans="38:38" x14ac:dyDescent="0.35">
      <c r="AL8608" s="86"/>
    </row>
    <row r="8609" spans="38:38" x14ac:dyDescent="0.35">
      <c r="AL8609" s="86"/>
    </row>
    <row r="8610" spans="38:38" x14ac:dyDescent="0.35">
      <c r="AL8610" s="86"/>
    </row>
    <row r="8611" spans="38:38" x14ac:dyDescent="0.35">
      <c r="AL8611" s="86"/>
    </row>
    <row r="8612" spans="38:38" x14ac:dyDescent="0.35">
      <c r="AL8612" s="86"/>
    </row>
    <row r="8613" spans="38:38" x14ac:dyDescent="0.35">
      <c r="AL8613" s="86"/>
    </row>
    <row r="8614" spans="38:38" x14ac:dyDescent="0.35">
      <c r="AL8614" s="86"/>
    </row>
    <row r="8615" spans="38:38" x14ac:dyDescent="0.35">
      <c r="AL8615" s="86"/>
    </row>
    <row r="8616" spans="38:38" x14ac:dyDescent="0.35">
      <c r="AL8616" s="86"/>
    </row>
    <row r="8617" spans="38:38" x14ac:dyDescent="0.35">
      <c r="AL8617" s="86"/>
    </row>
    <row r="8618" spans="38:38" x14ac:dyDescent="0.35">
      <c r="AL8618" s="86"/>
    </row>
    <row r="8619" spans="38:38" x14ac:dyDescent="0.35">
      <c r="AL8619" s="86"/>
    </row>
    <row r="8620" spans="38:38" x14ac:dyDescent="0.35">
      <c r="AL8620" s="86"/>
    </row>
    <row r="8621" spans="38:38" x14ac:dyDescent="0.35">
      <c r="AL8621" s="86"/>
    </row>
    <row r="8622" spans="38:38" x14ac:dyDescent="0.35">
      <c r="AL8622" s="86"/>
    </row>
    <row r="8623" spans="38:38" x14ac:dyDescent="0.35">
      <c r="AL8623" s="86"/>
    </row>
    <row r="8624" spans="38:38" x14ac:dyDescent="0.35">
      <c r="AL8624" s="86"/>
    </row>
    <row r="8625" spans="38:38" x14ac:dyDescent="0.35">
      <c r="AL8625" s="86"/>
    </row>
    <row r="8626" spans="38:38" x14ac:dyDescent="0.35">
      <c r="AL8626" s="86"/>
    </row>
    <row r="8627" spans="38:38" x14ac:dyDescent="0.35">
      <c r="AL8627" s="86"/>
    </row>
    <row r="8628" spans="38:38" x14ac:dyDescent="0.35">
      <c r="AL8628" s="86"/>
    </row>
    <row r="8629" spans="38:38" x14ac:dyDescent="0.35">
      <c r="AL8629" s="86"/>
    </row>
    <row r="8630" spans="38:38" x14ac:dyDescent="0.35">
      <c r="AL8630" s="86"/>
    </row>
    <row r="8631" spans="38:38" x14ac:dyDescent="0.35">
      <c r="AL8631" s="86"/>
    </row>
    <row r="8632" spans="38:38" x14ac:dyDescent="0.35">
      <c r="AL8632" s="86"/>
    </row>
    <row r="8633" spans="38:38" x14ac:dyDescent="0.35">
      <c r="AL8633" s="86"/>
    </row>
    <row r="8634" spans="38:38" x14ac:dyDescent="0.35">
      <c r="AL8634" s="86"/>
    </row>
    <row r="8635" spans="38:38" x14ac:dyDescent="0.35">
      <c r="AL8635" s="86"/>
    </row>
    <row r="8636" spans="38:38" x14ac:dyDescent="0.35">
      <c r="AL8636" s="86"/>
    </row>
    <row r="8637" spans="38:38" x14ac:dyDescent="0.35">
      <c r="AL8637" s="86"/>
    </row>
    <row r="8638" spans="38:38" x14ac:dyDescent="0.35">
      <c r="AL8638" s="86"/>
    </row>
    <row r="8639" spans="38:38" x14ac:dyDescent="0.35">
      <c r="AL8639" s="86"/>
    </row>
    <row r="8640" spans="38:38" x14ac:dyDescent="0.35">
      <c r="AL8640" s="86"/>
    </row>
    <row r="8641" spans="38:38" x14ac:dyDescent="0.35">
      <c r="AL8641" s="86"/>
    </row>
    <row r="8642" spans="38:38" x14ac:dyDescent="0.35">
      <c r="AL8642" s="86"/>
    </row>
    <row r="8643" spans="38:38" x14ac:dyDescent="0.35">
      <c r="AL8643" s="86"/>
    </row>
    <row r="8644" spans="38:38" x14ac:dyDescent="0.35">
      <c r="AL8644" s="86"/>
    </row>
    <row r="8645" spans="38:38" x14ac:dyDescent="0.35">
      <c r="AL8645" s="86"/>
    </row>
    <row r="8646" spans="38:38" x14ac:dyDescent="0.35">
      <c r="AL8646" s="86"/>
    </row>
    <row r="8647" spans="38:38" x14ac:dyDescent="0.35">
      <c r="AL8647" s="86"/>
    </row>
    <row r="8648" spans="38:38" x14ac:dyDescent="0.35">
      <c r="AL8648" s="86"/>
    </row>
    <row r="8649" spans="38:38" x14ac:dyDescent="0.35">
      <c r="AL8649" s="86"/>
    </row>
    <row r="8650" spans="38:38" x14ac:dyDescent="0.35">
      <c r="AL8650" s="86"/>
    </row>
    <row r="8651" spans="38:38" x14ac:dyDescent="0.35">
      <c r="AL8651" s="86"/>
    </row>
    <row r="8652" spans="38:38" x14ac:dyDescent="0.35">
      <c r="AL8652" s="86"/>
    </row>
    <row r="8653" spans="38:38" x14ac:dyDescent="0.35">
      <c r="AL8653" s="86"/>
    </row>
    <row r="8654" spans="38:38" x14ac:dyDescent="0.35">
      <c r="AL8654" s="86"/>
    </row>
    <row r="8655" spans="38:38" x14ac:dyDescent="0.35">
      <c r="AL8655" s="86"/>
    </row>
    <row r="8656" spans="38:38" x14ac:dyDescent="0.35">
      <c r="AL8656" s="86"/>
    </row>
    <row r="8657" spans="38:38" x14ac:dyDescent="0.35">
      <c r="AL8657" s="86"/>
    </row>
    <row r="8658" spans="38:38" x14ac:dyDescent="0.35">
      <c r="AL8658" s="86"/>
    </row>
    <row r="8659" spans="38:38" x14ac:dyDescent="0.35">
      <c r="AL8659" s="86"/>
    </row>
    <row r="8660" spans="38:38" x14ac:dyDescent="0.35">
      <c r="AL8660" s="86"/>
    </row>
    <row r="8661" spans="38:38" x14ac:dyDescent="0.35">
      <c r="AL8661" s="86"/>
    </row>
    <row r="8662" spans="38:38" x14ac:dyDescent="0.35">
      <c r="AL8662" s="86"/>
    </row>
    <row r="8663" spans="38:38" x14ac:dyDescent="0.35">
      <c r="AL8663" s="86"/>
    </row>
    <row r="8664" spans="38:38" x14ac:dyDescent="0.35">
      <c r="AL8664" s="86"/>
    </row>
    <row r="8665" spans="38:38" x14ac:dyDescent="0.35">
      <c r="AL8665" s="86"/>
    </row>
    <row r="8666" spans="38:38" x14ac:dyDescent="0.35">
      <c r="AL8666" s="86"/>
    </row>
    <row r="8667" spans="38:38" x14ac:dyDescent="0.35">
      <c r="AL8667" s="86"/>
    </row>
    <row r="8668" spans="38:38" x14ac:dyDescent="0.35">
      <c r="AL8668" s="86"/>
    </row>
    <row r="8669" spans="38:38" x14ac:dyDescent="0.35">
      <c r="AL8669" s="86"/>
    </row>
    <row r="8670" spans="38:38" x14ac:dyDescent="0.35">
      <c r="AL8670" s="86"/>
    </row>
    <row r="8671" spans="38:38" x14ac:dyDescent="0.35">
      <c r="AL8671" s="86"/>
    </row>
    <row r="8672" spans="38:38" x14ac:dyDescent="0.35">
      <c r="AL8672" s="86"/>
    </row>
    <row r="8673" spans="38:38" x14ac:dyDescent="0.35">
      <c r="AL8673" s="86"/>
    </row>
    <row r="8674" spans="38:38" x14ac:dyDescent="0.35">
      <c r="AL8674" s="86"/>
    </row>
    <row r="8675" spans="38:38" x14ac:dyDescent="0.35">
      <c r="AL8675" s="86"/>
    </row>
    <row r="8676" spans="38:38" x14ac:dyDescent="0.35">
      <c r="AL8676" s="86"/>
    </row>
    <row r="8677" spans="38:38" x14ac:dyDescent="0.35">
      <c r="AL8677" s="86"/>
    </row>
    <row r="8678" spans="38:38" x14ac:dyDescent="0.35">
      <c r="AL8678" s="86"/>
    </row>
    <row r="8679" spans="38:38" x14ac:dyDescent="0.35">
      <c r="AL8679" s="86"/>
    </row>
    <row r="8680" spans="38:38" x14ac:dyDescent="0.35">
      <c r="AL8680" s="86"/>
    </row>
    <row r="8681" spans="38:38" x14ac:dyDescent="0.35">
      <c r="AL8681" s="86"/>
    </row>
    <row r="8682" spans="38:38" x14ac:dyDescent="0.35">
      <c r="AL8682" s="86"/>
    </row>
    <row r="8683" spans="38:38" x14ac:dyDescent="0.35">
      <c r="AL8683" s="86"/>
    </row>
    <row r="8684" spans="38:38" x14ac:dyDescent="0.35">
      <c r="AL8684" s="86"/>
    </row>
    <row r="8685" spans="38:38" x14ac:dyDescent="0.35">
      <c r="AL8685" s="86"/>
    </row>
    <row r="8686" spans="38:38" x14ac:dyDescent="0.35">
      <c r="AL8686" s="86"/>
    </row>
    <row r="8687" spans="38:38" x14ac:dyDescent="0.35">
      <c r="AL8687" s="86"/>
    </row>
    <row r="8688" spans="38:38" x14ac:dyDescent="0.35">
      <c r="AL8688" s="86"/>
    </row>
    <row r="8689" spans="38:38" x14ac:dyDescent="0.35">
      <c r="AL8689" s="86"/>
    </row>
    <row r="8690" spans="38:38" x14ac:dyDescent="0.35">
      <c r="AL8690" s="86"/>
    </row>
    <row r="8691" spans="38:38" x14ac:dyDescent="0.35">
      <c r="AL8691" s="86"/>
    </row>
    <row r="8692" spans="38:38" x14ac:dyDescent="0.35">
      <c r="AL8692" s="86"/>
    </row>
    <row r="8693" spans="38:38" x14ac:dyDescent="0.35">
      <c r="AL8693" s="86"/>
    </row>
    <row r="8694" spans="38:38" x14ac:dyDescent="0.35">
      <c r="AL8694" s="86"/>
    </row>
    <row r="8695" spans="38:38" x14ac:dyDescent="0.35">
      <c r="AL8695" s="86"/>
    </row>
    <row r="8696" spans="38:38" x14ac:dyDescent="0.35">
      <c r="AL8696" s="86"/>
    </row>
    <row r="8697" spans="38:38" x14ac:dyDescent="0.35">
      <c r="AL8697" s="86"/>
    </row>
    <row r="8698" spans="38:38" x14ac:dyDescent="0.35">
      <c r="AL8698" s="86"/>
    </row>
    <row r="8699" spans="38:38" x14ac:dyDescent="0.35">
      <c r="AL8699" s="86"/>
    </row>
    <row r="8700" spans="38:38" x14ac:dyDescent="0.35">
      <c r="AL8700" s="86"/>
    </row>
    <row r="8701" spans="38:38" x14ac:dyDescent="0.35">
      <c r="AL8701" s="86"/>
    </row>
    <row r="8702" spans="38:38" x14ac:dyDescent="0.35">
      <c r="AL8702" s="86"/>
    </row>
    <row r="8703" spans="38:38" x14ac:dyDescent="0.35">
      <c r="AL8703" s="86"/>
    </row>
    <row r="8704" spans="38:38" x14ac:dyDescent="0.35">
      <c r="AL8704" s="86"/>
    </row>
    <row r="8705" spans="38:38" x14ac:dyDescent="0.35">
      <c r="AL8705" s="86"/>
    </row>
    <row r="8706" spans="38:38" x14ac:dyDescent="0.35">
      <c r="AL8706" s="86"/>
    </row>
    <row r="8707" spans="38:38" x14ac:dyDescent="0.35">
      <c r="AL8707" s="86"/>
    </row>
    <row r="8708" spans="38:38" x14ac:dyDescent="0.35">
      <c r="AL8708" s="86"/>
    </row>
    <row r="8709" spans="38:38" x14ac:dyDescent="0.35">
      <c r="AL8709" s="86"/>
    </row>
    <row r="8710" spans="38:38" x14ac:dyDescent="0.35">
      <c r="AL8710" s="86"/>
    </row>
    <row r="8711" spans="38:38" x14ac:dyDescent="0.35">
      <c r="AL8711" s="86"/>
    </row>
    <row r="8712" spans="38:38" x14ac:dyDescent="0.35">
      <c r="AL8712" s="86"/>
    </row>
    <row r="8713" spans="38:38" x14ac:dyDescent="0.35">
      <c r="AL8713" s="86"/>
    </row>
    <row r="8714" spans="38:38" x14ac:dyDescent="0.35">
      <c r="AL8714" s="86"/>
    </row>
    <row r="8715" spans="38:38" x14ac:dyDescent="0.35">
      <c r="AL8715" s="86"/>
    </row>
    <row r="8716" spans="38:38" x14ac:dyDescent="0.35">
      <c r="AL8716" s="86"/>
    </row>
    <row r="8717" spans="38:38" x14ac:dyDescent="0.35">
      <c r="AL8717" s="86"/>
    </row>
    <row r="8718" spans="38:38" x14ac:dyDescent="0.35">
      <c r="AL8718" s="86"/>
    </row>
    <row r="8719" spans="38:38" x14ac:dyDescent="0.35">
      <c r="AL8719" s="86"/>
    </row>
    <row r="8720" spans="38:38" x14ac:dyDescent="0.35">
      <c r="AL8720" s="86"/>
    </row>
    <row r="8721" spans="38:38" x14ac:dyDescent="0.35">
      <c r="AL8721" s="86"/>
    </row>
    <row r="8722" spans="38:38" x14ac:dyDescent="0.35">
      <c r="AL8722" s="86"/>
    </row>
    <row r="8723" spans="38:38" x14ac:dyDescent="0.35">
      <c r="AL8723" s="86"/>
    </row>
    <row r="8724" spans="38:38" x14ac:dyDescent="0.35">
      <c r="AL8724" s="86"/>
    </row>
    <row r="8725" spans="38:38" x14ac:dyDescent="0.35">
      <c r="AL8725" s="86"/>
    </row>
    <row r="8726" spans="38:38" x14ac:dyDescent="0.35">
      <c r="AL8726" s="86"/>
    </row>
    <row r="8727" spans="38:38" x14ac:dyDescent="0.35">
      <c r="AL8727" s="86"/>
    </row>
    <row r="8728" spans="38:38" x14ac:dyDescent="0.35">
      <c r="AL8728" s="86"/>
    </row>
    <row r="8729" spans="38:38" x14ac:dyDescent="0.35">
      <c r="AL8729" s="86"/>
    </row>
    <row r="8730" spans="38:38" x14ac:dyDescent="0.35">
      <c r="AL8730" s="86"/>
    </row>
    <row r="8731" spans="38:38" x14ac:dyDescent="0.35">
      <c r="AL8731" s="86"/>
    </row>
    <row r="8732" spans="38:38" x14ac:dyDescent="0.35">
      <c r="AL8732" s="86"/>
    </row>
    <row r="8733" spans="38:38" x14ac:dyDescent="0.35">
      <c r="AL8733" s="86"/>
    </row>
    <row r="8734" spans="38:38" x14ac:dyDescent="0.35">
      <c r="AL8734" s="86"/>
    </row>
    <row r="8735" spans="38:38" x14ac:dyDescent="0.35">
      <c r="AL8735" s="86"/>
    </row>
    <row r="8736" spans="38:38" x14ac:dyDescent="0.35">
      <c r="AL8736" s="86"/>
    </row>
    <row r="8737" spans="38:38" x14ac:dyDescent="0.35">
      <c r="AL8737" s="86"/>
    </row>
    <row r="8738" spans="38:38" x14ac:dyDescent="0.35">
      <c r="AL8738" s="86"/>
    </row>
    <row r="8739" spans="38:38" x14ac:dyDescent="0.35">
      <c r="AL8739" s="86"/>
    </row>
    <row r="8740" spans="38:38" x14ac:dyDescent="0.35">
      <c r="AL8740" s="86"/>
    </row>
    <row r="8741" spans="38:38" x14ac:dyDescent="0.35">
      <c r="AL8741" s="86"/>
    </row>
    <row r="8742" spans="38:38" x14ac:dyDescent="0.35">
      <c r="AL8742" s="86"/>
    </row>
    <row r="8743" spans="38:38" x14ac:dyDescent="0.35">
      <c r="AL8743" s="86"/>
    </row>
    <row r="8744" spans="38:38" x14ac:dyDescent="0.35">
      <c r="AL8744" s="86"/>
    </row>
    <row r="8745" spans="38:38" x14ac:dyDescent="0.35">
      <c r="AL8745" s="86"/>
    </row>
    <row r="8746" spans="38:38" x14ac:dyDescent="0.35">
      <c r="AL8746" s="86"/>
    </row>
    <row r="8747" spans="38:38" x14ac:dyDescent="0.35">
      <c r="AL8747" s="86"/>
    </row>
    <row r="8748" spans="38:38" x14ac:dyDescent="0.35">
      <c r="AL8748" s="86"/>
    </row>
    <row r="8749" spans="38:38" x14ac:dyDescent="0.35">
      <c r="AL8749" s="86"/>
    </row>
    <row r="8750" spans="38:38" x14ac:dyDescent="0.35">
      <c r="AL8750" s="86"/>
    </row>
    <row r="8751" spans="38:38" x14ac:dyDescent="0.35">
      <c r="AL8751" s="86"/>
    </row>
    <row r="8752" spans="38:38" x14ac:dyDescent="0.35">
      <c r="AL8752" s="86"/>
    </row>
    <row r="8753" spans="38:38" x14ac:dyDescent="0.35">
      <c r="AL8753" s="86"/>
    </row>
    <row r="8754" spans="38:38" x14ac:dyDescent="0.35">
      <c r="AL8754" s="86"/>
    </row>
    <row r="8755" spans="38:38" x14ac:dyDescent="0.35">
      <c r="AL8755" s="86"/>
    </row>
    <row r="8756" spans="38:38" x14ac:dyDescent="0.35">
      <c r="AL8756" s="86"/>
    </row>
    <row r="8757" spans="38:38" x14ac:dyDescent="0.35">
      <c r="AL8757" s="86"/>
    </row>
    <row r="8758" spans="38:38" x14ac:dyDescent="0.35">
      <c r="AL8758" s="86"/>
    </row>
    <row r="8759" spans="38:38" x14ac:dyDescent="0.35">
      <c r="AL8759" s="86"/>
    </row>
    <row r="8760" spans="38:38" x14ac:dyDescent="0.35">
      <c r="AL8760" s="86"/>
    </row>
    <row r="8761" spans="38:38" x14ac:dyDescent="0.35">
      <c r="AL8761" s="86"/>
    </row>
    <row r="8762" spans="38:38" x14ac:dyDescent="0.35">
      <c r="AL8762" s="86"/>
    </row>
  </sheetData>
  <mergeCells count="1">
    <mergeCell ref="A4:B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Guide Sheet</vt:lpstr>
      <vt:lpstr>carriers</vt:lpstr>
      <vt:lpstr>buses_2busSRES</vt:lpstr>
      <vt:lpstr>generators_2busSRES</vt:lpstr>
      <vt:lpstr>links_2busSRES</vt:lpstr>
      <vt:lpstr>loads</vt:lpstr>
      <vt:lpstr>run_of_river_inflow</vt:lpstr>
      <vt:lpstr>store</vt:lpstr>
      <vt:lpstr>storage_units</vt:lpstr>
      <vt:lpstr>demands</vt:lpstr>
      <vt:lpstr>profiles</vt:lpstr>
      <vt:lpstr>Origen de Datos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2015-06-05T18:19:34Z</dcterms:created>
  <dcterms:modified xsi:type="dcterms:W3CDTF">2026-04-29T15:18:59Z</dcterms:modified>
</cp:coreProperties>
</file>